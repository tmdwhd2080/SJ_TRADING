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actset\Desktop\인턴\"/>
    </mc:Choice>
  </mc:AlternateContent>
  <bookViews>
    <workbookView xWindow="0" yWindow="0" windowWidth="28800" windowHeight="12135" firstSheet="1" activeTab="4"/>
  </bookViews>
  <sheets>
    <sheet name="__FDSCACHE__" sheetId="5" state="veryHidden" r:id="rId1"/>
    <sheet name="price" sheetId="1" r:id="rId2"/>
    <sheet name="Sheet2" sheetId="2" r:id="rId3"/>
    <sheet name="Total return" sheetId="3" r:id="rId4"/>
    <sheet name="Sheet4" sheetId="4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" i="3" l="1"/>
  <c r="F2" i="3" a="1"/>
  <c r="F315" i="3" l="1"/>
  <c r="F312" i="3"/>
  <c r="F300" i="3"/>
  <c r="F288" i="3"/>
  <c r="F276" i="3"/>
  <c r="F264" i="3"/>
  <c r="F252" i="3"/>
  <c r="F240" i="3"/>
  <c r="F228" i="3"/>
  <c r="F216" i="3"/>
  <c r="F204" i="3"/>
  <c r="F192" i="3"/>
  <c r="F180" i="3"/>
  <c r="F168" i="3"/>
  <c r="F156" i="3"/>
  <c r="F144" i="3"/>
  <c r="F132" i="3"/>
  <c r="F120" i="3"/>
  <c r="F108" i="3"/>
  <c r="F96" i="3"/>
  <c r="F84" i="3"/>
  <c r="F72" i="3"/>
  <c r="F60" i="3"/>
  <c r="F48" i="3"/>
  <c r="F36" i="3"/>
  <c r="F24" i="3"/>
  <c r="F12" i="3"/>
  <c r="F311" i="3"/>
  <c r="F299" i="3"/>
  <c r="F287" i="3"/>
  <c r="F275" i="3"/>
  <c r="F263" i="3"/>
  <c r="F251" i="3"/>
  <c r="F239" i="3"/>
  <c r="F227" i="3"/>
  <c r="F215" i="3"/>
  <c r="F203" i="3"/>
  <c r="F191" i="3"/>
  <c r="F179" i="3"/>
  <c r="F167" i="3"/>
  <c r="F155" i="3"/>
  <c r="F143" i="3"/>
  <c r="F131" i="3"/>
  <c r="F119" i="3"/>
  <c r="F107" i="3"/>
  <c r="F95" i="3"/>
  <c r="F83" i="3"/>
  <c r="F71" i="3"/>
  <c r="F59" i="3"/>
  <c r="F47" i="3"/>
  <c r="F35" i="3"/>
  <c r="F23" i="3"/>
  <c r="F11" i="3"/>
  <c r="F68" i="3"/>
  <c r="F20" i="3"/>
  <c r="F295" i="3"/>
  <c r="F223" i="3"/>
  <c r="F163" i="3"/>
  <c r="F127" i="3"/>
  <c r="F91" i="3"/>
  <c r="F55" i="3"/>
  <c r="F19" i="3"/>
  <c r="F306" i="3"/>
  <c r="F258" i="3"/>
  <c r="F210" i="3"/>
  <c r="F162" i="3"/>
  <c r="F114" i="3"/>
  <c r="F66" i="3"/>
  <c r="F18" i="3"/>
  <c r="F281" i="3"/>
  <c r="F245" i="3"/>
  <c r="F197" i="3"/>
  <c r="F149" i="3"/>
  <c r="F101" i="3"/>
  <c r="F65" i="3"/>
  <c r="F29" i="3"/>
  <c r="F5" i="3"/>
  <c r="F310" i="3"/>
  <c r="F298" i="3"/>
  <c r="F286" i="3"/>
  <c r="F274" i="3"/>
  <c r="F262" i="3"/>
  <c r="F250" i="3"/>
  <c r="F238" i="3"/>
  <c r="F226" i="3"/>
  <c r="F214" i="3"/>
  <c r="F202" i="3"/>
  <c r="F190" i="3"/>
  <c r="F178" i="3"/>
  <c r="F166" i="3"/>
  <c r="F154" i="3"/>
  <c r="F142" i="3"/>
  <c r="F130" i="3"/>
  <c r="F118" i="3"/>
  <c r="F106" i="3"/>
  <c r="F94" i="3"/>
  <c r="F82" i="3"/>
  <c r="F70" i="3"/>
  <c r="F58" i="3"/>
  <c r="F46" i="3"/>
  <c r="F34" i="3"/>
  <c r="F22" i="3"/>
  <c r="F10" i="3"/>
  <c r="F225" i="3"/>
  <c r="F189" i="3"/>
  <c r="F165" i="3"/>
  <c r="F153" i="3"/>
  <c r="F141" i="3"/>
  <c r="F117" i="3"/>
  <c r="F105" i="3"/>
  <c r="F93" i="3"/>
  <c r="F81" i="3"/>
  <c r="F69" i="3"/>
  <c r="F45" i="3"/>
  <c r="F33" i="3"/>
  <c r="F21" i="3"/>
  <c r="F9" i="3"/>
  <c r="F308" i="3"/>
  <c r="F284" i="3"/>
  <c r="F272" i="3"/>
  <c r="F260" i="3"/>
  <c r="F248" i="3"/>
  <c r="F236" i="3"/>
  <c r="F224" i="3"/>
  <c r="F200" i="3"/>
  <c r="F188" i="3"/>
  <c r="F164" i="3"/>
  <c r="F140" i="3"/>
  <c r="F116" i="3"/>
  <c r="F104" i="3"/>
  <c r="F80" i="3"/>
  <c r="F56" i="3"/>
  <c r="F32" i="3"/>
  <c r="F307" i="3"/>
  <c r="F271" i="3"/>
  <c r="F259" i="3"/>
  <c r="F235" i="3"/>
  <c r="F199" i="3"/>
  <c r="F175" i="3"/>
  <c r="F139" i="3"/>
  <c r="F103" i="3"/>
  <c r="F67" i="3"/>
  <c r="F43" i="3"/>
  <c r="F7" i="3"/>
  <c r="F294" i="3"/>
  <c r="F270" i="3"/>
  <c r="F234" i="3"/>
  <c r="F198" i="3"/>
  <c r="F174" i="3"/>
  <c r="F138" i="3"/>
  <c r="F102" i="3"/>
  <c r="F78" i="3"/>
  <c r="F42" i="3"/>
  <c r="F6" i="3"/>
  <c r="F305" i="3"/>
  <c r="F269" i="3"/>
  <c r="F233" i="3"/>
  <c r="F209" i="3"/>
  <c r="F173" i="3"/>
  <c r="F137" i="3"/>
  <c r="F113" i="3"/>
  <c r="F77" i="3"/>
  <c r="F309" i="3"/>
  <c r="F297" i="3"/>
  <c r="F285" i="3"/>
  <c r="F273" i="3"/>
  <c r="F261" i="3"/>
  <c r="F249" i="3"/>
  <c r="F237" i="3"/>
  <c r="F213" i="3"/>
  <c r="F201" i="3"/>
  <c r="F177" i="3"/>
  <c r="F129" i="3"/>
  <c r="F57" i="3"/>
  <c r="F296" i="3"/>
  <c r="F212" i="3"/>
  <c r="F176" i="3"/>
  <c r="F152" i="3"/>
  <c r="F128" i="3"/>
  <c r="F92" i="3"/>
  <c r="F44" i="3"/>
  <c r="F8" i="3"/>
  <c r="F283" i="3"/>
  <c r="F247" i="3"/>
  <c r="F211" i="3"/>
  <c r="F187" i="3"/>
  <c r="F151" i="3"/>
  <c r="F115" i="3"/>
  <c r="F79" i="3"/>
  <c r="F31" i="3"/>
  <c r="F282" i="3"/>
  <c r="F246" i="3"/>
  <c r="F222" i="3"/>
  <c r="F186" i="3"/>
  <c r="F150" i="3"/>
  <c r="F126" i="3"/>
  <c r="F90" i="3"/>
  <c r="F54" i="3"/>
  <c r="F30" i="3"/>
  <c r="F293" i="3"/>
  <c r="F257" i="3"/>
  <c r="F221" i="3"/>
  <c r="F185" i="3"/>
  <c r="F161" i="3"/>
  <c r="F125" i="3"/>
  <c r="F89" i="3"/>
  <c r="F53" i="3"/>
  <c r="F17" i="3"/>
  <c r="F301" i="3"/>
  <c r="F265" i="3"/>
  <c r="F229" i="3"/>
  <c r="F193" i="3"/>
  <c r="F157" i="3"/>
  <c r="F121" i="3"/>
  <c r="F85" i="3"/>
  <c r="F49" i="3"/>
  <c r="F14" i="3"/>
  <c r="F292" i="3"/>
  <c r="F256" i="3"/>
  <c r="F220" i="3"/>
  <c r="F184" i="3"/>
  <c r="F148" i="3"/>
  <c r="F112" i="3"/>
  <c r="F76" i="3"/>
  <c r="F41" i="3"/>
  <c r="F13" i="3"/>
  <c r="F291" i="3"/>
  <c r="F255" i="3"/>
  <c r="F219" i="3"/>
  <c r="F183" i="3"/>
  <c r="F147" i="3"/>
  <c r="F111" i="3"/>
  <c r="F75" i="3"/>
  <c r="F40" i="3"/>
  <c r="F4" i="3"/>
  <c r="F290" i="3"/>
  <c r="F254" i="3"/>
  <c r="F218" i="3"/>
  <c r="F182" i="3"/>
  <c r="F146" i="3"/>
  <c r="F110" i="3"/>
  <c r="F74" i="3"/>
  <c r="F39" i="3"/>
  <c r="F3" i="3"/>
  <c r="F289" i="3"/>
  <c r="F253" i="3"/>
  <c r="F217" i="3"/>
  <c r="F181" i="3"/>
  <c r="F145" i="3"/>
  <c r="F109" i="3"/>
  <c r="F73" i="3"/>
  <c r="F38" i="3"/>
  <c r="F2" i="3"/>
  <c r="F244" i="3"/>
  <c r="F208" i="3"/>
  <c r="F172" i="3"/>
  <c r="F136" i="3"/>
  <c r="F100" i="3"/>
  <c r="F64" i="3"/>
  <c r="F37" i="3"/>
  <c r="F134" i="3"/>
  <c r="F205" i="3"/>
  <c r="F97" i="3"/>
  <c r="F304" i="3"/>
  <c r="F196" i="3"/>
  <c r="F124" i="3"/>
  <c r="F52" i="3"/>
  <c r="F303" i="3"/>
  <c r="F231" i="3"/>
  <c r="F159" i="3"/>
  <c r="F87" i="3"/>
  <c r="F16" i="3"/>
  <c r="F266" i="3"/>
  <c r="F194" i="3"/>
  <c r="F122" i="3"/>
  <c r="F50" i="3"/>
  <c r="F280" i="3"/>
  <c r="F279" i="3"/>
  <c r="F243" i="3"/>
  <c r="F207" i="3"/>
  <c r="F171" i="3"/>
  <c r="F135" i="3"/>
  <c r="F99" i="3"/>
  <c r="F63" i="3"/>
  <c r="F28" i="3"/>
  <c r="F314" i="3"/>
  <c r="F278" i="3"/>
  <c r="F242" i="3"/>
  <c r="F206" i="3"/>
  <c r="F170" i="3"/>
  <c r="F98" i="3"/>
  <c r="F62" i="3"/>
  <c r="F27" i="3"/>
  <c r="F313" i="3"/>
  <c r="F277" i="3"/>
  <c r="F241" i="3"/>
  <c r="F169" i="3"/>
  <c r="F133" i="3"/>
  <c r="F61" i="3"/>
  <c r="F26" i="3"/>
  <c r="F268" i="3"/>
  <c r="F232" i="3"/>
  <c r="F160" i="3"/>
  <c r="F88" i="3"/>
  <c r="F25" i="3"/>
  <c r="F267" i="3"/>
  <c r="F195" i="3"/>
  <c r="F123" i="3"/>
  <c r="F51" i="3"/>
  <c r="F302" i="3"/>
  <c r="F230" i="3"/>
  <c r="F158" i="3"/>
  <c r="F86" i="3"/>
  <c r="F15" i="3"/>
  <c r="F1" i="1"/>
  <c r="F3" i="1" a="1"/>
  <c r="F2" i="1"/>
  <c r="F316" i="1" l="1"/>
  <c r="F304" i="1"/>
  <c r="F292" i="1"/>
  <c r="F280" i="1"/>
  <c r="F268" i="1"/>
  <c r="F256" i="1"/>
  <c r="F244" i="1"/>
  <c r="F232" i="1"/>
  <c r="F220" i="1"/>
  <c r="F208" i="1"/>
  <c r="F196" i="1"/>
  <c r="F184" i="1"/>
  <c r="F172" i="1"/>
  <c r="F160" i="1"/>
  <c r="F148" i="1"/>
  <c r="F136" i="1"/>
  <c r="F124" i="1"/>
  <c r="F112" i="1"/>
  <c r="F100" i="1"/>
  <c r="F88" i="1"/>
  <c r="F76" i="1"/>
  <c r="F64" i="1"/>
  <c r="F52" i="1"/>
  <c r="F40" i="1"/>
  <c r="F28" i="1"/>
  <c r="F16" i="1"/>
  <c r="F4" i="1"/>
  <c r="F75" i="1"/>
  <c r="F51" i="1"/>
  <c r="F27" i="1"/>
  <c r="F15" i="1"/>
  <c r="F81" i="1"/>
  <c r="F9" i="1"/>
  <c r="F199" i="1"/>
  <c r="F79" i="1"/>
  <c r="F282" i="1"/>
  <c r="F210" i="1"/>
  <c r="F90" i="1"/>
  <c r="F281" i="1"/>
  <c r="F185" i="1"/>
  <c r="F77" i="1"/>
  <c r="F315" i="1"/>
  <c r="F303" i="1"/>
  <c r="F291" i="1"/>
  <c r="F279" i="1"/>
  <c r="F267" i="1"/>
  <c r="F255" i="1"/>
  <c r="F243" i="1"/>
  <c r="F231" i="1"/>
  <c r="F219" i="1"/>
  <c r="F207" i="1"/>
  <c r="F195" i="1"/>
  <c r="F183" i="1"/>
  <c r="F171" i="1"/>
  <c r="F159" i="1"/>
  <c r="F147" i="1"/>
  <c r="F135" i="1"/>
  <c r="F123" i="1"/>
  <c r="F111" i="1"/>
  <c r="F99" i="1"/>
  <c r="F87" i="1"/>
  <c r="F63" i="1"/>
  <c r="F39" i="1"/>
  <c r="F3" i="1"/>
  <c r="F45" i="1"/>
  <c r="F271" i="1"/>
  <c r="F139" i="1"/>
  <c r="F43" i="1"/>
  <c r="F270" i="1"/>
  <c r="F162" i="1"/>
  <c r="F42" i="1"/>
  <c r="F245" i="1"/>
  <c r="F125" i="1"/>
  <c r="F314" i="1"/>
  <c r="F302" i="1"/>
  <c r="F290" i="1"/>
  <c r="F278" i="1"/>
  <c r="F266" i="1"/>
  <c r="F254" i="1"/>
  <c r="F242" i="1"/>
  <c r="F230" i="1"/>
  <c r="F218" i="1"/>
  <c r="F206" i="1"/>
  <c r="F194" i="1"/>
  <c r="F182" i="1"/>
  <c r="F170" i="1"/>
  <c r="F158" i="1"/>
  <c r="F146" i="1"/>
  <c r="F134" i="1"/>
  <c r="F122" i="1"/>
  <c r="F110" i="1"/>
  <c r="F98" i="1"/>
  <c r="F86" i="1"/>
  <c r="F74" i="1"/>
  <c r="F62" i="1"/>
  <c r="F50" i="1"/>
  <c r="F38" i="1"/>
  <c r="F26" i="1"/>
  <c r="F14" i="1"/>
  <c r="F313" i="1"/>
  <c r="F301" i="1"/>
  <c r="F289" i="1"/>
  <c r="F277" i="1"/>
  <c r="F265" i="1"/>
  <c r="F253" i="1"/>
  <c r="F241" i="1"/>
  <c r="F229" i="1"/>
  <c r="F217" i="1"/>
  <c r="F205" i="1"/>
  <c r="F193" i="1"/>
  <c r="F181" i="1"/>
  <c r="F169" i="1"/>
  <c r="F157" i="1"/>
  <c r="F145" i="1"/>
  <c r="F133" i="1"/>
  <c r="F121" i="1"/>
  <c r="F109" i="1"/>
  <c r="F97" i="1"/>
  <c r="F85" i="1"/>
  <c r="F73" i="1"/>
  <c r="F61" i="1"/>
  <c r="F49" i="1"/>
  <c r="F37" i="1"/>
  <c r="F25" i="1"/>
  <c r="F13" i="1"/>
  <c r="F237" i="1"/>
  <c r="F117" i="1"/>
  <c r="F21" i="1"/>
  <c r="F163" i="1"/>
  <c r="F31" i="1"/>
  <c r="F234" i="1"/>
  <c r="F126" i="1"/>
  <c r="F6" i="1"/>
  <c r="F233" i="1"/>
  <c r="F149" i="1"/>
  <c r="F53" i="1"/>
  <c r="F312" i="1"/>
  <c r="F300" i="1"/>
  <c r="F288" i="1"/>
  <c r="F276" i="1"/>
  <c r="F264" i="1"/>
  <c r="F252" i="1"/>
  <c r="F240" i="1"/>
  <c r="F228" i="1"/>
  <c r="F216" i="1"/>
  <c r="F204" i="1"/>
  <c r="F192" i="1"/>
  <c r="F180" i="1"/>
  <c r="F168" i="1"/>
  <c r="F156" i="1"/>
  <c r="F144" i="1"/>
  <c r="F132" i="1"/>
  <c r="F120" i="1"/>
  <c r="F108" i="1"/>
  <c r="F96" i="1"/>
  <c r="F84" i="1"/>
  <c r="F72" i="1"/>
  <c r="F60" i="1"/>
  <c r="F48" i="1"/>
  <c r="F36" i="1"/>
  <c r="F24" i="1"/>
  <c r="F12" i="1"/>
  <c r="F225" i="1"/>
  <c r="F129" i="1"/>
  <c r="F57" i="1"/>
  <c r="F211" i="1"/>
  <c r="F115" i="1"/>
  <c r="F19" i="1"/>
  <c r="F294" i="1"/>
  <c r="F114" i="1"/>
  <c r="F221" i="1"/>
  <c r="F161" i="1"/>
  <c r="F89" i="1"/>
  <c r="F29" i="1"/>
  <c r="F311" i="1"/>
  <c r="F299" i="1"/>
  <c r="F287" i="1"/>
  <c r="F275" i="1"/>
  <c r="F263" i="1"/>
  <c r="F251" i="1"/>
  <c r="F239" i="1"/>
  <c r="F227" i="1"/>
  <c r="F215" i="1"/>
  <c r="F203" i="1"/>
  <c r="F191" i="1"/>
  <c r="F179" i="1"/>
  <c r="F167" i="1"/>
  <c r="F155" i="1"/>
  <c r="F143" i="1"/>
  <c r="F131" i="1"/>
  <c r="F119" i="1"/>
  <c r="F107" i="1"/>
  <c r="F95" i="1"/>
  <c r="F83" i="1"/>
  <c r="F71" i="1"/>
  <c r="F59" i="1"/>
  <c r="F47" i="1"/>
  <c r="F35" i="1"/>
  <c r="F23" i="1"/>
  <c r="F11" i="1"/>
  <c r="F201" i="1"/>
  <c r="F105" i="1"/>
  <c r="F33" i="1"/>
  <c r="F247" i="1"/>
  <c r="F67" i="1"/>
  <c r="F186" i="1"/>
  <c r="F66" i="1"/>
  <c r="F269" i="1"/>
  <c r="F137" i="1"/>
  <c r="F5" i="1"/>
  <c r="F310" i="1"/>
  <c r="F298" i="1"/>
  <c r="F286" i="1"/>
  <c r="F274" i="1"/>
  <c r="F262" i="1"/>
  <c r="F250" i="1"/>
  <c r="F238" i="1"/>
  <c r="F226" i="1"/>
  <c r="F214" i="1"/>
  <c r="F202" i="1"/>
  <c r="F190" i="1"/>
  <c r="F178" i="1"/>
  <c r="F166" i="1"/>
  <c r="F154" i="1"/>
  <c r="F142" i="1"/>
  <c r="F130" i="1"/>
  <c r="F118" i="1"/>
  <c r="F106" i="1"/>
  <c r="F94" i="1"/>
  <c r="F82" i="1"/>
  <c r="F70" i="1"/>
  <c r="F58" i="1"/>
  <c r="F46" i="1"/>
  <c r="F34" i="1"/>
  <c r="F22" i="1"/>
  <c r="F10" i="1"/>
  <c r="F261" i="1"/>
  <c r="F189" i="1"/>
  <c r="F165" i="1"/>
  <c r="F141" i="1"/>
  <c r="F69" i="1"/>
  <c r="F223" i="1"/>
  <c r="F103" i="1"/>
  <c r="F306" i="1"/>
  <c r="F174" i="1"/>
  <c r="F54" i="1"/>
  <c r="F257" i="1"/>
  <c r="F113" i="1"/>
  <c r="F309" i="1"/>
  <c r="F297" i="1"/>
  <c r="F285" i="1"/>
  <c r="F273" i="1"/>
  <c r="F249" i="1"/>
  <c r="F213" i="1"/>
  <c r="F177" i="1"/>
  <c r="F153" i="1"/>
  <c r="F93" i="1"/>
  <c r="F187" i="1"/>
  <c r="F91" i="1"/>
  <c r="F7" i="1"/>
  <c r="F246" i="1"/>
  <c r="F150" i="1"/>
  <c r="F30" i="1"/>
  <c r="F209" i="1"/>
  <c r="F101" i="1"/>
  <c r="F17" i="1"/>
  <c r="F308" i="1"/>
  <c r="F296" i="1"/>
  <c r="F284" i="1"/>
  <c r="F272" i="1"/>
  <c r="F260" i="1"/>
  <c r="F248" i="1"/>
  <c r="F236" i="1"/>
  <c r="F224" i="1"/>
  <c r="F212" i="1"/>
  <c r="F200" i="1"/>
  <c r="F188" i="1"/>
  <c r="F176" i="1"/>
  <c r="F164" i="1"/>
  <c r="F152" i="1"/>
  <c r="F140" i="1"/>
  <c r="F128" i="1"/>
  <c r="F116" i="1"/>
  <c r="F104" i="1"/>
  <c r="F92" i="1"/>
  <c r="F80" i="1"/>
  <c r="F68" i="1"/>
  <c r="F56" i="1"/>
  <c r="F44" i="1"/>
  <c r="F32" i="1"/>
  <c r="F20" i="1"/>
  <c r="F8" i="1"/>
  <c r="F307" i="1"/>
  <c r="F283" i="1"/>
  <c r="F259" i="1"/>
  <c r="F235" i="1"/>
  <c r="F175" i="1"/>
  <c r="F127" i="1"/>
  <c r="F55" i="1"/>
  <c r="F258" i="1"/>
  <c r="F198" i="1"/>
  <c r="F138" i="1"/>
  <c r="F78" i="1"/>
  <c r="F18" i="1"/>
  <c r="F293" i="1"/>
  <c r="F173" i="1"/>
  <c r="F65" i="1"/>
  <c r="F295" i="1"/>
  <c r="F151" i="1"/>
  <c r="F222" i="1"/>
  <c r="F102" i="1"/>
  <c r="F305" i="1"/>
  <c r="F197" i="1"/>
  <c r="F41" i="1"/>
  <c r="E2" i="3" a="1"/>
  <c r="E1" i="3"/>
  <c r="D2" i="3" a="1"/>
  <c r="D1" i="3"/>
  <c r="C2" i="3" a="1"/>
  <c r="C1" i="3"/>
  <c r="B2" i="3" a="1"/>
  <c r="B1" i="3"/>
  <c r="A2" i="3" a="1"/>
  <c r="E315" i="3" l="1"/>
  <c r="E303" i="3"/>
  <c r="E291" i="3"/>
  <c r="E279" i="3"/>
  <c r="E267" i="3"/>
  <c r="E255" i="3"/>
  <c r="E243" i="3"/>
  <c r="E231" i="3"/>
  <c r="E219" i="3"/>
  <c r="E207" i="3"/>
  <c r="E195" i="3"/>
  <c r="E183" i="3"/>
  <c r="E171" i="3"/>
  <c r="E159" i="3"/>
  <c r="E147" i="3"/>
  <c r="E135" i="3"/>
  <c r="E123" i="3"/>
  <c r="E111" i="3"/>
  <c r="E99" i="3"/>
  <c r="E87" i="3"/>
  <c r="E75" i="3"/>
  <c r="E63" i="3"/>
  <c r="E51" i="3"/>
  <c r="E39" i="3"/>
  <c r="E27" i="3"/>
  <c r="E15" i="3"/>
  <c r="E3" i="3"/>
  <c r="E302" i="3"/>
  <c r="E266" i="3"/>
  <c r="E242" i="3"/>
  <c r="E230" i="3"/>
  <c r="E206" i="3"/>
  <c r="E194" i="3"/>
  <c r="E170" i="3"/>
  <c r="E158" i="3"/>
  <c r="E146" i="3"/>
  <c r="E134" i="3"/>
  <c r="E122" i="3"/>
  <c r="E98" i="3"/>
  <c r="E86" i="3"/>
  <c r="E74" i="3"/>
  <c r="E62" i="3"/>
  <c r="E50" i="3"/>
  <c r="E38" i="3"/>
  <c r="E26" i="3"/>
  <c r="E14" i="3"/>
  <c r="E2" i="3"/>
  <c r="E301" i="3"/>
  <c r="E289" i="3"/>
  <c r="E277" i="3"/>
  <c r="E265" i="3"/>
  <c r="E241" i="3"/>
  <c r="E229" i="3"/>
  <c r="E217" i="3"/>
  <c r="E205" i="3"/>
  <c r="E193" i="3"/>
  <c r="E181" i="3"/>
  <c r="E145" i="3"/>
  <c r="E133" i="3"/>
  <c r="E121" i="3"/>
  <c r="E109" i="3"/>
  <c r="E85" i="3"/>
  <c r="E73" i="3"/>
  <c r="E49" i="3"/>
  <c r="E25" i="3"/>
  <c r="E300" i="3"/>
  <c r="E276" i="3"/>
  <c r="E252" i="3"/>
  <c r="E228" i="3"/>
  <c r="E204" i="3"/>
  <c r="E180" i="3"/>
  <c r="E144" i="3"/>
  <c r="E108" i="3"/>
  <c r="E72" i="3"/>
  <c r="E24" i="3"/>
  <c r="E287" i="3"/>
  <c r="E227" i="3"/>
  <c r="E167" i="3"/>
  <c r="E119" i="3"/>
  <c r="E59" i="3"/>
  <c r="E274" i="3"/>
  <c r="E202" i="3"/>
  <c r="E142" i="3"/>
  <c r="E94" i="3"/>
  <c r="E34" i="3"/>
  <c r="E314" i="3"/>
  <c r="E290" i="3"/>
  <c r="E278" i="3"/>
  <c r="E254" i="3"/>
  <c r="E218" i="3"/>
  <c r="E182" i="3"/>
  <c r="E110" i="3"/>
  <c r="E169" i="3"/>
  <c r="E97" i="3"/>
  <c r="E61" i="3"/>
  <c r="E37" i="3"/>
  <c r="E312" i="3"/>
  <c r="E264" i="3"/>
  <c r="E240" i="3"/>
  <c r="E216" i="3"/>
  <c r="E192" i="3"/>
  <c r="E168" i="3"/>
  <c r="E156" i="3"/>
  <c r="E120" i="3"/>
  <c r="E84" i="3"/>
  <c r="E60" i="3"/>
  <c r="E36" i="3"/>
  <c r="E12" i="3"/>
  <c r="E311" i="3"/>
  <c r="E275" i="3"/>
  <c r="E251" i="3"/>
  <c r="E215" i="3"/>
  <c r="E191" i="3"/>
  <c r="E155" i="3"/>
  <c r="E131" i="3"/>
  <c r="E95" i="3"/>
  <c r="E71" i="3"/>
  <c r="E35" i="3"/>
  <c r="E310" i="3"/>
  <c r="E250" i="3"/>
  <c r="E214" i="3"/>
  <c r="E178" i="3"/>
  <c r="E118" i="3"/>
  <c r="E70" i="3"/>
  <c r="E22" i="3"/>
  <c r="E273" i="3"/>
  <c r="E313" i="3"/>
  <c r="E253" i="3"/>
  <c r="E157" i="3"/>
  <c r="E13" i="3"/>
  <c r="E132" i="3"/>
  <c r="E48" i="3"/>
  <c r="E299" i="3"/>
  <c r="E263" i="3"/>
  <c r="E239" i="3"/>
  <c r="E203" i="3"/>
  <c r="E179" i="3"/>
  <c r="E143" i="3"/>
  <c r="E107" i="3"/>
  <c r="E83" i="3"/>
  <c r="E47" i="3"/>
  <c r="E23" i="3"/>
  <c r="E298" i="3"/>
  <c r="E262" i="3"/>
  <c r="E238" i="3"/>
  <c r="E190" i="3"/>
  <c r="E154" i="3"/>
  <c r="E130" i="3"/>
  <c r="E82" i="3"/>
  <c r="E46" i="3"/>
  <c r="E10" i="3"/>
  <c r="E297" i="3"/>
  <c r="E249" i="3"/>
  <c r="E225" i="3"/>
  <c r="E288" i="3"/>
  <c r="E96" i="3"/>
  <c r="E11" i="3"/>
  <c r="E286" i="3"/>
  <c r="E226" i="3"/>
  <c r="E166" i="3"/>
  <c r="E106" i="3"/>
  <c r="E58" i="3"/>
  <c r="E309" i="3"/>
  <c r="E261" i="3"/>
  <c r="E237" i="3"/>
  <c r="E308" i="3"/>
  <c r="E283" i="3"/>
  <c r="E257" i="3"/>
  <c r="E224" i="3"/>
  <c r="E200" i="3"/>
  <c r="E176" i="3"/>
  <c r="E152" i="3"/>
  <c r="E128" i="3"/>
  <c r="E104" i="3"/>
  <c r="E80" i="3"/>
  <c r="E56" i="3"/>
  <c r="E32" i="3"/>
  <c r="E8" i="3"/>
  <c r="E307" i="3"/>
  <c r="E282" i="3"/>
  <c r="E256" i="3"/>
  <c r="E223" i="3"/>
  <c r="E199" i="3"/>
  <c r="E175" i="3"/>
  <c r="E151" i="3"/>
  <c r="E127" i="3"/>
  <c r="E103" i="3"/>
  <c r="E79" i="3"/>
  <c r="E55" i="3"/>
  <c r="E31" i="3"/>
  <c r="E7" i="3"/>
  <c r="E306" i="3"/>
  <c r="E281" i="3"/>
  <c r="E248" i="3"/>
  <c r="E222" i="3"/>
  <c r="E198" i="3"/>
  <c r="E174" i="3"/>
  <c r="E150" i="3"/>
  <c r="E126" i="3"/>
  <c r="E102" i="3"/>
  <c r="E78" i="3"/>
  <c r="E54" i="3"/>
  <c r="E30" i="3"/>
  <c r="E6" i="3"/>
  <c r="E305" i="3"/>
  <c r="E280" i="3"/>
  <c r="E247" i="3"/>
  <c r="E221" i="3"/>
  <c r="E197" i="3"/>
  <c r="E173" i="3"/>
  <c r="E149" i="3"/>
  <c r="E125" i="3"/>
  <c r="E101" i="3"/>
  <c r="E77" i="3"/>
  <c r="E53" i="3"/>
  <c r="E29" i="3"/>
  <c r="E5" i="3"/>
  <c r="E304" i="3"/>
  <c r="E246" i="3"/>
  <c r="E220" i="3"/>
  <c r="E196" i="3"/>
  <c r="E172" i="3"/>
  <c r="E148" i="3"/>
  <c r="E124" i="3"/>
  <c r="E100" i="3"/>
  <c r="E76" i="3"/>
  <c r="E28" i="3"/>
  <c r="E4" i="3"/>
  <c r="E296" i="3"/>
  <c r="E245" i="3"/>
  <c r="E213" i="3"/>
  <c r="E165" i="3"/>
  <c r="E117" i="3"/>
  <c r="E69" i="3"/>
  <c r="E21" i="3"/>
  <c r="E270" i="3"/>
  <c r="E212" i="3"/>
  <c r="E188" i="3"/>
  <c r="E116" i="3"/>
  <c r="E68" i="3"/>
  <c r="E20" i="3"/>
  <c r="E269" i="3"/>
  <c r="E139" i="3"/>
  <c r="E43" i="3"/>
  <c r="E235" i="3"/>
  <c r="E114" i="3"/>
  <c r="E209" i="3"/>
  <c r="E113" i="3"/>
  <c r="E233" i="3"/>
  <c r="E112" i="3"/>
  <c r="E16" i="3"/>
  <c r="E201" i="3"/>
  <c r="E105" i="3"/>
  <c r="E9" i="3"/>
  <c r="E272" i="3"/>
  <c r="E52" i="3"/>
  <c r="E271" i="3"/>
  <c r="E189" i="3"/>
  <c r="E141" i="3"/>
  <c r="E93" i="3"/>
  <c r="E45" i="3"/>
  <c r="E295" i="3"/>
  <c r="E244" i="3"/>
  <c r="E164" i="3"/>
  <c r="E92" i="3"/>
  <c r="E44" i="3"/>
  <c r="E294" i="3"/>
  <c r="E236" i="3"/>
  <c r="E187" i="3"/>
  <c r="E115" i="3"/>
  <c r="E67" i="3"/>
  <c r="E19" i="3"/>
  <c r="E293" i="3"/>
  <c r="E210" i="3"/>
  <c r="E138" i="3"/>
  <c r="E66" i="3"/>
  <c r="E292" i="3"/>
  <c r="E185" i="3"/>
  <c r="E89" i="3"/>
  <c r="E17" i="3"/>
  <c r="E259" i="3"/>
  <c r="E184" i="3"/>
  <c r="E88" i="3"/>
  <c r="E232" i="3"/>
  <c r="E129" i="3"/>
  <c r="E33" i="3"/>
  <c r="E140" i="3"/>
  <c r="E211" i="3"/>
  <c r="E91" i="3"/>
  <c r="E268" i="3"/>
  <c r="E186" i="3"/>
  <c r="E90" i="3"/>
  <c r="E18" i="3"/>
  <c r="E234" i="3"/>
  <c r="E161" i="3"/>
  <c r="E65" i="3"/>
  <c r="E285" i="3"/>
  <c r="E160" i="3"/>
  <c r="E64" i="3"/>
  <c r="E284" i="3"/>
  <c r="E177" i="3"/>
  <c r="E81" i="3"/>
  <c r="E163" i="3"/>
  <c r="E162" i="3"/>
  <c r="E42" i="3"/>
  <c r="E260" i="3"/>
  <c r="E137" i="3"/>
  <c r="E41" i="3"/>
  <c r="E208" i="3"/>
  <c r="E136" i="3"/>
  <c r="E40" i="3"/>
  <c r="E258" i="3"/>
  <c r="E153" i="3"/>
  <c r="E57" i="3"/>
  <c r="D315" i="3"/>
  <c r="D303" i="3"/>
  <c r="D291" i="3"/>
  <c r="D279" i="3"/>
  <c r="D267" i="3"/>
  <c r="D255" i="3"/>
  <c r="D243" i="3"/>
  <c r="D231" i="3"/>
  <c r="D219" i="3"/>
  <c r="D207" i="3"/>
  <c r="D195" i="3"/>
  <c r="D183" i="3"/>
  <c r="D171" i="3"/>
  <c r="D159" i="3"/>
  <c r="D147" i="3"/>
  <c r="D135" i="3"/>
  <c r="D123" i="3"/>
  <c r="D111" i="3"/>
  <c r="D99" i="3"/>
  <c r="D87" i="3"/>
  <c r="D75" i="3"/>
  <c r="D63" i="3"/>
  <c r="D51" i="3"/>
  <c r="D39" i="3"/>
  <c r="D27" i="3"/>
  <c r="D15" i="3"/>
  <c r="D3" i="3"/>
  <c r="D278" i="3"/>
  <c r="D218" i="3"/>
  <c r="D194" i="3"/>
  <c r="D182" i="3"/>
  <c r="D158" i="3"/>
  <c r="D146" i="3"/>
  <c r="D122" i="3"/>
  <c r="D110" i="3"/>
  <c r="D98" i="3"/>
  <c r="D86" i="3"/>
  <c r="D62" i="3"/>
  <c r="D50" i="3"/>
  <c r="D38" i="3"/>
  <c r="D26" i="3"/>
  <c r="D14" i="3"/>
  <c r="D2" i="3"/>
  <c r="D313" i="3"/>
  <c r="D277" i="3"/>
  <c r="D265" i="3"/>
  <c r="D253" i="3"/>
  <c r="D241" i="3"/>
  <c r="D229" i="3"/>
  <c r="D217" i="3"/>
  <c r="D205" i="3"/>
  <c r="D181" i="3"/>
  <c r="D157" i="3"/>
  <c r="D133" i="3"/>
  <c r="D109" i="3"/>
  <c r="D85" i="3"/>
  <c r="D61" i="3"/>
  <c r="D37" i="3"/>
  <c r="D13" i="3"/>
  <c r="D288" i="3"/>
  <c r="D264" i="3"/>
  <c r="D240" i="3"/>
  <c r="D216" i="3"/>
  <c r="D180" i="3"/>
  <c r="D156" i="3"/>
  <c r="D132" i="3"/>
  <c r="D96" i="3"/>
  <c r="D72" i="3"/>
  <c r="D24" i="3"/>
  <c r="D299" i="3"/>
  <c r="D251" i="3"/>
  <c r="D203" i="3"/>
  <c r="D131" i="3"/>
  <c r="D47" i="3"/>
  <c r="D274" i="3"/>
  <c r="D154" i="3"/>
  <c r="D58" i="3"/>
  <c r="D273" i="3"/>
  <c r="D165" i="3"/>
  <c r="D93" i="3"/>
  <c r="D21" i="3"/>
  <c r="D284" i="3"/>
  <c r="D212" i="3"/>
  <c r="D140" i="3"/>
  <c r="D80" i="3"/>
  <c r="D314" i="3"/>
  <c r="D302" i="3"/>
  <c r="D290" i="3"/>
  <c r="D266" i="3"/>
  <c r="D254" i="3"/>
  <c r="D242" i="3"/>
  <c r="D230" i="3"/>
  <c r="D206" i="3"/>
  <c r="D170" i="3"/>
  <c r="D134" i="3"/>
  <c r="D74" i="3"/>
  <c r="D289" i="3"/>
  <c r="D193" i="3"/>
  <c r="D145" i="3"/>
  <c r="D121" i="3"/>
  <c r="D97" i="3"/>
  <c r="D73" i="3"/>
  <c r="D49" i="3"/>
  <c r="D25" i="3"/>
  <c r="D300" i="3"/>
  <c r="D252" i="3"/>
  <c r="D228" i="3"/>
  <c r="D204" i="3"/>
  <c r="D168" i="3"/>
  <c r="D144" i="3"/>
  <c r="D120" i="3"/>
  <c r="D84" i="3"/>
  <c r="D48" i="3"/>
  <c r="D12" i="3"/>
  <c r="D287" i="3"/>
  <c r="D275" i="3"/>
  <c r="D239" i="3"/>
  <c r="D215" i="3"/>
  <c r="D179" i="3"/>
  <c r="D143" i="3"/>
  <c r="D107" i="3"/>
  <c r="D83" i="3"/>
  <c r="D35" i="3"/>
  <c r="D11" i="3"/>
  <c r="D286" i="3"/>
  <c r="D250" i="3"/>
  <c r="D214" i="3"/>
  <c r="D178" i="3"/>
  <c r="D142" i="3"/>
  <c r="D106" i="3"/>
  <c r="D70" i="3"/>
  <c r="D22" i="3"/>
  <c r="D297" i="3"/>
  <c r="D249" i="3"/>
  <c r="D189" i="3"/>
  <c r="D129" i="3"/>
  <c r="D57" i="3"/>
  <c r="D272" i="3"/>
  <c r="D176" i="3"/>
  <c r="D92" i="3"/>
  <c r="D20" i="3"/>
  <c r="D259" i="3"/>
  <c r="D301" i="3"/>
  <c r="D169" i="3"/>
  <c r="D108" i="3"/>
  <c r="D36" i="3"/>
  <c r="D311" i="3"/>
  <c r="D263" i="3"/>
  <c r="D227" i="3"/>
  <c r="D191" i="3"/>
  <c r="D167" i="3"/>
  <c r="D119" i="3"/>
  <c r="D95" i="3"/>
  <c r="D71" i="3"/>
  <c r="D23" i="3"/>
  <c r="D310" i="3"/>
  <c r="D262" i="3"/>
  <c r="D226" i="3"/>
  <c r="D202" i="3"/>
  <c r="D166" i="3"/>
  <c r="D118" i="3"/>
  <c r="D82" i="3"/>
  <c r="D34" i="3"/>
  <c r="D309" i="3"/>
  <c r="D261" i="3"/>
  <c r="D213" i="3"/>
  <c r="D177" i="3"/>
  <c r="D141" i="3"/>
  <c r="D105" i="3"/>
  <c r="D69" i="3"/>
  <c r="D33" i="3"/>
  <c r="D308" i="3"/>
  <c r="D248" i="3"/>
  <c r="D224" i="3"/>
  <c r="D188" i="3"/>
  <c r="D152" i="3"/>
  <c r="D104" i="3"/>
  <c r="D56" i="3"/>
  <c r="D8" i="3"/>
  <c r="D283" i="3"/>
  <c r="D223" i="3"/>
  <c r="D312" i="3"/>
  <c r="D276" i="3"/>
  <c r="D192" i="3"/>
  <c r="D60" i="3"/>
  <c r="D155" i="3"/>
  <c r="D59" i="3"/>
  <c r="D298" i="3"/>
  <c r="D238" i="3"/>
  <c r="D190" i="3"/>
  <c r="D130" i="3"/>
  <c r="D94" i="3"/>
  <c r="D46" i="3"/>
  <c r="D10" i="3"/>
  <c r="D285" i="3"/>
  <c r="D237" i="3"/>
  <c r="D201" i="3"/>
  <c r="D153" i="3"/>
  <c r="D117" i="3"/>
  <c r="D81" i="3"/>
  <c r="D45" i="3"/>
  <c r="D9" i="3"/>
  <c r="D296" i="3"/>
  <c r="D236" i="3"/>
  <c r="D200" i="3"/>
  <c r="D164" i="3"/>
  <c r="D116" i="3"/>
  <c r="D68" i="3"/>
  <c r="D32" i="3"/>
  <c r="D307" i="3"/>
  <c r="D247" i="3"/>
  <c r="D211" i="3"/>
  <c r="D225" i="3"/>
  <c r="D260" i="3"/>
  <c r="D128" i="3"/>
  <c r="D44" i="3"/>
  <c r="D295" i="3"/>
  <c r="D235" i="3"/>
  <c r="D306" i="3"/>
  <c r="D268" i="3"/>
  <c r="D220" i="3"/>
  <c r="D175" i="3"/>
  <c r="D139" i="3"/>
  <c r="D103" i="3"/>
  <c r="D67" i="3"/>
  <c r="D31" i="3"/>
  <c r="D305" i="3"/>
  <c r="D258" i="3"/>
  <c r="D210" i="3"/>
  <c r="D174" i="3"/>
  <c r="D138" i="3"/>
  <c r="D102" i="3"/>
  <c r="D66" i="3"/>
  <c r="D30" i="3"/>
  <c r="D304" i="3"/>
  <c r="D257" i="3"/>
  <c r="D209" i="3"/>
  <c r="D173" i="3"/>
  <c r="D137" i="3"/>
  <c r="D101" i="3"/>
  <c r="D65" i="3"/>
  <c r="D29" i="3"/>
  <c r="D294" i="3"/>
  <c r="D256" i="3"/>
  <c r="D208" i="3"/>
  <c r="D172" i="3"/>
  <c r="D136" i="3"/>
  <c r="D100" i="3"/>
  <c r="D64" i="3"/>
  <c r="D28" i="3"/>
  <c r="D293" i="3"/>
  <c r="D246" i="3"/>
  <c r="D199" i="3"/>
  <c r="D163" i="3"/>
  <c r="D127" i="3"/>
  <c r="D91" i="3"/>
  <c r="D55" i="3"/>
  <c r="D19" i="3"/>
  <c r="D292" i="3"/>
  <c r="D245" i="3"/>
  <c r="D198" i="3"/>
  <c r="D162" i="3"/>
  <c r="D90" i="3"/>
  <c r="D54" i="3"/>
  <c r="D18" i="3"/>
  <c r="D282" i="3"/>
  <c r="D244" i="3"/>
  <c r="D197" i="3"/>
  <c r="D125" i="3"/>
  <c r="D53" i="3"/>
  <c r="D234" i="3"/>
  <c r="D196" i="3"/>
  <c r="D124" i="3"/>
  <c r="D52" i="3"/>
  <c r="D280" i="3"/>
  <c r="D187" i="3"/>
  <c r="D115" i="3"/>
  <c r="D43" i="3"/>
  <c r="D232" i="3"/>
  <c r="D186" i="3"/>
  <c r="D114" i="3"/>
  <c r="D42" i="3"/>
  <c r="D222" i="3"/>
  <c r="D113" i="3"/>
  <c r="D41" i="3"/>
  <c r="D269" i="3"/>
  <c r="D148" i="3"/>
  <c r="D76" i="3"/>
  <c r="D126" i="3"/>
  <c r="D161" i="3"/>
  <c r="D89" i="3"/>
  <c r="D17" i="3"/>
  <c r="D281" i="3"/>
  <c r="D160" i="3"/>
  <c r="D88" i="3"/>
  <c r="D16" i="3"/>
  <c r="D233" i="3"/>
  <c r="D151" i="3"/>
  <c r="D79" i="3"/>
  <c r="D7" i="3"/>
  <c r="D271" i="3"/>
  <c r="D150" i="3"/>
  <c r="D78" i="3"/>
  <c r="D6" i="3"/>
  <c r="D270" i="3"/>
  <c r="D185" i="3"/>
  <c r="D77" i="3"/>
  <c r="D5" i="3"/>
  <c r="D221" i="3"/>
  <c r="D184" i="3"/>
  <c r="D112" i="3"/>
  <c r="D4" i="3"/>
  <c r="D149" i="3"/>
  <c r="D40" i="3"/>
  <c r="C315" i="3"/>
  <c r="C303" i="3"/>
  <c r="C291" i="3"/>
  <c r="C279" i="3"/>
  <c r="C267" i="3"/>
  <c r="C255" i="3"/>
  <c r="C243" i="3"/>
  <c r="C231" i="3"/>
  <c r="C219" i="3"/>
  <c r="C207" i="3"/>
  <c r="C195" i="3"/>
  <c r="C183" i="3"/>
  <c r="C171" i="3"/>
  <c r="C159" i="3"/>
  <c r="C147" i="3"/>
  <c r="C135" i="3"/>
  <c r="C123" i="3"/>
  <c r="C111" i="3"/>
  <c r="C99" i="3"/>
  <c r="C87" i="3"/>
  <c r="C75" i="3"/>
  <c r="C63" i="3"/>
  <c r="C51" i="3"/>
  <c r="C39" i="3"/>
  <c r="C27" i="3"/>
  <c r="C15" i="3"/>
  <c r="C3" i="3"/>
  <c r="C302" i="3"/>
  <c r="C290" i="3"/>
  <c r="C278" i="3"/>
  <c r="C266" i="3"/>
  <c r="C242" i="3"/>
  <c r="C230" i="3"/>
  <c r="C218" i="3"/>
  <c r="C206" i="3"/>
  <c r="C194" i="3"/>
  <c r="C182" i="3"/>
  <c r="C158" i="3"/>
  <c r="C146" i="3"/>
  <c r="C134" i="3"/>
  <c r="C122" i="3"/>
  <c r="C110" i="3"/>
  <c r="C98" i="3"/>
  <c r="C86" i="3"/>
  <c r="C74" i="3"/>
  <c r="C50" i="3"/>
  <c r="C38" i="3"/>
  <c r="C26" i="3"/>
  <c r="C14" i="3"/>
  <c r="C2" i="3"/>
  <c r="C289" i="3"/>
  <c r="C217" i="3"/>
  <c r="C193" i="3"/>
  <c r="C181" i="3"/>
  <c r="C157" i="3"/>
  <c r="C133" i="3"/>
  <c r="C121" i="3"/>
  <c r="C97" i="3"/>
  <c r="C85" i="3"/>
  <c r="C61" i="3"/>
  <c r="C25" i="3"/>
  <c r="C300" i="3"/>
  <c r="C240" i="3"/>
  <c r="C192" i="3"/>
  <c r="C144" i="3"/>
  <c r="C96" i="3"/>
  <c r="C48" i="3"/>
  <c r="C287" i="3"/>
  <c r="C239" i="3"/>
  <c r="C167" i="3"/>
  <c r="C107" i="3"/>
  <c r="C47" i="3"/>
  <c r="C274" i="3"/>
  <c r="C202" i="3"/>
  <c r="C118" i="3"/>
  <c r="C22" i="3"/>
  <c r="C261" i="3"/>
  <c r="C177" i="3"/>
  <c r="C93" i="3"/>
  <c r="C21" i="3"/>
  <c r="C260" i="3"/>
  <c r="C176" i="3"/>
  <c r="C92" i="3"/>
  <c r="C20" i="3"/>
  <c r="C271" i="3"/>
  <c r="C314" i="3"/>
  <c r="C254" i="3"/>
  <c r="C170" i="3"/>
  <c r="C62" i="3"/>
  <c r="C169" i="3"/>
  <c r="C109" i="3"/>
  <c r="C73" i="3"/>
  <c r="C37" i="3"/>
  <c r="C13" i="3"/>
  <c r="C288" i="3"/>
  <c r="C228" i="3"/>
  <c r="C180" i="3"/>
  <c r="C156" i="3"/>
  <c r="C132" i="3"/>
  <c r="C120" i="3"/>
  <c r="C84" i="3"/>
  <c r="C36" i="3"/>
  <c r="C12" i="3"/>
  <c r="C299" i="3"/>
  <c r="C275" i="3"/>
  <c r="C251" i="3"/>
  <c r="C203" i="3"/>
  <c r="C155" i="3"/>
  <c r="C131" i="3"/>
  <c r="C95" i="3"/>
  <c r="C59" i="3"/>
  <c r="C23" i="3"/>
  <c r="C298" i="3"/>
  <c r="C262" i="3"/>
  <c r="C238" i="3"/>
  <c r="C190" i="3"/>
  <c r="C154" i="3"/>
  <c r="C106" i="3"/>
  <c r="C58" i="3"/>
  <c r="C273" i="3"/>
  <c r="C213" i="3"/>
  <c r="C141" i="3"/>
  <c r="C69" i="3"/>
  <c r="C272" i="3"/>
  <c r="C188" i="3"/>
  <c r="C116" i="3"/>
  <c r="C32" i="3"/>
  <c r="C259" i="3"/>
  <c r="C187" i="3"/>
  <c r="C313" i="3"/>
  <c r="C301" i="3"/>
  <c r="C277" i="3"/>
  <c r="C265" i="3"/>
  <c r="C253" i="3"/>
  <c r="C241" i="3"/>
  <c r="C229" i="3"/>
  <c r="C205" i="3"/>
  <c r="C145" i="3"/>
  <c r="C49" i="3"/>
  <c r="C204" i="3"/>
  <c r="C108" i="3"/>
  <c r="C60" i="3"/>
  <c r="C24" i="3"/>
  <c r="C311" i="3"/>
  <c r="C263" i="3"/>
  <c r="C227" i="3"/>
  <c r="C179" i="3"/>
  <c r="C143" i="3"/>
  <c r="C119" i="3"/>
  <c r="C71" i="3"/>
  <c r="C35" i="3"/>
  <c r="C310" i="3"/>
  <c r="C250" i="3"/>
  <c r="C214" i="3"/>
  <c r="C166" i="3"/>
  <c r="C130" i="3"/>
  <c r="C82" i="3"/>
  <c r="C46" i="3"/>
  <c r="C10" i="3"/>
  <c r="C297" i="3"/>
  <c r="C237" i="3"/>
  <c r="C201" i="3"/>
  <c r="C153" i="3"/>
  <c r="C105" i="3"/>
  <c r="C45" i="3"/>
  <c r="C296" i="3"/>
  <c r="C248" i="3"/>
  <c r="C212" i="3"/>
  <c r="C152" i="3"/>
  <c r="C68" i="3"/>
  <c r="C283" i="3"/>
  <c r="C312" i="3"/>
  <c r="C276" i="3"/>
  <c r="C264" i="3"/>
  <c r="C252" i="3"/>
  <c r="C216" i="3"/>
  <c r="C168" i="3"/>
  <c r="C72" i="3"/>
  <c r="C215" i="3"/>
  <c r="C83" i="3"/>
  <c r="C11" i="3"/>
  <c r="C286" i="3"/>
  <c r="C226" i="3"/>
  <c r="C178" i="3"/>
  <c r="C142" i="3"/>
  <c r="C94" i="3"/>
  <c r="C70" i="3"/>
  <c r="C34" i="3"/>
  <c r="C309" i="3"/>
  <c r="C249" i="3"/>
  <c r="C225" i="3"/>
  <c r="C165" i="3"/>
  <c r="C129" i="3"/>
  <c r="C81" i="3"/>
  <c r="C33" i="3"/>
  <c r="C284" i="3"/>
  <c r="C236" i="3"/>
  <c r="C200" i="3"/>
  <c r="C140" i="3"/>
  <c r="C104" i="3"/>
  <c r="C56" i="3"/>
  <c r="C8" i="3"/>
  <c r="C295" i="3"/>
  <c r="C247" i="3"/>
  <c r="C223" i="3"/>
  <c r="C199" i="3"/>
  <c r="C163" i="3"/>
  <c r="C115" i="3"/>
  <c r="C79" i="3"/>
  <c r="C191" i="3"/>
  <c r="C285" i="3"/>
  <c r="C189" i="3"/>
  <c r="C117" i="3"/>
  <c r="C57" i="3"/>
  <c r="C9" i="3"/>
  <c r="C308" i="3"/>
  <c r="C224" i="3"/>
  <c r="C164" i="3"/>
  <c r="C128" i="3"/>
  <c r="C80" i="3"/>
  <c r="C44" i="3"/>
  <c r="C307" i="3"/>
  <c r="C235" i="3"/>
  <c r="C211" i="3"/>
  <c r="C175" i="3"/>
  <c r="C127" i="3"/>
  <c r="C91" i="3"/>
  <c r="C306" i="3"/>
  <c r="C258" i="3"/>
  <c r="C210" i="3"/>
  <c r="C162" i="3"/>
  <c r="C125" i="3"/>
  <c r="C78" i="3"/>
  <c r="C42" i="3"/>
  <c r="C6" i="3"/>
  <c r="C305" i="3"/>
  <c r="C257" i="3"/>
  <c r="C209" i="3"/>
  <c r="C161" i="3"/>
  <c r="C124" i="3"/>
  <c r="C77" i="3"/>
  <c r="C41" i="3"/>
  <c r="C5" i="3"/>
  <c r="C304" i="3"/>
  <c r="C256" i="3"/>
  <c r="C208" i="3"/>
  <c r="C160" i="3"/>
  <c r="C114" i="3"/>
  <c r="C76" i="3"/>
  <c r="C40" i="3"/>
  <c r="C4" i="3"/>
  <c r="C294" i="3"/>
  <c r="C246" i="3"/>
  <c r="C198" i="3"/>
  <c r="C151" i="3"/>
  <c r="C113" i="3"/>
  <c r="C67" i="3"/>
  <c r="C31" i="3"/>
  <c r="C293" i="3"/>
  <c r="C197" i="3"/>
  <c r="C150" i="3"/>
  <c r="C112" i="3"/>
  <c r="C66" i="3"/>
  <c r="C30" i="3"/>
  <c r="C292" i="3"/>
  <c r="C244" i="3"/>
  <c r="C196" i="3"/>
  <c r="C103" i="3"/>
  <c r="C29" i="3"/>
  <c r="C234" i="3"/>
  <c r="C186" i="3"/>
  <c r="C102" i="3"/>
  <c r="C28" i="3"/>
  <c r="C233" i="3"/>
  <c r="C185" i="3"/>
  <c r="C101" i="3"/>
  <c r="C19" i="3"/>
  <c r="C232" i="3"/>
  <c r="C184" i="3"/>
  <c r="C100" i="3"/>
  <c r="C18" i="3"/>
  <c r="C222" i="3"/>
  <c r="C174" i="3"/>
  <c r="C90" i="3"/>
  <c r="C17" i="3"/>
  <c r="C221" i="3"/>
  <c r="C173" i="3"/>
  <c r="C89" i="3"/>
  <c r="C16" i="3"/>
  <c r="C172" i="3"/>
  <c r="C43" i="3"/>
  <c r="C245" i="3"/>
  <c r="C149" i="3"/>
  <c r="C65" i="3"/>
  <c r="C282" i="3"/>
  <c r="C148" i="3"/>
  <c r="C64" i="3"/>
  <c r="C281" i="3"/>
  <c r="C139" i="3"/>
  <c r="C55" i="3"/>
  <c r="C280" i="3"/>
  <c r="C138" i="3"/>
  <c r="C54" i="3"/>
  <c r="C270" i="3"/>
  <c r="C137" i="3"/>
  <c r="C53" i="3"/>
  <c r="C269" i="3"/>
  <c r="C136" i="3"/>
  <c r="C52" i="3"/>
  <c r="C220" i="3"/>
  <c r="C126" i="3"/>
  <c r="C7" i="3"/>
  <c r="C268" i="3"/>
  <c r="C88" i="3"/>
  <c r="B315" i="3"/>
  <c r="B303" i="3"/>
  <c r="B291" i="3"/>
  <c r="B279" i="3"/>
  <c r="B267" i="3"/>
  <c r="B255" i="3"/>
  <c r="B243" i="3"/>
  <c r="B231" i="3"/>
  <c r="B219" i="3"/>
  <c r="B207" i="3"/>
  <c r="B195" i="3"/>
  <c r="B183" i="3"/>
  <c r="B171" i="3"/>
  <c r="B159" i="3"/>
  <c r="B147" i="3"/>
  <c r="B135" i="3"/>
  <c r="B123" i="3"/>
  <c r="B111" i="3"/>
  <c r="B99" i="3"/>
  <c r="B87" i="3"/>
  <c r="B75" i="3"/>
  <c r="B63" i="3"/>
  <c r="B51" i="3"/>
  <c r="B39" i="3"/>
  <c r="B27" i="3"/>
  <c r="B15" i="3"/>
  <c r="B3" i="3"/>
  <c r="B278" i="3"/>
  <c r="B206" i="3"/>
  <c r="B194" i="3"/>
  <c r="B182" i="3"/>
  <c r="B158" i="3"/>
  <c r="B146" i="3"/>
  <c r="B134" i="3"/>
  <c r="B122" i="3"/>
  <c r="B110" i="3"/>
  <c r="B98" i="3"/>
  <c r="B86" i="3"/>
  <c r="B74" i="3"/>
  <c r="B62" i="3"/>
  <c r="B38" i="3"/>
  <c r="B26" i="3"/>
  <c r="B14" i="3"/>
  <c r="B2" i="3"/>
  <c r="B313" i="3"/>
  <c r="B301" i="3"/>
  <c r="B289" i="3"/>
  <c r="B277" i="3"/>
  <c r="B265" i="3"/>
  <c r="B253" i="3"/>
  <c r="B241" i="3"/>
  <c r="B229" i="3"/>
  <c r="B217" i="3"/>
  <c r="B205" i="3"/>
  <c r="B181" i="3"/>
  <c r="B169" i="3"/>
  <c r="B157" i="3"/>
  <c r="B133" i="3"/>
  <c r="B109" i="3"/>
  <c r="B85" i="3"/>
  <c r="B61" i="3"/>
  <c r="B25" i="3"/>
  <c r="B300" i="3"/>
  <c r="B252" i="3"/>
  <c r="B216" i="3"/>
  <c r="B180" i="3"/>
  <c r="B144" i="3"/>
  <c r="B108" i="3"/>
  <c r="B72" i="3"/>
  <c r="B48" i="3"/>
  <c r="B24" i="3"/>
  <c r="B299" i="3"/>
  <c r="B275" i="3"/>
  <c r="B251" i="3"/>
  <c r="B227" i="3"/>
  <c r="B203" i="3"/>
  <c r="B179" i="3"/>
  <c r="B155" i="3"/>
  <c r="B131" i="3"/>
  <c r="B107" i="3"/>
  <c r="B83" i="3"/>
  <c r="B59" i="3"/>
  <c r="B35" i="3"/>
  <c r="B11" i="3"/>
  <c r="B310" i="3"/>
  <c r="B314" i="3"/>
  <c r="B302" i="3"/>
  <c r="B290" i="3"/>
  <c r="B266" i="3"/>
  <c r="B254" i="3"/>
  <c r="B242" i="3"/>
  <c r="B230" i="3"/>
  <c r="B218" i="3"/>
  <c r="B170" i="3"/>
  <c r="B50" i="3"/>
  <c r="B193" i="3"/>
  <c r="B145" i="3"/>
  <c r="B121" i="3"/>
  <c r="B97" i="3"/>
  <c r="B73" i="3"/>
  <c r="B49" i="3"/>
  <c r="B37" i="3"/>
  <c r="B13" i="3"/>
  <c r="B312" i="3"/>
  <c r="B288" i="3"/>
  <c r="B276" i="3"/>
  <c r="B264" i="3"/>
  <c r="B240" i="3"/>
  <c r="B228" i="3"/>
  <c r="B204" i="3"/>
  <c r="B192" i="3"/>
  <c r="B168" i="3"/>
  <c r="B156" i="3"/>
  <c r="B132" i="3"/>
  <c r="B120" i="3"/>
  <c r="B96" i="3"/>
  <c r="B84" i="3"/>
  <c r="B60" i="3"/>
  <c r="B36" i="3"/>
  <c r="B12" i="3"/>
  <c r="B311" i="3"/>
  <c r="B287" i="3"/>
  <c r="B263" i="3"/>
  <c r="B239" i="3"/>
  <c r="B215" i="3"/>
  <c r="B191" i="3"/>
  <c r="B167" i="3"/>
  <c r="B143" i="3"/>
  <c r="B119" i="3"/>
  <c r="B95" i="3"/>
  <c r="B71" i="3"/>
  <c r="B47" i="3"/>
  <c r="B23" i="3"/>
  <c r="B298" i="3"/>
  <c r="B274" i="3"/>
  <c r="B250" i="3"/>
  <c r="B238" i="3"/>
  <c r="B286" i="3"/>
  <c r="B309" i="3"/>
  <c r="B285" i="3"/>
  <c r="B262" i="3"/>
  <c r="B244" i="3"/>
  <c r="B221" i="3"/>
  <c r="B199" i="3"/>
  <c r="B177" i="3"/>
  <c r="B160" i="3"/>
  <c r="B138" i="3"/>
  <c r="B116" i="3"/>
  <c r="B94" i="3"/>
  <c r="B77" i="3"/>
  <c r="B55" i="3"/>
  <c r="B33" i="3"/>
  <c r="B16" i="3"/>
  <c r="B220" i="3"/>
  <c r="B176" i="3"/>
  <c r="B154" i="3"/>
  <c r="B115" i="3"/>
  <c r="B93" i="3"/>
  <c r="B76" i="3"/>
  <c r="B54" i="3"/>
  <c r="B32" i="3"/>
  <c r="B10" i="3"/>
  <c r="B307" i="3"/>
  <c r="B283" i="3"/>
  <c r="B260" i="3"/>
  <c r="B236" i="3"/>
  <c r="B214" i="3"/>
  <c r="B175" i="3"/>
  <c r="B153" i="3"/>
  <c r="B114" i="3"/>
  <c r="B70" i="3"/>
  <c r="B53" i="3"/>
  <c r="B306" i="3"/>
  <c r="B259" i="3"/>
  <c r="B213" i="3"/>
  <c r="B174" i="3"/>
  <c r="B130" i="3"/>
  <c r="B91" i="3"/>
  <c r="B52" i="3"/>
  <c r="B8" i="3"/>
  <c r="B281" i="3"/>
  <c r="B234" i="3"/>
  <c r="B190" i="3"/>
  <c r="B151" i="3"/>
  <c r="B112" i="3"/>
  <c r="B46" i="3"/>
  <c r="B7" i="3"/>
  <c r="B280" i="3"/>
  <c r="B211" i="3"/>
  <c r="B128" i="3"/>
  <c r="B28" i="3"/>
  <c r="B256" i="3"/>
  <c r="B166" i="3"/>
  <c r="B88" i="3"/>
  <c r="B5" i="3"/>
  <c r="B249" i="3"/>
  <c r="B165" i="3"/>
  <c r="B82" i="3"/>
  <c r="B248" i="3"/>
  <c r="B208" i="3"/>
  <c r="B103" i="3"/>
  <c r="B270" i="3"/>
  <c r="B185" i="3"/>
  <c r="B102" i="3"/>
  <c r="B19" i="3"/>
  <c r="B201" i="3"/>
  <c r="B101" i="3"/>
  <c r="B222" i="3"/>
  <c r="B117" i="3"/>
  <c r="B34" i="3"/>
  <c r="B308" i="3"/>
  <c r="B284" i="3"/>
  <c r="B261" i="3"/>
  <c r="B237" i="3"/>
  <c r="B198" i="3"/>
  <c r="B137" i="3"/>
  <c r="B197" i="3"/>
  <c r="B136" i="3"/>
  <c r="B92" i="3"/>
  <c r="B31" i="3"/>
  <c r="B282" i="3"/>
  <c r="B235" i="3"/>
  <c r="B196" i="3"/>
  <c r="B152" i="3"/>
  <c r="B113" i="3"/>
  <c r="B69" i="3"/>
  <c r="B30" i="3"/>
  <c r="B305" i="3"/>
  <c r="B258" i="3"/>
  <c r="B212" i="3"/>
  <c r="B173" i="3"/>
  <c r="B129" i="3"/>
  <c r="B90" i="3"/>
  <c r="B29" i="3"/>
  <c r="B304" i="3"/>
  <c r="B233" i="3"/>
  <c r="B189" i="3"/>
  <c r="B150" i="3"/>
  <c r="B89" i="3"/>
  <c r="B45" i="3"/>
  <c r="B273" i="3"/>
  <c r="B232" i="3"/>
  <c r="B188" i="3"/>
  <c r="B149" i="3"/>
  <c r="B105" i="3"/>
  <c r="B44" i="3"/>
  <c r="B272" i="3"/>
  <c r="B226" i="3"/>
  <c r="B187" i="3"/>
  <c r="B126" i="3"/>
  <c r="B65" i="3"/>
  <c r="B21" i="3"/>
  <c r="B295" i="3"/>
  <c r="B164" i="3"/>
  <c r="B64" i="3"/>
  <c r="B247" i="3"/>
  <c r="B202" i="3"/>
  <c r="B141" i="3"/>
  <c r="B58" i="3"/>
  <c r="B223" i="3"/>
  <c r="B118" i="3"/>
  <c r="B40" i="3"/>
  <c r="B245" i="3"/>
  <c r="B161" i="3"/>
  <c r="B56" i="3"/>
  <c r="B9" i="3"/>
  <c r="B68" i="3"/>
  <c r="B257" i="3"/>
  <c r="B172" i="3"/>
  <c r="B106" i="3"/>
  <c r="B67" i="3"/>
  <c r="B6" i="3"/>
  <c r="B297" i="3"/>
  <c r="B210" i="3"/>
  <c r="B127" i="3"/>
  <c r="B66" i="3"/>
  <c r="B22" i="3"/>
  <c r="B296" i="3"/>
  <c r="B209" i="3"/>
  <c r="B148" i="3"/>
  <c r="B104" i="3"/>
  <c r="B43" i="3"/>
  <c r="B4" i="3"/>
  <c r="B271" i="3"/>
  <c r="B225" i="3"/>
  <c r="B186" i="3"/>
  <c r="B125" i="3"/>
  <c r="B81" i="3"/>
  <c r="B20" i="3"/>
  <c r="B294" i="3"/>
  <c r="B224" i="3"/>
  <c r="B163" i="3"/>
  <c r="B124" i="3"/>
  <c r="B80" i="3"/>
  <c r="B41" i="3"/>
  <c r="B246" i="3"/>
  <c r="B140" i="3"/>
  <c r="B57" i="3"/>
  <c r="B268" i="3"/>
  <c r="B178" i="3"/>
  <c r="B78" i="3"/>
  <c r="B142" i="3"/>
  <c r="B269" i="3"/>
  <c r="B162" i="3"/>
  <c r="B18" i="3"/>
  <c r="B200" i="3"/>
  <c r="B100" i="3"/>
  <c r="B42" i="3"/>
  <c r="B293" i="3"/>
  <c r="B184" i="3"/>
  <c r="B79" i="3"/>
  <c r="B292" i="3"/>
  <c r="B139" i="3"/>
  <c r="B17" i="3"/>
  <c r="A315" i="3"/>
  <c r="A303" i="3"/>
  <c r="A291" i="3"/>
  <c r="A279" i="3"/>
  <c r="A267" i="3"/>
  <c r="A255" i="3"/>
  <c r="A243" i="3"/>
  <c r="A231" i="3"/>
  <c r="A219" i="3"/>
  <c r="A207" i="3"/>
  <c r="A195" i="3"/>
  <c r="A183" i="3"/>
  <c r="A171" i="3"/>
  <c r="A159" i="3"/>
  <c r="A147" i="3"/>
  <c r="A135" i="3"/>
  <c r="A123" i="3"/>
  <c r="A111" i="3"/>
  <c r="A99" i="3"/>
  <c r="A87" i="3"/>
  <c r="A75" i="3"/>
  <c r="A63" i="3"/>
  <c r="A51" i="3"/>
  <c r="A39" i="3"/>
  <c r="A27" i="3"/>
  <c r="A15" i="3"/>
  <c r="A3" i="3"/>
  <c r="A302" i="3"/>
  <c r="A290" i="3"/>
  <c r="A278" i="3"/>
  <c r="A218" i="3"/>
  <c r="A194" i="3"/>
  <c r="A182" i="3"/>
  <c r="A170" i="3"/>
  <c r="A158" i="3"/>
  <c r="A134" i="3"/>
  <c r="A122" i="3"/>
  <c r="A110" i="3"/>
  <c r="A98" i="3"/>
  <c r="A86" i="3"/>
  <c r="A74" i="3"/>
  <c r="A62" i="3"/>
  <c r="A50" i="3"/>
  <c r="A38" i="3"/>
  <c r="A26" i="3"/>
  <c r="A14" i="3"/>
  <c r="A2" i="3"/>
  <c r="A313" i="3"/>
  <c r="A301" i="3"/>
  <c r="A277" i="3"/>
  <c r="A265" i="3"/>
  <c r="A253" i="3"/>
  <c r="A241" i="3"/>
  <c r="A229" i="3"/>
  <c r="A217" i="3"/>
  <c r="A193" i="3"/>
  <c r="A181" i="3"/>
  <c r="A169" i="3"/>
  <c r="A145" i="3"/>
  <c r="A133" i="3"/>
  <c r="A109" i="3"/>
  <c r="A85" i="3"/>
  <c r="A61" i="3"/>
  <c r="A37" i="3"/>
  <c r="A13" i="3"/>
  <c r="A312" i="3"/>
  <c r="A276" i="3"/>
  <c r="A228" i="3"/>
  <c r="A192" i="3"/>
  <c r="A156" i="3"/>
  <c r="A132" i="3"/>
  <c r="A96" i="3"/>
  <c r="A60" i="3"/>
  <c r="A24" i="3"/>
  <c r="A299" i="3"/>
  <c r="A263" i="3"/>
  <c r="A227" i="3"/>
  <c r="A191" i="3"/>
  <c r="A167" i="3"/>
  <c r="A131" i="3"/>
  <c r="A83" i="3"/>
  <c r="A47" i="3"/>
  <c r="A11" i="3"/>
  <c r="A286" i="3"/>
  <c r="A262" i="3"/>
  <c r="A314" i="3"/>
  <c r="A266" i="3"/>
  <c r="A254" i="3"/>
  <c r="A242" i="3"/>
  <c r="A230" i="3"/>
  <c r="A206" i="3"/>
  <c r="A146" i="3"/>
  <c r="A288" i="3"/>
  <c r="A252" i="3"/>
  <c r="A216" i="3"/>
  <c r="A180" i="3"/>
  <c r="A144" i="3"/>
  <c r="A108" i="3"/>
  <c r="A72" i="3"/>
  <c r="A36" i="3"/>
  <c r="A311" i="3"/>
  <c r="A251" i="3"/>
  <c r="A215" i="3"/>
  <c r="A179" i="3"/>
  <c r="A143" i="3"/>
  <c r="A107" i="3"/>
  <c r="A71" i="3"/>
  <c r="A35" i="3"/>
  <c r="A310" i="3"/>
  <c r="A274" i="3"/>
  <c r="A238" i="3"/>
  <c r="A214" i="3"/>
  <c r="A289" i="3"/>
  <c r="A205" i="3"/>
  <c r="A157" i="3"/>
  <c r="A121" i="3"/>
  <c r="A97" i="3"/>
  <c r="A73" i="3"/>
  <c r="A49" i="3"/>
  <c r="A25" i="3"/>
  <c r="A300" i="3"/>
  <c r="A264" i="3"/>
  <c r="A240" i="3"/>
  <c r="A204" i="3"/>
  <c r="A168" i="3"/>
  <c r="A120" i="3"/>
  <c r="A84" i="3"/>
  <c r="A48" i="3"/>
  <c r="A12" i="3"/>
  <c r="A287" i="3"/>
  <c r="A275" i="3"/>
  <c r="A239" i="3"/>
  <c r="A203" i="3"/>
  <c r="A155" i="3"/>
  <c r="A119" i="3"/>
  <c r="A95" i="3"/>
  <c r="A59" i="3"/>
  <c r="A23" i="3"/>
  <c r="A298" i="3"/>
  <c r="A250" i="3"/>
  <c r="A202" i="3"/>
  <c r="A309" i="3"/>
  <c r="A285" i="3"/>
  <c r="A261" i="3"/>
  <c r="A237" i="3"/>
  <c r="A220" i="3"/>
  <c r="A196" i="3"/>
  <c r="A174" i="3"/>
  <c r="A152" i="3"/>
  <c r="A130" i="3"/>
  <c r="A113" i="3"/>
  <c r="A91" i="3"/>
  <c r="A69" i="3"/>
  <c r="A52" i="3"/>
  <c r="A30" i="3"/>
  <c r="A8" i="3"/>
  <c r="A284" i="3"/>
  <c r="A236" i="3"/>
  <c r="A213" i="3"/>
  <c r="A190" i="3"/>
  <c r="A151" i="3"/>
  <c r="A129" i="3"/>
  <c r="A112" i="3"/>
  <c r="A90" i="3"/>
  <c r="A46" i="3"/>
  <c r="A29" i="3"/>
  <c r="A7" i="3"/>
  <c r="A307" i="3"/>
  <c r="A283" i="3"/>
  <c r="A259" i="3"/>
  <c r="A235" i="3"/>
  <c r="A212" i="3"/>
  <c r="A172" i="3"/>
  <c r="A150" i="3"/>
  <c r="A106" i="3"/>
  <c r="A89" i="3"/>
  <c r="A45" i="3"/>
  <c r="A6" i="3"/>
  <c r="A306" i="3"/>
  <c r="A258" i="3"/>
  <c r="A211" i="3"/>
  <c r="A166" i="3"/>
  <c r="A127" i="3"/>
  <c r="A281" i="3"/>
  <c r="A187" i="3"/>
  <c r="A126" i="3"/>
  <c r="A82" i="3"/>
  <c r="A43" i="3"/>
  <c r="A304" i="3"/>
  <c r="A209" i="3"/>
  <c r="A125" i="3"/>
  <c r="A64" i="3"/>
  <c r="A273" i="3"/>
  <c r="A226" i="3"/>
  <c r="A163" i="3"/>
  <c r="A80" i="3"/>
  <c r="A19" i="3"/>
  <c r="A248" i="3"/>
  <c r="A225" i="3"/>
  <c r="A184" i="3"/>
  <c r="A118" i="3"/>
  <c r="A79" i="3"/>
  <c r="A18" i="3"/>
  <c r="A247" i="3"/>
  <c r="A200" i="3"/>
  <c r="A139" i="3"/>
  <c r="A78" i="3"/>
  <c r="A17" i="3"/>
  <c r="A246" i="3"/>
  <c r="A160" i="3"/>
  <c r="A94" i="3"/>
  <c r="A33" i="3"/>
  <c r="A269" i="3"/>
  <c r="A154" i="3"/>
  <c r="A54" i="3"/>
  <c r="A221" i="3"/>
  <c r="A153" i="3"/>
  <c r="A53" i="3"/>
  <c r="A308" i="3"/>
  <c r="A260" i="3"/>
  <c r="A173" i="3"/>
  <c r="A68" i="3"/>
  <c r="A189" i="3"/>
  <c r="A128" i="3"/>
  <c r="A67" i="3"/>
  <c r="A28" i="3"/>
  <c r="A282" i="3"/>
  <c r="A234" i="3"/>
  <c r="A188" i="3"/>
  <c r="A149" i="3"/>
  <c r="A105" i="3"/>
  <c r="A88" i="3"/>
  <c r="A66" i="3"/>
  <c r="A44" i="3"/>
  <c r="A22" i="3"/>
  <c r="A5" i="3"/>
  <c r="A305" i="3"/>
  <c r="A257" i="3"/>
  <c r="A233" i="3"/>
  <c r="A210" i="3"/>
  <c r="A165" i="3"/>
  <c r="A148" i="3"/>
  <c r="A104" i="3"/>
  <c r="A65" i="3"/>
  <c r="A21" i="3"/>
  <c r="A280" i="3"/>
  <c r="A232" i="3"/>
  <c r="A186" i="3"/>
  <c r="A142" i="3"/>
  <c r="A81" i="3"/>
  <c r="A20" i="3"/>
  <c r="A249" i="3"/>
  <c r="A185" i="3"/>
  <c r="A124" i="3"/>
  <c r="A58" i="3"/>
  <c r="A296" i="3"/>
  <c r="A140" i="3"/>
  <c r="A40" i="3"/>
  <c r="A224" i="3"/>
  <c r="A161" i="3"/>
  <c r="A100" i="3"/>
  <c r="A34" i="3"/>
  <c r="A294" i="3"/>
  <c r="A199" i="3"/>
  <c r="A138" i="3"/>
  <c r="A77" i="3"/>
  <c r="A16" i="3"/>
  <c r="A293" i="3"/>
  <c r="A176" i="3"/>
  <c r="A76" i="3"/>
  <c r="A244" i="3"/>
  <c r="A92" i="3"/>
  <c r="A4" i="3"/>
  <c r="A256" i="3"/>
  <c r="A164" i="3"/>
  <c r="A103" i="3"/>
  <c r="A42" i="3"/>
  <c r="A297" i="3"/>
  <c r="A208" i="3"/>
  <c r="A141" i="3"/>
  <c r="A102" i="3"/>
  <c r="A41" i="3"/>
  <c r="A272" i="3"/>
  <c r="A201" i="3"/>
  <c r="A162" i="3"/>
  <c r="A101" i="3"/>
  <c r="A57" i="3"/>
  <c r="A271" i="3"/>
  <c r="A178" i="3"/>
  <c r="A117" i="3"/>
  <c r="A56" i="3"/>
  <c r="A270" i="3"/>
  <c r="A177" i="3"/>
  <c r="A116" i="3"/>
  <c r="A55" i="3"/>
  <c r="A245" i="3"/>
  <c r="A198" i="3"/>
  <c r="A93" i="3"/>
  <c r="A292" i="3"/>
  <c r="A175" i="3"/>
  <c r="A70" i="3"/>
  <c r="A295" i="3"/>
  <c r="A222" i="3"/>
  <c r="A115" i="3"/>
  <c r="A10" i="3"/>
  <c r="A268" i="3"/>
  <c r="A136" i="3"/>
  <c r="A31" i="3"/>
  <c r="A223" i="3"/>
  <c r="A137" i="3"/>
  <c r="A32" i="3"/>
  <c r="A197" i="3"/>
  <c r="A114" i="3"/>
  <c r="A9" i="3"/>
  <c r="A3" i="1" l="1" a="1"/>
  <c r="C3" i="1" a="1"/>
  <c r="D3" i="1" a="1"/>
  <c r="B3" i="1" a="1"/>
  <c r="E3" i="1" a="1"/>
  <c r="E2" i="1"/>
  <c r="B2" i="1"/>
  <c r="D1" i="1"/>
  <c r="D2" i="1"/>
  <c r="C2" i="1"/>
  <c r="E1" i="1"/>
  <c r="C1" i="1"/>
  <c r="B1" i="1"/>
  <c r="A313" i="1" l="1"/>
  <c r="A301" i="1"/>
  <c r="A289" i="1"/>
  <c r="A277" i="1"/>
  <c r="A265" i="1"/>
  <c r="A253" i="1"/>
  <c r="A241" i="1"/>
  <c r="A229" i="1"/>
  <c r="A217" i="1"/>
  <c r="A205" i="1"/>
  <c r="A193" i="1"/>
  <c r="A181" i="1"/>
  <c r="A169" i="1"/>
  <c r="A157" i="1"/>
  <c r="A145" i="1"/>
  <c r="A133" i="1"/>
  <c r="A121" i="1"/>
  <c r="A109" i="1"/>
  <c r="A97" i="1"/>
  <c r="A85" i="1"/>
  <c r="A73" i="1"/>
  <c r="A61" i="1"/>
  <c r="A49" i="1"/>
  <c r="A37" i="1"/>
  <c r="A25" i="1"/>
  <c r="A13" i="1"/>
  <c r="A312" i="1"/>
  <c r="A300" i="1"/>
  <c r="A288" i="1"/>
  <c r="A276" i="1"/>
  <c r="A264" i="1"/>
  <c r="A252" i="1"/>
  <c r="A240" i="1"/>
  <c r="A228" i="1"/>
  <c r="A216" i="1"/>
  <c r="A204" i="1"/>
  <c r="A192" i="1"/>
  <c r="A180" i="1"/>
  <c r="A168" i="1"/>
  <c r="A156" i="1"/>
  <c r="A144" i="1"/>
  <c r="A132" i="1"/>
  <c r="A120" i="1"/>
  <c r="A108" i="1"/>
  <c r="A96" i="1"/>
  <c r="A84" i="1"/>
  <c r="A72" i="1"/>
  <c r="A60" i="1"/>
  <c r="A48" i="1"/>
  <c r="A36" i="1"/>
  <c r="A24" i="1"/>
  <c r="A12" i="1"/>
  <c r="A311" i="1"/>
  <c r="A299" i="1"/>
  <c r="A287" i="1"/>
  <c r="A275" i="1"/>
  <c r="A263" i="1"/>
  <c r="A251" i="1"/>
  <c r="A227" i="1"/>
  <c r="A215" i="1"/>
  <c r="A203" i="1"/>
  <c r="A191" i="1"/>
  <c r="A179" i="1"/>
  <c r="A167" i="1"/>
  <c r="A155" i="1"/>
  <c r="A131" i="1"/>
  <c r="A119" i="1"/>
  <c r="A107" i="1"/>
  <c r="A83" i="1"/>
  <c r="A59" i="1"/>
  <c r="A35" i="1"/>
  <c r="A23" i="1"/>
  <c r="A310" i="1"/>
  <c r="A274" i="1"/>
  <c r="A250" i="1"/>
  <c r="A226" i="1"/>
  <c r="A202" i="1"/>
  <c r="A178" i="1"/>
  <c r="A154" i="1"/>
  <c r="A130" i="1"/>
  <c r="A106" i="1"/>
  <c r="A82" i="1"/>
  <c r="A58" i="1"/>
  <c r="A34" i="1"/>
  <c r="A297" i="1"/>
  <c r="A286" i="1"/>
  <c r="A239" i="1"/>
  <c r="A143" i="1"/>
  <c r="A95" i="1"/>
  <c r="A71" i="1"/>
  <c r="A47" i="1"/>
  <c r="A11" i="1"/>
  <c r="A298" i="1"/>
  <c r="A262" i="1"/>
  <c r="A238" i="1"/>
  <c r="A214" i="1"/>
  <c r="A190" i="1"/>
  <c r="A166" i="1"/>
  <c r="A142" i="1"/>
  <c r="A118" i="1"/>
  <c r="A94" i="1"/>
  <c r="A70" i="1"/>
  <c r="A46" i="1"/>
  <c r="A22" i="1"/>
  <c r="A309" i="1"/>
  <c r="A273" i="1"/>
  <c r="A308" i="1"/>
  <c r="A291" i="1"/>
  <c r="A270" i="1"/>
  <c r="A254" i="1"/>
  <c r="A234" i="1"/>
  <c r="A218" i="1"/>
  <c r="A198" i="1"/>
  <c r="A182" i="1"/>
  <c r="A162" i="1"/>
  <c r="A146" i="1"/>
  <c r="A126" i="1"/>
  <c r="A110" i="1"/>
  <c r="A90" i="1"/>
  <c r="A74" i="1"/>
  <c r="A54" i="1"/>
  <c r="A38" i="1"/>
  <c r="A18" i="1"/>
  <c r="A3" i="1"/>
  <c r="A307" i="1"/>
  <c r="A290" i="1"/>
  <c r="A269" i="1"/>
  <c r="A249" i="1"/>
  <c r="A233" i="1"/>
  <c r="A213" i="1"/>
  <c r="A197" i="1"/>
  <c r="A177" i="1"/>
  <c r="A161" i="1"/>
  <c r="A141" i="1"/>
  <c r="A125" i="1"/>
  <c r="A105" i="1"/>
  <c r="A89" i="1"/>
  <c r="A69" i="1"/>
  <c r="A53" i="1"/>
  <c r="A33" i="1"/>
  <c r="A17" i="1"/>
  <c r="A283" i="1"/>
  <c r="A230" i="1"/>
  <c r="A194" i="1"/>
  <c r="A158" i="1"/>
  <c r="A102" i="1"/>
  <c r="A66" i="1"/>
  <c r="A282" i="1"/>
  <c r="A225" i="1"/>
  <c r="A189" i="1"/>
  <c r="A153" i="1"/>
  <c r="A101" i="1"/>
  <c r="A65" i="1"/>
  <c r="A10" i="1"/>
  <c r="A281" i="1"/>
  <c r="A224" i="1"/>
  <c r="A188" i="1"/>
  <c r="A136" i="1"/>
  <c r="A64" i="1"/>
  <c r="A9" i="1"/>
  <c r="A296" i="1"/>
  <c r="A207" i="1"/>
  <c r="A151" i="1"/>
  <c r="A115" i="1"/>
  <c r="A63" i="1"/>
  <c r="A279" i="1"/>
  <c r="A242" i="1"/>
  <c r="A186" i="1"/>
  <c r="A134" i="1"/>
  <c r="A62" i="1"/>
  <c r="A7" i="1"/>
  <c r="A278" i="1"/>
  <c r="A257" i="1"/>
  <c r="A221" i="1"/>
  <c r="A165" i="1"/>
  <c r="A129" i="1"/>
  <c r="A93" i="1"/>
  <c r="A57" i="1"/>
  <c r="A6" i="1"/>
  <c r="A293" i="1"/>
  <c r="A236" i="1"/>
  <c r="A200" i="1"/>
  <c r="A148" i="1"/>
  <c r="A76" i="1"/>
  <c r="A5" i="1"/>
  <c r="A292" i="1"/>
  <c r="A235" i="1"/>
  <c r="A183" i="1"/>
  <c r="A163" i="1"/>
  <c r="A111" i="1"/>
  <c r="A55" i="1"/>
  <c r="A175" i="1"/>
  <c r="A266" i="1"/>
  <c r="A122" i="1"/>
  <c r="A30" i="1"/>
  <c r="A261" i="1"/>
  <c r="A209" i="1"/>
  <c r="A137" i="1"/>
  <c r="A81" i="1"/>
  <c r="A29" i="1"/>
  <c r="A260" i="1"/>
  <c r="A208" i="1"/>
  <c r="A152" i="1"/>
  <c r="A100" i="1"/>
  <c r="A44" i="1"/>
  <c r="A259" i="1"/>
  <c r="A243" i="1"/>
  <c r="A187" i="1"/>
  <c r="A135" i="1"/>
  <c r="A79" i="1"/>
  <c r="A27" i="1"/>
  <c r="A258" i="1"/>
  <c r="A206" i="1"/>
  <c r="A150" i="1"/>
  <c r="A98" i="1"/>
  <c r="A42" i="1"/>
  <c r="A316" i="1"/>
  <c r="A201" i="1"/>
  <c r="A113" i="1"/>
  <c r="A41" i="1"/>
  <c r="A272" i="1"/>
  <c r="A220" i="1"/>
  <c r="A164" i="1"/>
  <c r="A92" i="1"/>
  <c r="A40" i="1"/>
  <c r="A314" i="1"/>
  <c r="A219" i="1"/>
  <c r="A127" i="1"/>
  <c r="A75" i="1"/>
  <c r="A306" i="1"/>
  <c r="A285" i="1"/>
  <c r="A268" i="1"/>
  <c r="A248" i="1"/>
  <c r="A232" i="1"/>
  <c r="A212" i="1"/>
  <c r="A196" i="1"/>
  <c r="A176" i="1"/>
  <c r="A160" i="1"/>
  <c r="A140" i="1"/>
  <c r="A124" i="1"/>
  <c r="A104" i="1"/>
  <c r="A88" i="1"/>
  <c r="A68" i="1"/>
  <c r="A52" i="1"/>
  <c r="A32" i="1"/>
  <c r="A16" i="1"/>
  <c r="A305" i="1"/>
  <c r="A284" i="1"/>
  <c r="A267" i="1"/>
  <c r="A247" i="1"/>
  <c r="A231" i="1"/>
  <c r="A211" i="1"/>
  <c r="A195" i="1"/>
  <c r="A159" i="1"/>
  <c r="A139" i="1"/>
  <c r="A123" i="1"/>
  <c r="A103" i="1"/>
  <c r="A87" i="1"/>
  <c r="A67" i="1"/>
  <c r="A51" i="1"/>
  <c r="A31" i="1"/>
  <c r="A15" i="1"/>
  <c r="A304" i="1"/>
  <c r="A246" i="1"/>
  <c r="A210" i="1"/>
  <c r="A174" i="1"/>
  <c r="A138" i="1"/>
  <c r="A86" i="1"/>
  <c r="A50" i="1"/>
  <c r="A14" i="1"/>
  <c r="A303" i="1"/>
  <c r="A245" i="1"/>
  <c r="A173" i="1"/>
  <c r="A117" i="1"/>
  <c r="A45" i="1"/>
  <c r="A302" i="1"/>
  <c r="A244" i="1"/>
  <c r="A172" i="1"/>
  <c r="A116" i="1"/>
  <c r="A80" i="1"/>
  <c r="A28" i="1"/>
  <c r="A280" i="1"/>
  <c r="A223" i="1"/>
  <c r="A171" i="1"/>
  <c r="A99" i="1"/>
  <c r="A43" i="1"/>
  <c r="A8" i="1"/>
  <c r="A295" i="1"/>
  <c r="A222" i="1"/>
  <c r="A170" i="1"/>
  <c r="A114" i="1"/>
  <c r="A78" i="1"/>
  <c r="A26" i="1"/>
  <c r="A294" i="1"/>
  <c r="A237" i="1"/>
  <c r="A185" i="1"/>
  <c r="A149" i="1"/>
  <c r="A77" i="1"/>
  <c r="A21" i="1"/>
  <c r="A315" i="1"/>
  <c r="A256" i="1"/>
  <c r="A184" i="1"/>
  <c r="A128" i="1"/>
  <c r="A56" i="1"/>
  <c r="A20" i="1"/>
  <c r="A271" i="1"/>
  <c r="A255" i="1"/>
  <c r="A199" i="1"/>
  <c r="A147" i="1"/>
  <c r="A91" i="1"/>
  <c r="A39" i="1"/>
  <c r="A4" i="1"/>
  <c r="A112" i="1"/>
  <c r="A19" i="1"/>
  <c r="E312" i="1"/>
  <c r="E300" i="1"/>
  <c r="E288" i="1"/>
  <c r="E276" i="1"/>
  <c r="E264" i="1"/>
  <c r="E252" i="1"/>
  <c r="E240" i="1"/>
  <c r="E228" i="1"/>
  <c r="E216" i="1"/>
  <c r="E204" i="1"/>
  <c r="E192" i="1"/>
  <c r="E180" i="1"/>
  <c r="E168" i="1"/>
  <c r="E156" i="1"/>
  <c r="E144" i="1"/>
  <c r="E132" i="1"/>
  <c r="E120" i="1"/>
  <c r="E108" i="1"/>
  <c r="E96" i="1"/>
  <c r="E84" i="1"/>
  <c r="E72" i="1"/>
  <c r="E60" i="1"/>
  <c r="E48" i="1"/>
  <c r="E36" i="1"/>
  <c r="E24" i="1"/>
  <c r="E12" i="1"/>
  <c r="E307" i="1"/>
  <c r="E295" i="1"/>
  <c r="E283" i="1"/>
  <c r="E271" i="1"/>
  <c r="E259" i="1"/>
  <c r="E247" i="1"/>
  <c r="E235" i="1"/>
  <c r="E223" i="1"/>
  <c r="E211" i="1"/>
  <c r="E199" i="1"/>
  <c r="E187" i="1"/>
  <c r="E175" i="1"/>
  <c r="E163" i="1"/>
  <c r="E151" i="1"/>
  <c r="E139" i="1"/>
  <c r="E127" i="1"/>
  <c r="E115" i="1"/>
  <c r="E103" i="1"/>
  <c r="E91" i="1"/>
  <c r="E79" i="1"/>
  <c r="E67" i="1"/>
  <c r="E55" i="1"/>
  <c r="E306" i="1"/>
  <c r="E294" i="1"/>
  <c r="E282" i="1"/>
  <c r="E270" i="1"/>
  <c r="E258" i="1"/>
  <c r="E246" i="1"/>
  <c r="E234" i="1"/>
  <c r="E222" i="1"/>
  <c r="E210" i="1"/>
  <c r="E198" i="1"/>
  <c r="E186" i="1"/>
  <c r="E174" i="1"/>
  <c r="E162" i="1"/>
  <c r="E150" i="1"/>
  <c r="E138" i="1"/>
  <c r="E126" i="1"/>
  <c r="E114" i="1"/>
  <c r="E102" i="1"/>
  <c r="E90" i="1"/>
  <c r="E311" i="1"/>
  <c r="E296" i="1"/>
  <c r="E279" i="1"/>
  <c r="E263" i="1"/>
  <c r="E248" i="1"/>
  <c r="E231" i="1"/>
  <c r="E215" i="1"/>
  <c r="E200" i="1"/>
  <c r="E183" i="1"/>
  <c r="E167" i="1"/>
  <c r="E152" i="1"/>
  <c r="E135" i="1"/>
  <c r="E119" i="1"/>
  <c r="E104" i="1"/>
  <c r="E87" i="1"/>
  <c r="E73" i="1"/>
  <c r="E58" i="1"/>
  <c r="E44" i="1"/>
  <c r="E31" i="1"/>
  <c r="E18" i="1"/>
  <c r="E5" i="1"/>
  <c r="E310" i="1"/>
  <c r="E293" i="1"/>
  <c r="E278" i="1"/>
  <c r="E262" i="1"/>
  <c r="E245" i="1"/>
  <c r="E230" i="1"/>
  <c r="E214" i="1"/>
  <c r="E304" i="1"/>
  <c r="E289" i="1"/>
  <c r="E273" i="1"/>
  <c r="E256" i="1"/>
  <c r="E241" i="1"/>
  <c r="E225" i="1"/>
  <c r="E208" i="1"/>
  <c r="E193" i="1"/>
  <c r="E177" i="1"/>
  <c r="E160" i="1"/>
  <c r="E145" i="1"/>
  <c r="E129" i="1"/>
  <c r="E112" i="1"/>
  <c r="E97" i="1"/>
  <c r="E81" i="1"/>
  <c r="E66" i="1"/>
  <c r="E52" i="1"/>
  <c r="E39" i="1"/>
  <c r="E26" i="1"/>
  <c r="E13" i="1"/>
  <c r="E303" i="1"/>
  <c r="E287" i="1"/>
  <c r="E272" i="1"/>
  <c r="E255" i="1"/>
  <c r="E239" i="1"/>
  <c r="E224" i="1"/>
  <c r="E207" i="1"/>
  <c r="E191" i="1"/>
  <c r="E176" i="1"/>
  <c r="E159" i="1"/>
  <c r="E143" i="1"/>
  <c r="E128" i="1"/>
  <c r="E111" i="1"/>
  <c r="E95" i="1"/>
  <c r="E80" i="1"/>
  <c r="E65" i="1"/>
  <c r="E51" i="1"/>
  <c r="E38" i="1"/>
  <c r="E25" i="1"/>
  <c r="E11" i="1"/>
  <c r="E314" i="1"/>
  <c r="E290" i="1"/>
  <c r="E266" i="1"/>
  <c r="E242" i="1"/>
  <c r="E218" i="1"/>
  <c r="E195" i="1"/>
  <c r="E172" i="1"/>
  <c r="E153" i="1"/>
  <c r="E131" i="1"/>
  <c r="E109" i="1"/>
  <c r="E88" i="1"/>
  <c r="E69" i="1"/>
  <c r="E49" i="1"/>
  <c r="E32" i="1"/>
  <c r="E15" i="1"/>
  <c r="E313" i="1"/>
  <c r="E286" i="1"/>
  <c r="E265" i="1"/>
  <c r="E238" i="1"/>
  <c r="E217" i="1"/>
  <c r="E194" i="1"/>
  <c r="E171" i="1"/>
  <c r="E149" i="1"/>
  <c r="E130" i="1"/>
  <c r="E107" i="1"/>
  <c r="E86" i="1"/>
  <c r="E68" i="1"/>
  <c r="E47" i="1"/>
  <c r="E309" i="1"/>
  <c r="E285" i="1"/>
  <c r="E261" i="1"/>
  <c r="E237" i="1"/>
  <c r="E213" i="1"/>
  <c r="E190" i="1"/>
  <c r="E170" i="1"/>
  <c r="E148" i="1"/>
  <c r="E125" i="1"/>
  <c r="E106" i="1"/>
  <c r="E85" i="1"/>
  <c r="E64" i="1"/>
  <c r="E46" i="1"/>
  <c r="E29" i="1"/>
  <c r="E10" i="1"/>
  <c r="E308" i="1"/>
  <c r="E284" i="1"/>
  <c r="E301" i="1"/>
  <c r="E299" i="1"/>
  <c r="E275" i="1"/>
  <c r="E251" i="1"/>
  <c r="E227" i="1"/>
  <c r="E203" i="1"/>
  <c r="E182" i="1"/>
  <c r="E161" i="1"/>
  <c r="E140" i="1"/>
  <c r="E118" i="1"/>
  <c r="E298" i="1"/>
  <c r="E274" i="1"/>
  <c r="E250" i="1"/>
  <c r="E226" i="1"/>
  <c r="E202" i="1"/>
  <c r="E181" i="1"/>
  <c r="E158" i="1"/>
  <c r="E137" i="1"/>
  <c r="E117" i="1"/>
  <c r="E94" i="1"/>
  <c r="E75" i="1"/>
  <c r="E56" i="1"/>
  <c r="E37" i="1"/>
  <c r="E20" i="1"/>
  <c r="E3" i="1"/>
  <c r="E302" i="1"/>
  <c r="E254" i="1"/>
  <c r="E212" i="1"/>
  <c r="E178" i="1"/>
  <c r="E141" i="1"/>
  <c r="E101" i="1"/>
  <c r="E74" i="1"/>
  <c r="E43" i="1"/>
  <c r="E21" i="1"/>
  <c r="E292" i="1"/>
  <c r="E99" i="1"/>
  <c r="E17" i="1"/>
  <c r="E297" i="1"/>
  <c r="E253" i="1"/>
  <c r="E209" i="1"/>
  <c r="E173" i="1"/>
  <c r="E136" i="1"/>
  <c r="E100" i="1"/>
  <c r="E71" i="1"/>
  <c r="E42" i="1"/>
  <c r="E19" i="1"/>
  <c r="E249" i="1"/>
  <c r="E206" i="1"/>
  <c r="E169" i="1"/>
  <c r="E134" i="1"/>
  <c r="E70" i="1"/>
  <c r="E41" i="1"/>
  <c r="E291" i="1"/>
  <c r="E244" i="1"/>
  <c r="E205" i="1"/>
  <c r="E166" i="1"/>
  <c r="E133" i="1"/>
  <c r="E98" i="1"/>
  <c r="E63" i="1"/>
  <c r="E40" i="1"/>
  <c r="E16" i="1"/>
  <c r="E280" i="1"/>
  <c r="E236" i="1"/>
  <c r="E197" i="1"/>
  <c r="E164" i="1"/>
  <c r="E123" i="1"/>
  <c r="E92" i="1"/>
  <c r="E61" i="1"/>
  <c r="E34" i="1"/>
  <c r="E9" i="1"/>
  <c r="E277" i="1"/>
  <c r="E233" i="1"/>
  <c r="E196" i="1"/>
  <c r="E122" i="1"/>
  <c r="E281" i="1"/>
  <c r="E201" i="1"/>
  <c r="E142" i="1"/>
  <c r="E77" i="1"/>
  <c r="E28" i="1"/>
  <c r="E269" i="1"/>
  <c r="E189" i="1"/>
  <c r="E124" i="1"/>
  <c r="E76" i="1"/>
  <c r="E27" i="1"/>
  <c r="E268" i="1"/>
  <c r="E188" i="1"/>
  <c r="E121" i="1"/>
  <c r="E62" i="1"/>
  <c r="E23" i="1"/>
  <c r="E260" i="1"/>
  <c r="E113" i="1"/>
  <c r="E57" i="1"/>
  <c r="E14" i="1"/>
  <c r="E257" i="1"/>
  <c r="E110" i="1"/>
  <c r="E54" i="1"/>
  <c r="E267" i="1"/>
  <c r="E185" i="1"/>
  <c r="E116" i="1"/>
  <c r="E59" i="1"/>
  <c r="E22" i="1"/>
  <c r="E184" i="1"/>
  <c r="E179" i="1"/>
  <c r="E8" i="1"/>
  <c r="E243" i="1"/>
  <c r="E165" i="1"/>
  <c r="E105" i="1"/>
  <c r="E53" i="1"/>
  <c r="E7" i="1"/>
  <c r="E232" i="1"/>
  <c r="E157" i="1"/>
  <c r="E93" i="1"/>
  <c r="E50" i="1"/>
  <c r="E6" i="1"/>
  <c r="E229" i="1"/>
  <c r="E155" i="1"/>
  <c r="E89" i="1"/>
  <c r="E45" i="1"/>
  <c r="E4" i="1"/>
  <c r="E154" i="1"/>
  <c r="E147" i="1"/>
  <c r="E146" i="1"/>
  <c r="E315" i="1"/>
  <c r="E30" i="1"/>
  <c r="E219" i="1"/>
  <c r="E83" i="1"/>
  <c r="E305" i="1"/>
  <c r="E220" i="1"/>
  <c r="E82" i="1"/>
  <c r="E78" i="1"/>
  <c r="E316" i="1"/>
  <c r="E35" i="1"/>
  <c r="E33" i="1"/>
  <c r="E221" i="1"/>
  <c r="B309" i="1"/>
  <c r="B297" i="1"/>
  <c r="B285" i="1"/>
  <c r="B273" i="1"/>
  <c r="B261" i="1"/>
  <c r="B249" i="1"/>
  <c r="B308" i="1"/>
  <c r="B295" i="1"/>
  <c r="B282" i="1"/>
  <c r="B269" i="1"/>
  <c r="B256" i="1"/>
  <c r="B243" i="1"/>
  <c r="B231" i="1"/>
  <c r="B219" i="1"/>
  <c r="B207" i="1"/>
  <c r="B195" i="1"/>
  <c r="B183" i="1"/>
  <c r="B171" i="1"/>
  <c r="B159" i="1"/>
  <c r="B147" i="1"/>
  <c r="B135" i="1"/>
  <c r="B123" i="1"/>
  <c r="B111" i="1"/>
  <c r="B99" i="1"/>
  <c r="B87" i="1"/>
  <c r="B75" i="1"/>
  <c r="B63" i="1"/>
  <c r="B51" i="1"/>
  <c r="B39" i="1"/>
  <c r="B27" i="1"/>
  <c r="B15" i="1"/>
  <c r="B3" i="1"/>
  <c r="B316" i="1"/>
  <c r="B303" i="1"/>
  <c r="B290" i="1"/>
  <c r="B277" i="1"/>
  <c r="B264" i="1"/>
  <c r="B251" i="1"/>
  <c r="B238" i="1"/>
  <c r="B226" i="1"/>
  <c r="B214" i="1"/>
  <c r="B202" i="1"/>
  <c r="B190" i="1"/>
  <c r="B178" i="1"/>
  <c r="B166" i="1"/>
  <c r="B154" i="1"/>
  <c r="B142" i="1"/>
  <c r="B130" i="1"/>
  <c r="B118" i="1"/>
  <c r="B315" i="1"/>
  <c r="B302" i="1"/>
  <c r="B289" i="1"/>
  <c r="B276" i="1"/>
  <c r="B263" i="1"/>
  <c r="B250" i="1"/>
  <c r="B237" i="1"/>
  <c r="B225" i="1"/>
  <c r="B213" i="1"/>
  <c r="B201" i="1"/>
  <c r="B189" i="1"/>
  <c r="B177" i="1"/>
  <c r="B165" i="1"/>
  <c r="B153" i="1"/>
  <c r="B141" i="1"/>
  <c r="B129" i="1"/>
  <c r="B117" i="1"/>
  <c r="B313" i="1"/>
  <c r="B296" i="1"/>
  <c r="B279" i="1"/>
  <c r="B260" i="1"/>
  <c r="B244" i="1"/>
  <c r="B228" i="1"/>
  <c r="B211" i="1"/>
  <c r="B196" i="1"/>
  <c r="B180" i="1"/>
  <c r="B163" i="1"/>
  <c r="B148" i="1"/>
  <c r="B132" i="1"/>
  <c r="B115" i="1"/>
  <c r="B102" i="1"/>
  <c r="B89" i="1"/>
  <c r="B76" i="1"/>
  <c r="B62" i="1"/>
  <c r="B49" i="1"/>
  <c r="B36" i="1"/>
  <c r="B23" i="1"/>
  <c r="B10" i="1"/>
  <c r="B311" i="1"/>
  <c r="B293" i="1"/>
  <c r="B275" i="1"/>
  <c r="B258" i="1"/>
  <c r="B241" i="1"/>
  <c r="B224" i="1"/>
  <c r="B209" i="1"/>
  <c r="B193" i="1"/>
  <c r="B176" i="1"/>
  <c r="B161" i="1"/>
  <c r="B145" i="1"/>
  <c r="B128" i="1"/>
  <c r="B113" i="1"/>
  <c r="B100" i="1"/>
  <c r="B86" i="1"/>
  <c r="B73" i="1"/>
  <c r="B60" i="1"/>
  <c r="B47" i="1"/>
  <c r="B34" i="1"/>
  <c r="B21" i="1"/>
  <c r="B8" i="1"/>
  <c r="B314" i="1"/>
  <c r="B292" i="1"/>
  <c r="B271" i="1"/>
  <c r="B252" i="1"/>
  <c r="B232" i="1"/>
  <c r="B212" i="1"/>
  <c r="B192" i="1"/>
  <c r="B173" i="1"/>
  <c r="B155" i="1"/>
  <c r="B136" i="1"/>
  <c r="B116" i="1"/>
  <c r="B98" i="1"/>
  <c r="B83" i="1"/>
  <c r="B68" i="1"/>
  <c r="B53" i="1"/>
  <c r="B37" i="1"/>
  <c r="B20" i="1"/>
  <c r="B5" i="1"/>
  <c r="B248" i="1"/>
  <c r="B191" i="1"/>
  <c r="B152" i="1"/>
  <c r="B134" i="1"/>
  <c r="B97" i="1"/>
  <c r="B82" i="1"/>
  <c r="B67" i="1"/>
  <c r="B35" i="1"/>
  <c r="B19" i="1"/>
  <c r="B4" i="1"/>
  <c r="B312" i="1"/>
  <c r="B291" i="1"/>
  <c r="B270" i="1"/>
  <c r="B230" i="1"/>
  <c r="B210" i="1"/>
  <c r="B172" i="1"/>
  <c r="B114" i="1"/>
  <c r="B52" i="1"/>
  <c r="B310" i="1"/>
  <c r="B288" i="1"/>
  <c r="B307" i="1"/>
  <c r="B287" i="1"/>
  <c r="B267" i="1"/>
  <c r="B246" i="1"/>
  <c r="B227" i="1"/>
  <c r="B206" i="1"/>
  <c r="B305" i="1"/>
  <c r="B284" i="1"/>
  <c r="B265" i="1"/>
  <c r="B242" i="1"/>
  <c r="B222" i="1"/>
  <c r="B204" i="1"/>
  <c r="B185" i="1"/>
  <c r="B167" i="1"/>
  <c r="B146" i="1"/>
  <c r="B126" i="1"/>
  <c r="B108" i="1"/>
  <c r="B93" i="1"/>
  <c r="B78" i="1"/>
  <c r="B61" i="1"/>
  <c r="B45" i="1"/>
  <c r="B30" i="1"/>
  <c r="B14" i="1"/>
  <c r="B286" i="1"/>
  <c r="B255" i="1"/>
  <c r="B223" i="1"/>
  <c r="B198" i="1"/>
  <c r="B170" i="1"/>
  <c r="B144" i="1"/>
  <c r="B121" i="1"/>
  <c r="B96" i="1"/>
  <c r="B77" i="1"/>
  <c r="B56" i="1"/>
  <c r="B33" i="1"/>
  <c r="B13" i="1"/>
  <c r="B283" i="1"/>
  <c r="B254" i="1"/>
  <c r="B221" i="1"/>
  <c r="B197" i="1"/>
  <c r="B169" i="1"/>
  <c r="B143" i="1"/>
  <c r="B120" i="1"/>
  <c r="B95" i="1"/>
  <c r="B74" i="1"/>
  <c r="B55" i="1"/>
  <c r="B32" i="1"/>
  <c r="B12" i="1"/>
  <c r="B281" i="1"/>
  <c r="B253" i="1"/>
  <c r="B220" i="1"/>
  <c r="B194" i="1"/>
  <c r="B168" i="1"/>
  <c r="B140" i="1"/>
  <c r="B119" i="1"/>
  <c r="B94" i="1"/>
  <c r="B72" i="1"/>
  <c r="B54" i="1"/>
  <c r="B31" i="1"/>
  <c r="B11" i="1"/>
  <c r="B280" i="1"/>
  <c r="B218" i="1"/>
  <c r="B188" i="1"/>
  <c r="B139" i="1"/>
  <c r="B112" i="1"/>
  <c r="B92" i="1"/>
  <c r="B71" i="1"/>
  <c r="B50" i="1"/>
  <c r="B9" i="1"/>
  <c r="B278" i="1"/>
  <c r="B217" i="1"/>
  <c r="B162" i="1"/>
  <c r="B110" i="1"/>
  <c r="B70" i="1"/>
  <c r="B48" i="1"/>
  <c r="B7" i="1"/>
  <c r="B306" i="1"/>
  <c r="B240" i="1"/>
  <c r="B186" i="1"/>
  <c r="B137" i="1"/>
  <c r="B247" i="1"/>
  <c r="B164" i="1"/>
  <c r="B29" i="1"/>
  <c r="B245" i="1"/>
  <c r="B187" i="1"/>
  <c r="B138" i="1"/>
  <c r="B91" i="1"/>
  <c r="B28" i="1"/>
  <c r="B274" i="1"/>
  <c r="B216" i="1"/>
  <c r="B160" i="1"/>
  <c r="B109" i="1"/>
  <c r="B301" i="1"/>
  <c r="B268" i="1"/>
  <c r="B236" i="1"/>
  <c r="B208" i="1"/>
  <c r="B182" i="1"/>
  <c r="B157" i="1"/>
  <c r="B131" i="1"/>
  <c r="B106" i="1"/>
  <c r="B85" i="1"/>
  <c r="B65" i="1"/>
  <c r="B43" i="1"/>
  <c r="B24" i="1"/>
  <c r="B300" i="1"/>
  <c r="B266" i="1"/>
  <c r="B299" i="1"/>
  <c r="B215" i="1"/>
  <c r="B151" i="1"/>
  <c r="B101" i="1"/>
  <c r="B57" i="1"/>
  <c r="B16" i="1"/>
  <c r="B298" i="1"/>
  <c r="B205" i="1"/>
  <c r="B150" i="1"/>
  <c r="B90" i="1"/>
  <c r="B46" i="1"/>
  <c r="B6" i="1"/>
  <c r="B294" i="1"/>
  <c r="B203" i="1"/>
  <c r="B149" i="1"/>
  <c r="B88" i="1"/>
  <c r="B44" i="1"/>
  <c r="B133" i="1"/>
  <c r="B42" i="1"/>
  <c r="B239" i="1"/>
  <c r="B122" i="1"/>
  <c r="B26" i="1"/>
  <c r="B107" i="1"/>
  <c r="B25" i="1"/>
  <c r="B104" i="1"/>
  <c r="B229" i="1"/>
  <c r="B17" i="1"/>
  <c r="B272" i="1"/>
  <c r="B200" i="1"/>
  <c r="B84" i="1"/>
  <c r="B175" i="1"/>
  <c r="B234" i="1"/>
  <c r="B105" i="1"/>
  <c r="B22" i="1"/>
  <c r="B233" i="1"/>
  <c r="B59" i="1"/>
  <c r="B304" i="1"/>
  <c r="B103" i="1"/>
  <c r="B262" i="1"/>
  <c r="B199" i="1"/>
  <c r="B127" i="1"/>
  <c r="B81" i="1"/>
  <c r="B41" i="1"/>
  <c r="B259" i="1"/>
  <c r="B184" i="1"/>
  <c r="B125" i="1"/>
  <c r="B80" i="1"/>
  <c r="B40" i="1"/>
  <c r="B257" i="1"/>
  <c r="B181" i="1"/>
  <c r="B124" i="1"/>
  <c r="B79" i="1"/>
  <c r="B38" i="1"/>
  <c r="B179" i="1"/>
  <c r="B69" i="1"/>
  <c r="B235" i="1"/>
  <c r="B66" i="1"/>
  <c r="B174" i="1"/>
  <c r="B64" i="1"/>
  <c r="B158" i="1"/>
  <c r="B18" i="1"/>
  <c r="B156" i="1"/>
  <c r="B58" i="1"/>
  <c r="D315" i="1"/>
  <c r="D303" i="1"/>
  <c r="D291" i="1"/>
  <c r="D279" i="1"/>
  <c r="D267" i="1"/>
  <c r="D255" i="1"/>
  <c r="D243" i="1"/>
  <c r="D231" i="1"/>
  <c r="D219" i="1"/>
  <c r="D207" i="1"/>
  <c r="D195" i="1"/>
  <c r="D183" i="1"/>
  <c r="D171" i="1"/>
  <c r="D159" i="1"/>
  <c r="D147" i="1"/>
  <c r="D135" i="1"/>
  <c r="D123" i="1"/>
  <c r="D111" i="1"/>
  <c r="D99" i="1"/>
  <c r="D87" i="1"/>
  <c r="D75" i="1"/>
  <c r="D63" i="1"/>
  <c r="D51" i="1"/>
  <c r="D39" i="1"/>
  <c r="D27" i="1"/>
  <c r="D15" i="1"/>
  <c r="D3" i="1"/>
  <c r="D307" i="1"/>
  <c r="D294" i="1"/>
  <c r="D281" i="1"/>
  <c r="D268" i="1"/>
  <c r="D254" i="1"/>
  <c r="D241" i="1"/>
  <c r="D228" i="1"/>
  <c r="D215" i="1"/>
  <c r="D202" i="1"/>
  <c r="D189" i="1"/>
  <c r="D176" i="1"/>
  <c r="D163" i="1"/>
  <c r="D150" i="1"/>
  <c r="D137" i="1"/>
  <c r="D124" i="1"/>
  <c r="D110" i="1"/>
  <c r="D97" i="1"/>
  <c r="D84" i="1"/>
  <c r="D71" i="1"/>
  <c r="D58" i="1"/>
  <c r="D45" i="1"/>
  <c r="D32" i="1"/>
  <c r="D19" i="1"/>
  <c r="D6" i="1"/>
  <c r="D314" i="1"/>
  <c r="D301" i="1"/>
  <c r="D288" i="1"/>
  <c r="D275" i="1"/>
  <c r="D262" i="1"/>
  <c r="D249" i="1"/>
  <c r="D236" i="1"/>
  <c r="D223" i="1"/>
  <c r="D210" i="1"/>
  <c r="D197" i="1"/>
  <c r="D184" i="1"/>
  <c r="D170" i="1"/>
  <c r="D157" i="1"/>
  <c r="D144" i="1"/>
  <c r="D131" i="1"/>
  <c r="D118" i="1"/>
  <c r="D105" i="1"/>
  <c r="D92" i="1"/>
  <c r="D79" i="1"/>
  <c r="D66" i="1"/>
  <c r="D53" i="1"/>
  <c r="D40" i="1"/>
  <c r="D26" i="1"/>
  <c r="D13" i="1"/>
  <c r="D313" i="1"/>
  <c r="D300" i="1"/>
  <c r="D287" i="1"/>
  <c r="D274" i="1"/>
  <c r="D261" i="1"/>
  <c r="D248" i="1"/>
  <c r="D235" i="1"/>
  <c r="D222" i="1"/>
  <c r="D209" i="1"/>
  <c r="D196" i="1"/>
  <c r="D182" i="1"/>
  <c r="D169" i="1"/>
  <c r="D156" i="1"/>
  <c r="D143" i="1"/>
  <c r="D130" i="1"/>
  <c r="D117" i="1"/>
  <c r="D104" i="1"/>
  <c r="D91" i="1"/>
  <c r="D78" i="1"/>
  <c r="D65" i="1"/>
  <c r="D52" i="1"/>
  <c r="D38" i="1"/>
  <c r="D25" i="1"/>
  <c r="D12" i="1"/>
  <c r="D311" i="1"/>
  <c r="D295" i="1"/>
  <c r="D277" i="1"/>
  <c r="D259" i="1"/>
  <c r="D242" i="1"/>
  <c r="D225" i="1"/>
  <c r="D206" i="1"/>
  <c r="D190" i="1"/>
  <c r="D173" i="1"/>
  <c r="D154" i="1"/>
  <c r="D138" i="1"/>
  <c r="D120" i="1"/>
  <c r="D102" i="1"/>
  <c r="D85" i="1"/>
  <c r="D68" i="1"/>
  <c r="D49" i="1"/>
  <c r="D33" i="1"/>
  <c r="D16" i="1"/>
  <c r="D309" i="1"/>
  <c r="D292" i="1"/>
  <c r="D273" i="1"/>
  <c r="D257" i="1"/>
  <c r="D239" i="1"/>
  <c r="D221" i="1"/>
  <c r="D204" i="1"/>
  <c r="D187" i="1"/>
  <c r="D168" i="1"/>
  <c r="D152" i="1"/>
  <c r="D134" i="1"/>
  <c r="D116" i="1"/>
  <c r="D100" i="1"/>
  <c r="D82" i="1"/>
  <c r="D64" i="1"/>
  <c r="D47" i="1"/>
  <c r="D30" i="1"/>
  <c r="D11" i="1"/>
  <c r="D312" i="1"/>
  <c r="D290" i="1"/>
  <c r="D270" i="1"/>
  <c r="D250" i="1"/>
  <c r="D229" i="1"/>
  <c r="D208" i="1"/>
  <c r="D186" i="1"/>
  <c r="D165" i="1"/>
  <c r="D145" i="1"/>
  <c r="D125" i="1"/>
  <c r="D103" i="1"/>
  <c r="D81" i="1"/>
  <c r="D60" i="1"/>
  <c r="D41" i="1"/>
  <c r="D20" i="1"/>
  <c r="D286" i="1"/>
  <c r="D246" i="1"/>
  <c r="D203" i="1"/>
  <c r="D162" i="1"/>
  <c r="D121" i="1"/>
  <c r="D77" i="1"/>
  <c r="D36" i="1"/>
  <c r="D310" i="1"/>
  <c r="D289" i="1"/>
  <c r="D269" i="1"/>
  <c r="D247" i="1"/>
  <c r="D227" i="1"/>
  <c r="D205" i="1"/>
  <c r="D185" i="1"/>
  <c r="D164" i="1"/>
  <c r="D142" i="1"/>
  <c r="D122" i="1"/>
  <c r="D101" i="1"/>
  <c r="D80" i="1"/>
  <c r="D59" i="1"/>
  <c r="D37" i="1"/>
  <c r="D18" i="1"/>
  <c r="D308" i="1"/>
  <c r="D266" i="1"/>
  <c r="D226" i="1"/>
  <c r="D181" i="1"/>
  <c r="D141" i="1"/>
  <c r="D98" i="1"/>
  <c r="D57" i="1"/>
  <c r="D17" i="1"/>
  <c r="D306" i="1"/>
  <c r="D285" i="1"/>
  <c r="D265" i="1"/>
  <c r="D245" i="1"/>
  <c r="D224" i="1"/>
  <c r="D201" i="1"/>
  <c r="D180" i="1"/>
  <c r="D161" i="1"/>
  <c r="D140" i="1"/>
  <c r="D119" i="1"/>
  <c r="D96" i="1"/>
  <c r="D76" i="1"/>
  <c r="D56" i="1"/>
  <c r="D35" i="1"/>
  <c r="D14" i="1"/>
  <c r="D304" i="1"/>
  <c r="D283" i="1"/>
  <c r="D263" i="1"/>
  <c r="D240" i="1"/>
  <c r="D218" i="1"/>
  <c r="D199" i="1"/>
  <c r="D178" i="1"/>
  <c r="D158" i="1"/>
  <c r="D136" i="1"/>
  <c r="D114" i="1"/>
  <c r="D94" i="1"/>
  <c r="D73" i="1"/>
  <c r="D54" i="1"/>
  <c r="D31" i="1"/>
  <c r="D9" i="1"/>
  <c r="D302" i="1"/>
  <c r="D271" i="1"/>
  <c r="D233" i="1"/>
  <c r="D194" i="1"/>
  <c r="D160" i="1"/>
  <c r="D127" i="1"/>
  <c r="D89" i="1"/>
  <c r="D50" i="1"/>
  <c r="D21" i="1"/>
  <c r="D299" i="1"/>
  <c r="D264" i="1"/>
  <c r="D232" i="1"/>
  <c r="D193" i="1"/>
  <c r="D155" i="1"/>
  <c r="D126" i="1"/>
  <c r="D88" i="1"/>
  <c r="D48" i="1"/>
  <c r="D10" i="1"/>
  <c r="D298" i="1"/>
  <c r="D260" i="1"/>
  <c r="D230" i="1"/>
  <c r="D192" i="1"/>
  <c r="D153" i="1"/>
  <c r="D115" i="1"/>
  <c r="D86" i="1"/>
  <c r="D46" i="1"/>
  <c r="D8" i="1"/>
  <c r="D296" i="1"/>
  <c r="D256" i="1"/>
  <c r="D217" i="1"/>
  <c r="D188" i="1"/>
  <c r="D149" i="1"/>
  <c r="D112" i="1"/>
  <c r="D43" i="1"/>
  <c r="D5" i="1"/>
  <c r="D293" i="1"/>
  <c r="D253" i="1"/>
  <c r="D179" i="1"/>
  <c r="D148" i="1"/>
  <c r="D72" i="1"/>
  <c r="D4" i="1"/>
  <c r="D297" i="1"/>
  <c r="D258" i="1"/>
  <c r="D220" i="1"/>
  <c r="D191" i="1"/>
  <c r="D151" i="1"/>
  <c r="D113" i="1"/>
  <c r="D83" i="1"/>
  <c r="D44" i="1"/>
  <c r="D7" i="1"/>
  <c r="D74" i="1"/>
  <c r="D216" i="1"/>
  <c r="D109" i="1"/>
  <c r="D42" i="1"/>
  <c r="D284" i="1"/>
  <c r="D252" i="1"/>
  <c r="D214" i="1"/>
  <c r="D177" i="1"/>
  <c r="D146" i="1"/>
  <c r="D108" i="1"/>
  <c r="D70" i="1"/>
  <c r="D34" i="1"/>
  <c r="D282" i="1"/>
  <c r="D251" i="1"/>
  <c r="D213" i="1"/>
  <c r="D175" i="1"/>
  <c r="D139" i="1"/>
  <c r="D107" i="1"/>
  <c r="D69" i="1"/>
  <c r="D29" i="1"/>
  <c r="D280" i="1"/>
  <c r="D244" i="1"/>
  <c r="D212" i="1"/>
  <c r="D174" i="1"/>
  <c r="D133" i="1"/>
  <c r="D106" i="1"/>
  <c r="D67" i="1"/>
  <c r="D28" i="1"/>
  <c r="D278" i="1"/>
  <c r="D132" i="1"/>
  <c r="D276" i="1"/>
  <c r="D129" i="1"/>
  <c r="D272" i="1"/>
  <c r="D128" i="1"/>
  <c r="D61" i="1"/>
  <c r="D55" i="1"/>
  <c r="D167" i="1"/>
  <c r="D22" i="1"/>
  <c r="D238" i="1"/>
  <c r="D95" i="1"/>
  <c r="D172" i="1"/>
  <c r="D166" i="1"/>
  <c r="D237" i="1"/>
  <c r="D93" i="1"/>
  <c r="D234" i="1"/>
  <c r="D90" i="1"/>
  <c r="D211" i="1"/>
  <c r="D62" i="1"/>
  <c r="D200" i="1"/>
  <c r="D198" i="1"/>
  <c r="D24" i="1"/>
  <c r="D316" i="1"/>
  <c r="D23" i="1"/>
  <c r="D305" i="1"/>
  <c r="C306" i="1"/>
  <c r="C294" i="1"/>
  <c r="C282" i="1"/>
  <c r="C270" i="1"/>
  <c r="C258" i="1"/>
  <c r="C246" i="1"/>
  <c r="C234" i="1"/>
  <c r="C222" i="1"/>
  <c r="C210" i="1"/>
  <c r="C198" i="1"/>
  <c r="C186" i="1"/>
  <c r="C174" i="1"/>
  <c r="C162" i="1"/>
  <c r="C150" i="1"/>
  <c r="C138" i="1"/>
  <c r="C126" i="1"/>
  <c r="C114" i="1"/>
  <c r="C102" i="1"/>
  <c r="C90" i="1"/>
  <c r="C78" i="1"/>
  <c r="C66" i="1"/>
  <c r="C54" i="1"/>
  <c r="C42" i="1"/>
  <c r="C30" i="1"/>
  <c r="C18" i="1"/>
  <c r="C6" i="1"/>
  <c r="C308" i="1"/>
  <c r="C295" i="1"/>
  <c r="C281" i="1"/>
  <c r="C268" i="1"/>
  <c r="C255" i="1"/>
  <c r="C242" i="1"/>
  <c r="C229" i="1"/>
  <c r="C216" i="1"/>
  <c r="C203" i="1"/>
  <c r="C190" i="1"/>
  <c r="C177" i="1"/>
  <c r="C164" i="1"/>
  <c r="C151" i="1"/>
  <c r="C137" i="1"/>
  <c r="C124" i="1"/>
  <c r="C111" i="1"/>
  <c r="C98" i="1"/>
  <c r="C85" i="1"/>
  <c r="C72" i="1"/>
  <c r="C59" i="1"/>
  <c r="C46" i="1"/>
  <c r="C33" i="1"/>
  <c r="C20" i="1"/>
  <c r="C7" i="1"/>
  <c r="C315" i="1"/>
  <c r="C302" i="1"/>
  <c r="C289" i="1"/>
  <c r="C276" i="1"/>
  <c r="C263" i="1"/>
  <c r="C250" i="1"/>
  <c r="C237" i="1"/>
  <c r="C224" i="1"/>
  <c r="C211" i="1"/>
  <c r="C197" i="1"/>
  <c r="C184" i="1"/>
  <c r="C171" i="1"/>
  <c r="C158" i="1"/>
  <c r="C145" i="1"/>
  <c r="C132" i="1"/>
  <c r="C119" i="1"/>
  <c r="C106" i="1"/>
  <c r="C93" i="1"/>
  <c r="C80" i="1"/>
  <c r="C67" i="1"/>
  <c r="C53" i="1"/>
  <c r="C40" i="1"/>
  <c r="C27" i="1"/>
  <c r="C14" i="1"/>
  <c r="C314" i="1"/>
  <c r="C301" i="1"/>
  <c r="C288" i="1"/>
  <c r="C275" i="1"/>
  <c r="C262" i="1"/>
  <c r="C249" i="1"/>
  <c r="C236" i="1"/>
  <c r="C223" i="1"/>
  <c r="C209" i="1"/>
  <c r="C196" i="1"/>
  <c r="C183" i="1"/>
  <c r="C170" i="1"/>
  <c r="C157" i="1"/>
  <c r="C144" i="1"/>
  <c r="C131" i="1"/>
  <c r="C118" i="1"/>
  <c r="C105" i="1"/>
  <c r="C92" i="1"/>
  <c r="C79" i="1"/>
  <c r="C65" i="1"/>
  <c r="C52" i="1"/>
  <c r="C39" i="1"/>
  <c r="C26" i="1"/>
  <c r="C13" i="1"/>
  <c r="C312" i="1"/>
  <c r="C296" i="1"/>
  <c r="C278" i="1"/>
  <c r="C260" i="1"/>
  <c r="C243" i="1"/>
  <c r="C226" i="1"/>
  <c r="C207" i="1"/>
  <c r="C191" i="1"/>
  <c r="C173" i="1"/>
  <c r="C155" i="1"/>
  <c r="C139" i="1"/>
  <c r="C121" i="1"/>
  <c r="C103" i="1"/>
  <c r="C86" i="1"/>
  <c r="C69" i="1"/>
  <c r="C50" i="1"/>
  <c r="C34" i="1"/>
  <c r="C16" i="1"/>
  <c r="C310" i="1"/>
  <c r="C292" i="1"/>
  <c r="C274" i="1"/>
  <c r="C257" i="1"/>
  <c r="C240" i="1"/>
  <c r="C221" i="1"/>
  <c r="C205" i="1"/>
  <c r="C188" i="1"/>
  <c r="C169" i="1"/>
  <c r="C153" i="1"/>
  <c r="C135" i="1"/>
  <c r="C117" i="1"/>
  <c r="C100" i="1"/>
  <c r="C83" i="1"/>
  <c r="C64" i="1"/>
  <c r="C48" i="1"/>
  <c r="C31" i="1"/>
  <c r="C12" i="1"/>
  <c r="C313" i="1"/>
  <c r="C291" i="1"/>
  <c r="C271" i="1"/>
  <c r="C251" i="1"/>
  <c r="C230" i="1"/>
  <c r="C208" i="1"/>
  <c r="C187" i="1"/>
  <c r="C166" i="1"/>
  <c r="C146" i="1"/>
  <c r="C125" i="1"/>
  <c r="C104" i="1"/>
  <c r="C82" i="1"/>
  <c r="C61" i="1"/>
  <c r="C41" i="1"/>
  <c r="C21" i="1"/>
  <c r="C309" i="1"/>
  <c r="C267" i="1"/>
  <c r="C227" i="1"/>
  <c r="C182" i="1"/>
  <c r="C142" i="1"/>
  <c r="C99" i="1"/>
  <c r="C58" i="1"/>
  <c r="C17" i="1"/>
  <c r="C311" i="1"/>
  <c r="C290" i="1"/>
  <c r="C269" i="1"/>
  <c r="C248" i="1"/>
  <c r="C228" i="1"/>
  <c r="C206" i="1"/>
  <c r="C185" i="1"/>
  <c r="C165" i="1"/>
  <c r="C143" i="1"/>
  <c r="C123" i="1"/>
  <c r="C101" i="1"/>
  <c r="C81" i="1"/>
  <c r="C60" i="1"/>
  <c r="C38" i="1"/>
  <c r="C19" i="1"/>
  <c r="C287" i="1"/>
  <c r="C247" i="1"/>
  <c r="C204" i="1"/>
  <c r="C163" i="1"/>
  <c r="C122" i="1"/>
  <c r="C77" i="1"/>
  <c r="C37" i="1"/>
  <c r="C307" i="1"/>
  <c r="C286" i="1"/>
  <c r="C266" i="1"/>
  <c r="C245" i="1"/>
  <c r="C225" i="1"/>
  <c r="C202" i="1"/>
  <c r="C181" i="1"/>
  <c r="C161" i="1"/>
  <c r="C141" i="1"/>
  <c r="C120" i="1"/>
  <c r="C97" i="1"/>
  <c r="C76" i="1"/>
  <c r="C57" i="1"/>
  <c r="C36" i="1"/>
  <c r="C15" i="1"/>
  <c r="C304" i="1"/>
  <c r="C284" i="1"/>
  <c r="C264" i="1"/>
  <c r="C241" i="1"/>
  <c r="C219" i="1"/>
  <c r="C200" i="1"/>
  <c r="C179" i="1"/>
  <c r="C159" i="1"/>
  <c r="C136" i="1"/>
  <c r="C115" i="1"/>
  <c r="C95" i="1"/>
  <c r="C74" i="1"/>
  <c r="C55" i="1"/>
  <c r="C32" i="1"/>
  <c r="C10" i="1"/>
  <c r="C298" i="1"/>
  <c r="C259" i="1"/>
  <c r="C220" i="1"/>
  <c r="C192" i="1"/>
  <c r="C152" i="1"/>
  <c r="C113" i="1"/>
  <c r="C84" i="1"/>
  <c r="C45" i="1"/>
  <c r="C8" i="1"/>
  <c r="C297" i="1"/>
  <c r="C256" i="1"/>
  <c r="C218" i="1"/>
  <c r="C189" i="1"/>
  <c r="C149" i="1"/>
  <c r="C112" i="1"/>
  <c r="C75" i="1"/>
  <c r="C44" i="1"/>
  <c r="C5" i="1"/>
  <c r="C293" i="1"/>
  <c r="C254" i="1"/>
  <c r="C217" i="1"/>
  <c r="C180" i="1"/>
  <c r="C148" i="1"/>
  <c r="C110" i="1"/>
  <c r="C73" i="1"/>
  <c r="C43" i="1"/>
  <c r="C4" i="1"/>
  <c r="C35" i="1"/>
  <c r="C283" i="1"/>
  <c r="C214" i="1"/>
  <c r="C140" i="1"/>
  <c r="C70" i="1"/>
  <c r="C244" i="1"/>
  <c r="C175" i="1"/>
  <c r="C107" i="1"/>
  <c r="C28" i="1"/>
  <c r="C285" i="1"/>
  <c r="C253" i="1"/>
  <c r="C215" i="1"/>
  <c r="C178" i="1"/>
  <c r="C147" i="1"/>
  <c r="C109" i="1"/>
  <c r="C71" i="1"/>
  <c r="C3" i="1"/>
  <c r="C252" i="1"/>
  <c r="C176" i="1"/>
  <c r="C108" i="1"/>
  <c r="C29" i="1"/>
  <c r="C280" i="1"/>
  <c r="C213" i="1"/>
  <c r="C134" i="1"/>
  <c r="C68" i="1"/>
  <c r="C316" i="1"/>
  <c r="C277" i="1"/>
  <c r="C238" i="1"/>
  <c r="C201" i="1"/>
  <c r="C168" i="1"/>
  <c r="C130" i="1"/>
  <c r="C94" i="1"/>
  <c r="C62" i="1"/>
  <c r="C24" i="1"/>
  <c r="C305" i="1"/>
  <c r="C273" i="1"/>
  <c r="C235" i="1"/>
  <c r="C199" i="1"/>
  <c r="C167" i="1"/>
  <c r="C129" i="1"/>
  <c r="C91" i="1"/>
  <c r="C56" i="1"/>
  <c r="C23" i="1"/>
  <c r="C303" i="1"/>
  <c r="C195" i="1"/>
  <c r="C89" i="1"/>
  <c r="C300" i="1"/>
  <c r="C194" i="1"/>
  <c r="C88" i="1"/>
  <c r="C299" i="1"/>
  <c r="C193" i="1"/>
  <c r="C87" i="1"/>
  <c r="C133" i="1"/>
  <c r="C22" i="1"/>
  <c r="C9" i="1"/>
  <c r="C279" i="1"/>
  <c r="C172" i="1"/>
  <c r="C63" i="1"/>
  <c r="C127" i="1"/>
  <c r="C231" i="1"/>
  <c r="C212" i="1"/>
  <c r="C272" i="1"/>
  <c r="C160" i="1"/>
  <c r="C51" i="1"/>
  <c r="C265" i="1"/>
  <c r="C156" i="1"/>
  <c r="C49" i="1"/>
  <c r="C261" i="1"/>
  <c r="C154" i="1"/>
  <c r="C47" i="1"/>
  <c r="C239" i="1"/>
  <c r="C25" i="1"/>
  <c r="C233" i="1"/>
  <c r="C128" i="1"/>
  <c r="C232" i="1"/>
  <c r="C11" i="1"/>
  <c r="C116" i="1"/>
  <c r="C96" i="1"/>
</calcChain>
</file>

<file path=xl/comments1.xml><?xml version="1.0" encoding="utf-8"?>
<comments xmlns="http://schemas.openxmlformats.org/spreadsheetml/2006/main">
  <authors>
    <author>Factset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&lt;?xml version="1.0" encoding="utf-8"?&gt;&lt;Schema xmlns:xsd="http://www.w3.org/2001/XMLSchema" xmlns:xsi="http://www.w3.org/2001/XMLSchema-instance" Version="2" Timestamp="1774313654"&gt;&lt;FQL&gt;&lt;Q&gt;990100^FG_PRICE(0)&lt;/Q&gt;&lt;R&gt;1&lt;/R&gt;&lt;C&gt;1&lt;/C&gt;&lt;D xsi:type="xsd:double"&gt;3296.483711&lt;/D&gt;&lt;/FQL&gt;&lt;FQL&gt;&lt;Q&gt;990100^JULIAN(FG_PRICE(0).DATES)&lt;/Q&gt;&lt;R&gt;1&lt;/R&gt;&lt;C&gt;1&lt;/C&gt;&lt;D xsi:type="xsd:long"&gt;46101&lt;/D&gt;&lt;/FQL&gt;&lt;FQL&gt;&lt;Q&gt;990100^FG_COMPANY_NAME()&lt;/Q&gt;&lt;R&gt;1&lt;/R&gt;&lt;C&gt;1&lt;/C&gt;&lt;D xsi:type="xsd:string"&gt;MSCI World Index&lt;/D&gt;&lt;/FQL&gt;&lt;FQL&gt;&lt;Q&gt;991000^FG_PRICE(0)&lt;/Q&gt;&lt;R&gt;1&lt;/R&gt;&lt;C&gt;1&lt;/C&gt;&lt;D xsi:type="xsd:double"&gt;1843.819766&lt;/D&gt;&lt;/FQL&gt;&lt;FQL&gt;&lt;Q&gt;991000^JULIAN(FG_PRICE(0).DATES)&lt;/Q&gt;&lt;R&gt;1&lt;/R&gt;&lt;C&gt;1&lt;/C&gt;&lt;D xsi:type="xsd:long"&gt;46101&lt;/D&gt;&lt;/FQL&gt;&lt;FQL&gt;&lt;Q&gt;991000^FG_COMPANY_NAME()&lt;/Q&gt;&lt;R&gt;1&lt;/R&gt;&lt;C&gt;1&lt;/C&gt;&lt;D xsi:type="xsd:string"&gt;MSCI World ex USA&lt;/D&gt;&lt;/FQL&gt;&lt;FQL&gt;&lt;Q&gt;892400^FG_PRICE(0)&lt;/Q&gt;&lt;R&gt;1&lt;/R&gt;&lt;C&gt;1&lt;/C&gt;&lt;D xsi:type="xsd:double"&gt;1178.669381&lt;/D&gt;&lt;/FQL&gt;&lt;FQL&gt;&lt;Q&gt;892400^JULIAN(FG_PRICE(0).DATES)&lt;/Q&gt;&lt;R&gt;1&lt;/R&gt;&lt;C&gt;1&lt;/C&gt;&lt;D xsi:type="xsd:long"&gt;46101&lt;/D&gt;&lt;/FQL&gt;&lt;FQL&gt;&lt;Q&gt;892400^FG_COMPANY_NAME()&lt;/Q&gt;&lt;R&gt;1&lt;/R&gt;&lt;C&gt;1&lt;/C&gt;&lt;D xsi:type="xsd:string"&gt;MSCI AC World&lt;/D&gt;&lt;/FQL&gt;&lt;FQL&gt;&lt;Q&gt;891800^FG_PRICE(0)&lt;/Q&gt;&lt;R&gt;1&lt;/R&gt;&lt;C&gt;1&lt;/C&gt;&lt;D xsi:type="xsd:double"&gt;92606.390281&lt;/D&gt;&lt;/FQL&gt;&lt;FQL&gt;&lt;Q&gt;891800^JULIAN(FG_PRICE(0).DATES)&lt;/Q&gt;&lt;R&gt;1&lt;/R&gt;&lt;C&gt;1&lt;/C&gt;&lt;D xsi:type="xsd:long"&gt;46101&lt;/D&gt;&lt;/FQL&gt;&lt;FQL&gt;&lt;Q&gt;891800^FG_COMPANY_NAME()&lt;/Q&gt;&lt;R&gt;1&lt;/R&gt;&lt;C&gt;1&lt;/C&gt;&lt;D xsi:type="xsd:string"&gt;MSCI EM (Emerging Markets)&lt;/D&gt;&lt;/FQL&gt;&lt;FQL&gt;&lt;Q&gt;990100^FG_PRICE(0,,,,,0)&lt;/Q&gt;&lt;R&gt;1&lt;/R&gt;&lt;C&gt;1&lt;/C&gt;&lt;D xsi:type="xsd:double"&gt;3296.483711&lt;/D&gt;&lt;/FQL&gt;&lt;FQL&gt;&lt;Q&gt;990100^JULIAN(FG_PRICE(0,,,,,0).DATES)&lt;/Q&gt;&lt;R&gt;1&lt;/R&gt;&lt;C&gt;1&lt;/C&gt;&lt;D xsi:type="xsd:long"&gt;46101&lt;/D&gt;&lt;/FQL&gt;&lt;FQL&gt;&lt;Q&gt;991000^FG_PRICE(0,,,,,0)&lt;/Q&gt;&lt;R&gt;1&lt;/R&gt;&lt;C&gt;1&lt;/C&gt;&lt;D xsi:type="xsd:double"&gt;1843.819766&lt;/D&gt;&lt;/FQL&gt;&lt;FQL&gt;&lt;Q&gt;991000^JULIAN(FG_PRICE(0,,,,,0).DATES)&lt;/Q&gt;&lt;R&gt;1&lt;/R&gt;&lt;C&gt;1&lt;/C&gt;&lt;D xsi:type="xsd:long"&gt;46101&lt;/D&gt;&lt;/FQL&gt;&lt;FQL&gt;&lt;Q&gt;892400^FG_PRICE(0,,,,,0)&lt;/Q&gt;&lt;R&gt;1&lt;/R&gt;&lt;C&gt;1&lt;/C&gt;&lt;D xsi:type="xsd:double"&gt;1178.669381&lt;/D&gt;&lt;/FQL&gt;&lt;FQL&gt;&lt;Q&gt;892400^JULIAN(FG_PRICE(0,,,,,0).DATES)&lt;/Q&gt;&lt;R&gt;1&lt;/R&gt;&lt;C&gt;1&lt;/C&gt;&lt;D xsi:type="xsd:long"&gt;46101&lt;/D&gt;&lt;/FQL&gt;&lt;FQL&gt;&lt;Q&gt;891800^FG_PRICE(0,,,,,0)&lt;/Q&gt;&lt;R&gt;1&lt;/R&gt;&lt;C&gt;1&lt;/C&gt;&lt;D xsi:type="xsd:double"&gt;92606.390281&lt;/D&gt;&lt;/FQL&gt;&lt;FQL&gt;&lt;Q&gt;891800^JULIAN(FG_PRICE(0,,,,,0).DATES)&lt;/Q&gt;&lt;R&gt;1&lt;/R&gt;&lt;C&gt;1&lt;/C&gt;&lt;D xsi:type="xsd:long"&gt;46101&lt;/D&gt;&lt;/FQL&gt;&lt;FQL&gt;&lt;Q&gt;990100^FG_PRICE(0,,,USD)&lt;/Q&gt;&lt;R&gt;1&lt;/R&gt;&lt;C&gt;1&lt;/C&gt;&lt;D xsi:type="xsd:double"&gt;4244.08568&lt;/D&gt;&lt;/FQL&gt;&lt;FQL&gt;&lt;Q&gt;990100^JULIAN(FG_PRICE(0,,,USD).DATES)&lt;/Q&gt;&lt;R&gt;1&lt;/R&gt;&lt;C&gt;1&lt;/C&gt;&lt;D xsi:type="xsd:long"&gt;46101&lt;/D&gt;&lt;/FQL&gt;&lt;FQL&gt;&lt;Q&gt;991000^FG_PRICE(0,,,USD)&lt;/Q&gt;&lt;R&gt;1&lt;/R&gt;&lt;C&gt;1&lt;/C&gt;&lt;D xsi:type="xsd:double"&gt;2907.824246&lt;/D&gt;&lt;/FQL&gt;&lt;FQL&gt;&lt;Q&gt;991000^JULIAN(FG_PRICE(0,,,USD).DATES)&lt;/Q&gt;&lt;R&gt;1&lt;/R&gt;&lt;C&gt;1&lt;/C&gt;&lt;D xsi:type="xsd:long"&gt;46101&lt;/D&gt;&lt;/FQL&gt;&lt;FQL&gt;&lt;Q&gt;892400^FG_PRICE(0,,,USD)&lt;/Q&gt;&lt;R&gt;1&lt;/R&gt;&lt;C&gt;1&lt;/C&gt;&lt;D xsi:type="xsd:double"&gt;981.311465&lt;/D&gt;&lt;/FQL&gt;&lt;FQL&gt;&lt;Q&gt;892400^JULIAN(FG_PRICE(0,,,USD).DATES)&lt;/Q&gt;&lt;R&gt;1&lt;/R&gt;&lt;C&gt;1&lt;/C&gt;&lt;D xsi:type="xsd:long"&gt;46101&lt;/D&gt;&lt;/FQL&gt;&lt;FQL&gt;&lt;Q&gt;891800^FG_PRICE(0,,,USD)&lt;/Q&gt;&lt;R&gt;1&lt;/R&gt;&lt;C&gt;1&lt;/C&gt;&lt;D xsi:type="xsd:double"&gt;1463.333128&lt;/D&gt;&lt;/FQL&gt;&lt;FQL&gt;&lt;Q&gt;891800^JULIAN(FG_PRICE(0,,,USD).DATES)&lt;/Q&gt;&lt;R&gt;1&lt;/R&gt;&lt;C&gt;1&lt;/C&gt;&lt;D xsi:type="xsd:long"&gt;46101&lt;/D&gt;&lt;/FQL&gt;&lt;FQL&gt;&lt;Q&gt;990100^FG_PRICE(0,,,GBP)&lt;/Q&gt;&lt;R&gt;1&lt;/R&gt;&lt;C&gt;1&lt;/C&gt;&lt;D xsi:type="xsd:double"&gt;7656.49759699191&lt;/D&gt;&lt;/FQL&gt;&lt;FQL&gt;&lt;Q&gt;990100^JULIAN(FG_PRICE(0,,,GBP).DATES)&lt;/Q&gt;&lt;R&gt;1&lt;/R&gt;&lt;C&gt;1&lt;/C&gt;&lt;D xsi:type="xsd:long"&gt;46101&lt;/D&gt;&lt;/FQL&gt;&lt;FQL&gt;&lt;Q&gt;991000^FG_PRICE(0,,,GBP)&lt;/Q&gt;&lt;R&gt;1&lt;/R&gt;&lt;C&gt;1&lt;/C&gt;&lt;D xsi:type="xsd:double"&gt;5245.82938013961&lt;/D&gt;&lt;/FQL&gt;&lt;FQL&gt;&lt;Q&gt;991000^JULIAN(FG_PRICE(0,,,GBP).DATES)&lt;/Q&gt;&lt;R&gt;1&lt;/R&gt;&lt;C&gt;1&lt;/C&gt;&lt;D xsi:type="xsd:long"&gt;46101&lt;/D&gt;&lt;/FQL&gt;&lt;FQL&gt;&lt;Q&gt;892400^FG_PRICE(0,,,GBP)&lt;/Q&gt;&lt;R&gt;1&lt;/R&gt;&lt;C&gt;1&lt;/C&gt;&lt;D xsi:type="xsd:double"&gt;1380.1223669238&lt;/D&gt;&lt;/FQL&gt;&lt;FQL&gt;&lt;Q&gt;892400^JULIAN(FG_PRICE(0,,,GBP).DATES)&lt;/Q&gt;&lt;R&gt;1&lt;/R&gt;&lt;C&gt;1&lt;/C&gt;&lt;D xsi:type="xsd:long"&gt;46101&lt;/D&gt;&lt;/FQL&gt;&lt;FQL&gt;&lt;Q&gt;891800^FG_PRICE(0,,,GBP)&lt;/Q&gt;&lt;R&gt;1&lt;/R&gt;&lt;C&gt;1&lt;/C&gt;&lt;D xsi:type="xsd:double"&gt;2058.04054293136&lt;/D&gt;&lt;/FQL&gt;&lt;FQL&gt;&lt;Q&gt;891800^JULIAN(FG_PRICE(0,,,GBP).DATES)&lt;/Q&gt;&lt;R&gt;1&lt;/R&gt;&lt;C&gt;1&lt;/C&gt;&lt;D xsi:type="xsd:long"&gt;46101&lt;/D&gt;&lt;/FQL&gt;&lt;FQL&gt;&lt;Q&gt;990100^FG_PRICE(0,,,KZT)&lt;/Q&gt;&lt;R&gt;1&lt;/R&gt;&lt;C&gt;1&lt;/C&gt;&lt;D xsi:type="xsd:double"&gt;1377.71783182854&lt;/D&gt;&lt;/FQL&gt;&lt;FQL&gt;&lt;Q&gt;990100^JULIAN(FG_PRICE(0,,,KZT).DATES)&lt;/Q&gt;&lt;R&gt;1&lt;/R&gt;&lt;C&gt;1&lt;/C&gt;&lt;D xsi:type="xsd:long"&gt;46101&lt;/D&gt;&lt;/FQL&gt;&lt;FQL&gt;&lt;Q&gt;991000^FG_PRICE(0,,,KZT)&lt;/Q&gt;&lt;R&gt;1&lt;/R&gt;&lt;C&gt;1&lt;/C&gt;&lt;D xsi:type="xsd:double"&gt;802.266048006982&lt;/D&gt;&lt;/FQL&gt;&lt;FQL&gt;&lt;Q&gt;991000^JULIAN(FG_PRICE(0,,,KZT).DATES)&lt;/Q&gt;&lt;R&gt;1&lt;/R&gt;&lt;C&gt;1&lt;/C&gt;&lt;D xsi:type="xsd:long"&gt;46101&lt;/D&gt;&lt;/FQL&gt;&lt;FQL&gt;&lt;Q&gt;892400^FG_PRICE(0,,,KZT)&lt;/Q&gt;&lt;R&gt;1&lt;/R&gt;&lt;C&gt;1&lt;/C&gt;&lt;D xsi:type="xsd:double"&gt;1324.22557566368&lt;/D&gt;&lt;/FQL&gt;&lt;FQL&gt;&lt;Q&gt;892400^JULIAN(FG_PRICE(0,,,KZT).DATES)&lt;/Q&gt;&lt;R&gt;1&lt;/R&gt;&lt;C&gt;1&lt;/C&gt;&lt;D xsi:type="xsd:long"&gt;46101&lt;/D&gt;&lt;/FQL&gt;&lt;FQL&gt;&lt;Q&gt;891800^FG_PRICE(0,,,KZT)&lt;/Q&gt;&lt;R&gt;1&lt;/R&gt;&lt;C&gt;1&lt;/C&gt;&lt;D xsi:type="xsd:double"&gt;1327.6959809092&lt;/D&gt;&lt;/FQL&gt;&lt;FQL&gt;&lt;Q&gt;891800^JULIAN(FG_PRICE(0,,,KZT).DATES)&lt;/Q&gt;&lt;R&gt;1&lt;/R&gt;&lt;C&gt;1&lt;/C&gt;&lt;D xsi:type="xsd:long"&gt;46101&lt;/D&gt;&lt;/FQL&gt;&lt;FQL&gt;&lt;Q&gt;990100^FG_PRICE(0,,,KRW)&lt;/Q&gt;&lt;R&gt;1&lt;/R&gt;&lt;C&gt;1&lt;/C&gt;&lt;D xsi:type="xsd:double"&gt;1969.98139494517&lt;/D&gt;&lt;/FQL&gt;&lt;FQL&gt;&lt;Q&gt;990100^JULIAN(FG_PRICE(0,,,KRW).DATES)&lt;/Q&gt;&lt;R&gt;1&lt;/R&gt;&lt;C&gt;1&lt;/C&gt;&lt;D xsi:type="xsd:long"&gt;46101&lt;/D&gt;&lt;/FQL&gt;&lt;FQL&gt;&lt;Q&gt;991000^FG_PRICE(0,,,KRW)&lt;/Q&gt;&lt;R&gt;1&lt;/R&gt;&lt;C&gt;1&lt;/C&gt;&lt;D xsi:type="xsd:double"&gt;759.254911144803&lt;/D&gt;&lt;/FQL&gt;&lt;FQL&gt;&lt;Q&gt;991000^JULIAN(FG_PRICE(0,,,KRW).DATES)&lt;/Q&gt;&lt;R&gt;1&lt;/R&gt;&lt;C&gt;1&lt;/C&gt;&lt;D xsi:type="xsd:long"&gt;46101&lt;/D&gt;&lt;/FQL&gt;&lt;FQL&gt;&lt;Q&gt;892400^FG_PRICE(0,,,KRW)&lt;/Q&gt;&lt;R&gt;1&lt;/R&gt;&lt;C&gt;1&lt;/C&gt;&lt;D xsi:type="xsd:double"&gt;1858.39803411482&lt;/D&gt;&lt;/FQL&gt;&lt;FQL&gt;&lt;Q&gt;892400^JULIAN(FG_PRICE(0,,,KRW).DATES)&lt;/Q&gt;&lt;R&gt;1&lt;/R&gt;&lt;C&gt;1&lt;/C&gt;&lt;D xsi:type="xsd:long"&gt;46101&lt;/D&gt;&lt;/FQL&gt;&lt;FQL&gt;&lt;Q&gt;891800^FG_PRICE(0,,,KRW)&lt;/Q&gt;&lt;R&gt;1&lt;/R&gt;&lt;C&gt;1&lt;/C&gt;&lt;D xsi:type="xsd:double"&gt;2771.24593497977&lt;/D&gt;&lt;/FQL&gt;&lt;FQL&gt;&lt;Q&gt;891800^JULIAN(FG_PRICE(0,,,KRW).DATES)&lt;/Q&gt;&lt;R&gt;1&lt;/R&gt;&lt;C&gt;1&lt;/C&gt;&lt;D xsi:type="xsd:long"&gt;46101&lt;/D&gt;&lt;/FQL&gt;&lt;FQL&gt;&lt;Q&gt;990100^FG_PRICE(3/17/2026,,,USD)&lt;/Q&gt;&lt;R&gt;1&lt;/R&gt;&lt;C&gt;1&lt;/C&gt;&lt;D xsi:type="xsd:double"&gt;4387.326865&lt;/D&gt;&lt;/FQL&gt;&lt;FQL&gt;&lt;Q&gt;990100^JULIAN(FG_PRICE(3/17/2026,,,USD).DATES)&lt;/Q&gt;&lt;R&gt;1&lt;/R&gt;&lt;C&gt;1&lt;/C&gt;&lt;D xsi:type="xsd:long"&gt;46098&lt;/D&gt;&lt;/FQL&gt;&lt;FQL&gt;&lt;Q&gt;991000^FG_PRICE(3/17/2026,,,USD)&lt;/Q&gt;&lt;R&gt;1&lt;/R&gt;&lt;C&gt;1&lt;/C&gt;&lt;D xsi:type="xsd:double"&gt;3017.454402&lt;/D&gt;&lt;/FQL&gt;&lt;FQL&gt;&lt;Q&gt;991000^JULIAN(FG_PRICE(3/17/2026,,,USD).DATES)&lt;/Q&gt;&lt;R&gt;1&lt;/R&gt;&lt;C&gt;1&lt;/C&gt;&lt;D xsi:type="xsd:long"&gt;46098&lt;/D&gt;&lt;/FQL&gt;&lt;FQL&gt;&lt;Q&gt;892400^FG_PRICE(3/17/2026,,,USD)&lt;/Q&gt;&lt;R&gt;1&lt;/R&gt;&lt;C&gt;1&lt;/C&gt;&lt;D xsi:type="xsd:double"&gt;1013.05454&lt;/D&gt;&lt;/FQL&gt;&lt;FQL&gt;&lt;Q&gt;892400^JULIAN(FG_PRICE(3/17/2026,,,USD).DATES)&lt;/Q&gt;&lt;R&gt;1&lt;/R&gt;&lt;C&gt;1&lt;/C&gt;&lt;D xsi:type="xsd:long"&gt;46098&lt;/D&gt;&lt;/FQL&gt;&lt;FQL&gt;&lt;Q&gt;891800^FG_PRICE(3/17/2026,,,USD)&lt;/Q&gt;&lt;R&gt;1&lt;/R&gt;&lt;C&gt;1&lt;/C&gt;&lt;D xsi:type="xsd:double"&gt;1495.431148&lt;/D&gt;&lt;/FQL&gt;&lt;FQL&gt;&lt;Q&gt;891800^JULIAN(FG_PRICE(3/17/2026,,,USD).DATES)&lt;/Q&gt;&lt;R&gt;1&lt;/R&gt;&lt;C&gt;1&lt;/C&gt;&lt;D xsi:type="xsd:long"&gt;46098&lt;/D&gt;&lt;/FQL&gt;&lt;FQL&gt;&lt;Q&gt;990100^FG_PRICE(2/27/2026,,,USD)&lt;/Q&gt;&lt;R&gt;1&lt;/R&gt;&lt;C&gt;1&lt;/C&gt;&lt;D xsi:type="xsd:double"&gt;4556.789568&lt;/D&gt;&lt;/FQL&gt;&lt;FQL&gt;&lt;Q&gt;990100^JULIAN(FG_PRICE(2/27/2026,,,USD).DATES)&lt;/Q&gt;&lt;R&gt;1&lt;/R&gt;&lt;C&gt;1&lt;/C&gt;&lt;D xsi:type="xsd:long"&gt;46080&lt;/D&gt;&lt;/FQL&gt;&lt;FQL&gt;&lt;Q&gt;991000^FG_PRICE(2/27/2026,,,USD)&lt;/Q&gt;&lt;R&gt;1&lt;/R&gt;&lt;C&gt;1&lt;/C&gt;&lt;D xsi:type="xsd:double"&gt;3244.755968&lt;/D&gt;&lt;/FQL&gt;&lt;FQL&gt;&lt;Q&gt;991000^JULIAN(FG_PRICE(2/27/2026,,,USD).DATES)&lt;/Q&gt;&lt;R&gt;1&lt;/R&gt;&lt;C&gt;1&lt;/C&gt;&lt;D xsi:type="xsd:long"&gt;46080&lt;/D&gt;&lt;/FQL&gt;&lt;FQL&gt;&lt;Q&gt;892400^FG_PRICE(2/27/2026,,,USD)&lt;/Q&gt;&lt;R&gt;1&lt;/R&gt;&lt;C&gt;1&lt;/C&gt;&lt;D xsi:type="xsd:double"&gt;1056.764821&lt;/D&gt;&lt;/FQL&gt;&lt;FQL&gt;&lt;Q&gt;892400^JULIAN(FG_PRICE(2/27/2026,,,USD).DATES)&lt;/Q&gt;&lt;R&gt;1&lt;/R&gt;&lt;C&gt;1&lt;/C&gt;&lt;D xsi:type="xsd:long"&gt;46080&lt;/D&gt;&lt;/FQL&gt;&lt;FQL&gt;&lt;Q&gt;891800^FG_PRICE(2/27/2026,,,USD)&lt;/Q&gt;&lt;R&gt;1&lt;/R&gt;&lt;C&gt;1&lt;/C&gt;&lt;D xsi:type="xsd:double"&gt;1610.700504&lt;/D&gt;&lt;/FQL&gt;&lt;FQL&gt;&lt;Q&gt;891800^JULIAN(FG_PRICE(2/27/2026,,,USD).DATES)&lt;/Q&gt;&lt;R&gt;1&lt;/R&gt;&lt;C&gt;1&lt;/C&gt;&lt;D xsi:type="xsd:long"&gt;46080&lt;/D&gt;&lt;/FQL&gt;&lt;FQL&gt;&lt;Q&gt;990100^FG_PRICE(2/27/2026,1/31/2000,,USD)&lt;/Q&gt;&lt;R&gt;6559&lt;/R&gt;&lt;C&gt;1&lt;/C&gt;&lt;D xsi:type="xsd:double"&gt;4556.789568&lt;/D&gt;&lt;D xsi:type="xsd:double"&gt;4565.866401&lt;/D&gt;&lt;D xsi:type="xsd:double"&gt;4578.084849&lt;/D&gt;&lt;D xsi:type="xsd:double"&gt;4540.376078&lt;/D&gt;&lt;D xsi:type="xsd:double"&gt;4517.311203&lt;/D&gt;&lt;D xsi:type="xsd:double"&gt;4555.107174&lt;/D&gt;&lt;D xsi:type="xsd:double"&gt;4528.334381&lt;/D&gt;&lt;D xsi:type="xsd:double"&gt;4541.483116&lt;/D&gt;&lt;D xsi:type="xsd:double"&gt;4507.945156&lt;/D&gt;&lt;D xsi:type="xsd:double"&gt;4509.685389&lt;/D&gt;&lt;D xsi:type="xsd:double"&gt;4515.820123&lt;/D&gt;&lt;D xsi:type="xsd:double"&gt;4568.935638&lt;/D&gt;&lt;D xsi:type="xsd:double"&gt;4570.50699&lt;/D&gt;&lt;D xsi:type="xsd:double"&gt;4570.787071&lt;/D&gt;&lt;D xsi:type="xsd:double"&gt;4528.993049&lt;/D&gt;&lt;D xsi:type="xsd:double"&gt;4452.133793&lt;/D&gt;&lt;D xsi:type="xsd:double"&gt;4505.150696&lt;/D&gt;&lt;D xsi:type="xsd:double"&gt;4523.15458&lt;/D&gt;&lt;D xsi:type="xsd:double"&gt;4538.486419&lt;/D&gt;&lt;D xsi:type="xsd:double"&gt;4527.589087&lt;/D&gt;&lt;D xsi:type="xsd:double"&gt;4546.294324&lt;/D&gt;&lt;D xsi:type="xsd:double"&gt;4552.762897&lt;/D&gt;&lt;D xsi:type="xsd:double"&gt;4560.731032&lt;/D&gt;&lt;D xsi:type="xsd:double"&gt;4534.474386&lt;/D&gt;&lt;D xsi:type="xsd:double"&gt;4505.183265&lt;/D&gt;&lt;D xsi:type="xsd:double"&gt;4500.05992&lt;/D&gt;&lt;D xsi:type="xsd:double"&gt;4469.603863&lt;/D&gt;&lt;D xsi:type="xsd:double"&gt;4438.225879&lt;/D&gt;&lt;D xsi:type="xsd:double"&gt;4515.277901&lt;/D&gt;&lt;D xsi:type="xsd:double"&gt;4518.146412&lt;/D&gt;&lt;D xsi:type="xsd:double"&gt;4508.852889&lt;/D&gt;&lt;D xsi:type="xsd:double"&gt;4519.077004&lt;/D&gt;&lt;D xsi:type="xsd:double"&gt;4522.39979&lt;/D&gt;&lt;D xsi:type="xsd:double"&gt;4511.009571&lt;/D&gt;&lt;D xsi:type="xsd:double"&gt;4484.287436&lt;/D&gt;&lt;D xsi:type="xsd:double"&gt;4490.236093&lt;/D&gt;&lt;D xsi:type="xsd:double"&gt;4506.641969&lt;/D&gt;&lt;D xsi:type="xsd:double"&gt;4477.921527&lt;/D&gt;&lt;D xsi:type="xsd:double"&gt;4445.212031&lt;/D&gt;&lt;D xsi:type="xsd:double"&gt;4430.381331&lt;/D&gt;&lt;D xsi:type="xsd:double"&gt;4458.277409&lt;/D&gt;&lt;D xsi:type="xsd:double"&gt;4461.192613&lt;/D&gt;&lt;D xsi:type="xsd:double"&gt;4473.230564&lt;/D&gt;&lt;D xsi:type="xsd:double"&gt;4474.199952&lt;/D&gt;&lt;D xsi:type="xsd:double"&gt;4463.966987&lt;/D&gt;&lt;D xsi:type="xsd:double"&gt;4442.649215&lt;/D&gt;&lt;D xsi:type="xsd:double"&gt;4413.790366&lt;/D&gt;&lt;D xsi:type="xsd:double"&gt;4382.406739&lt;/D&gt;&lt;D xsi:type="xsd:double"&gt;4352.020412&lt;/D&gt;&lt;D xsi:type="xsd:double"&gt;4392.75477&lt;/D&gt;&lt;D xsi:type="xsd:double"&gt;4408.603281&lt;/D&gt;&lt;D xsi:type="xsd:double"&gt;4407.817186&lt;/D&gt;&lt;D xsi:type="xsd:double"&gt;4444.317704&lt;/D&gt;&lt;D xsi:type="xsd:double"&gt;4424.737189&lt;/D&gt;&lt;D xsi:type="xsd:double"&gt;4400.152046&lt;/D&gt;&lt;D xsi:type="xsd:double"&gt;4405.026653&lt;/D&gt;&lt;D xsi:type="xsd:double"&gt;4418.627626&lt;/D&gt;&lt;D xsi:type="xsd:double"&gt;4418.461248&lt;/D&gt;&lt;D xsi:type="xsd:double"&gt;4402.444071&lt;/D&gt;&lt;D xsi:type="xsd:double"&gt;4385.758336&lt;/D&gt;&lt;D xsi:type="xsd:double"&gt;4378.363794&lt;/D&gt;&lt;D xsi:type="xsd:double"&gt;4398.435697&lt;/D&gt;&lt;D xsi:type="xsd:double"&gt;4372.482072&lt;/D&gt;&lt;D xsi:type="xsd:double"&gt;4334.459767&lt;/D&gt;&lt;D xsi:type="xsd:double"&gt;4296.118138&lt;/D&gt;&lt;D xsi:type="xsd:double"&gt;4242.672268&lt;/D&gt;&lt;D xsi:type="xsd:double"&gt;4217.236763&lt;/D&gt;&lt;D xsi:type="xsd:double"&gt;4264.126439&lt;/D&gt;&lt;D xsi:type="xsd:double"&gt;4257.667889&lt;/D&gt;&lt;D xsi:type="xsd:double"&gt;4305.437735&lt;/D&gt;&lt;D xsi:type="xsd:double"&gt;4343.639168&lt;/D&gt;&lt;D xsi:type="xsd:double"&gt;4357.501653&lt;/D&gt;&lt;D xsi:type="xsd:double"&gt;4415.239381&lt;/D&gt;&lt;D xsi:type="xsd:double"&gt;4404.494703&lt;/D&gt;&lt;D xsi:type="xsd:double"&gt;4384.773602&lt;/D&gt;&lt;D xsi:type="xsd:double"&gt;4325.031861&lt;/D&gt;&lt;D xsi:type="xsd:double"&gt;4323.69985&lt;/D&gt;&lt;D xsi:type="xsd:double"&gt;4356.693971&lt;/D&gt;&lt;D xsi:type="xsd:double"&gt;4347.452163&lt;/D&gt;&lt;D xsi:type="xsd:double"&gt;4394.90934&lt;/D&gt;&lt;D xsi:type="xsd:double"&gt;4390.422081&lt;/D&gt;&lt;D xsi:type="xsd:double"&gt;4381.344754&lt;/D&gt;&lt;D xsi:type="xsd:double"&gt;4424.835344&lt;/D&gt;&lt;D xsi:type="xsd:double"&gt;4426.069551&lt;/D&gt;&lt;D xsi:type="xsd:double"&gt;4418.660676&lt;/D&gt;&lt;D xsi:type="xsd:double"&gt;4371.266455&lt;/D&gt;&lt;D xsi:type="xsd:double"&gt;4343.58337&lt;/D&gt;&lt;D xsi:type="xsd:double"&gt;4322.930981&lt;/D&gt;&lt;D xsi:type="xsd:double"&gt;4341.533078&lt;/D&gt;&lt;D xsi:type="xsd:double"&gt;4345.789894&lt;/D&gt;&lt;D xsi:type="xsd:double"&gt;4296.405771&lt;/D&gt;&lt;D xsi:type="xsd:double"&gt;4292.084024&lt;/D&gt;&lt;D xsi:type="xsd:double"&gt;4302.27193&lt;/D&gt;&lt;D xsi:type="xsd:double"&gt;4277.744626&lt;/D&gt;&lt;D xsi:type="xsd:double"&gt;4285.802493&lt;/D&gt;&lt;D xsi:type="xsd:double"&gt;4237.721503&lt;/D&gt;&lt;D xsi:type="xsd:double"&gt;4337.775611&lt;/D&gt;&lt;D xsi:type="xsd:double"&gt;4352.17722&lt;/D&gt;&lt;D xsi:type="xsd:double"&gt;4331.478476&lt;/D&gt;&lt;D xsi:type="xsd:double"&gt;4351.883153&lt;/D&gt;&lt;D xsi:type="xsd:double"&gt;4337.293948&lt;/D&gt;&lt;D xsi:type="xsd:double"&gt;4327.485664&lt;/D&gt;&lt;D xsi:type="xsd:double"&gt;4322.701477&lt;/D&gt;&lt;D xsi:type="xsd:double"&gt;4306.703835&lt;/D&gt;&lt;D xsi:type="xsd:double"&gt;4288.358629&lt;/D&gt;&lt;D xsi:type="xsd:double"&gt;4276.227247&lt;/D&gt;&lt;D xsi:type="xsd:double"&gt;4252.353491&lt;/D&gt;&lt;D xsi:type="xsd:double"&gt;4277.346095&lt;/D&gt;&lt;D xsi:type="xsd:double"&gt;4293.661355&lt;/D&gt;&lt;D xsi:type="xsd:double"&gt;4309.232964&lt;/D&gt;&lt;D xsi:type="xsd:double"&gt;4293.853997&lt;/D&gt;&lt;D xsi:type="xsd:double"&gt;4279.33668&lt;/D&gt;&lt;D xsi:type="xsd:double"&gt;4264.862064&lt;/D&gt;&lt;D xsi:type="xsd:double"&gt;4269.826929&lt;/D&gt;&lt;D xsi:type="xsd:double"&gt;4273.267902&lt;/D&gt;&lt;D xsi:type="xsd:double"&gt;4252.634506&lt;/D&gt;&lt;D xsi:type="xsd:double"&gt;4255.231027&lt;/D&gt;&lt;D xsi:type="xsd:double"&gt;4223.672009&lt;/D&gt;&lt;D xsi:type="xsd:double"&gt;4213.109875&lt;/D&gt;&lt;D xsi:type="xsd:double"&gt;4204.414569&lt;/D&gt;&lt;D xsi:type="xsd:double"&gt;4191.231953&lt;/D&gt;&lt;D xsi:type="xsd:double"&gt;4189.100499&lt;/D&gt;&lt;D xsi:type="xsd:double"&gt;4158.875247&lt;/D&gt;&lt;D xsi:type="xsd:double"&gt;4143.339921&lt;/D&gt;&lt;D xsi:type="xsd:double"&gt;4177.716122&lt;/D&gt;&lt;D xsi:type="xsd:double"&gt;4199.989651&lt;/D&gt;&lt;D xsi:type="xsd:double"&gt;4180.826142&lt;/D&gt;&lt;D xsi:type="xsd:double"&gt;4177.263779&lt;/D&gt;&lt;D xsi:type="xsd:double"&gt;4174.128475&lt;/D&gt;&lt;D xsi:type="xsd:double"&gt;4192.803329&lt;/D&gt;&lt;D xsi:type="xsd:double"&gt;4132.084457&lt;/D&gt;&lt;D xsi:type="xsd:double"&gt;4148.827726&lt;/D&gt;&lt;D xsi:type="xsd:double"&gt;4155.02262&lt;/D&gt;&lt;D xsi:type="xsd:double"&gt;4170.72452&lt;/D&gt;&lt;D xsi:type="xsd:double"&gt;4174.555954&lt;/D&gt;&lt;D xsi:type="xsd:double"&gt;4174.172902&lt;/D&gt;&lt;D xsi:type="xsd:double"&gt;4177.97393&lt;/D&gt;&lt;D xsi:type="xsd:double"&gt;4156.475244&lt;/D&gt;&lt;D xsi:type="xsd:double"&gt;4113.113779&lt;/D&gt;&lt;D xsi:type="xsd:double"&gt;4125.298059&lt;/D&gt;&lt;D xsi:type="xsd:double"&gt;4098.078431&lt;/D&gt;&lt;D xsi:type="xsd:double"&gt;4093.260518&lt;/D&gt;&lt;D xsi:type="xsd:double"&gt;4063.297327&lt;/D&gt;&lt;D xsi:type="xsd:double"&gt;4072.664014&lt;/D&gt;&lt;D xsi:type="xsd:double"&gt;4022.694519&lt;/D&gt;&lt;D xsi:type="xsd:double"&gt;4076.038046&lt;/D&gt;&lt;D xsi:type="xsd:double"&gt;4095.583247&lt;/D&gt;&lt;D xsi:type="xsd:double"&gt;4102.804525&lt;/D&gt;&lt;D xsi:type="xsd:double"&gt;4119.122445&lt;/D&gt;&lt;D xsi:type="xsd:double"&gt;4127.468875&lt;/D&gt;&lt;D xsi:type="xsd:double"&gt;4124.254327&lt;/D&gt;&lt;D xsi:type="xsd:double"&gt;4115.241931&lt;/D&gt;&lt;D xsi:type="xsd:double"&gt;4074.993766&lt;/D&gt;&lt;D xsi:type="xsd:double"&gt;4072.136734&lt;/D&gt;&lt;D xsi:type="xsd:double"&gt;4065.679209&lt;/D&gt;&lt;D xsi:type="xsd:double"&gt;4060.506851&lt;/D&gt;&lt;D xsi:type="xsd:double"&gt;4035.772288&lt;/D&gt;&lt;D xsi:type="xsd:double"&gt;4031.19814&lt;/D&gt;&lt;D xsi:type="xsd:double"&gt;4051.500813&lt;/D&gt;&lt;D xsi:type="xsd:double"&gt;4046.839533&lt;/D&gt;&lt;D xsi:type="xsd:double"&gt;4063.964219&lt;/D&gt;&lt;D xsi:type="xsd:double"&gt;4055.88515&lt;/D&gt;&lt;D xsi:type="xsd:double"&gt;4030.006367&lt;/D&gt;&lt;D xsi:type="xsd:double"&gt;4035.120573&lt;/D&gt;&lt;D xsi:type="xsd:double"&gt;4063.043569&lt;/D&gt;&lt;D xsi:type="xsd:double"&gt;4036.252516&lt;/D&gt;&lt;D xsi:type="xsd:double"&gt;4021.568097&lt;/D&gt;&lt;D xsi:type="xsd:double"&gt;4026.443438&lt;/D&gt;&lt;D xsi:type="xsd:double"&gt;4009.036462&lt;/D&gt;&lt;D xsi:type="xsd:double"&gt;3984.499959&lt;/D&gt;&lt;D xsi:type="xsd:double"&gt;3950.112946&lt;/D&gt;&lt;D xsi:type="xsd:double"&gt;3957.830367&lt;/D&gt;&lt;D xsi:type="xsd:double"&gt;3905.857624&lt;/D&gt;&lt;D xsi:type="xsd:double"&gt;3881.692896&lt;/D&gt;&lt;D xsi:type="xsd:double"&gt;3899.458161&lt;/D&gt;&lt;D xsi:type="xsd:double"&gt;3901.808749&lt;/D&gt;&lt;D xsi:type="xsd:double"&gt;3936.02961&lt;/D&gt;&lt;D xsi:type="xsd:double"&gt;3900.895585&lt;/D&gt;&lt;D xsi:type="xsd:double"&gt;3944.576355&lt;/D&gt;&lt;D xsi:type="xsd:double"&gt;3929.36164&lt;/D&gt;&lt;D xsi:type="xsd:double"&gt;3934.936123&lt;/D&gt;&lt;D xsi:type="xsd:double"&gt;3919.165824&lt;/D&gt;&lt;D xsi:type="xsd:double"&gt;3914.721219&lt;/D&gt;&lt;D xsi:type="xsd:double"&gt;3889.6733&lt;/D&gt;&lt;D xsi:type="xsd:double"&gt;3903.910706&lt;/D&gt;&lt;D xsi:type="xsd:double"&gt;3894.529929&lt;/D&gt;&lt;D xsi:type="xsd:double"&gt;3881.405948&lt;/D&gt;&lt;D xsi:type="xsd:double"&gt;3863.483223&lt;/D&gt;&lt;D xsi:type="xsd:double"&gt;3862.338502&lt;/D&gt;&lt;D xsi:type="xsd:double"&gt;3845.70412&lt;/D&gt;&lt;D xsi:type="xsd:double"&gt;3869.058128&lt;/D&gt;&lt;D xsi:type="xsd:double"&gt;3802.772779&lt;/D&gt;&lt;D xsi:type="xsd:double"&gt;3818.900676&lt;/D&gt;&lt;D xsi:type="xsd:double"&gt;3829.815535&lt;/D&gt;&lt;D xsi:type="xsd:double"&gt;3870.027793&lt;/D&gt;&lt;D xsi:type="xsd:double"&gt;3874.124164&lt;/D&gt;&lt;D xsi:type="xsd:double"&gt;3863.290981&lt;/D&gt;&lt;D xsi:type="xsd:double"&gt;3842.187548&lt;/D&gt;&lt;D xsi:type="xsd:double"&gt;3830.711238&lt;/D&gt;&lt;D xsi:type="xsd:double"&gt;3823.071492&lt;/D&gt;&lt;D xsi:type="xsd:double"&gt;3793.703057&lt;/D&gt;&lt;D xsi:type="xsd:double"&gt;3711.676171&lt;/D&gt;&lt;D xsi:type="xsd:double"&gt;3707.887919&lt;/D&gt;&lt;D xsi:type="xsd:double"&gt;3697.543204&lt;/D&gt;&lt;D xsi:type="xsd:double"&gt;3687.159572&lt;/D&gt;&lt;D xsi:type="xsd:double"&gt;3707.375521&lt;/D&gt;&lt;D xsi:type="xsd:double"&gt;3724.621589&lt;/D&gt;&lt;D xsi:type="xsd:double"&gt;3663.739161&lt;/D&gt;&lt;D xsi:type="xsd:double"&gt;3655.523833&lt;/D&gt;&lt;D xsi:type="xsd:double"&gt;3647.213919&lt;/D&gt;&lt;D xsi:type="xsd:double"&gt;3628.482342&lt;/D&gt;&lt;D xsi:type="xsd:double"&gt;3618.475161&lt;/D&gt;&lt;D xsi:type="xsd:double"&gt;3596.160252&lt;/D&gt;&lt;D xsi:type="xsd:double"&gt;3537.974984&lt;/D&gt;&lt;D xsi:type="xsd:double"&gt;3487.986774&lt;/D&gt;&lt;D xsi:type="xsd:double"&gt;3424.327234&lt;/D&gt;&lt;D xsi:type="xsd:double"&gt;3474.060386&lt;/D&gt;&lt;D xsi:type="xsd:double"&gt;3468.467977&lt;/D&gt;&lt;D xsi:type="xsd:double"&gt;3522.799878&lt;/D&gt;&lt;D xsi:type="xsd:double"&gt;3514.161249&lt;/D&gt;&lt;D xsi:type="xsd:double"&gt;3471.274543&lt;/D&gt;&lt;D xsi:type="xsd:double"&gt;3421.90753&lt;/D&gt;&lt;D xsi:type="xsd:double"&gt;3464.761845&lt;/D&gt;&lt;D xsi:type="xsd:double"&gt;3254.235695&lt;/D&gt;&lt;D xsi:type="xsd:double"&gt;3267.004101&lt;/D&gt;&lt;D xsi:type="xsd:double"&gt;3326.280668&lt;/D&gt;&lt;D xsi:type="xsd:double"&gt;3532.638686&lt;/D&gt;&lt;D xsi:type="xsd:double"&gt;3668.533617&lt;/D&gt;&lt;D xsi:type="xsd:double"&gt;3649.560147&lt;/D&gt;&lt;D xsi:type="xsd:double"&gt;3628.642275&lt;/D&gt;&lt;D xsi:type="xsd:double"&gt;3634.706893&lt;/D&gt;&lt;D xsi:type="xsd:double"&gt;3696.163795&lt;/D&gt;&lt;D xsi:type="xsd:double"&gt;3709.185464&lt;/D&gt;&lt;D xsi:type="xsd:double"&gt;3746.867505&lt;/D&gt;&lt;D xsi:type="xsd:double"&gt;3735.727865&lt;/D&gt;&lt;D xsi:type="xsd:double"&gt;3689.854005&lt;/D&gt;&lt;D xsi:type="xsd:double"&gt;3693.554992&lt;/D&gt;&lt;D xsi:type="xsd:double"&gt;3701.864966&lt;/D&gt;&lt;D xsi:type="xsd:double"&gt;3672.57106&lt;/D&gt;&lt;D xsi:type="xsd:double"&gt;3697.211207&lt;/D&gt;&lt;D xsi:type="xsd:double"&gt;3665.705164&lt;/D&gt;&lt;D xsi:type="xsd:double"&gt;3599.666062&lt;/D&gt;&lt;D xsi:type="xsd:double"&gt;3643.013926&lt;/D&gt;&lt;D xsi:type="xsd:double"&gt;3623.174987&lt;/D&gt;&lt;D xsi:type="xsd:double"&gt;3651.484054&lt;/D&gt;&lt;D xsi:type="xsd:double"&gt;3740.365171&lt;/D&gt;&lt;D xsi:type="xsd:double"&gt;3730.931016&lt;/D&gt;&lt;D xsi:type="xsd:double"&gt;3777.644798&lt;/D&gt;&lt;D xsi:type="xsd:double"&gt;3724.686426&lt;/D&gt;&lt;D xsi:type="xsd:double"&gt;3770.339517&lt;/D&gt;&lt;D xsi:type="xsd:double"&gt;3805.325826&lt;/D&gt;&lt;D xsi:type="xsd:double"&gt;3767.353589&lt;/D&gt;&lt;D xsi:type="xsd:double"&gt;3821.038586&lt;/D&gt;&lt;D xsi:type="xsd:double"&gt;3814.345667&lt;/D&gt;&lt;D xsi:type="xsd:double"&gt;3828.177123&lt;/D&gt;&lt;D xsi:type="xsd:double"&gt;3843.077388&lt;/D&gt;&lt;D xsi:type="xsd:double"&gt;3893.651637&lt;/D&gt;&lt;D xsi:type="xsd:double"&gt;3906.824118&lt;/D&gt;&lt;D xsi:type="xsd:double"&gt;3910.706126&lt;/D&gt;&lt;D xsi:type="xsd:double"&gt;3898.868092&lt;/D&gt;&lt;D xsi:type="xsd:double"&gt;3894.238565&lt;/D&gt;&lt;D xsi:type="xsd:double"&gt;3848.184918&lt;/D&gt;&lt;D xsi:type="xsd:double"&gt;3854.959554&lt;/D&gt;&lt;D xsi:type="xsd:double"&gt;3854.093337&lt;/D&gt;&lt;D xsi:type="xsd:double"&gt;3832.820403&lt;/D&gt;&lt;D xsi:type="xsd:double"&gt;3864.031283&lt;/D&gt;&lt;D xsi:type="xsd:double"&gt;3848.647138&lt;/D&gt;&lt;D xsi:type="xsd:double"&gt;3826.360753&lt;/D&gt;&lt;D xsi:type="xsd:double"&gt;3796.528732&lt;/D&gt;&lt;D xsi:type="xsd:double"&gt;3836.583459&lt;/D&gt;&lt;D xsi:type="xsd:double"&gt;3853.492882&lt;/D&gt;&lt;D xsi:type="xsd:double"&gt;3828.450523&lt;/D&gt;&lt;D xsi:type="xsd:double"&gt;3836.253443&lt;/D&gt;&lt;D xsi:type="xsd:double"&gt;3813.330058&lt;/D&gt;&lt;D xsi:type="xsd:double"&gt;3856.778555&lt;/D&gt;&lt;D xsi:type="xsd:double"&gt;3856.168773&lt;/D&gt;&lt;D xsi:type="xsd:double"&gt;3838.185251&lt;/D&gt;&lt;D xsi:type="xsd:double"&gt;3817.277386&lt;/D&gt;&lt;D xsi:type="xsd:double"&gt;3777.850023&lt;/D&gt;&lt;D xsi:type="xsd:double"&gt;3746.860499&lt;/D&gt;&lt;D xsi:type="xsd:double"&gt;3744.473505&lt;/D&gt;&lt;D xsi:type="xsd:double"&gt;3682.461332&lt;/D&gt;&lt;D xsi:type="xsd:double"&gt;3674.915344&lt;/D&gt;&lt;D xsi:type="xsd:double"&gt;3678.223906&lt;/D&gt;&lt;D xsi:type="xsd:double"&gt;3732.199658&lt;/D&gt;&lt;D xsi:type="xsd:double"&gt;3733.549051&lt;/D&gt;&lt;D xsi:type="xsd:double"&gt;3763.145563&lt;/D&gt;&lt;D xsi:type="xsd:double"&gt;3737.500699&lt;/D&gt;&lt;D xsi:type="xsd:double"&gt;3702.678658&lt;/D&gt;&lt;D xsi:type="xsd:double"&gt;3707.837386&lt;/D&gt;&lt;D xsi:type="xsd:double"&gt;3718.93887&lt;/D&gt;&lt;D xsi:type="xsd:double"&gt;3755.355239&lt;/D&gt;&lt;D xsi:type="xsd:double"&gt;3778.695345&lt;/D&gt;&lt;D xsi:type="xsd:double"&gt;3777.892029&lt;/D&gt;&lt;D xsi:type="xsd:double"&gt;3745.127714&lt;/D&gt;&lt;D xsi:type="xsd:double"&gt;3723.22203&lt;/D&gt;&lt;D xsi:type="xsd:double"&gt;3696.054078&lt;/D&gt;&lt;D xsi:type="xsd:double"&gt;3720.409088&lt;/D&gt;&lt;D xsi:type="xsd:double"&gt;3812.072086&lt;/D&gt;&lt;D xsi:type="xsd:double"&gt;3826.994073&lt;/D&gt;&lt;D xsi:type="xsd:double"&gt;3817.236652&lt;/D&gt;&lt;D xsi:type="xsd:double"&gt;3826.083279&lt;/D&gt;&lt;D xsi:type="xsd:double"&gt;3842.385458&lt;/D&gt;&lt;D xsi:type="xsd:double"&gt;3816.757006&lt;/D&gt;&lt;D xsi:type="xsd:double"&gt;3837.627419&lt;/D&gt;&lt;D xsi:type="xsd:double"&gt;3855.068005&lt;/D&gt;&lt;D xsi:type="xsd:double"&gt;3848.480799&lt;/D&gt;&lt;D xsi:type="xsd:double"&gt;3849.717662&lt;/D&gt;&lt;D xsi:type="xsd:double"&gt;3830.115306&lt;/D&gt;&lt;D xsi:type="xsd:double"&gt;3817.719791&lt;/D&gt;&lt;D xsi:type="xsd:double"&gt;3810.141269&lt;/D&gt;&lt;D xsi:type="xsd:double"&gt;3786.041839&lt;/D&gt;&lt;D xsi:type="xsd:double"&gt;3790.306266&lt;/D&gt;&lt;D xsi:type="xsd:double"&gt;3781.788019&lt;/D&gt;&lt;D xsi:type="xsd:double"&gt;3765.964919&lt;/D&gt;&lt;D xsi:type="xsd:double"&gt;3753.509687&lt;/D&gt;&lt;D xsi:type="xsd:double"&gt;3732.766634&lt;/D&gt;&lt;D xsi:type="xsd:double"&gt;3738.952442&lt;/D&gt;&lt;D xsi:type="xsd:double"&gt;3723.357812&lt;/D&gt;&lt;D xsi:type="xsd:double"&gt;3710.500827&lt;/D&gt;&lt;D xsi:type="xsd:double"&gt;3752.69741&lt;/D&gt;&lt;D xsi:type="xsd:double"&gt;3767.054667&lt;/D&gt;&lt;D xsi:type="xsd:double"&gt;3773.232235&lt;/D&gt;&lt;D xsi:type="xsd:double"&gt;3795.298285&lt;/D&gt;&lt;D xsi:type="xsd:double"&gt;3791.227607&lt;/D&gt;&lt;D xsi:type="xsd:double"&gt;3787.268439&lt;/D&gt;&lt;D xsi:type="xsd:double"&gt;3752.148803&lt;/D&gt;&lt;D xsi:type="xsd:double"&gt;3692.957431&lt;/D&gt;&lt;D xsi:type="xsd:double"&gt;3656.142542&lt;/D&gt;&lt;D xsi:type="xsd:double"&gt;3660.031572&lt;/D&gt;&lt;D xsi:type="xsd:double"&gt;3647.137347&lt;/D&gt;&lt;D xsi:type="xsd:double"&gt;3706.285486&lt;/D&gt;&lt;D xsi:type="xsd:double"&gt;3717.860416&lt;/D&gt;&lt;D xsi:type="xsd:double"&gt;3716.608817&lt;/D&gt;&lt;D xsi:type="xsd:double"&gt;3705.809593&lt;/D&gt;&lt;D xsi:type="xsd:double"&gt;3707.181942&lt;/D&gt;&lt;D xsi:type="xsd:double"&gt;3697.598581&lt;/D&gt;&lt;D xsi:type="xsd:double"&gt;3731.324772&lt;/D&gt;&lt;D xsi:type="xsd:double"&gt;3740.267546&lt;/D&gt;&lt;D xsi:type="xsd:double"&gt;3753.040904&lt;/D&gt;&lt;D xsi:type="xsd:double"&gt;3737.866783&lt;/D&gt;&lt;D xsi:type="xsd:double"&gt;3735.291749&lt;/D&gt;&lt;D xsi:type="xsd:double"&gt;3728.397875&lt;/D&gt;&lt;D xsi:type="xsd:double"&gt;3753.486081&lt;/D&gt;&lt;D xsi:type="xsd:double"&gt;3731.927839&lt;/D&gt;&lt;D xsi:type="xsd:double"&gt;3710.70969&lt;/D&gt;&lt;D xsi:type="xsd:double"&gt;3716.171065&lt;/D&gt;&lt;D xsi:type="xsd:double"&gt;3694.301779&lt;/D&gt;&lt;D xsi:type="xsd:double"&gt;3678.749423&lt;/D&gt;&lt;D xsi:type="xsd:double"&gt;3698.411706&lt;/D&gt;&lt;D xsi:type="xsd:double"&gt;3675.885322&lt;/D&gt;&lt;D xsi:type="xsd:double"&gt;3685.923856&lt;/D&gt;&lt;D xsi:type="xsd:double"&gt;3693.496074&lt;/D&gt;&lt;D xsi:type="xsd:double"&gt;3723.032105&lt;/D&gt;&lt;D xsi:type="xsd:double"&gt;3726.795325&lt;/D&gt;&lt;D xsi:type="xsd:double"&gt;3720.507534&lt;/D&gt;&lt;D xsi:type="xsd:double"&gt;3695.891416&lt;/D&gt;&lt;D xsi:type="xsd:double"&gt;3702.331339&lt;/D&gt;&lt;D xsi:type="xsd:double"&gt;3688.333592&lt;/D&gt;&lt;D xsi:type="xsd:double"&gt;3676.837297&lt;/D&gt;&lt;D xsi:type="xsd:double"&gt;3689.520946&lt;/D&gt;&lt;D xsi:type="xsd:double"&gt;3629.691667&lt;/D&gt;&lt;D xsi:type="xsd:double"&gt;3640.50204&lt;/D&gt;&lt;D xsi:type="xsd:double"&gt;3640.731759&lt;/D&gt;&lt;D xsi:type="xsd:double"&gt;3634.855561&lt;/D&gt;&lt;D xsi:type="xsd:double"&gt;3611.298631&lt;/D&gt;&lt;D xsi:type="xsd:double"&gt;3578.649459&lt;/D&gt;&lt;D xsi:type="xsd:double"&gt;3552.027587&lt;/D&gt;&lt;D xsi:type="xsd:double"&gt;3546.400988&lt;/D&gt;&lt;D xsi:type="xsd:double"&gt;3518.582921&lt;/D&gt;&lt;D xsi:type="xsd:double"&gt;3567.494033&lt;/D&gt;&lt;D xsi:type="xsd:double"&gt;3580.057975&lt;/D&gt;&lt;D xsi:type="xsd:double"&gt;3595.43959&lt;/D&gt;&lt;D xsi:type="xsd:double"&gt;3661.241222&lt;/D&gt;&lt;D xsi:type="xsd:double"&gt;3632.154995&lt;/D&gt;&lt;D xsi:type="xsd:double"&gt;3631.195255&lt;/D&gt;&lt;D xsi:type="xsd:double"&gt;3647.297472&lt;/D&gt;&lt;D xsi:type="xsd:double"&gt;3641.806365&lt;/D&gt;&lt;D xsi:type="xsd:double"&gt;3649.557652&lt;/D&gt;&lt;D xsi:type="xsd:double"&gt;3607.634123&lt;/D&gt;&lt;D xsi:type="xsd:double"&gt;3630.660675&lt;/D&gt;&lt;D xsi:type="xsd:double"&gt;3615.767386&lt;/D&gt;&lt;D xsi:type="xsd:double"&gt;3618.408122&lt;/D&gt;&lt;D xsi:type="xsd:double"&gt;3584.192802&lt;/D&gt;&lt;D xsi:type="xsd:double"&gt;3568.102588&lt;/D&gt;&lt;D xsi:type="xsd:double"&gt;3522.415366&lt;/D&gt;&lt;D xsi:type="xsd:double"&gt;3501.908037&lt;/D&gt;&lt;D xsi:type="xsd:double"&gt;3446.330914&lt;/D&gt;&lt;D xsi:type="xsd:double"&gt;3447.74616&lt;/D&gt;&lt;D xsi:type="xsd:double"&gt;3427.784456&lt;/D&gt;&lt;D xsi:type="xsd:double"&gt;3372.319721&lt;/D&gt;&lt;D xsi:type="xsd:double"&gt;3380.90783&lt;/D&gt;&lt;D xsi:type="xsd:double"&gt;3342.72872&lt;/D&gt;&lt;D xsi:type="xsd:double"&gt;3448.800115&lt;/D&gt;&lt;D xsi:type="xsd:double"&gt;3518.005456&lt;/D&gt;&lt;D xsi:type="xsd:double"&gt;3571.574663&lt;/D&gt;&lt;D xsi:type="xsd:double"&gt;3514.370093&lt;/D&gt;&lt;D xsi:type="xsd:double"&gt;3526.514331&lt;/D&gt;&lt;D xsi:type="xsd:double"&gt;3524.080442&lt;/D&gt;&lt;D xsi:type="xsd:double"&gt;3490.817314&lt;/D&gt;&lt;D xsi:type="xsd:double"&gt;3515.96763&lt;/D&gt;&lt;D xsi:type="xsd:double"&gt;3580.865231&lt;/D&gt;&lt;D xsi:type="xsd:double"&gt;3584.663862&lt;/D&gt;&lt;D xsi:type="xsd:double"&gt;3553.763866&lt;/D&gt;&lt;D xsi:type="xsd:double"&gt;3579.835706&lt;/D&gt;&lt;D xsi:type="xsd:double"&gt;3607.735865&lt;/D&gt;&lt;D xsi:type="xsd:double"&gt;3642.951065&lt;/D&gt;&lt;D xsi:type="xsd:double"&gt;3629.577237&lt;/D&gt;&lt;D xsi:type="xsd:double"&gt;3627.515777&lt;/D&gt;&lt;D xsi:type="xsd:double"&gt;3606.148842&lt;/D&gt;&lt;D xsi:type="xsd:double"&gt;3613.614545&lt;/D&gt;&lt;D xsi:type="xsd:double"&gt;3579.329025&lt;/D&gt;&lt;D xsi:type="xsd:double"&gt;3582.69576&lt;/D&gt;&lt;D xsi:type="xsd:double"&gt;3580.90272&lt;/D&gt;&lt;D xsi:type="xsd:double"&gt;3562.22682&lt;/D&gt;&lt;D xsi:type="xsd:double"&gt;3537.506676&lt;/D&gt;&lt;D xsi:type="xsd:double"&gt;3520.043735&lt;/D&gt;&lt;D xsi:type="xsd:double"&gt;3511.781801&lt;/D&gt;&lt;D xsi:type="xsd:double"&gt;3521.89957&lt;/D&gt;&lt;D xsi:type="xsd:double"&gt;3520.208197&lt;/D&gt;&lt;D xsi:type="xsd:double"&gt;3520.731184&lt;/D&gt;&lt;D xsi:type="xsd:double"&gt;3508.947133&lt;/D&gt;&lt;D xsi:type="xsd:double"&gt;3507.808018&lt;/D&gt;&lt;D xsi:type="xsd:double"&gt;3519.679894&lt;/D&gt;&lt;D xsi:type="xsd:double"&gt;3522.679799&lt;/D&gt;&lt;D xsi:type="xsd:double"&gt;3508.248348&lt;/D&gt;&lt;D xsi:type="xsd:double"&gt;3492.052677&lt;/D&gt;&lt;D xsi:type="xsd:double"&gt;3504.474993&lt;/D&gt;&lt;D xsi:type="xsd:double"&gt;3516.298753&lt;/D&gt;&lt;D xsi:type="xsd:double"&gt;3479.941807&lt;/D&gt;&lt;D xsi:type="xsd:double"&gt;3482.22445&lt;/D&gt;&lt;D xsi:type="xsd:double"&gt;3478.699699&lt;/D&gt;&lt;D xsi:type="xsd:double"&gt;3489.893526&lt;/D&gt;&lt;D xsi:type="xsd:double"&gt;3483.396519&lt;/D&gt;&lt;D xsi:type="xsd:double"&gt;3453.709257&lt;/D&gt;&lt;D xsi:type="xsd:double"&gt;3453.440814&lt;/D&gt;&lt;D xsi:type="xsd:double"&gt;3445.172449&lt;/D&gt;&lt;D xsi:type="xsd:double"&gt;3420.319617&lt;/D&gt;&lt;D xsi:type="xsd:double"&gt;3430.004584&lt;/D&gt;&lt;D xsi:type="xsd:double"&gt;3464.61294&lt;/D&gt;&lt;D xsi:type="xsd:double"&gt;3462.133237&lt;/D&gt;&lt;D xsi:type="xsd:double"&gt;3446.42498&lt;/D&gt;&lt;D xsi:type="xsd:double"&gt;3465.552671&lt;/D&gt;&lt;D xsi:type="xsd:double"&gt;3479.841199&lt;/D&gt;&lt;D xsi:type="xsd:double"&gt;3477.066092&lt;/D&gt;&lt;D xsi:type="xsd:double"&gt;3472.519085&lt;/D&gt;&lt;D xsi:type="xsd:double"&gt;3468.711922&lt;/D&gt;&lt;D xsi:type="xsd:double"&gt;3472.26371&lt;/D&gt;&lt;D xsi:type="xsd:double"&gt;3435.151346&lt;/D&gt;&lt;D xsi:type="xsd:double"&gt;3421.111633&lt;/D&gt;&lt;D xsi:type="xsd:double"&gt;3419.922733&lt;/D&gt;&lt;D xsi:type="xsd:double"&gt;3411.109946&lt;/D&gt;&lt;D xsi:type="xsd:double"&gt;3395.637281&lt;/D&gt;&lt;D xsi:type="xsd:double"&gt;3401.766779&lt;/D&gt;&lt;D xsi:type="xsd:double"&gt;3391.132025&lt;/D&gt;&lt;D xsi:type="xsd:double"&gt;3361.412556&lt;/D&gt;&lt;D xsi:type="xsd:double"&gt;3321.809759&lt;/D&gt;&lt;D xsi:type="xsd:double"&gt;3294.005232&lt;/D&gt;&lt;D xsi:type="xsd:double"&gt;3305.295943&lt;/D&gt;&lt;D xsi:type="xsd:double"&gt;3347.040902&lt;/D&gt;&lt;D xsi:type="xsd:double"&gt;3335.076569&lt;/D&gt;&lt;D xsi:type="xsd:double"&gt;3306.67769&lt;/D&gt;&lt;D xsi:type="xsd:double"&gt;3323.288066&lt;/D&gt;&lt;D xsi:type="xsd:double"&gt;3322.536761&lt;/D&gt;&lt;D xsi:type="xsd:double"&gt;3282.090699&lt;/D&gt;&lt;D xsi:type="xsd:double"&gt;3255.621138&lt;/D&gt;&lt;D xsi:type="xsd:double"&gt;3280.101481&lt;/D&gt;&lt;D xsi:type="xsd:double"&gt;3281.114195&lt;/D&gt;&lt;D xsi:type="xsd:double"&gt;3297.137714&lt;/D&gt;&lt;D xsi:type="xsd:double"&gt;3317.678389&lt;/D&gt;&lt;D xsi:type="xsd:double"&gt;3351.010263&lt;/D&gt;&lt;D xsi:type="xsd:double"&gt;3391.010746&lt;/D&gt;&lt;D xsi:type="xsd:double"&gt;3379.724573&lt;/D&gt;&lt;D xsi:type="xsd:double"&gt;3412.091303&lt;/D&gt;&lt;D xsi:type="xsd:double"&gt;3408.567708&lt;/D&gt;&lt;D xsi:type="xsd:double"&gt;3402.356674&lt;/D&gt;&lt;D xsi:type="xsd:double"&gt;3386.30782&lt;/D&gt;&lt;D xsi:type="xsd:double"&gt;3409.618143&lt;/D&gt;&lt;D xsi:type="xsd:double"&gt;3403.399943&lt;/D&gt;&lt;D xsi:type="xsd:double"&gt;3424.73061&lt;/D&gt;&lt;D xsi:type="xsd:double"&gt;3436.780555&lt;/D&gt;&lt;D xsi:type="xsd:double"&gt;3436.982393&lt;/D&gt;&lt;D xsi:type="xsd:double"&gt;3414.287435&lt;/D&gt;&lt;D xsi:type="xsd:double"&gt;3420.177081&lt;/D&gt;&lt;D xsi:type="xsd:double"&gt;3428.12268&lt;/D&gt;&lt;D xsi:type="xsd:double"&gt;3434.69092&lt;/D&gt;&lt;D xsi:type="xsd:double"&gt;3414.885746&lt;/D&gt;&lt;D xsi:type="xsd:double"&gt;3393.368388&lt;/D&gt;&lt;D xsi:type="xsd:double"&gt;3380.665809&lt;/D&gt;&lt;D xsi:type="xsd:double"&gt;3363.033667&lt;/D&gt;&lt;D xsi:type="xsd:double"&gt;3382.479999&lt;/D&gt;&lt;D xsi:type="xsd:double"&gt;3396.185099&lt;/D&gt;&lt;D xsi:type="xsd:double"&gt;3397.253205&lt;/D&gt;&lt;D xsi:type="xsd:double"&gt;3367.077168&lt;/D&gt;&lt;D xsi:type="xsd:double"&gt;3380.13845&lt;/D&gt;&lt;D xsi:type="xsd:double"&gt;3391.255195&lt;/D&gt;&lt;D xsi:type="xsd:double"&gt;3357.029346&lt;/D&gt;&lt;D xsi:type="xsd:double"&gt;3337.197443&lt;/D&gt;&lt;D xsi:type="xsd:double"&gt;3362.275725&lt;/D&gt;&lt;D xsi:type="xsd:double"&gt;3364.043606&lt;/D&gt;&lt;D xsi:type="xsd:double"&gt;3337.204496&lt;/D&gt;&lt;D xsi:type="xsd:double"&gt;3322.641754&lt;/D&gt;&lt;D xsi:type="xsd:double"&gt;3331.880734&lt;/D&gt;&lt;D xsi:type="xsd:double"&gt;3325.785204&lt;/D&gt;&lt;D xsi:type="xsd:double"&gt;3334.042582&lt;/D&gt;&lt;D xsi:type="xsd:double"&gt;3329.858574&lt;/D&gt;&lt;D xsi:type="xsd:double"&gt;3272.189526&lt;/D&gt;&lt;D xsi:type="xsd:double"&gt;3274.332729&lt;/D&gt;&lt;D xsi:type="xsd:double"&gt;3285.119021&lt;/D&gt;&lt;D xsi:type="xsd:double"&gt;3289.742264&lt;/D&gt;&lt;D xsi:type="xsd:double"&gt;3265.665395&lt;/D&gt;&lt;D xsi:type="xsd:double"&gt;3240.260397&lt;/D&gt;&lt;D xsi:type="xsd:double"&gt;3281.007693&lt;/D&gt;&lt;D xsi:type="xsd:double"&gt;3281.421619&lt;/D&gt;&lt;D xsi:type="xsd:double"&gt;3266.138766&lt;/D&gt;&lt;D xsi:type="xsd:double"&gt;3265.065843&lt;/D&gt;&lt;D xsi:type="xsd:double"&gt;3244.512511&lt;/D&gt;&lt;D xsi:type="xsd:double"&gt;3233.531117&lt;/D&gt;&lt;D xsi:type="xsd:double"&gt;3247.642196&lt;/D&gt;&lt;D xsi:type="xsd:double"&gt;3226.796631&lt;/D&gt;&lt;D xsi:type="xsd:double"&gt;3205.316794&lt;/D&gt;&lt;D xsi:type="xsd:double"&gt;3236.761864&lt;/D&gt;&lt;D xsi:type="xsd:double"&gt;3236.322549&lt;/D&gt;&lt;D xsi:type="xsd:double"&gt;3216.234282&lt;/D&gt;&lt;D xsi:type="xsd:double"&gt;3212.324142&lt;/D&gt;&lt;D xsi:type="xsd:double"&gt;3203.552263&lt;/D&gt;&lt;D xsi:type="xsd:double"&gt;3190.903629&lt;/D&gt;&lt;D xsi:type="xsd:double"&gt;3189.097205&lt;/D&gt;&lt;D xsi:type="xsd:double"&gt;3175.362206&lt;/D&gt;&lt;D xsi:type="xsd:double"&gt;3143.20074&lt;/D&gt;&lt;D xsi:type="xsd:double"&gt;3120.43574&lt;/D&gt;&lt;D xsi:type="xsd:double"&gt;3146.04331&lt;/D&gt;&lt;D xsi:type="xsd:double"&gt;3168.307287&lt;/D&gt;&lt;D xsi:type="xsd:double"&gt;3157.324455&lt;/D&gt;&lt;D xsi:type="xsd:double"&gt;3161.49827&lt;/D&gt;&lt;D xsi:type="xsd:double"&gt;3146.968303&lt;/D&gt;&lt;D xsi:type="xsd:double"&gt;3153.616946&lt;/D&gt;&lt;D xsi:type="xsd:double"&gt;3120.548503&lt;/D&gt;&lt;D xsi:type="xsd:double"&gt;3114.120971&lt;/D&gt;&lt;D xsi:type="xsd:double"&gt;3115.682088&lt;/D&gt;&lt;D xsi:type="xsd:double"&gt;3145.419023&lt;/D&gt;&lt;D xsi:type="xsd:double"&gt;3169.179629&lt;/D&gt;&lt;D xsi:type="xsd:double"&gt;3178.048078&lt;/D&gt;&lt;D xsi:type="xsd:double"&gt;3175.65225&lt;/D&gt;&lt;D xsi:type="xsd:double"&gt;3162.650618&lt;/D&gt;&lt;D xsi:type="xsd:double"&gt;3152.258472&lt;/D&gt;&lt;D xsi:type="xsd:double"&gt;3145.088576&lt;/D&gt;&lt;D xsi:type="xsd:double"&gt;3121.789505&lt;/D&gt;&lt;D xsi:type="xsd:double"&gt;3153.344659&lt;/D&gt;&lt;D xsi:type="xsd:double"&gt;3131.34889&lt;/D&gt;&lt;D xsi:type="xsd:double"&gt;3126.137857&lt;/D&gt;&lt;D xsi:type="xsd:double"&gt;3128.892989&lt;/D&gt;&lt;D xsi:type="xsd:double"&gt;3101.079408&lt;/D&gt;&lt;D xsi:type="xsd:double"&gt;3067.443054&lt;/D&gt;&lt;D xsi:type="xsd:double"&gt;3056.417124&lt;/D&gt;&lt;D xsi:type="xsd:double"&gt;3047.21403&lt;/D&gt;&lt;D xsi:type="xsd:double"&gt;3037.449941&lt;/D&gt;&lt;D xsi:type="xsd:double"&gt;3020.981629&lt;/D&gt;&lt;D xsi:type="xsd:double"&gt;3023.222237&lt;/D&gt;&lt;D xsi:type="xsd:double"&gt;3026.586371&lt;/D&gt;&lt;D xsi:type="xsd:double"&gt;3040.69595&lt;/D&gt;&lt;D xsi:type="xsd:double"&gt;3023.629602&lt;/D&gt;&lt;D xsi:type="xsd:double"&gt;3013.929827&lt;/D&gt;&lt;D xsi:type="xsd:double"&gt;3012.567688&lt;/D&gt;&lt;D xsi:type="xsd:double"&gt;3007.991756&lt;/D&gt;&lt;D xsi:type="xsd:double"&gt;3015.190086&lt;/D&gt;&lt;D xsi:type="xsd:double"&gt;3004.757681&lt;/D&gt;&lt;D xsi:type="xsd:double"&gt;2999.867808&lt;/D&gt;&lt;D xsi:type="xsd:double"&gt;3004.876789&lt;/D&gt;&lt;D xsi:type="xsd:double"&gt;2985.187903&lt;/D&gt;&lt;D xsi:type="xsd:double"&gt;2973.002984&lt;/D&gt;&lt;D xsi:type="xsd:double"&gt;2975.190675&lt;/D&gt;&lt;D xsi:type="xsd:double"&gt;2963.356285&lt;/D&gt;&lt;D xsi:type="xsd:double"&gt;2904.641712&lt;/D&gt;&lt;D xsi:type="xsd:double"&gt;2900.762766&lt;/D&gt;&lt;D xsi:type="xsd:double"&gt;2878.976907&lt;/D&gt;&lt;D xsi:type="xsd:double"&gt;2888.41012&lt;/D&gt;&lt;D xsi:type="xsd:double"&gt;2887.392823&lt;/D&gt;&lt;D xsi:type="xsd:double"&gt;2889.436663&lt;/D&gt;&lt;D xsi:type="xsd:double"&gt;2883.801309&lt;/D&gt;&lt;D xsi:type="xsd:double"&gt;2852.553195&lt;/D&gt;&lt;D xsi:type="xsd:double"&gt;2797.490517&lt;/D&gt;&lt;D xsi:type="xsd:double"&gt;2768.62128&lt;/D&gt;&lt;D xsi:type="xsd:double"&gt;2757.588931&lt;/D&gt;&lt;D xsi:type="xsd:double"&gt;2731.991593&lt;/D&gt;&lt;D xsi:type="xsd:double"&gt;2740.964204&lt;/D&gt;&lt;D xsi:type="xsd:double"&gt;2772.107967&lt;/D&gt;&lt;D xsi:type="xsd:double"&gt;2801.963758&lt;/D&gt;&lt;D xsi:type="xsd:double"&gt;2786.74819&lt;/D&gt;&lt;D xsi:type="xsd:double"&gt;2791.240656&lt;/D&gt;&lt;D xsi:type="xsd:double"&gt;2824.449248&lt;/D&gt;&lt;D xsi:type="xsd:double"&gt;2851.886176&lt;/D&gt;&lt;D xsi:type="xsd:double"&gt;2888.618933&lt;/D&gt;&lt;D xsi:type="xsd:double"&gt;2885.348074&lt;/D&gt;&lt;D xsi:type="xsd:double"&gt;2862.144288&lt;/D&gt;&lt;D xsi:type="xsd:double"&gt;2884.059106&lt;/D&gt;&lt;D xsi:type="xsd:double"&gt;2899.503856&lt;/D&gt;&lt;D xsi:type="xsd:double"&gt;2887.894792&lt;/D&gt;&lt;D xsi:type="xsd:double"&gt;2858.705271&lt;/D&gt;&lt;D xsi:type="xsd:double"&gt;2845.227985&lt;/D&gt;&lt;D xsi:type="xsd:double"&gt;2816.43237&lt;/D&gt;&lt;D xsi:type="xsd:double"&gt;2810.860755&lt;/D&gt;&lt;D xsi:type="xsd:double"&gt;2799.636016&lt;/D&gt;&lt;D xsi:type="xsd:double"&gt;2838.775754&lt;/D&gt;&lt;D xsi:type="xsd:double"&gt;2853.235215&lt;/D&gt;&lt;D xsi:type="xsd:double"&gt;2855.876975&lt;/D&gt;&lt;D xsi:type="xsd:double"&gt;2840.815675&lt;/D&gt;&lt;D xsi:type="xsd:double"&gt;2844.831824&lt;/D&gt;&lt;D xsi:type="xsd:double"&gt;2879.785689&lt;/D&gt;&lt;D xsi:type="xsd:double"&gt;2879.848855&lt;/D&gt;&lt;D xsi:type="xsd:double"&gt;2886.070841&lt;/D&gt;&lt;D xsi:type="xsd:double"&gt;2936.357886&lt;/D&gt;&lt;D xsi:type="xsd:double"&gt;2951.17082&lt;/D&gt;&lt;D xsi:type="xsd:double"&gt;2956.140702&lt;/D&gt;&lt;D xsi:type="xsd:double"&gt;2960.976473&lt;/D&gt;&lt;D xsi:type="xsd:double"&gt;2982.684916&lt;/D&gt;&lt;D xsi:type="xsd:double"&gt;2956.842155&lt;/D&gt;&lt;D xsi:type="xsd:double"&gt;2955.869303&lt;/D&gt;&lt;D xsi:type="xsd:double"&gt;2969.450073&lt;/D&gt;&lt;D xsi:type="xsd:double"&gt;2948.806745&lt;/D&gt;&lt;D xsi:type="xsd:double"&gt;2947.113408&lt;/D&gt;&lt;D xsi:type="xsd:double"&gt;2955.815182&lt;/D&gt;&lt;D xsi:type="xsd:double"&gt;2973.454456&lt;/D&gt;&lt;D xsi:type="xsd:double"&gt;2989.505209&lt;/D&gt;&lt;D xsi:type="xsd:double"&gt;2986.023244&lt;/D&gt;&lt;D xsi:type="xsd:double"&gt;2991.523312&lt;/D&gt;&lt;D xsi:type="xsd:double"&gt;2975.501301&lt;/D&gt;&lt;D xsi:type="xsd:double"&gt;2935.707246&lt;/D&gt;&lt;D xsi:type="xsd:double"&gt;2911.9883&lt;/D&gt;&lt;D xsi:type="xsd:double"&gt;2906.254004&lt;/D&gt;&lt;D xsi:type="xsd:double"&gt;2937.695935&lt;/D&gt;&lt;D xsi:type="xsd:double"&gt;2909.185523&lt;/D&gt;&lt;D xsi:type="xsd:double"&gt;2910.521672&lt;/D&gt;&lt;D xsi:type="xsd:double"&gt;2897.504496&lt;/D&gt;&lt;D xsi:type="xsd:double"&gt;2901.838745&lt;/D&gt;&lt;D xsi:type="xsd:double"&gt;2925.632858&lt;/D&gt;&lt;D xsi:type="xsd:double"&gt;2948.222214&lt;/D&gt;&lt;D xsi:type="xsd:double"&gt;2976.857234&lt;/D&gt;&lt;D xsi:type="xsd:double"&gt;2972.734&lt;/</t>
        </r>
      </text>
    </comment>
    <comment ref="A2" authorId="0" shapeId="0">
      <text>
        <r>
          <rPr>
            <b/>
            <sz val="9"/>
            <color indexed="81"/>
            <rFont val="Tahoma"/>
            <family val="2"/>
          </rPr>
          <t>D&gt;&lt;D xsi:type="xsd:double"&gt;2984.810545&lt;/D&gt;&lt;D xsi:type="xsd:double"&gt;2976.314348&lt;/D&gt;&lt;D xsi:type="xsd:double"&gt;2988.096589&lt;/D&gt;&lt;D xsi:type="xsd:double"&gt;3003.766603&lt;/D&gt;&lt;D xsi:type="xsd:double"&gt;2986.54442&lt;/D&gt;&lt;D xsi:type="xsd:double"&gt;2990.132665&lt;/D&gt;&lt;D xsi:type="xsd:double"&gt;3000.534536&lt;/D&gt;&lt;D xsi:type="xsd:double"&gt;3048.595995&lt;/D&gt;&lt;D xsi:type="xsd:double"&gt;3064.296723&lt;/D&gt;&lt;D xsi:type="xsd:double"&gt;3057.838349&lt;/D&gt;&lt;D xsi:type="xsd:double"&gt;3034.413344&lt;/D&gt;&lt;D xsi:type="xsd:double"&gt;3044.703817&lt;/D&gt;&lt;D xsi:type="xsd:double"&gt;3045.389408&lt;/D&gt;&lt;D xsi:type="xsd:double"&gt;3037.435742&lt;/D&gt;&lt;D xsi:type="xsd:double"&gt;3028.709084&lt;/D&gt;&lt;D xsi:type="xsd:double"&gt;3029.695948&lt;/D&gt;&lt;D xsi:type="xsd:double"&gt;3047.985742&lt;/D&gt;&lt;D xsi:type="xsd:double"&gt;3042.528414&lt;/D&gt;&lt;D xsi:type="xsd:double"&gt;3021.964118&lt;/D&gt;&lt;D xsi:type="xsd:double"&gt;3017.936357&lt;/D&gt;&lt;D xsi:type="xsd:double"&gt;3019.709802&lt;/D&gt;&lt;D xsi:type="xsd:double"&gt;2987.189767&lt;/D&gt;&lt;D xsi:type="xsd:double"&gt;2953.121927&lt;/D&gt;&lt;D xsi:type="xsd:double"&gt;2931.046832&lt;/D&gt;&lt;D xsi:type="xsd:double"&gt;2924.191756&lt;/D&gt;&lt;D xsi:type="xsd:double"&gt;2924.551905&lt;/D&gt;&lt;D xsi:type="xsd:double"&gt;2960.75672&lt;/D&gt;&lt;D xsi:type="xsd:double"&gt;2972.029647&lt;/D&gt;&lt;D xsi:type="xsd:double"&gt;2966.723985&lt;/D&gt;&lt;D xsi:type="xsd:double"&gt;2933.864029&lt;/D&gt;&lt;D xsi:type="xsd:double"&gt;2924.919573&lt;/D&gt;&lt;D xsi:type="xsd:double"&gt;2921.19262&lt;/D&gt;&lt;D xsi:type="xsd:double"&gt;2894.932701&lt;/D&gt;&lt;D xsi:type="xsd:double"&gt;2902.337223&lt;/D&gt;&lt;D xsi:type="xsd:double"&gt;2930.365932&lt;/D&gt;&lt;D xsi:type="xsd:double"&gt;2927.720673&lt;/D&gt;&lt;D xsi:type="xsd:double"&gt;2939.538298&lt;/D&gt;&lt;D xsi:type="xsd:double"&gt;2962.335824&lt;/D&gt;&lt;D xsi:type="xsd:double"&gt;2966.434191&lt;/D&gt;&lt;D xsi:type="xsd:double"&gt;2939.590847&lt;/D&gt;&lt;D xsi:type="xsd:double"&gt;2929.681286&lt;/D&gt;&lt;D xsi:type="xsd:double"&gt;2906.013751&lt;/D&gt;&lt;D xsi:type="xsd:double"&gt;2885.630925&lt;/D&gt;&lt;D xsi:type="xsd:double"&gt;2882.131783&lt;/D&gt;&lt;D xsi:type="xsd:double"&gt;2866.586123&lt;/D&gt;&lt;D xsi:type="xsd:double"&gt;2877.966077&lt;/D&gt;&lt;D xsi:type="xsd:double"&gt;2870.27204&lt;/D&gt;&lt;D xsi:type="xsd:double"&gt;2873.365172&lt;/D&gt;&lt;D xsi:type="xsd:double"&gt;2831.656561&lt;/D&gt;&lt;D xsi:type="xsd:double"&gt;2800.557051&lt;/D&gt;&lt;D xsi:type="xsd:double"&gt;2825.59547&lt;/D&gt;&lt;D xsi:type="xsd:double"&gt;2827.93166&lt;/D&gt;&lt;D xsi:type="xsd:double"&gt;2796.862387&lt;/D&gt;&lt;D xsi:type="xsd:double"&gt;2788.816601&lt;/D&gt;&lt;D xsi:type="xsd:double"&gt;2816.846581&lt;/D&gt;&lt;D xsi:type="xsd:double"&gt;2845.707477&lt;/D&gt;&lt;D xsi:type="xsd:double"&gt;2842.760676&lt;/D&gt;&lt;D xsi:type="xsd:double"&gt;2840.121944&lt;/D&gt;&lt;D xsi:type="xsd:double"&gt;2820.922447&lt;/D&gt;&lt;D xsi:type="xsd:double"&gt;2802.389255&lt;/D&gt;&lt;D xsi:type="xsd:double"&gt;2819.469493&lt;/D&gt;&lt;D xsi:type="xsd:double"&gt;2809.350421&lt;/D&gt;&lt;D xsi:type="xsd:double"&gt;2814.857356&lt;/D&gt;&lt;D xsi:type="xsd:double"&gt;2822.601122&lt;/D&gt;&lt;D xsi:type="xsd:double"&gt;2815.28784&lt;/D&gt;&lt;D xsi:type="xsd:double"&gt;2827.379129&lt;/D&gt;&lt;D xsi:type="xsd:double"&gt;2821.990442&lt;/D&gt;&lt;D xsi:type="xsd:double"&gt;2779.25996&lt;/D&gt;&lt;D xsi:type="xsd:double"&gt;2796.309258&lt;/D&gt;&lt;D xsi:type="xsd:double"&gt;2803.068323&lt;/D&gt;&lt;D xsi:type="xsd:double"&gt;2833.595322&lt;/D&gt;&lt;D xsi:type="xsd:double"&gt;2835.928022&lt;/D&gt;&lt;D xsi:type="xsd:double"&gt;2815.76828&lt;/D&gt;&lt;D xsi:type="xsd:double"&gt;2779.710662&lt;/D&gt;&lt;D xsi:type="xsd:double"&gt;2789.541672&lt;/D&gt;&lt;D xsi:type="xsd:double"&gt;2826.854019&lt;/D&gt;&lt;D xsi:type="xsd:double"&gt;2823.073757&lt;/D&gt;&lt;D xsi:type="xsd:double"&gt;2822.536045&lt;/D&gt;&lt;D xsi:type="xsd:double"&gt;2833.389762&lt;/D&gt;&lt;D xsi:type="xsd:double"&gt;2835.888817&lt;/D&gt;&lt;D xsi:type="xsd:double"&gt;2827.237551&lt;/D&gt;&lt;D xsi:type="xsd:double"&gt;2825.750404&lt;/D&gt;&lt;D xsi:type="xsd:double"&gt;2829.196564&lt;/D&gt;&lt;D xsi:type="xsd:double"&gt;2795.480231&lt;/D&gt;&lt;D xsi:type="xsd:double"&gt;2797.073333&lt;/D&gt;&lt;D xsi:type="xsd:double"&gt;2786.202153&lt;/D&gt;&lt;D xsi:type="xsd:double"&gt;2790.100109&lt;/D&gt;&lt;D xsi:type="xsd:double"&gt;2784.047512&lt;/D&gt;&lt;D xsi:type="xsd:double"&gt;2796.779085&lt;/D&gt;&lt;D xsi:type="xsd:double"&gt;2803.625117&lt;/D&gt;&lt;D xsi:type="xsd:double"&gt;2791.438289&lt;/D&gt;&lt;D xsi:type="xsd:double"&gt;2759.704672&lt;/D&gt;&lt;D xsi:type="xsd:double"&gt;2739.419195&lt;/D&gt;&lt;D xsi:type="xsd:double"&gt;2704.762174&lt;/D&gt;&lt;D xsi:type="xsd:double"&gt;2702.415976&lt;/D&gt;&lt;D xsi:type="xsd:double"&gt;2692.548926&lt;/D&gt;&lt;D xsi:type="xsd:double"&gt;2696.854112&lt;/D&gt;&lt;D xsi:type="xsd:double"&gt;2686.134373&lt;/D&gt;&lt;D xsi:type="xsd:double"&gt;2711.83906&lt;/D&gt;&lt;D xsi:type="xsd:double"&gt;2678.290849&lt;/D&gt;&lt;D xsi:type="xsd:double"&gt;2656.192416&lt;/D&gt;&lt;D xsi:type="xsd:double"&gt;2677.987902&lt;/D&gt;&lt;D xsi:type="xsd:double"&gt;2638.463249&lt;/D&gt;&lt;D xsi:type="xsd:double"&gt;2674.360542&lt;/D&gt;&lt;D xsi:type="xsd:double"&gt;2643.641684&lt;/D&gt;&lt;D xsi:type="xsd:double"&gt;2657.407511&lt;/D&gt;&lt;D xsi:type="xsd:double"&gt;2691.167738&lt;/D&gt;&lt;D xsi:type="xsd:double"&gt;2725.231989&lt;/D&gt;&lt;D xsi:type="xsd:double"&gt;2724.804357&lt;/D&gt;&lt;D xsi:type="xsd:double"&gt;2764.64092&lt;/D&gt;&lt;D xsi:type="xsd:double"&gt;2757.970264&lt;/D&gt;&lt;D xsi:type="xsd:double"&gt;2719.683763&lt;/D&gt;&lt;D xsi:type="xsd:double"&gt;2706.786389&lt;/D&gt;&lt;D xsi:type="xsd:double"&gt;2714.571102&lt;/D&gt;&lt;D xsi:type="xsd:double"&gt;2721.630463&lt;/D&gt;&lt;D xsi:type="xsd:double"&gt;2706.905048&lt;/D&gt;&lt;D xsi:type="xsd:double"&gt;2737.413723&lt;/D&gt;&lt;D xsi:type="xsd:double"&gt;2730.880424&lt;/D&gt;&lt;D xsi:type="xsd:double"&gt;2740.378271&lt;/D&gt;&lt;D xsi:type="xsd:double"&gt;2779.877134&lt;/D&gt;&lt;D xsi:type="xsd:double"&gt;2790.627552&lt;/D&gt;&lt;D xsi:type="xsd:double"&gt;2815.454159&lt;/D&gt;&lt;D xsi:type="xsd:double"&gt;2812.53201&lt;/D&gt;&lt;D xsi:type="xsd:double"&gt;2810.035533&lt;/D&gt;&lt;D xsi:type="xsd:double"&gt;2783.912221&lt;/D&gt;&lt;D xsi:type="xsd:double"&gt;2790.530577&lt;/D&gt;&lt;D xsi:type="xsd:double"&gt;2801.957297&lt;/D&gt;&lt;D xsi:type="xsd:double"&gt;2820.4909&lt;/D&gt;&lt;D xsi:type="xsd:double"&gt;2793.586331&lt;/D&gt;&lt;D xsi:type="xsd:double"&gt;2820.734995&lt;/D&gt;&lt;D xsi:type="xsd:double"&gt;2847.822509&lt;/D&gt;&lt;D xsi:type="xsd:double"&gt;2809.936394&lt;/D&gt;&lt;D xsi:type="xsd:double"&gt;2784.995279&lt;/D&gt;&lt;D xsi:type="xsd:double"&gt;2759.316001&lt;/D&gt;&lt;D xsi:type="xsd:double"&gt;2785.840234&lt;/D&gt;&lt;D xsi:type="xsd:double"&gt;2777.61868&lt;/D&gt;&lt;D xsi:type="xsd:double"&gt;2756.733478&lt;/D&gt;&lt;D xsi:type="xsd:double"&gt;2755.960897&lt;/D&gt;&lt;D xsi:type="xsd:double"&gt;2754.960922&lt;/D&gt;&lt;D xsi:type="xsd:double"&gt;2725.395594&lt;/D&gt;&lt;D xsi:type="xsd:double"&gt;2685.316536&lt;/D&gt;&lt;D xsi:type="xsd:double"&gt;2713.537085&lt;/D&gt;&lt;D xsi:type="xsd:double"&gt;2736.451934&lt;/D&gt;&lt;D xsi:type="xsd:double"&gt;2735.723605&lt;/D&gt;&lt;D xsi:type="xsd:double"&gt;2720.093198&lt;/D&gt;&lt;D xsi:type="xsd:double"&gt;2700.754699&lt;/D&gt;&lt;D xsi:type="xsd:double"&gt;2671.203751&lt;/D&gt;&lt;D xsi:type="xsd:double"&gt;2663.171878&lt;/D&gt;&lt;D xsi:type="xsd:double"&gt;2649.760828&lt;/D&gt;&lt;D xsi:type="xsd:double"&gt;2594.685022&lt;/D&gt;&lt;D xsi:type="xsd:double"&gt;2624.350528&lt;/D&gt;&lt;D xsi:type="xsd:double"&gt;2600.907474&lt;/D&gt;&lt;D xsi:type="xsd:double"&gt;2602.685022&lt;/D&gt;&lt;D xsi:type="xsd:double"&gt;2611.979102&lt;/D&gt;&lt;D xsi:type="xsd:double"&gt;2575.155828&lt;/D&gt;&lt;D xsi:type="xsd:double"&gt;2600.943248&lt;/D&gt;&lt;D xsi:type="xsd:double"&gt;2605.186422&lt;/D&gt;&lt;D xsi:type="xsd:double"&gt;2595.247074&lt;/D&gt;&lt;D xsi:type="xsd:double"&gt;2626.916712&lt;/D&gt;&lt;D xsi:type="xsd:double"&gt;2592.860196&lt;/D&gt;&lt;D xsi:type="xsd:double"&gt;2585.890501&lt;/D&gt;&lt;D xsi:type="xsd:double"&gt;2606.009736&lt;/D&gt;&lt;D xsi:type="xsd:double"&gt;2636.914738&lt;/D&gt;&lt;D xsi:type="xsd:double"&gt;2705.314916&lt;/D&gt;&lt;D xsi:type="xsd:double"&gt;2715.489691&lt;/D&gt;&lt;D xsi:type="xsd:double"&gt;2683.557703&lt;/D&gt;&lt;D xsi:type="xsd:double"&gt;2662.857516&lt;/D&gt;&lt;D xsi:type="xsd:double"&gt;2670.271276&lt;/D&gt;&lt;D xsi:type="xsd:double"&gt;2654.343499&lt;/D&gt;&lt;D xsi:type="xsd:double"&gt;2662.070312&lt;/D&gt;&lt;D xsi:type="xsd:double"&gt;2696.296099&lt;/D&gt;&lt;D xsi:type="xsd:double"&gt;2733.031469&lt;/D&gt;&lt;D xsi:type="xsd:double"&gt;2741.076543&lt;/D&gt;&lt;D xsi:type="xsd:double"&gt;2720.888674&lt;/D&gt;&lt;D xsi:type="xsd:double"&gt;2663.246826&lt;/D&gt;&lt;D xsi:type="xsd:double"&gt;2668.435986&lt;/D&gt;&lt;D xsi:type="xsd:double"&gt;2703.665696&lt;/D&gt;&lt;D xsi:type="xsd:double"&gt;2697.388324&lt;/D&gt;&lt;D xsi:type="xsd:double"&gt;2675.458528&lt;/D&gt;&lt;D xsi:type="xsd:double"&gt;2640.440297&lt;/D&gt;&lt;D xsi:type="xsd:double"&gt;2658.898204&lt;/D&gt;&lt;D xsi:type="xsd:double"&gt;2642.335067&lt;/D&gt;&lt;D xsi:type="xsd:double"&gt;2657.578604&lt;/D&gt;&lt;D xsi:type="xsd:double"&gt;2678.226383&lt;/D&gt;&lt;D xsi:type="xsd:double"&gt;2653.941695&lt;/D&gt;&lt;D xsi:type="xsd:double"&gt;2674.076621&lt;/D&gt;&lt;D xsi:type="xsd:double"&gt;2636.547292&lt;/D&gt;&lt;D xsi:type="xsd:double"&gt;2509.765311&lt;/D&gt;&lt;D xsi:type="xsd:double"&gt;2554.873545&lt;/D&gt;&lt;D xsi:type="xsd:double"&gt;2533.634568&lt;/D&gt;&lt;D xsi:type="xsd:double"&gt;2507.220244&lt;/D&gt;&lt;D xsi:type="xsd:double"&gt;2467.8889&lt;/D&gt;&lt;D xsi:type="xsd:double"&gt;2499.784987&lt;/D&gt;&lt;D xsi:type="xsd:double"&gt;2546.395241&lt;/D&gt;&lt;D xsi:type="xsd:double"&gt;2547.715764&lt;/D&gt;&lt;D xsi:type="xsd:double"&gt;2561.043812&lt;/D&gt;&lt;D xsi:type="xsd:double"&gt;2523.58706&lt;/D&gt;&lt;D xsi:type="xsd:double"&gt;2535.6746&lt;/D&gt;&lt;D xsi:type="xsd:double"&gt;2537.536996&lt;/D&gt;&lt;D xsi:type="xsd:double"&gt;2493.062135&lt;/D&gt;&lt;D xsi:type="xsd:double"&gt;2462.422752&lt;/D&gt;&lt;D xsi:type="xsd:double"&gt;2429.258084&lt;/D&gt;&lt;D xsi:type="xsd:double"&gt;2439.303097&lt;/D&gt;&lt;D xsi:type="xsd:double"&gt;2457.861096&lt;/D&gt;&lt;D xsi:type="xsd:double"&gt;2431.839154&lt;/D&gt;&lt;D xsi:type="xsd:double"&gt;2376.644713&lt;/D&gt;&lt;D xsi:type="xsd:double"&gt;2411.689376&lt;/D&gt;&lt;D xsi:type="xsd:double"&gt;2367.689115&lt;/D&gt;&lt;D xsi:type="xsd:double"&gt;2376.287728&lt;/D&gt;&lt;D xsi:type="xsd:double"&gt;2395.613684&lt;/D&gt;&lt;D xsi:type="xsd:double"&gt;2417.722197&lt;/D&gt;&lt;D xsi:type="xsd:double"&gt;2478.420772&lt;/D&gt;&lt;D xsi:type="xsd:double"&gt;2500.075156&lt;/D&gt;&lt;D xsi:type="xsd:double"&gt;2511.721193&lt;/D&gt;&lt;D xsi:type="xsd:double"&gt;2429.908494&lt;/D&gt;&lt;D xsi:type="xsd:double"&gt;2378.645284&lt;/D&gt;&lt;D xsi:type="xsd:double"&gt;2401.316939&lt;/D&gt;&lt;D xsi:type="xsd:double"&gt;2438.776753&lt;/D&gt;&lt;D xsi:type="xsd:double"&gt;2403.878002&lt;/D&gt;&lt;D xsi:type="xsd:double"&gt;2408.438989&lt;/D&gt;&lt;D xsi:type="xsd:double"&gt;2438.50365&lt;/D&gt;&lt;D xsi:type="xsd:double"&gt;2489.360106&lt;/D&gt;&lt;D xsi:type="xsd:double"&gt;2516.590527&lt;/D&gt;&lt;D xsi:type="xsd:double"&gt;2554.023175&lt;/D&gt;&lt;D xsi:type="xsd:double"&gt;2580.549496&lt;/D&gt;&lt;D xsi:type="xsd:double"&gt;2569.293523&lt;/D&gt;&lt;D xsi:type="xsd:double"&gt;2591.995383&lt;/D&gt;&lt;D xsi:type="xsd:double"&gt;2617.841383&lt;/D&gt;&lt;D xsi:type="xsd:double"&gt;2619.499518&lt;/D&gt;&lt;D xsi:type="xsd:double"&gt;2719.007779&lt;/D&gt;&lt;D xsi:type="xsd:double"&gt;2682.895072&lt;/D&gt;&lt;D xsi:type="xsd:double"&gt;2636.168535&lt;/D&gt;&lt;D xsi:type="xsd:double"&gt;2614.102616&lt;/D&gt;&lt;D xsi:type="xsd:double"&gt;2584.969532&lt;/D&gt;&lt;D xsi:type="xsd:double"&gt;2605.210275&lt;/D&gt;&lt;D xsi:type="xsd:double"&gt;2610.254932&lt;/D&gt;&lt;D xsi:type="xsd:double"&gt;2627.320953&lt;/D&gt;&lt;D xsi:type="xsd:double"&gt;2645.373293&lt;/D&gt;&lt;D xsi:type="xsd:double"&gt;2668.785746&lt;/D&gt;&lt;D xsi:type="xsd:double"&gt;2694.616801&lt;/D&gt;&lt;D xsi:type="xsd:double"&gt;2768.480189&lt;/D&gt;&lt;D xsi:type="xsd:double"&gt;2736.006704&lt;/D&gt;&lt;D xsi:type="xsd:double"&gt;2730.354134&lt;/D&gt;&lt;D xsi:type="xsd:double"&gt;2736.098457&lt;/D&gt;&lt;D xsi:type="xsd:double"&gt;2787.705051&lt;/D&gt;&lt;D xsi:type="xsd:double"&gt;2826.414374&lt;/D&gt;&lt;D xsi:type="xsd:double"&gt;2822.872756&lt;/D&gt;&lt;D xsi:type="xsd:double"&gt;2844.419834&lt;/D&gt;&lt;D xsi:type="xsd:double"&gt;2842.480368&lt;/D&gt;&lt;D xsi:type="xsd:double"&gt;2834.51254&lt;/D&gt;&lt;D xsi:type="xsd:double"&gt;2802.228856&lt;/D&gt;&lt;D xsi:type="xsd:double"&gt;2803.371245&lt;/D&gt;&lt;D xsi:type="xsd:double"&gt;2743.624121&lt;/D&gt;&lt;D xsi:type="xsd:double"&gt;2758.723485&lt;/D&gt;&lt;D xsi:type="xsd:double"&gt;2752.060053&lt;/D&gt;&lt;D xsi:type="xsd:double"&gt;2761.650027&lt;/D&gt;&lt;D xsi:type="xsd:double"&gt;2755.245253&lt;/D&gt;&lt;D xsi:type="xsd:double"&gt;2728.299684&lt;/D&gt;&lt;D xsi:type="xsd:double"&gt;2749.261116&lt;/D&gt;&lt;D xsi:type="xsd:double"&gt;2746.364566&lt;/D&gt;&lt;D xsi:type="xsd:double"&gt;2709.821394&lt;/D&gt;&lt;D xsi:type="xsd:double"&gt;2675.084832&lt;/D&gt;&lt;D xsi:type="xsd:double"&gt;2624.492067&lt;/D&gt;&lt;D xsi:type="xsd:double"&gt;2651.222145&lt;/D&gt;&lt;D xsi:type="xsd:double"&gt;2650.819164&lt;/D&gt;&lt;D xsi:type="xsd:double"&gt;2663.836961&lt;/D&gt;&lt;D xsi:type="xsd:double"&gt;2643.931623&lt;/D&gt;&lt;D xsi:type="xsd:double"&gt;2628.335832&lt;/D&gt;&lt;D xsi:type="xsd:double"&gt;2567.678119&lt;/D&gt;&lt;D xsi:type="xsd:double"&gt;2568.635019&lt;/D&gt;&lt;D xsi:type="xsd:double"&gt;2520.915086&lt;/D&gt;&lt;D xsi:type="xsd:double"&gt;2544.676586&lt;/D&gt;&lt;D xsi:type="xsd:double"&gt;2554.184517&lt;/D&gt;&lt;D xsi:type="xsd:double"&gt;2572.333329&lt;/D&gt;&lt;D xsi:type="xsd:double"&gt;2603.619085&lt;/D&gt;&lt;D xsi:type="xsd:double"&gt;2602.030992&lt;/D&gt;&lt;D xsi:type="xsd:double"&gt;2561.198582&lt;/D&gt;&lt;D xsi:type="xsd:double"&gt;2553.954113&lt;/D&gt;&lt;D xsi:type="xsd:double"&gt;2559.951063&lt;/D&gt;&lt;D xsi:type="xsd:double"&gt;2546.185327&lt;/D&gt;&lt;D xsi:type="xsd:double"&gt;2574.450743&lt;/D&gt;&lt;D xsi:type="xsd:double"&gt;2584.255775&lt;/D&gt;&lt;D xsi:type="xsd:double"&gt;2623.196778&lt;/D&gt;&lt;D xsi:type="xsd:double"&gt;2619.475673&lt;/D&gt;&lt;D xsi:type="xsd:double"&gt;2549.052501&lt;/D&gt;&lt;D xsi:type="xsd:double"&gt;2537.255467&lt;/D&gt;&lt;D xsi:type="xsd:double"&gt;2543.355941&lt;/D&gt;&lt;D xsi:type="xsd:double"&gt;2485.773093&lt;/D&gt;&lt;D xsi:type="xsd:double"&gt;2490.537704&lt;/D&gt;&lt;D xsi:type="xsd:double"&gt;2556.670519&lt;/D&gt;&lt;D xsi:type="xsd:double"&gt;2525.88083&lt;/D&gt;&lt;D xsi:type="xsd:double"&gt;2545.044664&lt;/D&gt;&lt;D xsi:type="xsd:double"&gt;2641.694226&lt;/D&gt;&lt;D xsi:type="xsd:double"&gt;2721.846582&lt;/D&gt;&lt;D xsi:type="xsd:double"&gt;2783.290778&lt;/D&gt;&lt;D xsi:type="xsd:double"&gt;2805.324502&lt;/D&gt;&lt;D xsi:type="xsd:double"&gt;2789.828103&lt;/D&gt;&lt;D xsi:type="xsd:double"&gt;2779.06462&lt;/D&gt;&lt;D xsi:type="xsd:double"&gt;2814.025839&lt;/D&gt;&lt;D xsi:type="xsd:double"&gt;2770.431384&lt;/D&gt;&lt;D xsi:type="xsd:double"&gt;2791.012712&lt;/D&gt;&lt;D xsi:type="xsd:double"&gt;2802.586703&lt;/D&gt;&lt;D xsi:type="xsd:double"&gt;2743.963393&lt;/D&gt;&lt;D xsi:type="xsd:double"&gt;2700.089096&lt;/D&gt;&lt;D xsi:type="xsd:double"&gt;2680.458633&lt;/D&gt;&lt;D xsi:type="xsd:double"&gt;2702.252438&lt;/D&gt;&lt;D xsi:type="xsd:double"&gt;2655.912816&lt;/D&gt;&lt;D xsi:type="xsd:double"&gt;2651.554392&lt;/D&gt;&lt;D xsi:type="xsd:double"&gt;2665.060202&lt;/D&gt;&lt;D xsi:type="xsd:double"&gt;2746.819623&lt;/D&gt;&lt;D xsi:type="xsd:double"&gt;2693.953138&lt;/D&gt;&lt;D xsi:type="xsd:double"&gt;2701.326642&lt;/D&gt;&lt;D xsi:type="xsd:double"&gt;2639.752869&lt;/D&gt;&lt;D xsi:type="xsd:double"&gt;2652.586917&lt;/D&gt;&lt;D xsi:type="xsd:double"&gt;2677.245068&lt;/D&gt;&lt;D xsi:type="xsd:double"&gt;2671.828026&lt;/D&gt;&lt;D xsi:type="xsd:double"&gt;2762.213014&lt;/D&gt;&lt;D xsi:type="xsd:double"&gt;2784.116186&lt;/D&gt;&lt;D xsi:type="xsd:double"&gt;2864.430488&lt;/D&gt;&lt;D xsi:type="xsd:double"&gt;2809.815398&lt;/D&gt;&lt;D xsi:type="xsd:double"&gt;2796.329669&lt;/D&gt;&lt;D xsi:type="xsd:double"&gt;2795.615306&lt;/D&gt;&lt;D xsi:type="xsd:double"&gt;2861.54898&lt;/D&gt;&lt;D xsi:type="xsd:double"&gt;2807.510051&lt;/D&gt;&lt;D xsi:type="xsd:double"&gt;2810.99563&lt;/D&gt;&lt;D xsi:type="xsd:double"&gt;2877.704711&lt;/D&gt;&lt;D xsi:type="xsd:double"&gt;2882.452693&lt;/D&gt;&lt;D xsi:type="xsd:double"&gt;2959.916837&lt;/D&gt;&lt;D xsi:type="xsd:double"&gt;2994.638739&lt;/D&gt;&lt;D xsi:type="xsd:double"&gt;2984.699036&lt;/D&gt;&lt;D xsi:type="xsd:double"&gt;2954.151815&lt;/D&gt;&lt;D xsi:type="xsd:double"&gt;2960.638973&lt;/D&gt;&lt;D xsi:type="xsd:double"&gt;2985.065301&lt;/D&gt;&lt;D xsi:type="xsd:double"&gt;2959.776531&lt;/D&gt;&lt;D xsi:type="xsd:double"&gt;2972.400676&lt;/D&gt;&lt;D xsi:type="xsd:double"&gt;3012.193961&lt;/D&gt;&lt;D xsi:type="xsd:double"&gt;3014.076619&lt;/D&gt;&lt;D xsi:type="xsd:double"&gt;3012.23637&lt;/D&gt;&lt;D xsi:type="xsd:double"&gt;3049.393702&lt;/D&gt;&lt;D xsi:type="xsd:double"&gt;3081.383628&lt;/D&gt;&lt;D xsi:type="xsd:double"&gt;3057.066618&lt;/D&gt;&lt;D xsi:type="xsd:double"&gt;3053.07008&lt;/D&gt;&lt;D xsi:type="xsd:double"&gt;3096.666849&lt;/D&gt;&lt;D xsi:type="xsd:double"&gt;3110.808783&lt;/D&gt;&lt;D xsi:type="xsd:double"&gt;3061.630887&lt;/D&gt;&lt;D xsi:type="xsd:double"&gt;3049.111717&lt;/D&gt;&lt;D xsi:type="xsd:double"&gt;3041.477204&lt;/D&gt;&lt;D xsi:type="xsd:double"&gt;3012.794096&lt;/D&gt;&lt;D xsi:type="xsd:double"&gt;3040.369663&lt;/D&gt;&lt;D xsi:type="xsd:double"&gt;3010.082766&lt;/D&gt;&lt;D xsi:type="xsd:double"&gt;3010.587291&lt;/D&gt;&lt;D xsi:type="xsd:double"&gt;2981.312954&lt;/D&gt;&lt;D xsi:type="xsd:double"&gt;2936.325218&lt;/D&gt;&lt;D xsi:type="xsd:double"&gt;2865.88947&lt;/D&gt;&lt;D xsi:type="xsd:double"&gt;2826.488515&lt;/D&gt;&lt;D xsi:type="xsd:double"&gt;2840.044991&lt;/D&gt;&lt;D xsi:type="xsd:double"&gt;2871.521402&lt;/D&gt;&lt;D xsi:type="xsd:double"&gt;2881.776172&lt;/D&gt;&lt;D xsi:type="xsd:double"&gt;2797.696102&lt;/D&gt;&lt;D xsi:type="xsd:double"&gt;2819.539012&lt;/D&gt;&lt;D xsi:type="xsd:double"&gt;2896.523026&lt;/D&gt;&lt;D xsi:type="xsd:double"&gt;2942.44787&lt;/D&gt;&lt;D xsi:type="xsd:double"&gt;2964.243761&lt;/D&gt;&lt;D xsi:type="xsd:double"&gt;2930.764755&lt;/D&gt;&lt;D xsi:type="xsd:double"&gt;2977.953985&lt;/D&gt;&lt;D xsi:type="xsd:double"&gt;2980.204335&lt;/D&gt;&lt;D xsi:type="xsd:double"&gt;2905.94425&lt;/D&gt;&lt;D xsi:type="xsd:double"&gt;2909.331033&lt;/D&gt;&lt;D xsi:type="xsd:double"&gt;2949.641397&lt;/D&gt;&lt;D xsi:type="xsd:double"&gt;2983.585697&lt;/D&gt;&lt;D xsi:type="xsd:double"&gt;3009.088921&lt;/D&gt;&lt;D xsi:type="xsd:double"&gt;3060.288925&lt;/D&gt;&lt;D xsi:type="xsd:double"&gt;3054.256892&lt;/D&gt;&lt;D xsi:type="xsd:double"&gt;3011.452171&lt;/D&gt;&lt;D xsi:type="xsd:double"&gt;3039.176169&lt;/D&gt;&lt;D xsi:type="xsd:double"&gt;3087.982884&lt;/D&gt;&lt;D xsi:type="xsd:double"&gt;3124.927847&lt;/D&gt;&lt;D xsi:type="xsd:double"&gt;3077.133655&lt;/D&gt;&lt;D xsi:type="xsd:double"&gt;3059.438236&lt;/D&gt;&lt;D xsi:type="xsd:double"&gt;3061.46406&lt;/D&gt;&lt;D xsi:type="xsd:double"&gt;3052.496701&lt;/D&gt;&lt;D xsi:type="xsd:double"&gt;3113.835291&lt;/D&gt;&lt;D xsi:type="xsd:double"&gt;3086.615522&lt;/D&gt;&lt;D xsi:type="xsd:double"&gt;3059.047155&lt;/D&gt;&lt;D xsi:type="xsd:double"&gt;3005.629706&lt;/D&gt;&lt;D xsi:type="xsd:double"&gt;2955.340895&lt;/D&gt;&lt;D xsi:type="xsd:double"&gt;2979.697011&lt;/D&gt;&lt;D xsi:type="xsd:double"&gt;2975.483652&lt;/D&gt;&lt;D xsi:type="xsd:double"&gt;3005.515202&lt;/D&gt;&lt;D xsi:type="xsd:double"&gt;3025.097169&lt;/D&gt;&lt;D xsi:type="xsd:double"&gt;3082.250948&lt;/D&gt;&lt;D xsi:type="xsd:double"&gt;3098.599716&lt;/D&gt;&lt;D xsi:type="xsd:double"&gt;3124.206734&lt;/D&gt;&lt;D xsi:type="xsd:double"&gt;3173.120108&lt;/D&gt;&lt;D xsi:type="xsd:double"&gt;3182.063473&lt;/D&gt;&lt;D xsi:type="xsd:double"&gt;3214.188096&lt;/D&gt;&lt;D xsi:type="xsd:double"&gt;3193.392756&lt;/D&gt;&lt;D xsi:type="xsd:double"&gt;3166.139824&lt;/D&gt;&lt;D xsi:type="xsd:double"&gt;3177.537999&lt;/D&gt;&lt;D xsi:type="xsd:double"&gt;3184.623708&lt;/D&gt;&lt;D xsi:type="xsd:double"&gt;3203.027078&lt;/D&gt;&lt;D xsi:type="xsd:double"&gt;3248.118249&lt;/D&gt;&lt;D xsi:type="xsd:double"&gt;3241.430703&lt;/D&gt;&lt;D xsi:type="xsd:double"&gt;3231.726975&lt;/D&gt;&lt;D xsi:type="xsd:double"&gt;3237.069284&lt;/D&gt;&lt;D xsi:type="xsd:double"&gt;3243.946545&lt;/D&gt;&lt;D xsi:type="xsd:double"&gt;3239.28286&lt;/D&gt;&lt;D xsi:type="xsd:double"&gt;3237.699046&lt;/D&gt;&lt;D xsi:type="xsd:double"&gt;3206.08232&lt;/D&gt;&lt;D xsi:type="xsd:double"&gt;3183.623261&lt;/D&gt;&lt;D xsi:type="xsd:double"&gt;3152.311472&lt;/D&gt;&lt;D xsi:type="xsd:double"&gt;3100.497381&lt;/D&gt;&lt;D xsi:type="xsd:double"&gt;3139.751998&lt;/D&gt;&lt;D xsi:type="xsd:double"&gt;3167.333453&lt;/D&gt;&lt;D xsi:type="xsd:double"&gt;3175.110088&lt;/D&gt;&lt;D xsi:type="xsd:double"&gt;3138.057968&lt;/D&gt;&lt;D xsi:type="xsd:double"&gt;3161.997747&lt;/D&gt;&lt;D xsi:type="xsd:double"&gt;3188.255707&lt;/D&gt;&lt;D xsi:type="xsd:double"&gt;3172.489049&lt;/D&gt;&lt;D xsi:type="xsd:double"&gt;3196.391428&lt;/D&gt;&lt;D xsi:type="xsd:double"&gt;3184.172383&lt;/D&gt;&lt;D xsi:type="xsd:double"&gt;3117.305686&lt;/D&gt;&lt;D xsi:type="xsd:double"&gt;3086.44195&lt;/D&gt;&lt;D xsi:type="xsd:double"&gt;3111.167252&lt;/D&gt;&lt;D xsi:type="xsd:double"&gt;3087.97513&lt;/D&gt;&lt;D xsi:type="xsd:double"&gt;3101.795856&lt;/D&gt;&lt;D xsi:type="xsd:double"&gt;3155.729202&lt;/D&gt;&lt;D xsi:type="xsd:double"&gt;3131.977018&lt;/D&gt;&lt;D xsi:type="xsd:double"&gt;3198.12408&lt;/D&gt;&lt;D xsi:type="xsd:double"&gt;3196.882886&lt;/D&gt;&lt;D xsi:type="xsd:double"&gt;3201.491815&lt;/D&gt;&lt;D xsi:type="xsd:double"&gt;3219.904229&lt;/D&gt;&lt;D xsi:type="xsd:double"&gt;3226.372038&lt;/D&gt;&lt;D xsi:type="xsd:double"&gt;3221.033436&lt;/D&gt;&lt;D xsi:type="xsd:double"&gt;3231.948072&lt;/D&gt;&lt;D xsi:type="xsd:double"&gt;3226.445863&lt;/D&gt;&lt;D xsi:type="xsd:double"&gt;3223.815447&lt;/D&gt;&lt;D xsi:type="xsd:double"&gt;3201.994463&lt;/D&gt;&lt;D xsi:type="xsd:double"&gt;3201.570079&lt;/D&gt;&lt;D xsi:type="xsd:double"&gt;3227.797448&lt;/D&gt;&lt;D xsi:type="xsd:double"&gt;3237.633421&lt;/D&gt;&lt;D xsi:type="xsd:double"&gt;3232.255435&lt;/D&gt;&lt;D xsi:type="xsd:double"&gt;3224.632639&lt;/D&gt;&lt;D xsi:type="xsd:double"&gt;3212.353041&lt;/D&gt;&lt;D xsi:type="xsd:double"&gt;3195.669039&lt;/D&gt;&lt;D xsi:type="xsd:double"&gt;3190.535793&lt;/D&gt;&lt;D xsi:type="xsd:double"&gt;3174.72534&lt;/D&gt;&lt;D xsi:type="xsd:double"&gt;3179.444218&lt;/D&gt;&lt;D xsi:type="xsd:double"&gt;3152.051409&lt;/D&gt;&lt;D xsi:type="xsd:double"&gt;3167.437613&lt;/D&gt;&lt;D xsi:type="xsd:double"&gt;3159.883629&lt;/D&gt;&lt;D xsi:type="xsd:double"&gt;3151.157797&lt;/D&gt;&lt;D xsi:type="xsd:double"&gt;3152.326605&lt;/D&gt;&lt;D xsi:type="xsd:double"&gt;3147.699296&lt;/D&gt;&lt;D xsi:type="xsd:double"&gt;3136.193868&lt;/D&gt;&lt;D xsi:type="xsd:double"&gt;3114.011281&lt;/D&gt;&lt;D xsi:type="xsd:double"&gt;3109.465761&lt;/D&gt;&lt;D xsi:type="xsd:double"&gt;3084.589195&lt;/D&gt;&lt;D xsi:type="xsd:double"&gt;3039.013022&lt;/D&gt;&lt;D xsi:type="xsd:double"&gt;3024.722163&lt;/D&gt;&lt;D xsi:type="xsd:double"&gt;3031.570818&lt;/D&gt;&lt;D xsi:type="xsd:double"&gt;3043.744391&lt;/D&gt;&lt;D xsi:type="xsd:double"&gt;3046.5702&lt;/D&gt;&lt;D xsi:type="xsd:double"&gt;3015.950208&lt;/D&gt;&lt;D xsi:type="xsd:double"&gt;3016.191607&lt;/D&gt;&lt;D xsi:type="xsd:double"&gt;2992.885797&lt;/D&gt;&lt;D xsi:type="xsd:double"&gt;3022.829105&lt;/D&gt;&lt;D xsi:type="xsd:double"&gt;3006.604139&lt;/D&gt;&lt;D xsi:type="xsd:double"&gt;3028.749424&lt;/D&gt;&lt;D xsi:type="xsd:double"&gt;3032.703456&lt;/D&gt;&lt;D xsi:type="xsd:double"&gt;3095.558952&lt;/D&gt;&lt;D xsi:type="xsd:double"&gt;3103.529815&lt;/D&gt;&lt;D xsi:type="xsd:double"&gt;3106.421158&lt;/D&gt;&lt;D xsi:type="xsd:double"&gt;3074.354849&lt;/D&gt;&lt;D xsi:type="xsd:double"&gt;3049.675169&lt;/D&gt;&lt;D xsi:type="xsd:double"&gt;3046.202602&lt;/D&gt;&lt;D xsi:type="xsd:double"&gt;3096.614564&lt;/D&gt;&lt;D xsi:type="xsd:double"&gt;3122.57259&lt;/D&gt;&lt;D xsi:type="xsd:double"&gt;3127.714375&lt;/D&gt;&lt;D xsi:type="xsd:double"&gt;3116.078087&lt;/D&gt;&lt;D xsi:type="xsd:double"&gt;3126.101864&lt;/D&gt;&lt;D xsi:type="xsd:double"&gt;3122.067495&lt;/D&gt;&lt;D xsi:type="xsd:double"&gt;3136.039485&lt;/D&gt;&lt;D xsi:type="xsd:double"&gt;3146.957791&lt;/D&gt;&lt;D xsi:type="xsd:double"&gt;3158.93673&lt;/D&gt;&lt;D xsi:type="xsd:double"&gt;3163.986851&lt;/D&gt;&lt;D xsi:type="xsd:double"&gt;3161.459545&lt;/D&gt;&lt;D xsi:type="xsd:double"&gt;3151.664638&lt;/D&gt;&lt;D xsi:type="xsd:double"&gt;3141.350937&lt;/D&gt;&lt;D xsi:type="xsd:double"&gt;3146.628715&lt;/D&gt;&lt;D xsi:type="xsd:double"&gt;3133.669261&lt;/D&gt;&lt;D xsi:type="xsd:double"&gt;3110.271236&lt;/D&gt;&lt;D xsi:type="xsd:double"&gt;3125.828664&lt;/D&gt;&lt;D xsi:type="xsd:double"&gt;3121.997155&lt;/D&gt;&lt;D xsi:type="xsd:double"&gt;3112.569508&lt;/D&gt;&lt;D xsi:type="xsd:double"&gt;3080.019824&lt;/D&gt;&lt;D xsi:type="xsd:double"&gt;3063.224489&lt;/D&gt;&lt;D xsi:type="xsd:double"&gt;3078.013878&lt;/D&gt;&lt;D xsi:type="xsd:double"&gt;3100.117587&lt;/D&gt;&lt;D xsi:type="xsd:double"&gt;3121.985657&lt;/D&gt;&lt;D xsi:type="xsd:double"&gt;3125.117399&lt;/D&gt;&lt;D xsi:type="xsd:double"&gt;3115.736244&lt;/D&gt;&lt;D xsi:type="xsd:double"&gt;3109.967368&lt;/D&gt;&lt;D xsi:type="xsd:double"&gt;3099.49393&lt;/D&gt;&lt;D xsi:type="xsd:double"&gt;3097.060923&lt;/D&gt;&lt;D xsi:type="xsd:double"&gt;3098.062928&lt;/D&gt;&lt;D xsi:type="xsd:double"&gt;3102.226535&lt;/D&gt;&lt;D xsi:type="xsd:double"&gt;3085.831225&lt;/D&gt;&lt;D xsi:type="xsd:double"&gt;3092.512003&lt;/D&gt;&lt;D xsi:type="xsd:double"&gt;3077.109529&lt;/D&gt;&lt;D xsi:type="xsd:double"&gt;3069.249002&lt;/D&gt;&lt;D xsi:type="xsd:double"&gt;3089.817756&lt;/D&gt;&lt;D xsi:type="xsd:double"&gt;3069.492477&lt;/D&gt;&lt;D xsi:type="xsd:double"&gt;3068.867295&lt;/D&gt;&lt;D xsi:type="xsd:double"&gt;3080.404739&lt;/D&gt;&lt;D xsi:type="xsd:double"&gt;3072.378203&lt;/D&gt;&lt;D xsi:type="xsd:double"&gt;3046.597811&lt;/D&gt;&lt;D xsi:type="xsd:double"&gt;3036.718945&lt;/D&gt;&lt;D xsi:type="xsd:double"&gt;3005.856655&lt;/D&gt;&lt;D xsi:type="xsd:double"&gt;2975.546546&lt;/D&gt;&lt;D xsi:type="xsd:double"&gt;3024.648486&lt;/D&gt;&lt;D xsi:type="xsd:double"&gt;3043.515661&lt;/D&gt;&lt;D xsi:type="xsd:double"&gt;3058.583169&lt;/D&gt;&lt;D xsi:type="xsd:double"&gt;3059.269199&lt;/D&gt;&lt;D xsi:type="xsd:double"&gt;3068.259096&lt;/D&gt;&lt;D xsi:type="xsd:double"&gt;3053.115637&lt;/D&gt;&lt;D xsi:type="xsd:double"&gt;3022.235095&lt;/D&gt;&lt;D xsi:type="xsd:double"&gt;3049.654985&lt;/D&gt;&lt;D xsi:type="xsd:double"&gt;3042.625684&lt;/D&gt;&lt;D xsi:type="xsd:double"&gt;3046.087622&lt;/D&gt;&lt;D xsi:type="xsd:double"&gt;3028.194973&lt;/D&gt;&lt;D xsi:type="xsd:double"&gt;3017.222403&lt;/D&gt;&lt;D xsi:type="xsd:double"&gt;3024.43084&lt;/D&gt;&lt;D xsi:type="xsd:double"&gt;3025.208969&lt;/D&gt;&lt;D xsi:type="xsd:double"&gt;3024.937339&lt;/D&gt;&lt;D xsi:type="xsd:double"&gt;3013.359858&lt;/D&gt;&lt;D xsi:type="xsd:double"&gt;2998.002743&lt;/D&gt;&lt;D xsi:type="xsd:double"&gt;3001.135694&lt;/D&gt;&lt;D xsi:type="xsd:double"&gt;2982.106721&lt;/D&gt;&lt;D xsi:type="xsd:double"&gt;2954.186803&lt;/D&gt;&lt;D xsi:type="xsd:double"&gt;2996.511258&lt;/D&gt;&lt;D xsi:type="xsd:double"&gt;3008.478386&lt;/D&gt;&lt;D xsi:type="xsd:double"&gt;3017.267863&lt;/D&gt;&lt;D xsi:type="xsd:double"&gt;3019.880612&lt;/D&gt;&lt;D xsi:type="xsd:double"&gt;3012.672241&lt;/D&gt;&lt;D xsi:type="xsd:double"&gt;3007.462027&lt;/D&gt;&lt;D xsi:type="xsd:double"&gt;2996.63967&lt;/D&gt;&lt;D xsi:type="xsd:double"&gt;3001.834352&lt;/D&gt;&lt;D xsi:type="xsd:double"&gt;3000.97183&lt;/D&gt;&lt;D xsi:type="xsd:double"&gt;2997.357188&lt;/D&gt;&lt;D xsi:type="xsd:double"&gt;2972.869464&lt;/D&gt;&lt;D xsi:type="xsd:double"&gt;2985.973318&lt;/D&gt;&lt;D xsi:type="xsd:double"&gt;2982.024588&lt;/D&gt;&lt;D xsi:type="xsd:double"&gt;2979.297181&lt;/D&gt;&lt;D xsi:type="xsd:double"&gt;2970.64314&lt;/D&gt;&lt;D xsi:type="xsd:double"&gt;2969.509616&lt;/D&gt;&lt;D xsi:type="xsd:double"&gt;2965.510212&lt;/D&gt;&lt;D xsi:type="xsd:double"&gt;2966.435032&lt;/D&gt;&lt;D xsi:type="xsd:double"&gt;2943.128766&lt;/D&gt;&lt;D xsi:type="xsd:double"&gt;2942.214409&lt;/D&gt;&lt;D xsi:type="xsd:double"&gt;2910.94026&lt;/D&gt;&lt;D xsi:type="xsd:double"&gt;2928.681809&lt;/D&gt;&lt;D xsi:type="xsd:double"&gt;2934.179309&lt;/D&gt;&lt;D xsi:type="xsd:double"&gt;2938.625483&lt;/D&gt;&lt;D xsi:type="xsd:double"&gt;2892.480754&lt;/D&gt;&lt;D xsi:type="xsd:double"&gt;2876.790991&lt;/D&gt;&lt;D xsi:type="xsd:double"&gt;2928.331618&lt;/D&gt;&lt;D xsi:type="xsd:double"&gt;2961.574453&lt;/D&gt;&lt;D xsi:type="xsd:double"&gt;2979.406556&lt;/D&gt;&lt;D xsi:type="xsd:double"&gt;2952.025396&lt;/D&gt;&lt;D xsi:type="xsd:double"&gt;2932.844617&lt;/D&gt;&lt;D xsi:type="xsd:double"&gt;2922.496891&lt;/D&gt;&lt;D xsi:type="xsd:double"&gt;2948.674395&lt;/D&gt;&lt;D xsi:type="xsd:double"&gt;2938.763958&lt;/D&gt;&lt;D xsi:type="xsd:double"&gt;2963.311784&lt;/D&gt;&lt;D xsi:type="xsd:double"&gt;2951.881365&lt;/D&gt;&lt;D xsi:type="xsd:double"&gt;2952.005561&lt;/D&gt;&lt;D xsi:type="xsd:double"&gt;2956.132519&lt;/D&gt;&lt;D xsi:type="xsd:double"&gt;2946.112516&lt;/D&gt;&lt;D xsi:type="xsd:double"&gt;2923.912178&lt;/D&gt;&lt;D xsi:type="xsd:double"&gt;2932.976466&lt;/D&gt;&lt;D xsi:type="xsd:double"&gt;2915.780359&lt;/D&gt;&lt;D xsi:type="xsd:double"&gt;2944.050959&lt;/D&gt;&lt;D xsi:type="xsd:double"&gt;2953.347154&lt;/D&gt;&lt;D xsi:type="xsd:double"&gt;2941.746847&lt;/D&gt;&lt;D xsi:type="xsd:double"&gt;2913.532625&lt;/D&gt;&lt;D xsi:type="xsd:double"&gt;2918.191606&lt;/D&gt;&lt;D xsi:type="xsd:double"&gt;2907.253213&lt;/D&gt;&lt;D xsi:type="xsd:double"&gt;2910.095125&lt;/D&gt;&lt;D xsi:type="xsd:double"&gt;2895.612811&lt;/D&gt;&lt;D xsi:type="xsd:double"&gt;2881.147879&lt;/D&gt;&lt;D xsi:type="xsd:double"&gt;2876.228313&lt;/D&gt;&lt;D xsi:type="xsd:double"&gt;2872.966143&lt;/D&gt;&lt;D xsi:type="xsd:double"&gt;2840.186928&lt;/D&gt;&lt;D xsi:type="xsd:double"&gt;2811.698918&lt;/D&gt;&lt;D xsi:type="xsd:double"&gt;2805.104163&lt;/D&gt;&lt;D xsi:type="xsd:double"&gt;2811.532854&lt;/D&gt;&lt;D xsi:type="xsd:double"&gt;2814.856578&lt;/D&gt;&lt;D xsi:type="xsd:double"&gt;2775.054906&lt;/D&gt;&lt;D xsi:type="xsd:double"&gt;2767.257852&lt;/D&gt;&lt;D xsi:type="xsd:double"&gt;2788.01033&lt;/D&gt;&lt;D xsi:type="xsd:double"&gt;2809.64958&lt;/D&gt;&lt;D xsi:type="xsd:double"&gt;2796.139564&lt;/D&gt;&lt;D xsi:type="xsd:double"&gt;2802.270734&lt;/D&gt;&lt;D xsi:type="xsd:double"&gt;2826.790145&lt;/D&gt;&lt;D xsi:type="xsd:double"&gt;2823.687452&lt;/D&gt;&lt;D xsi:type="xsd:double"&gt;2821.852765&lt;/D&gt;&lt;D xsi:type="xsd:double"&gt;2807.208556&lt;/D&gt;&lt;D xsi:type="xsd:double"&gt;2806.070105&lt;/D&gt;&lt;D xsi:type="xsd:double"&gt;2775.344291&lt;/D&gt;&lt;D xsi:type="xsd:double"&gt;2761.816471&lt;/D&gt;&lt;D xsi:type="xsd:double"&gt;2722.635472&lt;/D&gt;&lt;D xsi:type="xsd:double"&gt;2728.556506&lt;/D&gt;&lt;D xsi:type="xsd:double"&gt;2706.475743&lt;/D&gt;&lt;D xsi:type="xsd:double"&gt;2741.684073&lt;/D&gt;&lt;D xsi:type="xsd:double"&gt;2768.246514&lt;/D&gt;&lt;D xsi:type="xsd:double"&gt;2783.701378&lt;/D&gt;&lt;D xsi:type="xsd:double"&gt;2726.909919&lt;/D&gt;&lt;D xsi:type="xsd:double"&gt;2760.261634&lt;/D&gt;&lt;D xsi:type="xsd:double"&gt;2802.39506&lt;/D&gt;&lt;D xsi:type="xsd:double"&gt;2789.213127&lt;/D&gt;&lt;D xsi:type="xsd:double"&gt;2788.107587&lt;/D&gt;&lt;D xsi:type="xsd:double"&gt;2806.471093&lt;/D&gt;&lt;D xsi:type="xsd:double"&gt;2802.92058&lt;/D&gt;&lt;D xsi:type="xsd:double"&gt;2815.977093&lt;/D&gt;&lt;D xsi:type="xsd:double"&gt;2828.153196&lt;/D&gt;&lt;D xsi:type="xsd:double"&gt;2818.846055&lt;/D&gt;&lt;D xsi:type="xsd:double"&gt;2807.158199&lt;/D&gt;&lt;D xsi:type="xsd:double"&gt;2800.682601&lt;/D&gt;&lt;D xsi:type="xsd:double"&gt;2798.552103&lt;/D&gt;&lt;D xsi:type="xsd:double"&gt;2795.892486&lt;/D&gt;&lt;D xsi:type="xsd:double"&gt;2773.449518&lt;/D&gt;&lt;D xsi:type="xsd:double"&gt;2757.662233&lt;/D&gt;&lt;D xsi:type="xsd:double"&gt;2737.932444&lt;/D&gt;&lt;D xsi:type="xsd:double"&gt;2731.952111&lt;/D&gt;&lt;D xsi:type="xsd:double"&gt;2697.876919&lt;/D&gt;&lt;D xsi:type="xsd:double"&gt;2661.69054&lt;/D&gt;&lt;D xsi:type="xsd:double"&gt;2710.602741&lt;/D&gt;&lt;D xsi:type="xsd:double"&gt;2694.423263&lt;/D&gt;&lt;D xsi:type="xsd:double"&gt;2754.116514&lt;/D&gt;&lt;D xsi:type="xsd:double"&gt;2756.866936&lt;/D&gt;&lt;D xsi:type="xsd:double"&gt;2755.662716&lt;/D&gt;&lt;D xsi:type="xsd:double"&gt;2765.566192&lt;/D&gt;&lt;D xsi:type="xsd:double"&gt;2761.484056&lt;/D&gt;&lt;D xsi:type="xsd:double"&gt;2732.481401&lt;/D&gt;&lt;D xsi:type="xsd:double"&gt;2714.812254&lt;/D&gt;&lt;D xsi:type="xsd:double"&gt;2738.085897&lt;/D&gt;&lt;D xsi:type="xsd:double"&gt;2739.869623&lt;/D&gt;&lt;D xsi:type="xsd:double"&gt;2734.40126&lt;/D&gt;&lt;D xsi:type="xsd:double"&gt;2730.049525&lt;/D&gt;&lt;D xsi:type="xsd:double"&gt;2753.307064&lt;/D&gt;&lt;D xsi:type="xsd:double"&gt;2734.190621&lt;/D&gt;&lt;D xsi:type="xsd:double"&gt;2699.511813&lt;/D&gt;&lt;D xsi:type="xsd:double"&gt;2684.178015&lt;/D&gt;&lt;D xsi:type="xsd:double"&gt;2670.042638&lt;/D&gt;&lt;D xsi:type="xsd:double"&gt;2690.044169&lt;/D&gt;&lt;D xsi:type="xsd:double"&gt;2686.056332&lt;/D&gt;&lt;D xsi:type="xsd:double"&gt;2682.184721&lt;/D&gt;&lt;D xsi:type="xsd:double"&gt;2676.801425&lt;/D&gt;&lt;D xsi:type="xsd:double"&gt;2659.03965&lt;/D&gt;&lt;D xsi:type="xsd:double"&gt;2651.414292&lt;/D&gt;&lt;D xsi:type="xsd:double"&gt;2643.072812&lt;/D&gt;&lt;D xsi:type="xsd:double"&gt;2644.972685&lt;/D&gt;&lt;D xsi:type="xsd:double"&gt;2666.304889&lt;/D&gt;&lt;D xsi:type="xsd:double"&gt;2674.867773&lt;/D&gt;&lt;D xsi:type="xsd:double"&gt;2654.7916&lt;/D&gt;&lt;D xsi:type="xsd:double"&gt;2643.737425&lt;/D&gt;&lt;D xsi:type="xsd:double"&gt;2619.429757&lt;/D&gt;&lt;D xsi:type="xsd:double"&gt;2621.893758&lt;/D&gt;&lt;D xsi:type="xsd:double"&gt;2628.584708&lt;/D&gt;&lt;D xsi:type="xsd:double"&gt;2627.527614&lt;/D&gt;&lt;D xsi:type="xsd:double"&gt;2642.051274&lt;/D&gt;&lt;D xsi:type="xsd:double"&gt;2635.880354&lt;/D&gt;&lt;D xsi:type="xsd:double"&gt;2639.655877&lt;/D&gt;&lt;D xsi:type="xsd:double"&gt;2621.275529&lt;/D&gt;&lt;D xsi:type="xsd:double"&gt;2613.912815&lt;/D&gt;&lt;D xsi:type="xsd:double"&gt;2609.006296&lt;/D&gt;&lt;D xsi:type="xsd:double"&gt;2583.143358&lt;/D&gt;&lt;D xsi:type="xsd:double"&gt;2601.449135&lt;/D&gt;&lt;D xsi:type="xsd:double"&gt;2589.669764&lt;/D&gt;&lt;D xsi:type="xsd:double"&gt;2587.191871&lt;/D&gt;&lt;D xsi:type="xsd:double"&gt;2546.900359&lt;/D&gt;&lt;D xsi:type="xsd:double"&gt;2540.023214&lt;/D&gt;&lt;D xsi:type="xsd:double"&gt;2546.308243&lt;/D&gt;&lt;D xsi:type="xsd:double"&gt;2543.360507&lt;/D&gt;&lt;D xsi:type="xsd:double"&gt;2558.428804&lt;/D&gt;&lt;D xsi:type="xsd:double"&gt;2561.496281&lt;/D&gt;&lt;D xsi:type="xsd:double"&gt;2529.290946&lt;/D&gt;&lt;D xsi:type="xsd:double"&gt;2509.238476&lt;/D&gt;&lt;D xsi:type="xsd:double"&gt;2528.249074&lt;/D&gt;&lt;D xsi:type="xsd:double"&gt;2507.101115&lt;/D&gt;&lt;D xsi:type="xsd:double"&gt;2502.062775&lt;/D&gt;&lt;D xsi:type="xsd:double"&gt;2470.048471&lt;/D&gt;&lt;D xsi:type="xsd:double"&gt;2466.580754&lt;/D&gt;&lt;D xsi:type="xsd:double"&gt;2416.612614&lt;/D&gt;&lt;D xsi:type="xsd:double"&gt;2369.273812&lt;/D&gt;&lt;D xsi:type="xsd:double"&gt;2322.139308&lt;/D&gt;&lt;D xsi:type="xsd:double"&gt;2292.925435&lt;/D&gt;&lt;D xsi:type="xsd:double"&gt;2318.43726&lt;/D&gt;&lt;D xsi:type="xsd:double"&gt;2306.647844&lt;/D&gt;&lt;D xsi:type="xsd:double"&gt;2381.653228&lt;/D&gt;&lt;D xsi:type="xsd:double"&gt;2390.077184&lt;/D&gt;&lt;D xsi:type="xsd:double"&gt;2430.541298&lt;/D&gt;&lt;D xsi:type="xsd:double"&gt;2421.001145&lt;/D&gt;&lt;D xsi:type="xsd:double"&gt;2417.833905&lt;/D&gt;&lt;D xsi:type="xsd:double"&gt;2422.707491&lt;/D&gt;&lt;D xsi:type="xsd:double"&gt;2417.925123&lt;/D&gt;&lt;D xsi:type="xsd:double"&gt;2440.135842&lt;/D&gt;&lt;D xsi:type="xsd:double"&gt;2435.929477&lt;/D&gt;&lt;D xsi:type="xsd:double"&gt;2453.612316&lt;/D&gt;&lt;D xsi:type="xsd:double"&gt;2464.178765&lt;/D&gt;&lt;D xsi:type="xsd:double"&gt;2477.916184&lt;/D&gt;&lt;D xsi:type="xsd:double"&gt;2447.755135&lt;/D&gt;&lt;D xsi:type="xsd:double"&gt;2427.357729&lt;/D&gt;&lt;D xsi:type="xsd:double"&gt;2409.394753&lt;/D&gt;&lt;D xsi:type="xsd:double"&gt;2382.569713&lt;/D&gt;&lt;D xsi:type="xsd:double"&gt;2403.499881&lt;/D&gt;&lt;D xsi:type="xsd:double"&gt;2362.405882&lt;/D&gt;&lt;D xsi:type="xsd:double"&gt;2380.021256&lt;/D&gt;&lt;D xsi:type="xsd:double"&gt;2367.270462&lt;/D&gt;&lt;D xsi:type="xsd:double"&gt;2359.63421&lt;/D&gt;&lt;D xsi:type="xsd:double"&gt;2366.405979&lt;/D&gt;&lt;D xsi:type="xsd:double"&gt;2326.852565&lt;/D&gt;&lt;D xsi:type="xsd:double"&gt;2300.297195&lt;/D&gt;&lt;D xsi:type="xsd:double"&gt;2305.571279&lt;/D&gt;&lt;D xsi:type="xsd:double"&gt;2343.38791&lt;/D&gt;&lt;D xsi:type="xsd:double"&gt;2329.49421&lt;/D&gt;&lt;D xsi:type="xsd:double"&gt;2367.993181&lt;/D&gt;&lt;D xsi:type="xsd:double"&gt;2383.538456&lt;/D&gt;&lt;D xsi:type="xsd:double"&gt;2403.500366&lt;/D&gt;&lt;D xsi:type="xsd:double"&gt;2407.974793&lt;/D&gt;&lt;D xsi:type="xsd:double"&gt;2396.374069&lt;/D&gt;&lt;D xsi:type="xsd:double"&gt;2368.14263&lt;/D&gt;&lt;D xsi:type="xsd:double"&gt;2367.80034&lt;/D&gt;&lt;D xsi:type="xsd:double"&gt;2393.751049&lt;/D&gt;&lt;D xsi:type="xsd:double"&gt;2354.409585&lt;/D&gt;&lt;D xsi:type="xsd:double"&gt;2399.601104&lt;/D&gt;&lt;D xsi:type="xsd:double"&gt;2425.782923&lt;/D&gt;&lt;D xsi:type="xsd:double"&gt;2494.100843&lt;/D&gt;&lt;D xsi:type="xsd:double"&gt;2467.249453&lt;/D&gt;&lt;D xsi:type="xsd:double"&gt;2455.512157&lt;/D&gt;&lt;D xsi:type="xsd:double"&gt;2456.855194&lt;/D&gt;&lt;D xsi:type="xsd:double"&gt;2442.785818&lt;/D&gt;&lt;D xsi:type="xsd:double"&gt;2446.050233&lt;/D&gt;&lt;D xsi:type="xsd:double"&gt;2422.949358&lt;/D&gt;&lt;D xsi:type="xsd:double"&gt;2417.053606&lt;/D&gt;&lt;D xsi:type="xsd:double"&gt;2392.108188&lt;/D&gt;&lt;D xsi:type="xsd:double"&gt;2389.150147&lt;/D&gt;&lt;D xsi:type="xsd:double"&gt;2394.467644&lt;/D&gt;&lt;D xsi:type="xsd:double"&gt;2399.365617&lt;/D&gt;&lt;D xsi:type="xsd:double"&gt;2393.971938&lt;/D&gt;&lt;D xsi:type="xsd:double"&gt;2384.198556&lt;/D&gt;&lt;D xsi:type="xsd:double"&gt;2390.084758&lt;/D&gt;&lt;D xsi:type="xsd:double"&gt;2391.795314&lt;/D&gt;&lt;D xsi:type="xsd:double"&gt;2359.465698&lt;/D&gt;&lt;D xsi:type="xsd:double"&gt;2360.868799&lt;/D&gt;&lt;D xsi:type="xsd:double"&gt;2355.972933&lt;/D&gt;&lt;D xsi:type="xsd:double"&gt;2359.889549&lt;/D&gt;&lt;D xsi:type="xsd:double"&gt;2355.939334&lt;/D&gt;&lt;D xsi:type="xsd:double"&gt;2336.824421&lt;/D&gt;&lt;D xsi:type="xsd:double"&gt;2324.082239&lt;/D&gt;&lt;D xsi:type="xsd:double"&gt;2304.982465&lt;/D&gt;&lt;D xsi:type="xsd:double"&gt;2304.008515&lt;/D&gt;&lt;D xsi:type="xsd:double"&gt;2319.710819&lt;/D&gt;&lt;D xsi:type="xsd:double"&gt;2299.906128&lt;/D&gt;&lt;D xsi:type="xsd:double"&gt;2311.623283&lt;/D&gt;&lt;D xsi:type="xsd:double"&gt;2291.578453&lt;/D&gt;&lt;D xsi:type="xsd:double"&gt;2308.117122&lt;/D&gt;&lt;D xsi:type="xsd:double"&gt;2327.764065&lt;/D&gt;&lt;D xsi:type="xsd:double"&gt;2321.549461&lt;/D&gt;&lt;D xsi:type="xsd:double"&gt;2312.954363&lt;/D&gt;&lt;D xsi:type="xsd:double"&gt;2293.916491&lt;/D&gt;&lt;D xsi:type="xsd:double"&gt;2288.80997&lt;/D&gt;&lt;D xsi:type="xsd:double"&gt;2298.78239&lt;/D&gt;&lt;D xsi:type="xsd:double"&gt;2270.685053&lt;/D&gt;&lt;D xsi:type="xsd:double"&gt;2253.759036&lt;/D&gt;&lt;D xsi:type="xsd:double"&gt;2259.596524&lt;/D&gt;&lt;D xsi:type="xsd:double"&gt;2240.733596&lt;/D&gt;&lt;D xsi:type="xsd:double"&gt;2252.639073&lt;/D&gt;&lt;D xsi:type="xsd:double"&gt;2243.166287&lt;/D&gt;&lt;D xsi:type="xsd:double"&gt;2264.286827&lt;/D&gt;&lt;D xsi:type="xsd:double"&gt;2227.648324&lt;/D&gt;&lt;D xsi:type="xsd:double"&gt;2211.272456&lt;/D&gt;&lt;D xsi:type="xsd:double"&gt;2201.788466&lt;/D&gt;&lt;D xsi:type="xsd:double"&gt;2176.439086&lt;/D&gt;&lt;D xsi:type="xsd:double"&gt;2157.191013&lt;/D&gt;&lt;D xsi:type="xsd:double"&gt;2193.395647&lt;/D&gt;&lt;D xsi:type="xsd:double"&gt;2180.122265&lt;/D&gt;&lt;D xsi:type="xsd:double"&gt;2236.036628&lt;/D&gt;&lt;D xsi:type="xsd:double"&gt;2217.819609&lt;/D&gt;&lt;D xsi:type="xsd:double"&gt;2208.967148&lt;/D&gt;&lt;D xsi:type="xsd:double"&gt;2215.643964&lt;/D&gt;&lt;D xsi:type="xsd:double"&gt;2217.896743&lt;/D&gt;&lt;D xsi:type="xsd:double"&gt;2219.096931&lt;/D&gt;&lt;D xsi:type="xsd:double"&gt;2171.442999&lt;/D&gt;&lt;D xsi:type="xsd:double"&gt;2164.456541&lt;/D&gt;&lt;D xsi:type="xsd:double"&gt;2154.436591&lt;/D&gt;&lt;D xsi:type="xsd:double"&gt;2267.364105&lt;/D&gt;&lt;D xsi:type="xsd:double"&gt;2275.276174&lt;/D&gt;&lt;D xsi:type="xsd:double"&gt;2288.040943&lt;/D&gt;&lt;D xsi:type="xsd:double"&gt;2266.756243&lt;/D&gt;&lt;D xsi:type="xsd:double"&gt;2218.502804&lt;/D&gt;&lt;D xsi:type="xsd:double"&gt;2222.537623&lt;/D&gt;&lt;D xsi:type="xsd:double"&gt;2187.087789&lt;/D&gt;&lt;D xsi:type="xsd:double"&gt;2163.924958&lt;/D&gt;&lt;D xsi:type="xsd:double"&gt;2147.882039&lt;/D&gt;&lt;D xsi:type="xsd:double"&gt;2148.332711&lt;/D&gt;&lt;D xsi:type="xsd:double"&gt;2136.898788&lt;/D&gt;&lt;D xsi:type="xsd:double"&gt;2114.2715&lt;/D&gt;&lt;D xsi:type="xsd:double"&gt;2071.901633&lt;/D&gt;&lt;D xsi:type="xsd:double"&gt;2074.097746&lt;/D&gt;&lt;D xsi:type="xsd:double"&gt;2092.030543&lt;/D&gt;&lt;D xsi:type="xsd:double"&gt;2061.372125&lt;/D&gt;&lt;D xsi:type="xsd:double"&gt;2069.003941&lt;/D&gt;&lt;D xsi:type="xsd:double"&gt;2008.41026&lt;/D&gt;&lt;D xsi:type="xsd:double"&gt;1999.892124&lt;/D&gt;&lt;D xsi:type="xsd:double"&gt;1998.48442&lt;/D&gt;&lt;D xsi:type="xsd:double"&gt;2034.057844&lt;/D&gt;&lt;D xsi:type="xsd:double"&gt;2060.702436&lt;/D&gt;&lt;D xsi:type="xsd:double"&gt;2061.885572&lt;/D&gt;&lt;D xsi:type="xsd:double"&gt;2026.121</t>
        </r>
      </text>
    </comment>
    <comment ref="A3" authorId="0" shapeId="0">
      <text>
        <r>
          <rPr>
            <b/>
            <sz val="9"/>
            <color indexed="81"/>
            <rFont val="Tahoma"/>
            <family val="2"/>
          </rPr>
          <t>746&lt;/D&gt;&lt;D xsi:type="xsd:double"&gt;2007.596601&lt;/D&gt;&lt;D xsi:type="xsd:double"&gt;2018.114982&lt;/D&gt;&lt;D xsi:type="xsd:double"&gt;1997.746895&lt;/D&gt;&lt;D xsi:type="xsd:double"&gt;2004.785187&lt;/D&gt;&lt;D xsi:type="xsd:double"&gt;2052.845322&lt;/D&gt;&lt;D xsi:type="xsd:double"&gt;2070.763952&lt;/D&gt;&lt;D xsi:type="xsd:double"&gt;2023.350943&lt;/D&gt;&lt;D xsi:type="xsd:double"&gt;2022.494608&lt;/D&gt;&lt;D xsi:type="xsd:double"&gt;1987.647167&lt;/D&gt;&lt;D xsi:type="xsd:double"&gt;1974.381786&lt;/D&gt;&lt;D xsi:type="xsd:double"&gt;1968.267676&lt;/D&gt;&lt;D xsi:type="xsd:double"&gt;1932.249712&lt;/D&gt;&lt;D xsi:type="xsd:double"&gt;1994.02669&lt;/D&gt;&lt;D xsi:type="xsd:double"&gt;2017.508487&lt;/D&gt;&lt;D xsi:type="xsd:double"&gt;1964.326395&lt;/D&gt;&lt;D xsi:type="xsd:double"&gt;1960.20152&lt;/D&gt;&lt;D xsi:type="xsd:double"&gt;2006.805233&lt;/D&gt;&lt;D xsi:type="xsd:double"&gt;1956.752426&lt;/D&gt;&lt;D xsi:type="xsd:double"&gt;1970.671329&lt;/D&gt;&lt;D xsi:type="xsd:double"&gt;1940.082161&lt;/D&gt;&lt;D xsi:type="xsd:double"&gt;1895.040322&lt;/D&gt;&lt;D xsi:type="xsd:double"&gt;1881.477614&lt;/D&gt;&lt;D xsi:type="xsd:double"&gt;1776.861394&lt;/D&gt;&lt;D xsi:type="xsd:double"&gt;1803.067463&lt;/D&gt;&lt;D xsi:type="xsd:double"&gt;1781.266113&lt;/D&gt;&lt;D xsi:type="xsd:double"&gt;1852.726663&lt;/D&gt;&lt;D xsi:type="xsd:double"&gt;1870.477214&lt;/D&gt;&lt;D xsi:type="xsd:double"&gt;1827.170512&lt;/D&gt;&lt;D xsi:type="xsd:double"&gt;1875.563299&lt;/D&gt;&lt;D xsi:type="xsd:double"&gt;1785.986086&lt;/D&gt;&lt;D xsi:type="xsd:double"&gt;1742.605891&lt;/D&gt;&lt;D xsi:type="xsd:double"&gt;1602.105288&lt;/D&gt;&lt;D xsi:type="xsd:double"&gt;1650.939594&lt;/D&gt;&lt;D xsi:type="xsd:double"&gt;1694.449002&lt;/D&gt;&lt;D xsi:type="xsd:double"&gt;1682.2522&lt;/D&gt;&lt;D xsi:type="xsd:double"&gt;1772.934914&lt;/D&gt;&lt;D xsi:type="xsd:double"&gt;1702.787796&lt;/D&gt;&lt;D xsi:type="xsd:double"&gt;1881.641288&lt;/D&gt;&lt;D xsi:type="xsd:double"&gt;1776.524997&lt;/D&gt;&lt;D xsi:type="xsd:double"&gt;1972.044867&lt;/D&gt;&lt;D xsi:type="xsd:double"&gt;2051.957127&lt;/D&gt;&lt;D xsi:type="xsd:double"&gt;1995.222276&lt;/D&gt;&lt;D xsi:type="xsd:double"&gt;2149.286077&lt;/D&gt;&lt;D xsi:type="xsd:double"&gt;2192.345467&lt;/D&gt;&lt;D xsi:type="xsd:double"&gt;2243.09238&lt;/D&gt;&lt;D xsi:type="xsd:double"&gt;2179.482065&lt;/D&gt;&lt;D xsi:type="xsd:double"&gt;2212.38405&lt;/D&gt;&lt;D xsi:type="xsd:double"&gt;2141.123595&lt;/D&gt;&lt;D xsi:type="xsd:double"&gt;2177.248396&lt;/D&gt;&lt;D xsi:type="xsd:double"&gt;2258.619753&lt;/D&gt;&lt;D xsi:type="xsd:double"&gt;2269.419514&lt;/D&gt;&lt;D xsi:type="xsd:double"&gt;2330.75205&lt;/D&gt;&lt;D xsi:type="xsd:double"&gt;2402.804081&lt;/D&gt;&lt;D xsi:type="xsd:double"&gt;2420.20943&lt;/D&gt;&lt;D xsi:type="xsd:double"&gt;2431.224507&lt;/D&gt;&lt;D xsi:type="xsd:double"&gt;2421.467862&lt;/D&gt;&lt;D xsi:type="xsd:double"&gt;2431.365226&lt;/D&gt;&lt;D xsi:type="xsd:double"&gt;2429.892625&lt;/D&gt;&lt;D xsi:type="xsd:double"&gt;2434.951953&lt;/D&gt;&lt;D xsi:type="xsd:double"&gt;2421.261713&lt;/D&gt;&lt;D xsi:type="xsd:double"&gt;2413.100754&lt;/D&gt;&lt;D xsi:type="xsd:double"&gt;2404.746175&lt;/D&gt;&lt;D xsi:type="xsd:double"&gt;2416.477004&lt;/D&gt;&lt;D xsi:type="xsd:double"&gt;2404.962801&lt;/D&gt;&lt;D xsi:type="xsd:double"&gt;2383.295297&lt;/D&gt;&lt;D xsi:type="xsd:double"&gt;2351.451986&lt;/D&gt;&lt;D xsi:type="xsd:double"&gt;2342.413562&lt;/D&gt;&lt;D xsi:type="xsd:double"&gt;2372.014269&lt;/D&gt;&lt;D xsi:type="xsd:double"&gt;2373.516537&lt;/D&gt;&lt;D xsi:type="xsd:double"&gt;2372.522401&lt;/D&gt;&lt;D xsi:type="xsd:double"&gt;2356.092518&lt;/D&gt;&lt;D xsi:type="xsd:double"&gt;2395.309322&lt;/D&gt;&lt;D xsi:type="xsd:double"&gt;2406.137258&lt;/D&gt;&lt;D xsi:type="xsd:double"&gt;2410.228311&lt;/D&gt;&lt;D xsi:type="xsd:double"&gt;2409.29199&lt;/D&gt;&lt;D xsi:type="xsd:double"&gt;2415.51197&lt;/D&gt;&lt;D xsi:type="xsd:double"&gt;2406.167611&lt;/D&gt;&lt;D xsi:type="xsd:double"&gt;2392.063618&lt;/D&gt;&lt;D xsi:type="xsd:double"&gt;2388.495739&lt;/D&gt;&lt;D xsi:type="xsd:double"&gt;2388.24673&lt;/D&gt;&lt;D xsi:type="xsd:double"&gt;2377.619123&lt;/D&gt;&lt;D xsi:type="xsd:double"&gt;2379.854215&lt;/D&gt;&lt;D xsi:type="xsd:double"&gt;2366.925722&lt;/D&gt;&lt;D xsi:type="xsd:double"&gt;2362.428034&lt;/D&gt;&lt;D xsi:type="xsd:double"&gt;2364.490769&lt;/D&gt;&lt;D xsi:type="xsd:double"&gt;2363.120329&lt;/D&gt;&lt;D xsi:type="xsd:double"&gt;2375.93792&lt;/D&gt;&lt;D xsi:type="xsd:double"&gt;2358.468438&lt;/D&gt;&lt;D xsi:type="xsd:double"&gt;2353.252994&lt;/D&gt;&lt;D xsi:type="xsd:double"&gt;2364.903663&lt;/D&gt;&lt;D xsi:type="xsd:double"&gt;2360.213609&lt;/D&gt;&lt;D xsi:type="xsd:double"&gt;2351.841885&lt;/D&gt;&lt;D xsi:type="xsd:double"&gt;2350.746007&lt;/D&gt;&lt;D xsi:type="xsd:double"&gt;2349.870944&lt;/D&gt;&lt;D xsi:type="xsd:double"&gt;2340.654431&lt;/D&gt;&lt;D xsi:type="xsd:double"&gt;2333.278918&lt;/D&gt;&lt;D xsi:type="xsd:double"&gt;2336.61534&lt;/D&gt;&lt;D xsi:type="xsd:double"&gt;2337.45043&lt;/D&gt;&lt;D xsi:type="xsd:double"&gt;2319.734256&lt;/D&gt;&lt;D xsi:type="xsd:double"&gt;2309.364366&lt;/D&gt;&lt;D xsi:type="xsd:double"&gt;2295.019585&lt;/D&gt;&lt;D xsi:type="xsd:double"&gt;2289.672499&lt;/D&gt;&lt;D xsi:type="xsd:double"&gt;2292.584105&lt;/D&gt;&lt;D xsi:type="xsd:double"&gt;2296.392348&lt;/D&gt;&lt;D xsi:type="xsd:double"&gt;2278.628296&lt;/D&gt;&lt;D xsi:type="xsd:double"&gt;2275.467117&lt;/D&gt;&lt;D xsi:type="xsd:double"&gt;2263.096983&lt;/D&gt;&lt;D xsi:type="xsd:double"&gt;2276.396831&lt;/D&gt;&lt;D xsi:type="xsd:double"&gt;2292.259205&lt;/D&gt;&lt;D xsi:type="xsd:double"&gt;2302.671226&lt;/D&gt;&lt;D xsi:type="xsd:double"&gt;2294.776547&lt;/D&gt;&lt;D xsi:type="xsd:double"&gt;2290.650732&lt;/D&gt;&lt;D xsi:type="xsd:double"&gt;2273.886141&lt;/D&gt;&lt;D xsi:type="xsd:double"&gt;2270.359553&lt;/D&gt;&lt;D xsi:type="xsd:double"&gt;2274.916465&lt;/D&gt;&lt;D xsi:type="xsd:double"&gt;2284.84865&lt;/D&gt;&lt;D xsi:type="xsd:double"&gt;2285.758441&lt;/D&gt;&lt;D xsi:type="xsd:double"&gt;2282.798908&lt;/D&gt;&lt;D xsi:type="xsd:double"&gt;2265.286943&lt;/D&gt;&lt;D xsi:type="xsd:double"&gt;2268.325858&lt;/D&gt;&lt;D xsi:type="xsd:double"&gt;2270.012622&lt;/D&gt;&lt;D xsi:type="xsd:double"&gt;2266.362819&lt;/D&gt;&lt;D xsi:type="xsd:double"&gt;2268.828882&lt;/D&gt;&lt;D xsi:type="xsd:double"&gt;2266.693837&lt;/D&gt;&lt;D xsi:type="xsd:double"&gt;2261.37063&lt;/D&gt;&lt;D xsi:type="xsd:double"&gt;2259.256905&lt;/D&gt;&lt;D xsi:type="xsd:double"&gt;2261.448851&lt;/D&gt;&lt;D xsi:type="xsd:double"&gt;2252.067405&lt;/D&gt;&lt;D xsi:type="xsd:double"&gt;2233.525725&lt;/D&gt;&lt;D xsi:type="xsd:double"&gt;2237.314776&lt;/D&gt;&lt;D xsi:type="xsd:double"&gt;2232.446179&lt;/D&gt;&lt;D xsi:type="xsd:double"&gt;2231.397753&lt;/D&gt;&lt;D xsi:type="xsd:double"&gt;2222.754399&lt;/D&gt;&lt;D xsi:type="xsd:double"&gt;2215.642899&lt;/D&gt;&lt;D xsi:type="xsd:double"&gt;2208.283487&lt;/D&gt;&lt;D xsi:type="xsd:double"&gt;2204.287636&lt;/D&gt;&lt;D xsi:type="xsd:double"&gt;2209.340621&lt;/D&gt;&lt;D xsi:type="xsd:double"&gt;2195.278386&lt;/D&gt;&lt;D xsi:type="xsd:double"&gt;2201.917389&lt;/D&gt;&lt;D xsi:type="xsd:double"&gt;2195.348465&lt;/D&gt;&lt;D xsi:type="xsd:double"&gt;2196.611369&lt;/D&gt;&lt;D xsi:type="xsd:double"&gt;2175.27879&lt;/D&gt;&lt;D xsi:type="xsd:double"&gt;2179.328332&lt;/D&gt;&lt;D xsi:type="xsd:double"&gt;2150.160097&lt;/D&gt;&lt;D xsi:type="xsd:double"&gt;2137.617696&lt;/D&gt;&lt;D xsi:type="xsd:double"&gt;2124.14549&lt;/D&gt;&lt;D xsi:type="xsd:double"&gt;2151.822408&lt;/D&gt;&lt;D xsi:type="xsd:double"&gt;2153.825206&lt;/D&gt;&lt;D xsi:type="xsd:double"&gt;2131.356645&lt;/D&gt;&lt;D xsi:type="xsd:double"&gt;2121.469801&lt;/D&gt;&lt;D xsi:type="xsd:double"&gt;2158.471702&lt;/D&gt;&lt;D xsi:type="xsd:double"&gt;2180.018237&lt;/D&gt;&lt;D xsi:type="xsd:double"&gt;2175.541718&lt;/D&gt;&lt;D xsi:type="xsd:double"&gt;2183.456258&lt;/D&gt;&lt;D xsi:type="xsd:double"&gt;2184.562408&lt;/D&gt;&lt;D xsi:type="xsd:double"&gt;2182.072357&lt;/D&gt;&lt;D xsi:type="xsd:double"&gt;2193.73965&lt;/D&gt;&lt;D xsi:type="xsd:double"&gt;2197.545838&lt;/D&gt;&lt;D xsi:type="xsd:double"&gt;2204.673171&lt;/D&gt;&lt;D xsi:type="xsd:double"&gt;2201.024834&lt;/D&gt;&lt;D xsi:type="xsd:double"&gt;2201.767254&lt;/D&gt;&lt;D xsi:type="xsd:double"&gt;2195.880388&lt;/D&gt;&lt;D xsi:type="xsd:double"&gt;2205.809234&lt;/D&gt;&lt;D xsi:type="xsd:double"&gt;2201.814076&lt;/D&gt;&lt;D xsi:type="xsd:double"&gt;2194.423765&lt;/D&gt;&lt;D xsi:type="xsd:double"&gt;2179.425422&lt;/D&gt;&lt;D xsi:type="xsd:double"&gt;2178.405021&lt;/D&gt;&lt;D xsi:type="xsd:double"&gt;2178.89664&lt;/D&gt;&lt;D xsi:type="xsd:double"&gt;2174.265921&lt;/D&gt;&lt;D xsi:type="xsd:double"&gt;2149.797486&lt;/D&gt;&lt;D xsi:type="xsd:double"&gt;2126.924913&lt;/D&gt;&lt;D xsi:type="xsd:double"&gt;2138.521184&lt;/D&gt;&lt;D xsi:type="xsd:double"&gt;2133.076568&lt;/D&gt;&lt;D xsi:type="xsd:double"&gt;2111.916676&lt;/D&gt;&lt;D xsi:type="xsd:double"&gt;2104.845409&lt;/D&gt;&lt;D xsi:type="xsd:double"&gt;2105.217226&lt;/D&gt;&lt;D xsi:type="xsd:double"&gt;2094.632789&lt;/D&gt;&lt;D xsi:type="xsd:double"&gt;2131.676661&lt;/D&gt;&lt;D xsi:type="xsd:double"&gt;2135.52475&lt;/D&gt;&lt;D xsi:type="xsd:double"&gt;2119.573976&lt;/D&gt;&lt;D xsi:type="xsd:double"&gt;2131.809518&lt;/D&gt;&lt;D xsi:type="xsd:double"&gt;2108.502049&lt;/D&gt;&lt;D xsi:type="xsd:double"&gt;2082.838247&lt;/D&gt;&lt;D xsi:type="xsd:double"&gt;2086.260779&lt;/D&gt;&lt;D xsi:type="xsd:double"&gt;2134.537132&lt;/D&gt;&lt;D xsi:type="xsd:double"&gt;2117.647048&lt;/D&gt;&lt;D xsi:type="xsd:double"&gt;2135.343183&lt;/D&gt;&lt;D xsi:type="xsd:double"&gt;2146.906693&lt;/D&gt;&lt;D xsi:type="xsd:double"&gt;2114.053303&lt;/D&gt;&lt;D xsi:type="xsd:double"&gt;2109.200775&lt;/D&gt;&lt;D xsi:type="xsd:double"&gt;2097.318682&lt;/D&gt;&lt;D xsi:type="xsd:double"&gt;2149.993281&lt;/D&gt;&lt;D xsi:type="xsd:double"&gt;2173.176642&lt;/D&gt;&lt;D xsi:type="xsd:double"&gt;2187.563594&lt;/D&gt;&lt;D xsi:type="xsd:double"&gt;2203.402001&lt;/D&gt;&lt;D xsi:type="xsd:double"&gt;2212.503719&lt;/D&gt;&lt;D xsi:type="xsd:double"&gt;2215.708354&lt;/D&gt;&lt;D xsi:type="xsd:double"&gt;2206.922048&lt;/D&gt;&lt;D xsi:type="xsd:double"&gt;2217.750958&lt;/D&gt;&lt;D xsi:type="xsd:double"&gt;2209.586931&lt;/D&gt;&lt;D xsi:type="xsd:double"&gt;2197.67231&lt;/D&gt;&lt;D xsi:type="xsd:double"&gt;2194.611862&lt;/D&gt;&lt;D xsi:type="xsd:double"&gt;2198.399093&lt;/D&gt;&lt;D xsi:type="xsd:double"&gt;2197.936223&lt;/D&gt;&lt;D xsi:type="xsd:double"&gt;2208.087859&lt;/D&gt;&lt;D xsi:type="xsd:double"&gt;2214.340418&lt;/D&gt;&lt;D xsi:type="xsd:double"&gt;2212.645309&lt;/D&gt;&lt;D xsi:type="xsd:double"&gt;2205.345618&lt;/D&gt;&lt;D xsi:type="xsd:double"&gt;2201.137702&lt;/D&gt;&lt;D xsi:type="xsd:double"&gt;2193.645131&lt;/D&gt;&lt;D xsi:type="xsd:double"&gt;2194.61551&lt;/D&gt;&lt;D xsi:type="xsd:double"&gt;2205.567658&lt;/D&gt;&lt;D xsi:type="xsd:double"&gt;2213.345952&lt;/D&gt;&lt;D xsi:type="xsd:double"&gt;2198.547121&lt;/D&gt;&lt;D xsi:type="xsd:double"&gt;2192.237886&lt;/D&gt;&lt;D xsi:type="xsd:double"&gt;2178.346522&lt;/D&gt;&lt;D xsi:type="xsd:double"&gt;2166.481752&lt;/D&gt;&lt;D xsi:type="xsd:double"&gt;2158.409717&lt;/D&gt;&lt;D xsi:type="xsd:double"&gt;2163.728964&lt;/D&gt;&lt;D xsi:type="xsd:double"&gt;2178.166206&lt;/D&gt;&lt;D xsi:type="xsd:double"&gt;2178.157486&lt;/D&gt;&lt;D xsi:type="xsd:double"&gt;2183.356818&lt;/D&gt;&lt;D xsi:type="xsd:double"&gt;2161.595477&lt;/D&gt;&lt;D xsi:type="xsd:double"&gt;2150.912464&lt;/D&gt;&lt;D xsi:type="xsd:double"&gt;2130.86252&lt;/D&gt;&lt;D xsi:type="xsd:double"&gt;2130.95244&lt;/D&gt;&lt;D xsi:type="xsd:double"&gt;2136.961946&lt;/D&gt;&lt;D xsi:type="xsd:double"&gt;2134.418544&lt;/D&gt;&lt;D xsi:type="xsd:double"&gt;2139.742838&lt;/D&gt;&lt;D xsi:type="xsd:double"&gt;2135.506385&lt;/D&gt;&lt;D xsi:type="xsd:double"&gt;2126.881656&lt;/D&gt;&lt;D xsi:type="xsd:double"&gt;2104.182273&lt;/D&gt;&lt;D xsi:type="xsd:double"&gt;2095.831542&lt;/D&gt;&lt;D xsi:type="xsd:double"&gt;2077.65951&lt;/D&gt;&lt;D xsi:type="xsd:double"&gt;2045.06419&lt;/D&gt;&lt;D xsi:type="xsd:double"&gt;2046.245937&lt;/D&gt;&lt;D xsi:type="xsd:double"&gt;2066.482378&lt;/D&gt;&lt;D xsi:type="xsd:double"&gt;2064.79979&lt;/D&gt;&lt;D xsi:type="xsd:double"&gt;2084.572401&lt;/D&gt;&lt;D xsi:type="xsd:double"&gt;2095.025356&lt;/D&gt;&lt;D xsi:type="xsd:double"&gt;2087.457014&lt;/D&gt;&lt;D xsi:type="xsd:double"&gt;2111.783728&lt;/D&gt;&lt;D xsi:type="xsd:double"&gt;2117.661499&lt;/D&gt;&lt;D xsi:type="xsd:double"&gt;2104.643645&lt;/D&gt;&lt;D xsi:type="xsd:double"&gt;2116.504948&lt;/D&gt;&lt;D xsi:type="xsd:double"&gt;2126.059301&lt;/D&gt;&lt;D xsi:type="xsd:double"&gt;2110.395859&lt;/D&gt;&lt;D xsi:type="xsd:double"&gt;2098.758064&lt;/D&gt;&lt;D xsi:type="xsd:double"&gt;2086.455995&lt;/D&gt;&lt;D xsi:type="xsd:double"&gt;2126.319666&lt;/D&gt;&lt;D xsi:type="xsd:double"&gt;2119.308149&lt;/D&gt;&lt;D xsi:type="xsd:double"&gt;2131.898097&lt;/D&gt;&lt;D xsi:type="xsd:double"&gt;2135.494131&lt;/D&gt;&lt;D xsi:type="xsd:double"&gt;2166.65633&lt;/D&gt;&lt;D xsi:type="xsd:double"&gt;2177.767298&lt;/D&gt;&lt;D xsi:type="xsd:double"&gt;2161.114277&lt;/D&gt;&lt;D xsi:type="xsd:double"&gt;2170.032833&lt;/D&gt;&lt;D xsi:type="xsd:double"&gt;2178.67429&lt;/D&gt;&lt;D xsi:type="xsd:double"&gt;2175.58887&lt;/D&gt;&lt;D xsi:type="xsd:double"&gt;2173.816276&lt;/D&gt;&lt;D xsi:type="xsd:double"&gt;2165.363261&lt;/D&gt;&lt;D xsi:type="xsd:double"&gt;2168.809482&lt;/D&gt;&lt;D xsi:type="xsd:double"&gt;2174.392157&lt;/D&gt;&lt;D xsi:type="xsd:double"&gt;2161.579434&lt;/D&gt;&lt;D xsi:type="xsd:double"&gt;2160.205663&lt;/D&gt;&lt;D xsi:type="xsd:double"&gt;2160.938959&lt;/D&gt;&lt;D xsi:type="xsd:double"&gt;2163.084454&lt;/D&gt;&lt;D xsi:type="xsd:double"&gt;2161.144492&lt;/D&gt;&lt;D xsi:type="xsd:double"&gt;2159.392946&lt;/D&gt;&lt;D xsi:type="xsd:double"&gt;2147.611323&lt;/D&gt;&lt;D xsi:type="xsd:double"&gt;2147.986823&lt;/D&gt;&lt;D xsi:type="xsd:double"&gt;2143.195564&lt;/D&gt;&lt;D xsi:type="xsd:double"&gt;2152.894817&lt;/D&gt;&lt;D xsi:type="xsd:double"&gt;2149.847886&lt;/D&gt;&lt;D xsi:type="xsd:double"&gt;2142.749738&lt;/D&gt;&lt;D xsi:type="xsd:double"&gt;2143.022331&lt;/D&gt;&lt;D xsi:type="xsd:double"&gt;2131.711525&lt;/D&gt;&lt;D xsi:type="xsd:double"&gt;2131.793605&lt;/D&gt;&lt;D xsi:type="xsd:double"&gt;2107.742125&lt;/D&gt;&lt;D xsi:type="xsd:double"&gt;2095.175249&lt;/D&gt;&lt;D xsi:type="xsd:double"&gt;2094.018324&lt;/D&gt;&lt;D xsi:type="xsd:double"&gt;2102.621096&lt;/D&gt;&lt;D xsi:type="xsd:double"&gt;2087.056547&lt;/D&gt;&lt;D xsi:type="xsd:double"&gt;2094.812003&lt;/D&gt;&lt;D xsi:type="xsd:double"&gt;2127.930494&lt;/D&gt;&lt;D xsi:type="xsd:double"&gt;2112.045998&lt;/D&gt;&lt;D xsi:type="xsd:double"&gt;2120.434754&lt;/D&gt;&lt;D xsi:type="xsd:double"&gt;2117.988643&lt;/D&gt;&lt;D xsi:type="xsd:double"&gt;2108.77947&lt;/D&gt;&lt;D xsi:type="xsd:double"&gt;2096.324537&lt;/D&gt;&lt;D xsi:type="xsd:double"&gt;2095.666756&lt;/D&gt;&lt;D xsi:type="xsd:double"&gt;2083.383651&lt;/D&gt;&lt;D xsi:type="xsd:double"&gt;2074.656844&lt;/D&gt;&lt;D xsi:type="xsd:double"&gt;2051.123352&lt;/D&gt;&lt;D xsi:type="xsd:double"&gt;2061.411604&lt;/D&gt;&lt;D xsi:type="xsd:double"&gt;2078.688801&lt;/D&gt;&lt;D xsi:type="xsd:double"&gt;2087.502005&lt;/D&gt;&lt;D xsi:type="xsd:double"&gt;2090.39958&lt;/D&gt;&lt;D xsi:type="xsd:double"&gt;2096.354084&lt;/D&gt;&lt;D xsi:type="xsd:double"&gt;2085.844635&lt;/D&gt;&lt;D xsi:type="xsd:double"&gt;2092.122233&lt;/D&gt;&lt;D xsi:type="xsd:double"&gt;2091.698705&lt;/D&gt;&lt;D xsi:type="xsd:double"&gt;2091.834807&lt;/D&gt;&lt;D xsi:type="xsd:double"&gt;2086.966025&lt;/D&gt;&lt;D xsi:type="xsd:double"&gt;2077.436106&lt;/D&gt;&lt;D xsi:type="xsd:double"&gt;2083.635985&lt;/D&gt;&lt;D xsi:type="xsd:double"&gt;2075.906756&lt;/D&gt;&lt;D xsi:type="xsd:double"&gt;2066.584638&lt;/D&gt;&lt;D xsi:type="xsd:double"&gt;2047.563536&lt;/D&gt;&lt;D xsi:type="xsd:double"&gt;2052.76168&lt;/D&gt;&lt;D xsi:type="xsd:double"&gt;2045.118159&lt;/D&gt;&lt;D xsi:type="xsd:double"&gt;2021.5952&lt;/D&gt;&lt;D xsi:type="xsd:double"&gt;2020.533169&lt;/D&gt;&lt;D xsi:type="xsd:double"&gt;2026.935975&lt;/D&gt;&lt;D xsi:type="xsd:double"&gt;2047.113547&lt;/D&gt;&lt;D xsi:type="xsd:double"&gt;2051.357039&lt;/D&gt;&lt;D xsi:type="xsd:double"&gt;2037.757763&lt;/D&gt;&lt;D xsi:type="xsd:double"&gt;2029.546015&lt;/D&gt;&lt;D xsi:type="xsd:double"&gt;2028.492315&lt;/D&gt;&lt;D xsi:type="xsd:double"&gt;2010.954744&lt;/D&gt;&lt;D xsi:type="xsd:double"&gt;1989.5977&lt;/D&gt;&lt;D xsi:type="xsd:double"&gt;1989.183379&lt;/D&gt;&lt;D xsi:type="xsd:double"&gt;2001.860444&lt;/D&gt;&lt;D xsi:type="xsd:double"&gt;1983.233177&lt;/D&gt;&lt;D xsi:type="xsd:double"&gt;1980.145285&lt;/D&gt;&lt;D xsi:type="xsd:double"&gt;1978.831207&lt;/D&gt;&lt;D xsi:type="xsd:double"&gt;2000.757367&lt;/D&gt;&lt;D xsi:type="xsd:double"&gt;1975.608455&lt;/D&gt;&lt;D xsi:type="xsd:double"&gt;1966.502794&lt;/D&gt;&lt;D xsi:type="xsd:double"&gt;1963.613118&lt;/D&gt;&lt;D xsi:type="xsd:double"&gt;1948.163259&lt;/D&gt;&lt;D xsi:type="xsd:double"&gt;1957.168073&lt;/D&gt;&lt;D xsi:type="xsd:double"&gt;1957.692533&lt;/D&gt;&lt;D xsi:type="xsd:double"&gt;1950.985228&lt;/D&gt;&lt;D xsi:type="xsd:double"&gt;1935.787002&lt;/D&gt;&lt;D xsi:type="xsd:double"&gt;1919.751357&lt;/D&gt;&lt;D xsi:type="xsd:double"&gt;1904.17693&lt;/D&gt;&lt;D xsi:type="xsd:double"&gt;1853.17775&lt;/D&gt;&lt;D xsi:type="xsd:double"&gt;1881.149102&lt;/D&gt;&lt;D xsi:type="xsd:double"&gt;1883.901399&lt;/D&gt;&lt;D xsi:type="xsd:double"&gt;1870.800351&lt;/D&gt;&lt;D xsi:type="xsd:double"&gt;1862.382136&lt;/D&gt;&lt;D xsi:type="xsd:double"&gt;1850.70033&lt;/D&gt;&lt;D xsi:type="xsd:double"&gt;1802.951504&lt;/D&gt;&lt;D xsi:type="xsd:double"&gt;1834.968899&lt;/D&gt;&lt;D xsi:type="xsd:double"&gt;1862.820913&lt;/D&gt;&lt;D xsi:type="xsd:double"&gt;1892.712921&lt;/D&gt;&lt;D xsi:type="xsd:double"&gt;1908.156563&lt;/D&gt;&lt;D xsi:type="xsd:double"&gt;1914.32858&lt;/D&gt;&lt;D xsi:type="xsd:double"&gt;1942.546581&lt;/D&gt;&lt;D xsi:type="xsd:double"&gt;1974.411102&lt;/D&gt;&lt;D xsi:type="xsd:double"&gt;1975.881133&lt;/D&gt;&lt;D xsi:type="xsd:double"&gt;1954.652078&lt;/D&gt;&lt;D xsi:type="xsd:double"&gt;1952.830058&lt;/D&gt;&lt;D xsi:type="xsd:double"&gt;1965.242726&lt;/D&gt;&lt;D xsi:type="xsd:double"&gt;1990.845883&lt;/D&gt;&lt;D xsi:type="xsd:double"&gt;2016.889863&lt;/D&gt;&lt;D xsi:type="xsd:double"&gt;2066.618059&lt;/D&gt;&lt;D xsi:type="xsd:double"&gt;2041.358676&lt;/D&gt;&lt;D xsi:type="xsd:double"&gt;2034.885311&lt;/D&gt;&lt;D xsi:type="xsd:double"&gt;2029.775321&lt;/D&gt;&lt;D xsi:type="xsd:double"&gt;2000.073583&lt;/D&gt;&lt;D xsi:type="xsd:double"&gt;1999.204636&lt;/D&gt;&lt;D xsi:type="xsd:double"&gt;1975.090056&lt;/D&gt;&lt;D xsi:type="xsd:double"&gt;1984.730984&lt;/D&gt;&lt;D xsi:type="xsd:double"&gt;1976.906711&lt;/D&gt;&lt;D xsi:type="xsd:double"&gt;2009.60517&lt;/D&gt;&lt;D xsi:type="xsd:double"&gt;2031.757791&lt;/D&gt;&lt;D xsi:type="xsd:double"&gt;2026.296954&lt;/D&gt;&lt;D xsi:type="xsd:double"&gt;2015.143223&lt;/D&gt;&lt;D xsi:type="xsd:double"&gt;2026.523005&lt;/D&gt;&lt;D xsi:type="xsd:double"&gt;2028.618626&lt;/D&gt;&lt;D xsi:type="xsd:double"&gt;2063.156538&lt;/D&gt;&lt;D xsi:type="xsd:double"&gt;2082.467372&lt;/D&gt;&lt;D xsi:type="xsd:double"&gt;2084.447537&lt;/D&gt;&lt;D xsi:type="xsd:double"&gt;2050.64661&lt;/D&gt;&lt;D xsi:type="xsd:double"&gt;2040.683938&lt;/D&gt;&lt;D xsi:type="xsd:double"&gt;2036.702772&lt;/D&gt;&lt;D xsi:type="xsd:double"&gt;2040.933057&lt;/D&gt;&lt;D xsi:type="xsd:double"&gt;2021.982259&lt;/D&gt;&lt;D xsi:type="xsd:double"&gt;1997.186051&lt;/D&gt;&lt;D xsi:type="xsd:double"&gt;1975.699589&lt;/D&gt;&lt;D xsi:type="xsd:double"&gt;1981.891792&lt;/D&gt;&lt;D xsi:type="xsd:double"&gt;2006.268291&lt;/D&gt;&lt;D xsi:type="xsd:double"&gt;1988.619979&lt;/D&gt;&lt;D xsi:type="xsd:double"&gt;2033.889962&lt;/D&gt;&lt;D xsi:type="xsd:double"&gt;2053.438017&lt;/D&gt;&lt;D xsi:type="xsd:double"&gt;2062.334841&lt;/D&gt;&lt;D xsi:type="xsd:double"&gt;2064.474623&lt;/D&gt;&lt;D xsi:type="xsd:double"&gt;2089.503723&lt;/D&gt;&lt;D xsi:type="xsd:double"&gt;2091.206467&lt;/D&gt;&lt;D xsi:type="xsd:double"&gt;2055.107087&lt;/D&gt;&lt;D xsi:type="xsd:double"&gt;2063.434905&lt;/D&gt;&lt;D xsi:type="xsd:double"&gt;2044.951759&lt;/D&gt;&lt;D xsi:type="xsd:double"&gt;2089.095433&lt;/D&gt;&lt;D xsi:type="xsd:double"&gt;2138.462482&lt;/D&gt;&lt;D xsi:type="xsd:double"&gt;2143.564746&lt;/D&gt;&lt;D xsi:type="xsd:double"&gt;2151.423074&lt;/D&gt;&lt;D xsi:type="xsd:double"&gt;2165.431323&lt;/D&gt;&lt;D xsi:type="xsd:double"&gt;2183.631648&lt;/D&gt;&lt;D xsi:type="xsd:double"&gt;2183.620722&lt;/D&gt;&lt;D xsi:type="xsd:double"&gt;2188.184858&lt;/D&gt;&lt;D xsi:type="xsd:double"&gt;2184.008868&lt;/D&gt;&lt;D xsi:type="xsd:double"&gt;2188.705855&lt;/D&gt;&lt;D xsi:type="xsd:double"&gt;2189.310069&lt;/D&gt;&lt;D xsi:type="xsd:double"&gt;2194.195867&lt;/D&gt;&lt;D xsi:type="xsd:double"&gt;2193.006558&lt;/D&gt;&lt;D xsi:type="xsd:double"&gt;2200.006858&lt;/D&gt;&lt;D xsi:type="xsd:double"&gt;2195.677162&lt;/D&gt;&lt;D xsi:type="xsd:double"&gt;2177.743329&lt;/D&gt;&lt;D xsi:type="xsd:double"&gt;2172.268934&lt;/D&gt;&lt;D xsi:type="xsd:double"&gt;2160.525918&lt;/D&gt;&lt;D xsi:type="xsd:double"&gt;2166.587426&lt;/D&gt;&lt;D xsi:type="xsd:double"&gt;2162.675757&lt;/D&gt;&lt;D xsi:type="xsd:double"&gt;2152.697191&lt;/D&gt;&lt;D xsi:type="xsd:double"&gt;2147.672377&lt;/D&gt;&lt;D xsi:type="xsd:double"&gt;2142.64007&lt;/D&gt;&lt;D xsi:type="xsd:double"&gt;2137.602229&lt;/D&gt;&lt;D xsi:type="xsd:double"&gt;2144.027951&lt;/D&gt;&lt;D xsi:type="xsd:double"&gt;2152.773141&lt;/D&gt;&lt;D xsi:type="xsd:double"&gt;2162.828308&lt;/D&gt;&lt;D xsi:type="xsd:double"&gt;2175.498067&lt;/D&gt;&lt;D xsi:type="xsd:double"&gt;2181.561655&lt;/D&gt;&lt;D xsi:type="xsd:double"&gt;2190.749653&lt;/D&gt;&lt;D xsi:type="xsd:double"&gt;2182.504629&lt;/D&gt;&lt;D xsi:type="xsd:double"&gt;2179.949695&lt;/D&gt;&lt;D xsi:type="xsd:double"&gt;2161.608742&lt;/D&gt;&lt;D xsi:type="xsd:double"&gt;2149.223568&lt;/D&gt;&lt;D xsi:type="xsd:double"&gt;2155.987078&lt;/D&gt;&lt;D xsi:type="xsd:double"&gt;2151.788724&lt;/D&gt;&lt;D xsi:type="xsd:double"&gt;2145.241307&lt;/D&gt;&lt;D xsi:type="xsd:double"&gt;2138.107847&lt;/D&gt;&lt;D xsi:type="xsd:double"&gt;2131.051988&lt;/D&gt;&lt;D xsi:type="xsd:double"&gt;2115.699994&lt;/D&gt;&lt;D xsi:type="xsd:double"&gt;2137.355074&lt;/D&gt;&lt;D xsi:type="xsd:double"&gt;2127.466341&lt;/D&gt;&lt;D xsi:type="xsd:double"&gt;2139.842718&lt;/D&gt;&lt;D xsi:type="xsd:double"&gt;2163.69324&lt;/D&gt;&lt;D xsi:type="xsd:double"&gt;2166.149325&lt;/D&gt;&lt;D xsi:type="xsd:double"&gt;2166.851831&lt;/D&gt;&lt;D xsi:type="xsd:double"&gt;2157.335958&lt;/D&gt;&lt;D xsi:type="xsd:double"&gt;2155.389541&lt;/D&gt;&lt;D xsi:type="xsd:double"&gt;2147.57557&lt;/D&gt;&lt;D xsi:type="xsd:double"&gt;2149.362432&lt;/D&gt;&lt;D xsi:type="xsd:double"&gt;2153.096357&lt;/D&gt;&lt;D xsi:type="xsd:double"&gt;2148.249707&lt;/D&gt;&lt;D xsi:type="xsd:double"&gt;2156.107086&lt;/D&gt;&lt;D xsi:type="xsd:double"&gt;2161.932478&lt;/D&gt;&lt;D xsi:type="xsd:double"&gt;2161.75558&lt;/D&gt;&lt;D xsi:type="xsd:double"&gt;2151.077466&lt;/D&gt;&lt;D xsi:type="xsd:double"&gt;2139.436905&lt;/D&gt;&lt;D xsi:type="xsd:double"&gt;2139.171024&lt;/D&gt;&lt;D xsi:type="xsd:double"&gt;2134.843495&lt;/D&gt;&lt;D xsi:type="xsd:double"&gt;2142.24272&lt;/D&gt;&lt;D xsi:type="xsd:double"&gt;2138.148329&lt;/D&gt;&lt;D xsi:type="xsd:double"&gt;2132.792407&lt;/D&gt;&lt;D xsi:type="xsd:double"&gt;2134.599519&lt;/D&gt;&lt;D xsi:type="xsd:double"&gt;2130.861263&lt;/D&gt;&lt;D xsi:type="xsd:double"&gt;2117.30007&lt;/D&gt;&lt;D xsi:type="xsd:double"&gt;2135.872352&lt;/D&gt;&lt;D xsi:type="xsd:double"&gt;2131.141897&lt;/D&gt;&lt;D xsi:type="xsd:double"&gt;2113.739648&lt;/D&gt;&lt;D xsi:type="xsd:double"&gt;2096.18808&lt;/D&gt;&lt;D xsi:type="xsd:double"&gt;2082.048164&lt;/D&gt;&lt;D xsi:type="xsd:double"&gt;2082.080693&lt;/D&gt;&lt;D xsi:type="xsd:double"&gt;2089.30065&lt;/D&gt;&lt;D xsi:type="xsd:double"&gt;2079.616404&lt;/D&gt;&lt;D xsi:type="xsd:double"&gt;2076.301196&lt;/D&gt;&lt;D xsi:type="xsd:double"&gt;2088.407821&lt;/D&gt;&lt;D xsi:type="xsd:double"&gt;2085.590085&lt;/D&gt;&lt;D xsi:type="xsd:double"&gt;2114.900666&lt;/D&gt;&lt;D xsi:type="xsd:double"&gt;2105.929813&lt;/D&gt;&lt;D xsi:type="xsd:double"&gt;2117.758391&lt;/D&gt;&lt;D xsi:type="xsd:double"&gt;2111.442603&lt;/D&gt;&lt;D xsi:type="xsd:double"&gt;2125.789561&lt;/D&gt;&lt;D xsi:type="xsd:double"&gt;2134.150689&lt;/D&gt;&lt;D xsi:type="xsd:double"&gt;2142.01667&lt;/D&gt;&lt;D xsi:type="xsd:double"&gt;2140.203043&lt;/D&gt;&lt;D xsi:type="xsd:double"&gt;2145.363334&lt;/D&gt;&lt;D xsi:type="xsd:double"&gt;2144.202748&lt;/D&gt;&lt;D xsi:type="xsd:double"&gt;2137.741036&lt;/D&gt;&lt;D xsi:type="xsd:double"&gt;2137.56592&lt;/D&gt;&lt;D xsi:type="xsd:double"&gt;2136.735404&lt;/D&gt;&lt;D xsi:type="xsd:double"&gt;2119.364741&lt;/D&gt;&lt;D xsi:type="xsd:double"&gt;2121.855143&lt;/D&gt;&lt;D xsi:type="xsd:double"&gt;2109.191868&lt;/D&gt;&lt;D xsi:type="xsd:double"&gt;2092.922608&lt;/D&gt;&lt;D xsi:type="xsd:double"&gt;2100.420887&lt;/D&gt;&lt;D xsi:type="xsd:double"&gt;2083.272966&lt;/D&gt;&lt;D xsi:type="xsd:double"&gt;2110.79803&lt;/D&gt;&lt;D xsi:type="xsd:double"&gt;2117.73196&lt;/D&gt;&lt;D xsi:type="xsd:double"&gt;2122.895379&lt;/D&gt;&lt;D xsi:type="xsd:double"&gt;2128.778109&lt;/D&gt;&lt;D xsi:type="xsd:double"&gt;2130.718714&lt;/D&gt;&lt;D xsi:type="xsd:double"&gt;2120.795533&lt;/D&gt;&lt;D xsi:type="xsd:double"&gt;2125.556503&lt;/D&gt;&lt;D xsi:type="xsd:double"&gt;2122.974072&lt;/D&gt;&lt;D xsi:type="xsd:double"&gt;2119.980456&lt;/D&gt;&lt;D xsi:type="xsd:double"&gt;2136.094354&lt;/D&gt;&lt;D xsi:type="xsd:double"&gt;2131.956109&lt;/D&gt;&lt;D xsi:type="xsd:double"&gt;2123.528011&lt;/D&gt;&lt;D xsi:type="xsd:double"&gt;2109.838179&lt;/D&gt;&lt;D xsi:type="xsd:double"&gt;2095.070845&lt;/D&gt;&lt;D xsi:type="xsd:double"&gt;2096.863097&lt;/D&gt;&lt;D xsi:type="xsd:double"&gt;2089.436311&lt;/D&gt;&lt;D xsi:type="xsd:double"&gt;2071.366702&lt;/D&gt;&lt;D xsi:type="xsd:double"&gt;2076.693717&lt;/D&gt;&lt;D xsi:type="xsd:double"&gt;2083.769968&lt;/D&gt;&lt;D xsi:type="xsd:double"&gt;2086.513815&lt;/D&gt;&lt;D xsi:type="xsd:double"&gt;2096.045696&lt;/D&gt;&lt;D xsi:type="xsd:double"&gt;2092.443684&lt;/D&gt;&lt;D xsi:type="xsd:double"&gt;2076.737755&lt;/D&gt;&lt;D xsi:type="xsd:double"&gt;2081.516979&lt;/D&gt;&lt;D xsi:type="xsd:double"&gt;2097.222611&lt;/D&gt;&lt;D xsi:type="xsd:double"&gt;2099.734771&lt;/D&gt;&lt;D xsi:type="xsd:double"&gt;2115.927047&lt;/D&gt;&lt;D xsi:type="xsd:double"&gt;2123.765927&lt;/D&gt;&lt;D xsi:type="xsd:double"&gt;2116.42883&lt;/D&gt;&lt;D xsi:type="xsd:double"&gt;2099.816737&lt;/D&gt;&lt;D xsi:type="xsd:double"&gt;2088.981693&lt;/D&gt;&lt;D xsi:type="xsd:double"&gt;2090.894967&lt;/D&gt;&lt;D xsi:type="xsd:double"&gt;2082.571816&lt;/D&gt;&lt;D xsi:type="xsd:double"&gt;2090.110495&lt;/D&gt;&lt;D xsi:type="xsd:double"&gt;2061.18698&lt;/D&gt;&lt;D xsi:type="xsd:double"&gt;2052.776853&lt;/D&gt;&lt;D xsi:type="xsd:double"&gt;2080.693719&lt;/D&gt;&lt;D xsi:type="xsd:double"&gt;2061.308662&lt;/D&gt;&lt;D xsi:type="xsd:double"&gt;2048.796633&lt;/D&gt;&lt;D xsi:type="xsd:double"&gt;2038.538599&lt;/D&gt;&lt;D xsi:type="xsd:double"&gt;2065.529204&lt;/D&gt;&lt;D xsi:type="xsd:double"&gt;2047.750258&lt;/D&gt;&lt;D xsi:type="xsd:double"&gt;2055.548258&lt;/D&gt;&lt;D xsi:type="xsd:double"&gt;2069.129882&lt;/D&gt;&lt;D xsi:type="xsd:double"&gt;2036.553941&lt;/D&gt;&lt;D xsi:type="xsd:double"&gt;2072.941381&lt;/D&gt;&lt;D xsi:type="xsd:double"&gt;2109.179766&lt;/D&gt;&lt;D xsi:type="xsd:double"&gt;2110.91366&lt;/D&gt;&lt;D xsi:type="xsd:double"&gt;2110.400098&lt;/D&gt;&lt;D xsi:type="xsd:double"&gt;2134.04653&lt;/D&gt;&lt;D xsi:type="xsd:double"&gt;2133.347022&lt;/D&gt;&lt;D xsi:type="xsd:double"&gt;2134.511096&lt;/D&gt;&lt;D xsi:type="xsd:double"&gt;2144.601518&lt;/D&gt;&lt;D xsi:type="xsd:double"&gt;2154.258778&lt;/D&gt;&lt;D xsi:type="xsd:double"&gt;2149.320747&lt;/D&gt;&lt;D xsi:type="xsd:double"&gt;2125.279761&lt;/D&gt;&lt;D xsi:type="xsd:double"&gt;2115.982245&lt;/D&gt;&lt;D xsi:type="xsd:double"&gt;2117.768912&lt;/D&gt;&lt;D xsi:type="xsd:double"&gt;2106.584489&lt;/D&gt;&lt;D xsi:type="xsd:double"&gt;2089.842793&lt;/D&gt;&lt;D xsi:type="xsd:double"&gt;2089.977228&lt;/D&gt;&lt;D xsi:type="xsd:double"&gt;2117.993247&lt;/D&gt;&lt;D xsi:type="xsd:double"&gt;2140.568919&lt;/D&gt;&lt;D xsi:type="xsd:double"&gt;2159.668387&lt;/D&gt;&lt;D xsi:type="xsd:double"&gt;2140.905468&lt;/D&gt;&lt;D xsi:type="xsd:double"&gt;2117.170852&lt;/D&gt;&lt;D xsi:type="xsd:double"&gt;2118.357264&lt;/D&gt;&lt;D xsi:type="xsd:double"&gt;2126.215801&lt;/D&gt;&lt;D xsi:type="xsd:double"&gt;2137.910836&lt;/D&gt;&lt;D xsi:type="xsd:double"&gt;2130.942372&lt;/D&gt;&lt;D xsi:type="xsd:double"&gt;2105.855088&lt;/D&gt;&lt;D xsi:type="xsd:double"&gt;2080.675543&lt;/D&gt;&lt;D xsi:type="xsd:double"&gt;2075.913661&lt;/D&gt;&lt;D xsi:type="xsd:double"&gt;2050.899146&lt;/D&gt;&lt;D xsi:type="xsd:double"&gt;2045.014051&lt;/D&gt;&lt;D xsi:type="xsd:double"&gt;2101.074548&lt;/D&gt;&lt;D xsi:type="xsd:double"&gt;2098.847382&lt;/D&gt;&lt;D xsi:type="xsd:double"&gt;2103.635728&lt;/D&gt;&lt;D xsi:type="xsd:double"&gt;2171.540807&lt;/D&gt;&lt;D xsi:type="xsd:double"&gt;2212.526897&lt;/D&gt;&lt;D xsi:type="xsd:double"&gt;2213.237747&lt;/D&gt;&lt;D xsi:type="xsd:double"&gt;2214.110371&lt;/D&gt;&lt;D xsi:type="xsd:double"&gt;2234.22187&lt;/D&gt;&lt;D xsi:type="xsd:double"&gt;2248.930081&lt;/D&gt;&lt;D xsi:type="xsd:double"&gt;2234.378852&lt;/D&gt;&lt;D xsi:type="xsd:double"&gt;2232.301376&lt;/D&gt;&lt;D xsi:type="xsd:double"&gt;2230.053035&lt;/D&gt;&lt;D xsi:type="xsd:double"&gt;2221.011801&lt;/D&gt;&lt;D xsi:type="xsd:double"&gt;2207.404193&lt;/D&gt;&lt;D xsi:type="xsd:double"&gt;2196.728093&lt;/D&gt;&lt;D xsi:type="xsd:double"&gt;2199.930075&lt;/D&gt;&lt;D xsi:type="xsd:double"&gt;2188.391387&lt;/D&gt;&lt;D xsi:type="xsd:double"&gt;2185.31184&lt;/D&gt;&lt;D xsi:type="xsd:double"&gt;2171.777957&lt;/D&gt;&lt;D xsi:type="xsd:double"&gt;2162.285055&lt;/D&gt;&lt;D xsi:type="xsd:double"&gt;2161.780645&lt;/D&gt;&lt;D xsi:type="xsd:double"&gt;2157.959649&lt;/D&gt;&lt;D xsi:type="xsd:double"&gt;2156.60007&lt;/D&gt;&lt;D xsi:type="xsd:double"&gt;2142.752415&lt;/D&gt;&lt;D xsi:type="xsd:double"&gt;2125.648161&lt;/D&gt;&lt;D xsi:type="xsd:double"&gt;2116.042064&lt;/D&gt;&lt;D xsi:type="xsd:double"&gt;2103.448341&lt;/D&gt;&lt;D xsi:type="xsd:double"&gt;2106.892794&lt;/D&gt;&lt;D xsi:type="xsd:double"&gt;2103.188651&lt;/D&gt;&lt;D xsi:type="xsd:double"&gt;2099.308634&lt;/D&gt;&lt;D xsi:type="xsd:double"&gt;2099.589289&lt;/D&gt;&lt;D xsi:type="xsd:double"&gt;2100.775269&lt;/D&gt;&lt;D xsi:type="xsd:double"&gt;2095.444773&lt;/D&gt;&lt;D xsi:type="xsd:double"&gt;2096.340778&lt;/D&gt;&lt;D xsi:type="xsd:double"&gt;2104.024217&lt;/D&gt;&lt;D xsi:type="xsd:double"&gt;2085.540652&lt;/D&gt;&lt;D xsi:type="xsd:double"&gt;2077.55147&lt;/D&gt;&lt;D xsi:type="xsd:double"&gt;2084.365009&lt;/D&gt;&lt;D xsi:type="xsd:double"&gt;2083.431745&lt;/D&gt;&lt;D xsi:type="xsd:double"&gt;2081.242516&lt;/D&gt;&lt;D xsi:type="xsd:double"&gt;2073.459601&lt;/D&gt;&lt;D xsi:type="xsd:double"&gt;2063.578511&lt;/D&gt;&lt;D xsi:type="xsd:double"&gt;2058.219694&lt;/D&gt;&lt;D xsi:type="xsd:double"&gt;2063.643886&lt;/D&gt;&lt;D xsi:type="xsd:double"&gt;2069.993032&lt;/D&gt;&lt;D xsi:type="xsd:double"&gt;2069.373641&lt;/D&gt;&lt;D xsi:type="xsd:double"&gt;2077.360121&lt;/D&gt;&lt;D xsi:type="xsd:double"&gt;2066.223344&lt;/D&gt;&lt;D xsi:type="xsd:double"&gt;2066.551347&lt;/D&gt;&lt;D xsi:type="xsd:double"&gt;2055.770373&lt;/D&gt;&lt;D xsi:type="xsd:double"&gt;2059.542115&lt;/D&gt;&lt;D xsi:type="xsd:double"&gt;2050.063125&lt;/D&gt;&lt;D xsi:type="xsd:double"&gt;2047.148237&lt;/D&gt;&lt;D xsi:type="xsd:double"&gt;2035.728703&lt;/D&gt;&lt;D xsi:type="xsd:double"&gt;2033.176629&lt;/D&gt;&lt;D xsi:type="xsd:double"&gt;2035.809962&lt;/D&gt;&lt;D xsi:type="xsd:double"&gt;2021.02851&lt;/D&gt;&lt;D xsi:type="xsd:double"&gt;2031.880532&lt;/D&gt;&lt;D xsi:type="xsd:double"&gt;2035.714989&lt;/D&gt;&lt;D xsi:type="xsd:double"&gt;2040.252472&lt;/D&gt;&lt;D xsi:type="xsd:double"&gt;2042.364271&lt;/D&gt;&lt;D xsi:type="xsd:double"&gt;2050.704451&lt;/D&gt;&lt;D xsi:type="xsd:double"&gt;2046.779792&lt;/D&gt;&lt;D xsi:type="xsd:double"&gt;2046.795017&lt;/D&gt;&lt;D xsi:type="xsd:double"&gt;2045.467762&lt;/D&gt;&lt;D xsi:type="xsd:double"&gt;2043.243047&lt;/D&gt;&lt;D xsi:type="xsd:double"&gt;2041.170178&lt;/D&gt;&lt;D xsi:type="xsd:double"&gt;2036.804419&lt;/D&gt;&lt;D xsi:type="xsd:double"&gt;2034.592102&lt;/D&gt;&lt;D xsi:type="xsd:double"&gt;2034.601376&lt;/D&gt;&lt;D xsi:type="xsd:double"&gt;2025.686474&lt;/D&gt;&lt;D xsi:type="xsd:double"&gt;2023.481383&lt;/D&gt;&lt;D xsi:type="xsd:double"&gt;2031.384182&lt;/D&gt;&lt;D xsi:type="xsd:double"&gt;2030.062109&lt;/D&gt;&lt;D xsi:type="xsd:double"&gt;2035.580252&lt;/D&gt;&lt;D xsi:type="xsd:double"&gt;2033.285112&lt;/D&gt;&lt;D xsi:type="xsd:double"&gt;2030.437801&lt;/D&gt;&lt;D xsi:type="xsd:double"&gt;2027.361541&lt;/D&gt;&lt;D xsi:type="xsd:double"&gt;2029.8891&lt;/D&gt;&lt;D xsi:type="xsd:double"&gt;2028.008675&lt;/D&gt;&lt;D xsi:type="xsd:double"&gt;2023.642845&lt;/D&gt;&lt;D xsi:type="xsd:double"&gt;2024.541757&lt;/D&gt;&lt;D xsi:type="xsd:double"&gt;2021.554673&lt;/D&gt;&lt;D xsi:type="xsd:double"&gt;2013.116018&lt;/D&gt;&lt;D xsi:type="xsd:double"&gt;2014.017744&lt;/D&gt;&lt;D xsi:type="xsd:double"&gt;2016.148411&lt;/D&gt;&lt;D xsi:type="xsd:double"&gt;2010.946245&lt;/D&gt;&lt;D xsi:type="xsd:double"&gt;2009.634347&lt;/D&gt;&lt;D xsi:type="xsd:double"&gt;2004.674547&lt;/D&gt;&lt;D xsi:type="xsd:double"&gt;2000.552748&lt;/D&gt;&lt;D xsi:type="xsd:double"&gt;1992.362213&lt;/D&gt;&lt;D xsi:type="xsd:double"&gt;1987.999978&lt;/D&gt;&lt;D xsi:type="xsd:double"&gt;1983.252207&lt;/D&gt;&lt;D xsi:type="xsd:double"&gt;1989.075532&lt;/D&gt;&lt;D xsi:type="xsd:double"&gt;1994.581048&lt;/D&gt;&lt;D xsi:type="xsd:double"&gt;1990.32739&lt;/D&gt;&lt;D xsi:type="xsd:double"&gt;1998.686531&lt;/D&gt;&lt;D xsi:type="xsd:double"&gt;1996.093537&lt;/D&gt;&lt;D xsi:type="xsd:double"&gt;1990.584016&lt;/D&gt;&lt;D xsi:type="xsd:double"&gt;1987.722694&lt;/D&gt;&lt;D xsi:type="xsd:double"&gt;1983.417954&lt;/D&gt;&lt;D xsi:type="xsd:double"&gt;1986.739506&lt;/D&gt;&lt;D xsi:type="xsd:double"&gt;1988.276838&lt;/D&gt;&lt;D xsi:type="xsd:double"&gt;1981.969895&lt;/D&gt;&lt;D xsi:type="xsd:double"&gt;1964.520603&lt;/D&gt;&lt;D xsi:type="xsd:double"&gt;1964.572878&lt;/D&gt;&lt;D xsi:type="xsd:double"&gt;1959.145614&lt;/D&gt;&lt;D xsi:type="xsd:double"&gt;1954.636919&lt;/D&gt;&lt;D xsi:type="xsd:double"&gt;1965.793667&lt;/D&gt;&lt;D xsi:type="xsd:double"&gt;1959.743396&lt;/D&gt;&lt;D xsi:type="xsd:double"&gt;1947.533233&lt;/D&gt;&lt;D xsi:type="xsd:double"&gt;1945.050115&lt;/D&gt;&lt;D xsi:type="xsd:double"&gt;1946.278582&lt;/D&gt;&lt;D xsi:type="xsd:double"&gt;1944.564381&lt;/D&gt;&lt;D xsi:type="xsd:double"&gt;1939.65044&lt;/D&gt;&lt;D xsi:type="xsd:double"&gt;1942.149214&lt;/D&gt;&lt;D xsi:type="xsd:double"&gt;1945.176348&lt;/D&gt;&lt;D xsi:type="xsd:double"&gt;1932.223744&lt;/D&gt;&lt;D xsi:type="xsd:double"&gt;1930.404784&lt;/D&gt;&lt;D xsi:type="xsd:double"&gt;1936.31709&lt;/D&gt;&lt;D xsi:type="xsd:double"&gt;1954.036589&lt;/D&gt;&lt;D xsi:type="xsd:double"&gt;1949.232741&lt;/D&gt;&lt;D xsi:type="xsd:double"&gt;1952.576494&lt;/D&gt;&lt;D xsi:type="xsd:double"&gt;1937.725544&lt;/D&gt;&lt;D xsi:type="xsd:double"&gt;1940.283874&lt;/D&gt;&lt;D xsi:type="xsd:double"&gt;1961.875608&lt;/D&gt;&lt;D xsi:type="xsd:double"&gt;1966.81332&lt;/D&gt;&lt;D xsi:type="xsd:double"&gt;1971.76132&lt;/D&gt;&lt;D xsi:type="xsd:double"&gt;1967.769114&lt;/D&gt;&lt;D xsi:type="xsd:double"&gt;1968.716194&lt;/D&gt;&lt;D xsi:type="xsd:double"&gt;1970.29269&lt;/D&gt;&lt;D xsi:type="xsd:double"&gt;1970.38625&lt;/D&gt;&lt;D xsi:type="xsd:double"&gt;1961.100222&lt;/D&gt;&lt;D xsi:type="xsd:double"&gt;1960.315986&lt;/D&gt;&lt;D xsi:type="xsd:double"&gt;1963.539975&lt;/D&gt;&lt;D xsi:type="xsd:double"&gt;1961.899133&lt;/D&gt;&lt;D xsi:type="xsd:double"&gt;1960.591085&lt;/D&gt;&lt;D xsi:type="xsd:double"&gt;1954.836367&lt;/D&gt;&lt;D xsi:type="xsd:double"&gt;1958.772577&lt;/D&gt;&lt;D xsi:type="xsd:double"&gt;1963.309776&lt;/D&gt;&lt;D xsi:type="xsd:double"&gt;1958.563595&lt;/D&gt;&lt;D xsi:type="xsd:double"&gt;1949.657673&lt;/D&gt;&lt;D xsi:type="xsd:double"&gt;1948.583876&lt;/D&gt;&lt;D xsi:type="xsd:double"&gt;1948.07455&lt;/D&gt;&lt;D xsi:type="xsd:double"&gt;1936.942054&lt;/D&gt;&lt;D xsi:type="xsd:double"&gt;1932.859658&lt;/D&gt;&lt;D xsi:type="xsd:double"&gt;1915.66814&lt;/D&gt;&lt;D xsi:type="xsd:double"&gt;1917.112002&lt;/D&gt;&lt;D xsi:type="xsd:double"&gt;1913.184374&lt;/D&gt;&lt;D xsi:type="xsd:double"&gt;1909.008233&lt;/D&gt;&lt;D xsi:type="xsd:double"&gt;1920.325391&lt;/D&gt;&lt;D xsi:type="xsd:double"&gt;1920.582134&lt;/D&gt;&lt;D xsi:type="xsd:double"&gt;1916.426269&lt;/D&gt;&lt;D xsi:type="xsd:double"&gt;1919.593664&lt;/D&gt;&lt;D xsi:type="xsd:double"&gt;1931.725298&lt;/D&gt;&lt;D xsi:type="xsd:double"&gt;1917.56792&lt;/D&gt;&lt;D xsi:type="xsd:double"&gt;1927.485915&lt;/D&gt;&lt;D xsi:type="xsd:double"&gt;1925.014657&lt;/D&gt;&lt;D xsi:type="xsd:double"&gt;1921.541187&lt;/D&gt;&lt;D xsi:type="xsd:double"&gt;1919.998657&lt;/D&gt;&lt;D xsi:type="xsd:double"&gt;1922.536112&lt;/D&gt;&lt;D xsi:type="xsd:double"&gt;1936.5196&lt;/D&gt;&lt;D xsi:type="xsd:double"&gt;1923.237069&lt;/D&gt;&lt;D xsi:type="xsd:double"&gt;1916.516454&lt;/D&gt;&lt;D xsi:type="xsd:double"&gt;1930.524724&lt;/D&gt;&lt;D xsi:type="xsd:double"&gt;1928.744114&lt;/D&gt;&lt;D xsi:type="xsd:double"&gt;1918.702115&lt;/D&gt;&lt;D xsi:type="xsd:double"&gt;1922.788657&lt;/D&gt;&lt;D xsi:type="xsd:double"&gt;1924.197744&lt;/D&gt;&lt;D xsi:type="xsd:double"&gt;1927.055561&lt;/D&gt;&lt;D xsi:type="xsd:double"&gt;1926.053352&lt;/D&gt;&lt;D xsi:type="xsd:double"&gt;1931.728094&lt;/D&gt;&lt;D xsi:type="xsd:double"&gt;1935.211521&lt;/D&gt;&lt;D xsi:type="xsd:double"&gt;1923.099635&lt;/D&gt;&lt;D xsi:type="xsd:double"&gt;1911.739593&lt;/D&gt;&lt;D xsi:type="xsd:double"&gt;1909.898796&lt;/D&gt;&lt;D xsi:type="xsd:double"&gt;1912.210434&lt;/D&gt;&lt;D xsi:type="xsd:double"&gt;1914.58756&lt;/D&gt;&lt;D xsi:type="xsd:double"&gt;1907.80666&lt;/D&gt;&lt;D xsi:type="xsd:double"&gt;1906.693935&lt;/D&gt;&lt;D xsi:type="xsd:double"&gt;1904.916236&lt;/D&gt;&lt;D xsi:type="xsd:double"&gt;1894.769879&lt;/D&gt;&lt;D xsi:type="xsd:double"&gt;1880.963681&lt;/D&gt;&lt;D xsi:type="xsd:double"&gt;1882.619343&lt;/D&gt;&lt;D xsi:type="xsd:double"&gt;1906.229746&lt;/D&gt;&lt;D xsi:type="xsd:double"&gt;1901.636711&lt;/D&gt;&lt;D xsi:type="xsd:double"&gt;1892.966576&lt;/D&gt;&lt;D xsi:type="xsd:double"&gt;1891.21128&lt;/D&gt;&lt;D xsi:type="xsd:double"&gt;1895.92665&lt;/D&gt;&lt;D xsi:type="xsd:double"&gt;1893.413508&lt;/D&gt;&lt;D xsi:type="xsd:double"&gt;1897.321553&lt;/D&gt;&lt;D xsi:type="xsd:double"&gt;1896.748014&lt;/D&gt;&lt;D xsi:type="xsd:double"&gt;1886.484007&lt;/D&gt;&lt;D xsi:type="xsd:double"&gt;1883.134973&lt;/D&gt;&lt;D xsi:type="xsd:double"&gt;1886.148989&lt;/D&gt;&lt;D xsi:type="xsd:double"&gt;1882.4874&lt;/D&gt;&lt;D xsi:type="xsd:double"&gt;1878.276124&lt;/D&gt;&lt;D xsi:type="xsd:double"&gt;1881.143203&lt;/D&gt;&lt;D xsi:type="xsd:double"&gt;1882.435546&lt;/D&gt;&lt;D xsi:type="xsd:double"&gt;1882.036189&lt;/D&gt;&lt;D xsi:type="xsd:double"&gt;1871.651958&lt;/D&gt;&lt;D xsi:type="xsd:double"&gt;1842.064082&lt;/D&gt;&lt;D xsi:type="xsd:double"&gt;1846.651819&lt;/D&gt;&lt;D xsi:type="xsd:double"&gt;1835.035214&lt;/D&gt;&lt;D xsi:type="xsd:double"&gt;1837.342214&lt;/D&gt;&lt;D xsi:type="xsd:double"&gt;1846.129878&lt;/D&gt;&lt;D xsi:type="xsd:double"&gt;1833.124698&lt;/D&gt;&lt;D xsi:type="xsd:double"&gt;1842.98488&lt;/D&gt;&lt;D xsi:type="xsd:double"&gt;1847.879546&lt;/D&gt;&lt;D xsi:type="xsd:double"&gt;1846.779402&lt;/D&gt;&lt;D xsi:type="xsd:double"&gt;1845.464493&lt;/D&gt;&lt;D xsi:type="xsd:double"&gt;1846.590215&lt;/D&gt;&lt;D xsi:type="xsd:double"&gt;1845.94883&lt;/D&gt;&lt;D xsi:type="xsd:double"&gt;1850.021886&lt;/D&gt;&lt;D xsi:type="xsd:double"&gt;1848.971764&lt;/D&gt;&lt;D xsi:type="xsd:double"&gt;1853.689997&lt;/D&gt;&lt;D xsi:type="xsd:double"&gt;1859.945242&lt;/D&gt;&lt;D xsi:type="xsd:double"&gt;1856.764995&lt;/D&gt;&lt;D xsi:type="xsd:double"&gt;1858.875712&lt;/D&gt;&lt;D xsi:type="xsd:double"&gt;1845.151378&lt;/D&gt;&lt;D xsi:type="xsd:double"&gt;1845.806974&lt;/D&gt;&lt;D xsi:type="xsd:double"&gt;1844.969438&lt;/D&gt;&lt;D xsi:type="xsd:double"&gt;1842.632478&lt;/D&gt;&lt;D xsi:type="xsd:double"&gt;1846.390096&lt;/D&gt;&lt;D xsi:type="xsd:double"&gt;1860.526401&lt;/D&gt;&lt;D xsi:type="xsd:double"&gt;1863.075994&lt;/D&gt;&lt;D xsi:type="xsd:double"&gt;1864.104242&lt;/D&gt;&lt;D xsi:type="xsd:double"&gt;1854.145663&lt;/D&gt;&lt;D xsi:type="xsd:double"&gt;1842.976626&lt;/D&gt;&lt;D xsi:type="xsd:double"&gt;1850.015856&lt;/D&gt;&lt;D xsi:type="xsd:double"&gt;1845.875574&lt;/D&gt;&lt;D xsi:type="xsd:double"&gt;1835.89547&lt;/D&gt;&lt;D xsi:type="xsd:double"&gt;1834.723599&lt;/D&gt;&lt;D xsi:type="xsd:double"&gt;1840.569933&lt;/D&gt;&lt;D xsi:type="xsd:double"&gt;1845.695502&lt;/D&gt;&lt;D xsi:type="xsd:double"&gt;1848.983172&lt;/D&gt;&lt;D xsi:type="xsd:double"&gt;1848.836886&lt;/D&gt;&lt;D xsi:type="xsd:double"&gt;1856.342186&lt;/D&gt;&lt;D xsi:type="xsd:double"&gt;1838.69908&lt;/D&gt;&lt;D xsi:type="xsd:double"&gt;1841.56919&lt;/D&gt;&lt;D xsi:type="xsd:double"&gt;1840.796524&lt;/D&gt;&lt;D xsi:type="xsd:double"&gt;1845.352889&lt;/D&gt;&lt;D xsi:type="xsd:double"&gt;1842.374219&lt;/D&gt;&lt;D xsi:type="xsd:double"&gt;1843.053651&lt;/D&gt;&lt;D xsi:type="xsd:double"&gt;1836.498314&lt;/D&gt;&lt;D xsi:type="xsd:double"&gt;1836.563112&lt;/D&gt;&lt;D xsi:type="xsd:double"&gt;1833.550277&lt;/D&gt;&lt;D xsi:type="xsd:double"&gt;1823.625829&lt;/D&gt;&lt;D xsi:type="xsd:double"&gt;1823.340033&lt;/D&gt;&lt;D xsi:type="xsd:double"&gt;1814.710023&lt;/D&gt;&lt;D xsi:type="xsd:double"&gt;1807.544924&lt;/D&gt;&lt;D xsi:type="xsd:double"&gt;1802.261081&lt;/D&gt;&lt;D xsi:type="xsd:double"&gt;1797.293186&lt;/D&gt;&lt;D xsi:type="xsd:double"&gt;1798.207148&lt;/D&gt;&lt;D xsi:type="xsd:double"&gt;1805.513005&lt;/D&gt;&lt;D xsi:type="xsd:double"&gt;1795.113206&lt;/D&gt;&lt;D xsi:type="xsd:double"&gt;1793.388946&lt;/D&gt;&lt;D xsi:ty</t>
        </r>
      </text>
    </comment>
    <comment ref="A4" authorId="0" shapeId="0">
      <text>
        <r>
          <rPr>
            <b/>
            <sz val="9"/>
            <color indexed="81"/>
            <rFont val="Tahoma"/>
            <family val="2"/>
          </rPr>
          <t>pe="xsd:double"&gt;1792.402944&lt;/D&gt;&lt;D xsi:type="xsd:double"&gt;1792.057277&lt;/D&gt;&lt;D xsi:type="xsd:double"&gt;1803.387689&lt;/D&gt;&lt;D xsi:type="xsd:double"&gt;1803.745217&lt;/D&gt;&lt;D xsi:type="xsd:double"&gt;1805.806993&lt;/D&gt;&lt;D xsi:type="xsd:double"&gt;1790.570408&lt;/D&gt;&lt;D xsi:type="xsd:double"&gt;1781.429692&lt;/D&gt;&lt;D xsi:type="xsd:double"&gt;1782.714522&lt;/D&gt;&lt;D xsi:type="xsd:double"&gt;1776.018242&lt;/D&gt;&lt;D xsi:type="xsd:double"&gt;1785.692274&lt;/D&gt;&lt;D xsi:type="xsd:double"&gt;1782.85591&lt;/D&gt;&lt;D xsi:type="xsd:double"&gt;1788.232612&lt;/D&gt;&lt;D xsi:type="xsd:double"&gt;1783.440189&lt;/D&gt;&lt;D xsi:type="xsd:double"&gt;1778.165355&lt;/D&gt;&lt;D xsi:type="xsd:double"&gt;1779.623844&lt;/D&gt;&lt;D xsi:type="xsd:double"&gt;1776.940696&lt;/D&gt;&lt;D xsi:type="xsd:double"&gt;1783.09587&lt;/D&gt;&lt;D xsi:type="xsd:double"&gt;1782.456678&lt;/D&gt;&lt;D xsi:type="xsd:double"&gt;1773.962113&lt;/D&gt;&lt;D xsi:type="xsd:double"&gt;1757.985831&lt;/D&gt;&lt;D xsi:type="xsd:double"&gt;1751.218957&lt;/D&gt;&lt;D xsi:type="xsd:double"&gt;1752.960024&lt;/D&gt;&lt;D xsi:type="xsd:double"&gt;1750.475058&lt;/D&gt;&lt;D xsi:type="xsd:double"&gt;1760.563707&lt;/D&gt;&lt;D xsi:type="xsd:double"&gt;1759.150035&lt;/D&gt;&lt;D xsi:type="xsd:double"&gt;1757.832631&lt;/D&gt;&lt;D xsi:type="xsd:double"&gt;1760.090955&lt;/D&gt;&lt;D xsi:type="xsd:double"&gt;1761.426802&lt;/D&gt;&lt;D xsi:type="xsd:double"&gt;1758.816429&lt;/D&gt;&lt;D xsi:type="xsd:double"&gt;1754.741442&lt;/D&gt;&lt;D xsi:type="xsd:double"&gt;1754.513061&lt;/D&gt;&lt;D xsi:type="xsd:double"&gt;1763.718781&lt;/D&gt;&lt;D xsi:type="xsd:double"&gt;1774.008431&lt;/D&gt;&lt;D xsi:type="xsd:double"&gt;1760.245067&lt;/D&gt;&lt;D xsi:type="xsd:double"&gt;1760.115133&lt;/D&gt;&lt;D xsi:type="xsd:double"&gt;1752.940386&lt;/D&gt;&lt;D xsi:type="xsd:double"&gt;1749.308632&lt;/D&gt;&lt;D xsi:type="xsd:double"&gt;1727.821805&lt;/D&gt;&lt;D xsi:type="xsd:double"&gt;1718.102279&lt;/D&gt;&lt;D xsi:type="xsd:double"&gt;1708.938913&lt;/D&gt;&lt;D xsi:type="xsd:double"&gt;1708.641013&lt;/D&gt;&lt;D xsi:type="xsd:double"&gt;1712.088792&lt;/D&gt;&lt;D xsi:type="xsd:double"&gt;1715.424197&lt;/D&gt;&lt;D xsi:type="xsd:double"&gt;1712.983143&lt;/D&gt;&lt;D xsi:type="xsd:double"&gt;1720.842339&lt;/D&gt;&lt;D xsi:type="xsd:double"&gt;1709.713077&lt;/D&gt;&lt;D xsi:type="xsd:double"&gt;1713.069229&lt;/D&gt;&lt;D xsi:type="xsd:double"&gt;1710.490555&lt;/D&gt;&lt;D xsi:type="xsd:double"&gt;1697.345577&lt;/D&gt;&lt;D xsi:type="xsd:double"&gt;1706.979502&lt;/D&gt;&lt;D xsi:type="xsd:double"&gt;1698.414273&lt;/D&gt;&lt;D xsi:type="xsd:double"&gt;1701.82252&lt;/D&gt;&lt;D xsi:type="xsd:double"&gt;1692.305024&lt;/D&gt;&lt;D xsi:type="xsd:double"&gt;1696.986898&lt;/D&gt;&lt;D xsi:type="xsd:double"&gt;1701.285523&lt;/D&gt;&lt;D xsi:type="xsd:double"&gt;1696.459362&lt;/D&gt;&lt;D xsi:type="xsd:double"&gt;1691.742037&lt;/D&gt;&lt;D xsi:type="xsd:double"&gt;1685.619491&lt;/D&gt;&lt;D xsi:type="xsd:double"&gt;1660.121819&lt;/D&gt;&lt;D xsi:type="xsd:double"&gt;1667.029529&lt;/D&gt;&lt;D xsi:type="xsd:double"&gt;1672.826376&lt;/D&gt;&lt;D xsi:type="xsd:double"&gt;1683.956065&lt;/D&gt;&lt;D xsi:type="xsd:double"&gt;1690.921701&lt;/D&gt;&lt;D xsi:type="xsd:double"&gt;1690.960046&lt;/D&gt;&lt;D xsi:type="xsd:double"&gt;1694.66074&lt;/D&gt;&lt;D xsi:type="xsd:double"&gt;1699.917459&lt;/D&gt;&lt;D xsi:type="xsd:double"&gt;1701.197654&lt;/D&gt;&lt;D xsi:type="xsd:double"&gt;1706.239593&lt;/D&gt;&lt;D xsi:type="xsd:double"&gt;1701.157843&lt;/D&gt;&lt;D xsi:type="xsd:double"&gt;1704.041954&lt;/D&gt;&lt;D xsi:type="xsd:double"&gt;1706.743387&lt;/D&gt;&lt;D xsi:type="xsd:double"&gt;1701.099296&lt;/D&gt;&lt;D xsi:type="xsd:double"&gt;1687.844218&lt;/D&gt;&lt;D xsi:type="xsd:double"&gt;1693.714048&lt;/D&gt;&lt;D xsi:type="xsd:double"&gt;1689.618567&lt;/D&gt;&lt;D xsi:type="xsd:double"&gt;1695.538752&lt;/D&gt;&lt;D xsi:type="xsd:double"&gt;1700.326218&lt;/D&gt;&lt;D xsi:type="xsd:double"&gt;1719.287278&lt;/D&gt;&lt;D xsi:type="xsd:double"&gt;1712.396351&lt;/D&gt;&lt;D xsi:type="xsd:double"&gt;1718.400288&lt;/D&gt;&lt;D xsi:type="xsd:double"&gt;1721.138573&lt;/D&gt;&lt;D xsi:type="xsd:double"&gt;1717.820048&lt;/D&gt;&lt;D xsi:type="xsd:double"&gt;1722.82412&lt;/D&gt;&lt;D xsi:type="xsd:double"&gt;1725.665202&lt;/D&gt;&lt;D xsi:type="xsd:double"&gt;1719.770121&lt;/D&gt;&lt;D xsi:type="xsd:double"&gt;1725.631461&lt;/D&gt;&lt;D xsi:type="xsd:double"&gt;1719.881129&lt;/D&gt;&lt;D xsi:type="xsd:double"&gt;1714.853732&lt;/D&gt;&lt;D xsi:type="xsd:double"&gt;1729.697652&lt;/D&gt;&lt;D xsi:type="xsd:double"&gt;1740.547974&lt;/D&gt;&lt;D xsi:type="xsd:double"&gt;1721.687046&lt;/D&gt;&lt;D xsi:type="xsd:double"&gt;1703.227044&lt;/D&gt;&lt;D xsi:type="xsd:double"&gt;1703.07585&lt;/D&gt;&lt;D xsi:type="xsd:double"&gt;1696.312581&lt;/D&gt;&lt;D xsi:type="xsd:double"&gt;1704.839401&lt;/D&gt;&lt;D xsi:type="xsd:double"&gt;1692.525752&lt;/D&gt;&lt;D xsi:type="xsd:double"&gt;1694.829836&lt;/D&gt;&lt;D xsi:type="xsd:double"&gt;1715.758314&lt;/D&gt;&lt;D xsi:type="xsd:double"&gt;1707.936449&lt;/D&gt;&lt;D xsi:type="xsd:double"&gt;1744.435377&lt;/D&gt;&lt;D xsi:type="xsd:double"&gt;1747.473736&lt;/D&gt;&lt;D xsi:type="xsd:double"&gt;1745.892938&lt;/D&gt;&lt;D xsi:type="xsd:double"&gt;1734.600125&lt;/D&gt;&lt;D xsi:type="xsd:double"&gt;1723.547952&lt;/D&gt;&lt;D xsi:type="xsd:double"&gt;1719.523719&lt;/D&gt;&lt;D xsi:type="xsd:double"&gt;1723.645102&lt;/D&gt;&lt;D xsi:type="xsd:double"&gt;1725.570062&lt;/D&gt;&lt;D xsi:type="xsd:double"&gt;1726.080902&lt;/D&gt;&lt;D xsi:type="xsd:double"&gt;1727.295514&lt;/D&gt;&lt;D xsi:type="xsd:double"&gt;1731.165679&lt;/D&gt;&lt;D xsi:type="xsd:double"&gt;1738.551722&lt;/D&gt;&lt;D xsi:type="xsd:double"&gt;1732.607342&lt;/D&gt;&lt;D xsi:type="xsd:double"&gt;1731.853492&lt;/D&gt;&lt;D xsi:type="xsd:double"&gt;1736.828558&lt;/D&gt;&lt;D xsi:type="xsd:double"&gt;1731.644402&lt;/D&gt;&lt;D xsi:type="xsd:double"&gt;1730.939923&lt;/D&gt;&lt;D xsi:type="xsd:double"&gt;1739.428312&lt;/D&gt;&lt;D xsi:type="xsd:double"&gt;1736.102803&lt;/D&gt;&lt;D xsi:type="xsd:double"&gt;1735.802576&lt;/D&gt;&lt;D xsi:type="xsd:double"&gt;1727.486087&lt;/D&gt;&lt;D xsi:type="xsd:double"&gt;1728.518193&lt;/D&gt;&lt;D xsi:type="xsd:double"&gt;1719.90895&lt;/D&gt;&lt;D xsi:type="xsd:double"&gt;1716.646759&lt;/D&gt;&lt;D xsi:type="xsd:double"&gt;1707.692619&lt;/D&gt;&lt;D xsi:type="xsd:double"&gt;1703.434901&lt;/D&gt;&lt;D xsi:type="xsd:double"&gt;1706.520434&lt;/D&gt;&lt;D xsi:type="xsd:double"&gt;1717.666481&lt;/D&gt;&lt;D xsi:type="xsd:double"&gt;1721.787902&lt;/D&gt;&lt;D xsi:type="xsd:double"&gt;1707.586861&lt;/D&gt;&lt;D xsi:type="xsd:double"&gt;1706.352301&lt;/D&gt;&lt;D xsi:type="xsd:double"&gt;1705.99498&lt;/D&gt;&lt;D xsi:type="xsd:double"&gt;1703.937749&lt;/D&gt;&lt;D xsi:type="xsd:double"&gt;1706.965496&lt;/D&gt;&lt;D xsi:type="xsd:double"&gt;1705.403756&lt;/D&gt;&lt;D xsi:type="xsd:double"&gt;1707.318251&lt;/D&gt;&lt;D xsi:type="xsd:double"&gt;1698.722944&lt;/D&gt;&lt;D xsi:type="xsd:double"&gt;1703.932206&lt;/D&gt;&lt;D xsi:type="xsd:double"&gt;1700.569665&lt;/D&gt;&lt;D xsi:type="xsd:double"&gt;1703.224997&lt;/D&gt;&lt;D xsi:type="xsd:double"&gt;1694.379399&lt;/D&gt;&lt;D xsi:type="xsd:double"&gt;1690.686524&lt;/D&gt;&lt;D xsi:type="xsd:double"&gt;1676.149248&lt;/D&gt;&lt;D xsi:type="xsd:double"&gt;1662.316491&lt;/D&gt;&lt;D xsi:type="xsd:double"&gt;1643.934921&lt;/D&gt;&lt;D xsi:type="xsd:double"&gt;1640.744947&lt;/D&gt;&lt;D xsi:type="xsd:double"&gt;1645.54324&lt;/D&gt;&lt;D xsi:type="xsd:double"&gt;1660.264082&lt;/D&gt;&lt;D xsi:type="xsd:double"&gt;1653.229419&lt;/D&gt;&lt;D xsi:type="xsd:double"&gt;1634.405079&lt;/D&gt;&lt;D xsi:type="xsd:double"&gt;1599.121654&lt;/D&gt;&lt;D xsi:type="xsd:double"&gt;1571.761934&lt;/D&gt;&lt;D xsi:type="xsd:double"&gt;1608.793254&lt;/D&gt;&lt;D xsi:type="xsd:double"&gt;1691.760489&lt;/D&gt;&lt;D xsi:type="xsd:double"&gt;1667.907159&lt;/D&gt;&lt;D xsi:type="xsd:double"&gt;1668.782487&lt;/D&gt;&lt;D xsi:type="xsd:double"&gt;1664.138079&lt;/D&gt;&lt;D xsi:type="xsd:double"&gt;1635.775735&lt;/D&gt;&lt;D xsi:type="xsd:double"&gt;1628.1294&lt;/D&gt;&lt;D xsi:type="xsd:double"&gt;1633.797684&lt;/D&gt;&lt;D xsi:type="xsd:double"&gt;1630.447262&lt;/D&gt;&lt;D xsi:type="xsd:double"&gt;1645.638582&lt;/D&gt;&lt;D xsi:type="xsd:double"&gt;1665.221985&lt;/D&gt;&lt;D xsi:type="xsd:double"&gt;1688.658382&lt;/D&gt;&lt;D xsi:type="xsd:double"&gt;1699.292032&lt;/D&gt;&lt;D xsi:type="xsd:double"&gt;1694.293215&lt;/D&gt;&lt;D xsi:type="xsd:double"&gt;1686.389814&lt;/D&gt;&lt;D xsi:type="xsd:double"&gt;1678.576143&lt;/D&gt;&lt;D xsi:type="xsd:double"&gt;1673.768833&lt;/D&gt;&lt;D xsi:type="xsd:double"&gt;1672.856726&lt;/D&gt;&lt;D xsi:type="xsd:double"&gt;1674.612863&lt;/D&gt;&lt;D xsi:type="xsd:double"&gt;1676.073155&lt;/D&gt;&lt;D xsi:type="xsd:double"&gt;1672.120692&lt;/D&gt;&lt;D xsi:type="xsd:double"&gt;1668.865094&lt;/D&gt;&lt;D xsi:type="xsd:double"&gt;1654.35533&lt;/D&gt;&lt;D xsi:type="xsd:double"&gt;1635.617804&lt;/D&gt;&lt;D xsi:type="xsd:double"&gt;1639.854074&lt;/D&gt;&lt;D xsi:type="xsd:double"&gt;1627.614629&lt;/D&gt;&lt;D xsi:type="xsd:double"&gt;1641.147166&lt;/D&gt;&lt;D xsi:type="xsd:double"&gt;1641.628038&lt;/D&gt;&lt;D xsi:type="xsd:double"&gt;1648.485181&lt;/D&gt;&lt;D xsi:type="xsd:double"&gt;1635.9212&lt;/D&gt;&lt;D xsi:type="xsd:double"&gt;1649.910086&lt;/D&gt;&lt;D xsi:type="xsd:double"&gt;1653.382185&lt;/D&gt;&lt;D xsi:type="xsd:double"&gt;1662.312045&lt;/D&gt;&lt;D xsi:type="xsd:double"&gt;1642.89413&lt;/D&gt;&lt;D xsi:type="xsd:double"&gt;1643.194898&lt;/D&gt;&lt;D xsi:type="xsd:double"&gt;1641.163631&lt;/D&gt;&lt;D xsi:type="xsd:double"&gt;1644.012374&lt;/D&gt;&lt;D xsi:type="xsd:double"&gt;1658.641794&lt;/D&gt;&lt;D xsi:type="xsd:double"&gt;1675.63819&lt;/D&gt;&lt;D xsi:type="xsd:double"&gt;1670.796146&lt;/D&gt;&lt;D xsi:type="xsd:double"&gt;1677.338842&lt;/D&gt;&lt;D xsi:type="xsd:double"&gt;1685.947308&lt;/D&gt;&lt;D xsi:type="xsd:double"&gt;1685.653854&lt;/D&gt;&lt;D xsi:type="xsd:double"&gt;1682.679051&lt;/D&gt;&lt;D xsi:type="xsd:double"&gt;1686.168951&lt;/D&gt;&lt;D xsi:type="xsd:double"&gt;1690.451946&lt;/D&gt;&lt;D xsi:type="xsd:double"&gt;1695.049785&lt;/D&gt;&lt;D xsi:type="xsd:double"&gt;1692.913546&lt;/D&gt;&lt;D xsi:type="xsd:double"&gt;1675.324222&lt;/D&gt;&lt;D xsi:type="xsd:double"&gt;1670.466755&lt;/D&gt;&lt;D xsi:type="xsd:double"&gt;1671.964153&lt;/D&gt;&lt;D xsi:type="xsd:double"&gt;1666.16793&lt;/D&gt;&lt;D xsi:type="xsd:double"&gt;1644.218977&lt;/D&gt;&lt;D xsi:type="xsd:double"&gt;1632.142833&lt;/D&gt;&lt;D xsi:type="xsd:double"&gt;1632.203155&lt;/D&gt;&lt;D xsi:type="xsd:double"&gt;1621.659538&lt;/D&gt;&lt;D xsi:type="xsd:double"&gt;1633.412532&lt;/D&gt;&lt;D xsi:type="xsd:double"&gt;1618.531801&lt;/D&gt;&lt;D xsi:type="xsd:double"&gt;1640.745318&lt;/D&gt;&lt;D xsi:type="xsd:double"&gt;1640.144873&lt;/D&gt;&lt;D xsi:type="xsd:double"&gt;1648.118461&lt;/D&gt;&lt;D xsi:type="xsd:double"&gt;1652.885774&lt;/D&gt;&lt;D xsi:type="xsd:double"&gt;1635.871134&lt;/D&gt;&lt;D xsi:type="xsd:double"&gt;1627.632398&lt;/D&gt;&lt;D xsi:type="xsd:double"&gt;1622.214107&lt;/D&gt;&lt;D xsi:type="xsd:double"&gt;1631.270626&lt;/D&gt;&lt;D xsi:type="xsd:double"&gt;1643.58165&lt;/D&gt;&lt;D xsi:type="xsd:double"&gt;1643.68187&lt;/D&gt;&lt;D xsi:type="xsd:double"&gt;1645.571987&lt;/D&gt;&lt;D xsi:type="xsd:double"&gt;1643.004359&lt;/D&gt;&lt;D xsi:type="xsd:double"&gt;1621.470957&lt;/D&gt;&lt;D xsi:type="xsd:double"&gt;1619.157163&lt;/D&gt;&lt;D xsi:type="xsd:double"&gt;1627.501736&lt;/D&gt;&lt;D xsi:type="xsd:double"&gt;1626.169157&lt;/D&gt;&lt;D xsi:type="xsd:double"&gt;1597.087834&lt;/D&gt;&lt;D xsi:type="xsd:double"&gt;1598.473957&lt;/D&gt;&lt;D xsi:type="xsd:double"&gt;1593.664034&lt;/D&gt;&lt;D xsi:type="xsd:double"&gt;1607.631982&lt;/D&gt;&lt;D xsi:type="xsd:double"&gt;1608.040262&lt;/D&gt;&lt;D xsi:type="xsd:double"&gt;1598.256406&lt;/D&gt;&lt;D xsi:type="xsd:double"&gt;1588.079515&lt;/D&gt;&lt;D xsi:type="xsd:double"&gt;1575.312249&lt;/D&gt;&lt;D xsi:type="xsd:double"&gt;1547.173833&lt;/D&gt;&lt;D xsi:type="xsd:double"&gt;1554.4743&lt;/D&gt;&lt;D xsi:type="xsd:double"&gt;1553.897051&lt;/D&gt;&lt;D xsi:type="xsd:double"&gt;1534.690603&lt;/D&gt;&lt;D xsi:type="xsd:double"&gt;1540.704259&lt;/D&gt;&lt;D xsi:type="xsd:double"&gt;1558.024639&lt;/D&gt;&lt;D xsi:type="xsd:double"&gt;1538.169805&lt;/D&gt;&lt;D xsi:type="xsd:double"&gt;1543.507711&lt;/D&gt;&lt;D xsi:type="xsd:double"&gt;1544.324648&lt;/D&gt;&lt;D xsi:type="xsd:double"&gt;1519.941979&lt;/D&gt;&lt;D xsi:type="xsd:double"&gt;1486.446048&lt;/D&gt;&lt;D xsi:type="xsd:double"&gt;1468.896603&lt;/D&gt;&lt;D xsi:type="xsd:double"&gt;1486.755967&lt;/D&gt;&lt;D xsi:type="xsd:double"&gt;1488.535284&lt;/D&gt;&lt;D xsi:type="xsd:double"&gt;1498.538751&lt;/D&gt;&lt;D xsi:type="xsd:double"&gt;1523.869991&lt;/D&gt;&lt;D xsi:type="xsd:double"&gt;1548.856892&lt;/D&gt;&lt;D xsi:type="xsd:double"&gt;1540.865798&lt;/D&gt;&lt;D xsi:type="xsd:double"&gt;1538.922812&lt;/D&gt;&lt;D xsi:type="xsd:double"&gt;1566.562024&lt;/D&gt;&lt;D xsi:type="xsd:double"&gt;1562.178142&lt;/D&gt;&lt;D xsi:type="xsd:double"&gt;1532.683049&lt;/D&gt;&lt;D xsi:type="xsd:double"&gt;1531.375761&lt;/D&gt;&lt;D xsi:type="xsd:double"&gt;1535.761995&lt;/D&gt;&lt;D xsi:type="xsd:double"&gt;1521.149391&lt;/D&gt;&lt;D xsi:type="xsd:double"&gt;1536.79135&lt;/D&gt;&lt;D xsi:type="xsd:double"&gt;1497.868659&lt;/D&gt;&lt;D xsi:type="xsd:double"&gt;1491.727125&lt;/D&gt;&lt;D xsi:type="xsd:double"&gt;1520.4923&lt;/D&gt;&lt;D xsi:type="xsd:double"&gt;1521.004886&lt;/D&gt;&lt;D xsi:type="xsd:double"&gt;1549.059097&lt;/D&gt;&lt;D xsi:type="xsd:double"&gt;1544.284822&lt;/D&gt;&lt;D xsi:type="xsd:double"&gt;1561.677917&lt;/D&gt;&lt;D xsi:type="xsd:double"&gt;1557.589748&lt;/D&gt;&lt;D xsi:type="xsd:double"&gt;1561.467169&lt;/D&gt;&lt;D xsi:type="xsd:double"&gt;1576.316252&lt;/D&gt;&lt;D xsi:type="xsd:double"&gt;1610.166987&lt;/D&gt;&lt;D xsi:type="xsd:double"&gt;1630.643997&lt;/D&gt;&lt;D xsi:type="xsd:double"&gt;1630.885802&lt;/D&gt;&lt;D xsi:type="xsd:double"&gt;1662.794366&lt;/D&gt;&lt;D xsi:type="xsd:double"&gt;1676.431631&lt;/D&gt;&lt;D xsi:type="xsd:double"&gt;1685.618001&lt;/D&gt;&lt;D xsi:type="xsd:double"&gt;1670.38741&lt;/D&gt;&lt;D xsi:type="xsd:double"&gt;1673.997639&lt;/D&gt;&lt;D xsi:type="xsd:double"&gt;1671.506107&lt;/D&gt;&lt;D xsi:type="xsd:double"&gt;1650.169596&lt;/D&gt;&lt;D xsi:type="xsd:double"&gt;1638.912267&lt;/D&gt;&lt;D xsi:type="xsd:double"&gt;1633.754982&lt;/D&gt;&lt;D xsi:type="xsd:double"&gt;1655.21698&lt;/D&gt;&lt;D xsi:type="xsd:double"&gt;1668.731373&lt;/D&gt;&lt;D xsi:type="xsd:double"&gt;1646.69249&lt;/D&gt;&lt;D xsi:type="xsd:double"&gt;1632.278475&lt;/D&gt;&lt;D xsi:type="xsd:double"&gt;1637.828324&lt;/D&gt;&lt;D xsi:type="xsd:double"&gt;1663.879347&lt;/D&gt;&lt;D xsi:type="xsd:double"&gt;1664.374746&lt;/D&gt;&lt;D xsi:type="xsd:double"&gt;1670.682892&lt;/D&gt;&lt;D xsi:type="xsd:double"&gt;1686.579858&lt;/D&gt;&lt;D xsi:type="xsd:double"&gt;1694.781805&lt;/D&gt;&lt;D xsi:type="xsd:double"&gt;1678.232598&lt;/D&gt;&lt;D xsi:type="xsd:double"&gt;1696.226095&lt;/D&gt;&lt;D xsi:type="xsd:double"&gt;1710.117531&lt;/D&gt;&lt;D xsi:type="xsd:double"&gt;1694.396624&lt;/D&gt;&lt;D xsi:type="xsd:double"&gt;1700.292858&lt;/D&gt;&lt;D xsi:type="xsd:double"&gt;1697.831515&lt;/D&gt;&lt;D xsi:type="xsd:double"&gt;1695.45738&lt;/D&gt;&lt;D xsi:type="xsd:double"&gt;1697.29937&lt;/D&gt;&lt;D xsi:type="xsd:double"&gt;1702.830154&lt;/D&gt;&lt;D xsi:type="xsd:double"&gt;1700.560451&lt;/D&gt;&lt;D xsi:type="xsd:double"&gt;1691.554283&lt;/D&gt;&lt;D xsi:type="xsd:double"&gt;1676.095004&lt;/D&gt;&lt;D xsi:type="xsd:double"&gt;1667.447194&lt;/D&gt;&lt;D xsi:type="xsd:double"&gt;1654.296449&lt;/D&gt;&lt;D xsi:type="xsd:double"&gt;1671.492411&lt;/D&gt;&lt;D xsi:type="xsd:double"&gt;1691.878339&lt;/D&gt;&lt;D xsi:type="xsd:double"&gt;1690.511262&lt;/D&gt;&lt;D xsi:type="xsd:double"&gt;1691.601462&lt;/D&gt;&lt;D xsi:type="xsd:double"&gt;1704.39156&lt;/D&gt;&lt;D xsi:type="xsd:double"&gt;1710.774757&lt;/D&gt;&lt;D xsi:type="xsd:double"&gt;1713.867196&lt;/D&gt;&lt;D xsi:type="xsd:double"&gt;1717.39448&lt;/D&gt;&lt;D xsi:type="xsd:double"&gt;1715.179031&lt;/D&gt;&lt;D xsi:type="xsd:double"&gt;1705.803474&lt;/D&gt;&lt;D xsi:type="xsd:double"&gt;1706.610686&lt;/D&gt;&lt;D xsi:type="xsd:double"&gt;1714.128587&lt;/D&gt;&lt;D xsi:type="xsd:double"&gt;1696.238663&lt;/D&gt;&lt;D xsi:type="xsd:double"&gt;1704.980696&lt;/D&gt;&lt;D xsi:type="xsd:double"&gt;1706.61153&lt;/D&gt;&lt;D xsi:type="xsd:double"&gt;1689.326349&lt;/D&gt;&lt;D xsi:type="xsd:double"&gt;1672.868544&lt;/D&gt;&lt;D xsi:type="xsd:double"&gt;1677.520581&lt;/D&gt;&lt;D xsi:type="xsd:double"&gt;1679.917632&lt;/D&gt;&lt;D xsi:type="xsd:double"&gt;1683.551426&lt;/D&gt;&lt;D xsi:type="xsd:double"&gt;1675.767456&lt;/D&gt;&lt;D xsi:type="xsd:double"&gt;1653.014339&lt;/D&gt;&lt;D xsi:type="xsd:double"&gt;1661.069802&lt;/D&gt;&lt;D xsi:type="xsd:double"&gt;1674.386903&lt;/D&gt;&lt;D xsi:type="xsd:double"&gt;1673.774664&lt;/D&gt;&lt;D xsi:type="xsd:double"&gt;1663.573209&lt;/D&gt;&lt;D xsi:type="xsd:double"&gt;1653.467779&lt;/D&gt;&lt;D xsi:type="xsd:double"&gt;1640.982695&lt;/D&gt;&lt;D xsi:type="xsd:double"&gt;1637.493478&lt;/D&gt;&lt;D xsi:type="xsd:double"&gt;1607.128725&lt;/D&gt;&lt;D xsi:type="xsd:double"&gt;1587.983492&lt;/D&gt;&lt;D xsi:type="xsd:double"&gt;1581.921901&lt;/D&gt;&lt;D xsi:type="xsd:double"&gt;1550.434966&lt;/D&gt;&lt;D xsi:type="xsd:double"&gt;1560.044045&lt;/D&gt;&lt;D xsi:type="xsd:double"&gt;1594.703826&lt;/D&gt;&lt;D xsi:type="xsd:double"&gt;1587.380333&lt;/D&gt;&lt;D xsi:type="xsd:double"&gt;1596.662275&lt;/D&gt;&lt;D xsi:type="xsd:double"&gt;1600.762528&lt;/D&gt;&lt;D xsi:type="xsd:double"&gt;1628.93026&lt;/D&gt;&lt;D xsi:type="xsd:double"&gt;1630.689498&lt;/D&gt;&lt;D xsi:type="xsd:double"&gt;1652.882254&lt;/D&gt;&lt;D xsi:type="xsd:double"&gt;1653.81262&lt;/D&gt;&lt;D xsi:type="xsd:double"&gt;1634.014074&lt;/D&gt;&lt;D xsi:type="xsd:double"&gt;1620.278584&lt;/D&gt;&lt;D xsi:type="xsd:double"&gt;1626.990146&lt;/D&gt;&lt;D xsi:type="xsd:double"&gt;1625.403396&lt;/D&gt;&lt;D xsi:type="xsd:double"&gt;1628.176216&lt;/D&gt;&lt;D xsi:type="xsd:double"&gt;1627.093591&lt;/D&gt;&lt;D xsi:type="xsd:double"&gt;1595.713317&lt;/D&gt;&lt;D xsi:type="xsd:double"&gt;1622.944923&lt;/D&gt;&lt;D xsi:type="xsd:double"&gt;1615.674317&lt;/D&gt;&lt;D xsi:type="xsd:double"&gt;1600.709736&lt;/D&gt;&lt;D xsi:type="xsd:double"&gt;1645.429575&lt;/D&gt;&lt;D xsi:type="xsd:double"&gt;1658.073655&lt;/D&gt;&lt;D xsi:type="xsd:double"&gt;1650.533623&lt;/D&gt;&lt;D xsi:type="xsd:double"&gt;1616.481371&lt;/D&gt;&lt;D xsi:type="xsd:double"&gt;1583.864895&lt;/D&gt;&lt;D xsi:type="xsd:double"&gt;1589.500522&lt;/D&gt;&lt;D xsi:type="xsd:double"&gt;1650.960171&lt;/D&gt;&lt;D xsi:type="xsd:double"&gt;1697.249274&lt;/D&gt;&lt;D xsi:type="xsd:double"&gt;1726.005468&lt;/D&gt;&lt;D xsi:type="xsd:double"&gt;1744.20361&lt;/D&gt;&lt;D xsi:type="xsd:double"&gt;1749.080842&lt;/D&gt;&lt;D xsi:type="xsd:double"&gt;1743.894576&lt;/D&gt;&lt;D xsi:type="xsd:double"&gt;1741.432599&lt;/D&gt;&lt;D xsi:type="xsd:double"&gt;1742.421203&lt;/D&gt;&lt;D xsi:type="xsd:double"&gt;1749.630049&lt;/D&gt;&lt;D xsi:type="xsd:double"&gt;1766.617274&lt;/D&gt;&lt;D xsi:type="xsd:double"&gt;1747.340106&lt;/D&gt;&lt;D xsi:type="xsd:double"&gt;1752.672863&lt;/D&gt;&lt;D xsi:type="xsd:double"&gt;1762.751645&lt;/D&gt;&lt;D xsi:type="xsd:double"&gt;1758.867364&lt;/D&gt;&lt;D xsi:type="xsd:double"&gt;1761.179301&lt;/D&gt;&lt;D xsi:type="xsd:double"&gt;1765.603743&lt;/D&gt;&lt;D xsi:type="xsd:double"&gt;1759.765725&lt;/D&gt;&lt;D xsi:type="xsd:double"&gt;1760.694403&lt;/D&gt;&lt;D xsi:type="xsd:double"&gt;1747.058714&lt;/D&gt;&lt;D xsi:type="xsd:double"&gt;1733.583504&lt;/D&gt;&lt;D xsi:type="xsd:double"&gt;1745.502316&lt;/D&gt;&lt;D xsi:type="xsd:double"&gt;1762.795019&lt;/D&gt;&lt;D xsi:type="xsd:double"&gt;1766.635017&lt;/D&gt;&lt;D xsi:type="xsd:double"&gt;1777.863444&lt;/D&gt;&lt;D xsi:type="xsd:double"&gt;1782.191265&lt;/D&gt;&lt;D xsi:type="xsd:double"&gt;1780.831051&lt;/D&gt;&lt;D xsi:type="xsd:double"&gt;1781.914187&lt;/D&gt;&lt;D xsi:type="xsd:double"&gt;1768.123888&lt;/D&gt;&lt;D xsi:type="xsd:double"&gt;1769.410433&lt;/D&gt;&lt;D xsi:type="xsd:double"&gt;1758.685261&lt;/D&gt;&lt;D xsi:type="xsd:double"&gt;1743.323608&lt;/D&gt;&lt;D xsi:type="xsd:double"&gt;1717.468432&lt;/D&gt;&lt;D xsi:type="xsd:double"&gt;1706.872569&lt;/D&gt;&lt;D xsi:type="xsd:double"&gt;1724.945262&lt;/D&gt;&lt;D xsi:type="xsd:double"&gt;1729.503382&lt;/D&gt;&lt;D xsi:type="xsd:double"&gt;1747.25089&lt;/D&gt;&lt;D xsi:type="xsd:double"&gt;1747.177062&lt;/D&gt;&lt;D xsi:type="xsd:double"&gt;1735.613449&lt;/D&gt;&lt;D xsi:type="xsd:double"&gt;1737.600982&lt;/D&gt;&lt;D xsi:type="xsd:double"&gt;1776.216637&lt;/D&gt;&lt;D xsi:type="xsd:double"&gt;1781.483359&lt;/D&gt;&lt;D xsi:type="xsd:double"&gt;1785.700348&lt;/D&gt;&lt;D xsi:type="xsd:double"&gt;1795.980801&lt;/D&gt;&lt;D xsi:type="xsd:double"&gt;1796.117766&lt;/D&gt;&lt;D xsi:type="xsd:double"&gt;1774.883503&lt;/D&gt;&lt;D xsi:type="xsd:double"&gt;1780.618785&lt;/D&gt;&lt;D xsi:type="xsd:double"&gt;1762.105532&lt;/D&gt;&lt;D xsi:type="xsd:double"&gt;1763.679461&lt;/D&gt;&lt;D xsi:type="xsd:double"&gt;1757.085391&lt;/D&gt;&lt;D xsi:type="xsd:double"&gt;1770.171608&lt;/D&gt;&lt;D xsi:type="xsd:double"&gt;1779.445957&lt;/D&gt;&lt;D xsi:type="xsd:double"&gt;1776.70981&lt;/D&gt;&lt;D xsi:type="xsd:double"&gt;1751.646631&lt;/D&gt;&lt;D xsi:type="xsd:double"&gt;1752.203568&lt;/D&gt;&lt;D xsi:type="xsd:double"&gt;1760.43042&lt;/D&gt;&lt;D xsi:type="xsd:double"&gt;1775.437826&lt;/D&gt;&lt;D xsi:type="xsd:double"&gt;1789.905055&lt;/D&gt;&lt;D xsi:type="xsd:double"&gt;1782.388337&lt;/D&gt;&lt;D xsi:type="xsd:double"&gt;1778.284773&lt;/D&gt;&lt;D xsi:type="xsd:double"&gt;1779.307339&lt;/D&gt;&lt;D xsi:type="xsd:double"&gt;1791.345086&lt;/D&gt;&lt;D xsi:type="xsd:double"&gt;1793.604246&lt;/D&gt;&lt;D xsi:type="xsd:double"&gt;1781.138635&lt;/D&gt;&lt;D xsi:type="xsd:double"&gt;1803.504042&lt;/D&gt;&lt;D xsi:type="xsd:double"&gt;1810.840869&lt;/D&gt;&lt;D xsi:type="xsd:double"&gt;1803.951418&lt;/D&gt;&lt;D xsi:type="xsd:double"&gt;1803.716956&lt;/D&gt;&lt;D xsi:type="xsd:double"&gt;1808.72785&lt;/D&gt;&lt;D xsi:type="xsd:double"&gt;1807.060595&lt;/D&gt;&lt;D xsi:type="xsd:double"&gt;1803.415487&lt;/D&gt;&lt;D xsi:type="xsd:double"&gt;1789.966069&lt;/D&gt;&lt;D xsi:type="xsd:double"&gt;1784.911565&lt;/D&gt;&lt;D xsi:type="xsd:double"&gt;1789.089515&lt;/D&gt;&lt;D xsi:type="xsd:double"&gt;1794.700397&lt;/D&gt;&lt;D xsi:type="xsd:double"&gt;1769.246063&lt;/D&gt;&lt;D xsi:type="xsd:double"&gt;1772.824047&lt;/D&gt;&lt;D xsi:type="xsd:double"&gt;1773.415446&lt;/D&gt;&lt;D xsi:type="xsd:double"&gt;1790.829302&lt;/D&gt;&lt;D xsi:type="xsd:double"&gt;1787.401216&lt;/D&gt;&lt;D xsi:type="xsd:double"&gt;1778.400121&lt;/D&gt;&lt;D xsi:type="xsd:double"&gt;1795.874828&lt;/D&gt;&lt;D xsi:type="xsd:double"&gt;1803.387419&lt;/D&gt;&lt;D xsi:type="xsd:double"&gt;1801.567068&lt;/D&gt;&lt;D xsi:type="xsd:double"&gt;1799.86347&lt;/D&gt;&lt;D xsi:type="xsd:double"&gt;1792.305445&lt;/D&gt;&lt;D xsi:type="xsd:double"&gt;1786.771058&lt;/D&gt;&lt;D xsi:type="xsd:double"&gt;1781.952064&lt;/D&gt;&lt;D xsi:type="xsd:double"&gt;1779.121084&lt;/D&gt;&lt;D xsi:type="xsd:double"&gt;1769.006222&lt;/D&gt;&lt;D xsi:type="xsd:double"&gt;1786.579945&lt;/D&gt;&lt;D xsi:type="xsd:double"&gt;1783.787493&lt;/D&gt;&lt;D xsi:type="xsd:double"&gt;1779.847832&lt;/D&gt;&lt;D xsi:type="xsd:double"&gt;1772.079487&lt;/D&gt;&lt;D xsi:type="xsd:double"&gt;1779.468263&lt;/D&gt;&lt;D xsi:type="xsd:double"&gt;1771.855497&lt;/D&gt;&lt;D xsi:type="xsd:double"&gt;1766.441639&lt;/D&gt;&lt;D xsi:type="xsd:double"&gt;1764.242455&lt;/D&gt;&lt;D xsi:type="xsd:double"&gt;1764.488748&lt;/D&gt;&lt;D xsi:type="xsd:double"&gt;1749.343696&lt;/D&gt;&lt;D xsi:type="xsd:double"&gt;1738.149946&lt;/D&gt;&lt;D xsi:type="xsd:double"&gt;1740.813663&lt;/D&gt;&lt;D xsi:type="xsd:double"&gt;1757.30587&lt;/D&gt;&lt;D xsi:type="xsd:double"&gt;1744.81858&lt;/D&gt;&lt;D xsi:type="xsd:double"&gt;1744.901281&lt;/D&gt;&lt;D xsi:type="xsd:double"&gt;1756.477414&lt;/D&gt;&lt;D xsi:type="xsd:double"&gt;1772.409856&lt;/D&gt;&lt;D xsi:type="xsd:double"&gt;1778.001306&lt;/D&gt;&lt;D xsi:type="xsd:double"&gt;1774.56544&lt;/D&gt;&lt;D xsi:type="xsd:double"&gt;1751.31005&lt;/D&gt;&lt;D xsi:type="xsd:double"&gt;1754.103957&lt;/D&gt;&lt;D xsi:type="xsd:double"&gt;1736.634689&lt;/D&gt;&lt;D xsi:type="xsd:double"&gt;1740.089856&lt;/D&gt;&lt;D xsi:type="xsd:double"&gt;1719.81913&lt;/D&gt;&lt;D xsi:type="xsd:double"&gt;1728.61796&lt;/D&gt;&lt;D xsi:type="xsd:double"&gt;1710.786735&lt;/D&gt;&lt;D xsi:type="xsd:double"&gt;1712.547912&lt;/D&gt;&lt;D xsi:type="xsd:double"&gt;1741.84241&lt;/D&gt;&lt;D xsi:type="xsd:double"&gt;1741.987275&lt;/D&gt;&lt;D xsi:type="xsd:double"&gt;1763.738874&lt;/D&gt;&lt;D xsi:type="xsd:double"&gt;1760.908325&lt;/D&gt;&lt;D xsi:type="xsd:double"&gt;1768.569265&lt;/D&gt;&lt;D xsi:type="xsd:double"&gt;1776.645542&lt;/D&gt;&lt;D xsi:type="xsd:double"&gt;1772.861889&lt;/D&gt;&lt;D xsi:type="xsd:double"&gt;1773.991881&lt;/D&gt;&lt;D xsi:type="xsd:double"&gt;1776.859572&lt;/D&gt;&lt;D xsi:type="xsd:double"&gt;1774.917891&lt;/D&gt;&lt;D xsi:type="xsd:double"&gt;1770.348572&lt;/D&gt;&lt;D xsi:type="xsd:double"&gt;1768.085252&lt;/D&gt;&lt;D xsi:type="xsd:double"&gt;1760.801938&lt;/D&gt;&lt;D xsi:type="xsd:double"&gt;1759.036428&lt;/D&gt;&lt;D xsi:type="xsd:double"&gt;1754.796194&lt;/D&gt;&lt;D xsi:type="xsd:double"&gt;1752.181106&lt;/D&gt;&lt;D xsi:type="xsd:double"&gt;1741.217676&lt;/D&gt;&lt;D xsi:type="xsd:double"&gt;1721.582881&lt;/D&gt;&lt;D xsi:type="xsd:double"&gt;1725.830852&lt;/D&gt;&lt;D xsi:type="xsd:double"&gt;1714.227058&lt;/D&gt;&lt;D xsi:type="xsd:double"&gt;1720.54955&lt;/D&gt;&lt;D xsi:type="xsd:double"&gt;1727.491439&lt;/D&gt;&lt;D xsi:type="xsd:double"&gt;1715.132466&lt;/D&gt;&lt;D xsi:type="xsd:double"&gt;1715.222443&lt;/D&gt;&lt;D xsi:type="xsd:double"&gt;1694.348496&lt;/D&gt;&lt;D xsi:type="xsd:double"&gt;1677.536843&lt;/D&gt;&lt;D xsi:type="xsd:double"&gt;1693.811895&lt;/D&gt;&lt;D xsi:type="xsd:double"&gt;1689.199118&lt;/D&gt;&lt;D xsi:type="xsd:double"&gt;1705.596139&lt;/D&gt;&lt;D xsi:type="xsd:double"&gt;1712.554774&lt;/D&gt;&lt;D xsi:type="xsd:double"&gt;1707.737523&lt;/D&gt;&lt;D xsi:type="xsd:double"&gt;1710.468131&lt;/D&gt;&lt;D xsi:type="xsd:double"&gt;1694.342113&lt;/D&gt;&lt;D xsi:type="xsd:double"&gt;1685.26981&lt;/D&gt;&lt;D xsi:type="xsd:double"&gt;1675.152223&lt;/D&gt;&lt;D xsi:type="xsd:double"&gt;1662.438836&lt;/D&gt;&lt;D xsi:type="xsd:double"&gt;1665.380722&lt;/D&gt;&lt;D xsi:type="xsd:double"&gt;1678.192532&lt;/D&gt;&lt;D xsi:type="xsd:double"&gt;1676.712783&lt;/D&gt;&lt;D xsi:type="xsd:double"&gt;1683.800562&lt;/D&gt;&lt;D xsi:type="xsd:double"&gt;1694.170712&lt;/D&gt;&lt;D xsi:type="xsd:double"&gt;1662.223304&lt;/D&gt;&lt;D xsi:type="xsd:double"&gt;1654.378354&lt;/D&gt;&lt;D xsi:type="xsd:double"&gt;1671.249447&lt;/D&gt;&lt;D xsi:type="xsd:double"&gt;1704.70785&lt;/D&gt;&lt;D xsi:type="xsd:double"&gt;1709.672168&lt;/D&gt;&lt;D xsi:type="xsd:double"&gt;1721.012432&lt;/D&gt;&lt;D xsi:type="xsd:double"&gt;1731.705865&lt;/D&gt;&lt;D xsi:type="xsd:double"&gt;1729.423095&lt;/D&gt;&lt;D xsi:type="xsd:double"&gt;1726.226772&lt;/D&gt;&lt;D xsi:type="xsd:double"&gt;1724.102528&lt;/D&gt;&lt;D xsi:type="xsd:double"&gt;1723.258789&lt;/D&gt;&lt;D xsi:type="xsd:double"&gt;1716.996983&lt;/D&gt;&lt;D xsi:type="xsd:double"&gt;1706.333742&lt;/D&gt;&lt;D xsi:type="xsd:double"&gt;1672.478475&lt;/D&gt;&lt;D xsi:type="xsd:double"&gt;1655.522958&lt;/D&gt;&lt;D xsi:type="xsd:double"&gt;1654.560394&lt;/D&gt;&lt;D xsi:type="xsd:double"&gt;1675.043243&lt;/D&gt;&lt;D xsi:type="xsd:double"&gt;1699.053312&lt;/D&gt;&lt;D xsi:type="xsd:double"&gt;1698.43107&lt;/D&gt;&lt;D xsi:type="xsd:double"&gt;1721.971195&lt;/D&gt;&lt;D xsi:type="xsd:double"&gt;1726.47495&lt;/D&gt;&lt;D xsi:type="xsd:double"&gt;1738.518666&lt;/D&gt;&lt;D xsi:type="xsd:double"&gt;1736.626461&lt;/D&gt;&lt;D xsi:type="xsd:double"&gt;1739.728887&lt;/D&gt;&lt;D xsi:type="xsd:double"&gt;1735.986618&lt;/D&gt;&lt;D xsi:type="xsd:double"&gt;1729.887552&lt;/D&gt;&lt;D xsi:type="xsd:double"&gt;1739.497106&lt;/D&gt;&lt;D xsi:type="xsd:double"&gt;1748.00483&lt;/D&gt;&lt;D xsi:type="xsd:double"&gt;1742.820735&lt;/D&gt;&lt;D xsi:type="xsd:double"&gt;1740.086492&lt;/D&gt;&lt;D xsi:type="xsd:double"&gt;1737.238497&lt;/D&gt;&lt;D xsi:type="xsd:double"&gt;1725.465324&lt;/D&gt;&lt;D xsi:type="xsd:double"&gt;1724.72716&lt;/D&gt;&lt;D xsi:type="xsd:double"&gt;1728.232271&lt;/D&gt;&lt;D xsi:type="xsd:double"&gt;1714.965488&lt;/D&gt;&lt;D xsi:type="xsd:double"&gt;1717.200853&lt;/D&gt;&lt;D xsi:type="xsd:double"&gt;1716.239794&lt;/D&gt;&lt;D xsi:type="xsd:double"&gt;1715.029048&lt;/D&gt;&lt;D xsi:type="xsd:double"&gt;1716.831209&lt;/D&gt;&lt;D xsi:type="xsd:double"&gt;1714.603931&lt;/D&gt;&lt;D xsi:type="xsd:double"&gt;1707.011499&lt;/D&gt;&lt;D xsi:type="xsd:double"&gt;1707.529369&lt;/D&gt;&lt;D xsi:type="xsd:double"&gt;1706.5109420000001&lt;/D&gt;&lt;D xsi:type="xsd:double"&gt;1698.215832&lt;/D&gt;&lt;D xsi:type="xsd:double"&gt;1699.086141&lt;/D&gt;&lt;D xsi:type="xsd:double"&gt;1708.092283&lt;/D&gt;&lt;D xsi:type="xsd:double"&gt;1689.221178&lt;/D&gt;&lt;D xsi:type="xsd:double"&gt;1686.347647&lt;/D&gt;&lt;D xsi:type="xsd:double"&gt;1684.539874&lt;/D&gt;&lt;D xsi:type="xsd:double"&gt;1666.823068&lt;/D&gt;&lt;D xsi:type="xsd:double"&gt;1667.87666&lt;/D&gt;&lt;D xsi:type="xsd:double"&gt;1659.971392&lt;/D&gt;&lt;D xsi:type="xsd:double"&gt;1647.214685&lt;/D&gt;&lt;D xsi:type="xsd:double"&gt;1651.14074&lt;/D&gt;&lt;D xsi:type="xsd:double"&gt;1626.051704&lt;/D&gt;&lt;D xsi:type="xsd:double"&gt;1613.556873&lt;/D&gt;&lt;D xsi:type="xsd:double"&gt;1592.602111&lt;/D&gt;&lt;D xsi:type="xsd:double"&gt;1595.213731&lt;/D&gt;&lt;D xsi:type="xsd:double"&gt;1610.735429&lt;/D&gt;&lt;D xsi:type="xsd:double"&gt;1613.607627&lt;/D&gt;&lt;D xsi:type="xsd:double"&gt;1626.678764&lt;/D&gt;&lt;D xsi:type="xsd:double"&gt;1652.9292&lt;/D&gt;&lt;D xsi:type="xsd:double"&gt;1673.47855&lt;/D&gt;&lt;D xsi:type="xsd:double"&gt;1661.358779&lt;/D&gt;&lt;D xsi:type="xsd:double"&gt;1679.819698&lt;/D&gt;&lt;D xsi:type="xsd:double"&gt;1675.289955&lt;/D&gt;&lt;D xsi:type="xsd:double"&gt;1667.983572&lt;/D&gt;&lt;D xsi:type="xsd:double"&gt;1679.17855&lt;/D&gt;&lt;D xsi:type="xsd:double"&gt;1698.40787&lt;/D&gt;&lt;D xsi:type="xsd:double"&gt;1702.176512&lt;/D&gt;&lt;D xsi:type="xsd:double"&gt;1707.874689&lt;/D&gt;&lt;D xsi:type="xsd:double"&gt;1703.093253&lt;/D&gt;&lt;D xsi:type="xsd:double"&gt;1723.667544&lt;/D&gt;&lt;D xsi:type="xsd:double"&gt;1716.231522&lt;/D&gt;&lt;D xsi:type="xsd:double"&gt;1726.471924&lt;/D&gt;&lt;D xsi:type="xsd:double"&gt;1740.316365&lt;/D&gt;&lt;D xsi:type="xsd:double"&gt;1742.741414&lt;/D&gt;&lt;D xsi:type="xsd:double"&gt;1735.34913&lt;/D&gt;&lt;D xsi:type="xsd:double"&gt;1732.545918&lt;/D&gt;&lt;D xsi:type="xsd:double"&gt;1726.860441&lt;/D&gt;&lt;D xsi:type="xsd:double"&gt;1729.496469&lt;/D&gt;&lt;D xsi:type="xsd:double"&gt;1736.993632&lt;/D&gt;&lt;D xsi:type="xsd:double"&gt;1735.785958&lt;/D&gt;&lt;D xsi:type="xsd:double"&gt;1733.206762&lt;/D&gt;&lt;D xsi:type="xsd:double"&gt;1744.302329&lt;/D&gt;&lt;D xsi:type="xsd:double"&gt;1750.627986&lt;/D&gt;&lt;D xsi:type="xsd:double"&gt;1748.615435&lt;/D&gt;&lt;D xsi:type="xsd:double"&gt;1751.996264&lt;/D&gt;&lt;D xsi:type="xsd:double"&gt;1747.223466&lt;/D&gt;&lt;D xsi:type="xsd:double"&gt;1748.688062&lt;/D&gt;&lt;D xsi:type="xsd:double"&gt;1744.368743&lt;/D&gt;&lt;D xsi:type="xsd:double"&gt;1750.701359&lt;/D&gt;&lt;D xsi:type="xsd:double"&gt;1749.166921&lt;/D&gt;&lt;D xsi:type="xsd:double"&gt;1745.263519&lt;/D&gt;&lt;D xsi:type="xsd:double"&gt;1735.962003&lt;/D&gt;&lt;D xsi:type="xsd:double"&gt;1741.905977&lt;/D&gt;&lt;D xsi:type="xsd:double"&gt;1735.808008&lt;/D&gt;&lt;D xsi:type="xsd:double"&gt;1734.892348&lt;/D&gt;&lt;D xsi:type="xsd:double"&gt;1727.398563&lt;/D&gt;&lt;D xsi:type="xsd:double"&gt;1714.257589&lt;/D&gt;&lt;D xsi:type="xsd:double"&gt;1715.727902&lt;/D&gt;&lt;D xsi:type="xsd:double"&gt;1708.759924&lt;/D&gt;&lt;D xsi:type="xsd:double"&gt;1699.368607&lt;/D&gt;&lt;D xsi:type="xsd:double"&gt;1701.629649&lt;/D&gt;&lt;D xsi:type="xsd:double"&gt;1690.593419&lt;/D&gt;&lt;D xsi:type="xsd:double"&gt;1684.728039&lt;/D&gt;&lt;D xsi:type="xsd:double"&gt;1693.152341&lt;/D&gt;&lt;D xsi:type="xsd:double"&gt;1698.244806&lt;/D&gt;&lt;D xsi:type="xsd:double"&gt;1710.158856&lt;/D&gt;&lt;D xsi:type="xsd:double"&gt;1705.75717&lt;/D&gt;&lt;D xsi:type="xsd:double"&gt;1714.353495&lt;/D&gt;&lt;D xsi:type="xsd:double"&gt;1740.217528&lt;/D&gt;&lt;D xsi:type="xsd:double"&gt;1744.22315&lt;/D&gt;&lt;D xsi:type="xsd:double"&gt;1748.256551&lt;/D&gt;&lt;D xsi:type="xsd:double"&gt;1748.253085&lt;/D&gt;&lt;D xsi:type="xsd:double"&gt;1756.27638&lt;/D&gt;&lt;D xsi:type="xsd:double"&gt;1754.124267&lt;/D&gt;&lt;D xsi:type="xsd:double"&gt;1750.776819&lt;/D&gt;&lt;D xsi:type="xsd:double"&gt;1740.125284&lt;/D&gt;&lt;D xsi:type="xsd:double"&gt;1744.310224&lt;/D&gt;&lt;D xsi:type="xsd:double"&gt;1735.108252&lt;/D&gt;&lt;D xsi:type="xsd:double"&gt;1751.509374&lt;/D&gt;&lt;D xsi:type="xsd:double"&gt;1741.455594&lt;/D&gt;&lt;D xsi:type="xsd:double"&gt;1747.055242&lt;/D&gt;&lt;D xsi:type="xsd:double"&gt;1736.021096&lt;/D&gt;&lt;D xsi:type="xsd:double"&gt;1734.49831&lt;/D&gt;&lt;D xsi:type="xsd:double"&gt;1746.069907&lt;/D&gt;&lt;D xsi:type="xsd:double"&gt;1741.638168&lt;/D&gt;&lt;D xsi:type="xsd:double"&gt;1754.802418&lt;/D&gt;&lt;D xsi:type="xsd:double"&gt;1764.115559&lt;/D&gt;&lt;D xsi:type="xsd:double"&gt;1756.959935&lt;/D&gt;&lt;D xsi:type="xsd:double"&gt;1754.755751&lt;/D&gt;&lt;D xsi:type="xsd:double"&gt;1743.415366&lt;/D&gt;&lt;D xsi:type="xsd:double"&gt;1740.862912&lt;/D&gt;&lt;D xsi:type="xsd:double"&gt;1737.268978&lt;/D&gt;&lt;D xsi:type="xsd:double"&gt;1738.158392&lt;/D&gt;&lt;D xsi:type="xsd:double"&gt;1737.824671&lt;/D&gt;&lt;D xsi:type="xsd:double"&gt;1746.285459&lt;/D&gt;&lt;D xsi:type="xsd:double"&gt;1747.434907&lt;/D&gt;&lt;D xsi:type="xsd:double"&gt;1748.405193&lt;/D&gt;&lt;D xsi:type="xsd:double"&gt;1737.77321&lt;/D&gt;&lt;D xsi:type="xsd:double"&gt;1728.74146&lt;/D&gt;&lt;D xsi:type="xsd:double"&gt;1726.992336&lt;/D&gt;&lt;D xsi:type="xsd:double"&gt;1727.208289&lt;/D&gt;&lt;D xsi:type="xsd:double"&gt;1725.491317&lt;/D&gt;&lt;D xsi:type="xsd:double"&gt;1731.200811&lt;/D&gt;&lt;D xsi:type="xsd:double"&gt;1735.317184&lt;/D&gt;&lt;D xsi:type="xsd:double"&gt;1735.984663&lt;/D&gt;&lt;D xsi:type="xsd:double"&gt;1734.471505&lt;/D&gt;&lt;D xsi:type="xsd:double"&gt;1725.599591&lt;/D&gt;&lt;D xsi:type="xsd:double"&gt;1717.764101&lt;/D&gt;&lt;D xsi:type="xsd:double"&gt;1715.821942&lt;/D&gt;&lt;D xsi:type="xsd:double"&gt;1717.269847&lt;/D&gt;&lt;D xsi:type="xsd:double"&gt;1715.184404&lt;/D&gt;&lt;D xsi:type="xsd:double"&gt;1713.248408&lt;/D&gt;&lt;D xsi:type="xsd:double"&gt;1706.145188&lt;/D&gt;&lt;D xsi:type="xsd:double"&gt;1707.665663&lt;/D&gt;&lt;D xsi:type="xsd:double"&gt;1697.938863&lt;/D&gt;&lt;D xsi:type="xsd:double"&gt;1692.355549&lt;/D&gt;&lt;D xsi:type="xsd:double"&gt;1686.513665&lt;/D&gt;&lt;D xsi:type="xsd:double"&gt;1678.007694&lt;/D&gt;&lt;D xsi:type="xsd:double"&gt;1685.88272&lt;/D&gt;&lt;D xsi:type="xsd:double"&gt;1683.692209&lt;/D&gt;&lt;D xsi:type="xsd:double"&gt;1682.338088&lt;/D&gt;&lt;D xsi:type="xsd:double"&gt;1694.803175&lt;/D&gt;&lt;D xsi:type="xsd:double"&gt;1697.987651&lt;/D&gt;&lt;D xsi:type="xsd:double"&gt;1694.880573&lt;/D&gt;&lt;D xsi:type="xsd:double"&gt;1683.364666&lt;/D&gt;&lt;D xsi:type="xsd:double"&gt;1686.786589&lt;/D&gt;&lt;D xsi:type="xsd:double"&gt;1684.043265&lt;/D&gt;&lt;D xsi:type="xsd:double"&gt;1683.524613&lt;/D&gt;&lt;D xsi:type="xsd:double"&gt;1689.772664&lt;/D&gt;&lt;D xsi:type="xsd:double"&gt;1688.988554&lt;/D&gt;&lt;D xsi:type="xsd:double"&gt;1690.393535&lt;/D&gt;&lt;D xsi:type="xsd:double"&gt;1687.741752&lt;/D&gt;&lt;D xsi:type="xsd:double"&gt;1682.378413&lt;/D&gt;&lt;D xsi:type="xsd:double"&gt;1672.648869&lt;/D&gt;&lt;D xsi:type="xsd:double"&gt;1670.760007&lt;/D&gt;&lt;D xsi:type="xsd:double"&gt;1681.155407&lt;/D&gt;&lt;D xsi:type="xsd:double"&gt;1679.253544&lt;/D&gt;&lt;D xsi:type="xsd:double"&gt;1681.980602&lt;/D&gt;&lt;D xsi:type="xsd:double"&gt;1672.396068&lt;/D&gt;&lt;D xsi:type="xsd:double"&gt;1669.812975&lt;/D&gt;&lt;D xsi:type="xsd:double"&gt;1664.846382&lt;/D&gt;&lt;D xsi:type="xsd:double"&gt;1646.671092&lt;/D&gt;&lt;D xsi:type="xsd:double"&gt;1644.361074&lt;/D&gt;&lt;D xsi:type="xsd:double"&gt;1638.434483&lt;/D&gt;&lt;D xsi:type="xsd:double"&gt;1656.091114&lt;/D&gt;&lt;D xsi:type="xsd:double"&gt;1675.323046&lt;/D&gt;&lt;D xsi:type="xsd:double"&gt;1663.767739&lt;/D&gt;&lt;D xsi:type="xsd:double"&gt;1659.286809&lt;/D&gt;&lt;D xsi:type="xsd:double"&gt;1676.251904&lt;/D&gt;&lt;D xsi:type="xsd:double"&gt;1685.139142&lt;/D&gt;&lt;D xsi:type="xsd:double"&gt;1687.463131&lt;/D&gt;&lt;D xsi:type="xsd:double"&gt;1683.697158&lt;/D&gt;&lt;D xsi:type="xsd:double"&gt;1673.87449&lt;/D&gt;&lt;D xsi:type="xsd:double"&gt;1661.836366&lt;/D&gt;&lt;D xsi:type="xsd:double"&gt;1653.121226&lt;/D&gt;&lt;D xsi:type="xsd:double"&gt;1654.340517&lt;/D&gt;&lt;D xsi:type="xsd:double"&gt;1655.689198&lt;/D&gt;&lt;D xsi:type="xsd:double"&gt;1645.967635&lt;/D&gt;&lt;D xsi:type="xsd:double"&gt;1653.384211&lt;/D&gt;&lt;D xsi:type="xsd:double"&gt;1654.317547&lt;/D&gt;&lt;D xsi:type="xsd:double"&gt;1658.049286&lt;/D&gt;&lt;D xsi:type="xsd:double"&gt;1665.493318&lt;/D&gt;&lt;D xsi:type="xsd:double"&gt;1653.935756&lt;/D&gt;&lt;D xsi:type="xsd:double"&gt;1641.134497&lt;/D&gt;&lt;D xsi:type="xsd:double"&gt;1651.677545&lt;/D&gt;&lt;D xsi:type="xsd:double"&gt;1665.553872&lt;/D&gt;&lt;D xsi:type="xsd:double"&gt;1672.192855&lt;/D&gt;&lt;D xsi:type="xsd:double"&gt;1676.525165&lt;/D&gt;&lt;D xsi:type="xsd:double"&gt;1681.173726&lt;/D&gt;&lt;D xsi:type="xsd:double"&gt;1686.10617&lt;/D&gt;&lt;D xsi:type="xsd:double"&gt;1679.064754&lt;/D&gt;&lt;D xsi:type="xsd:double"&gt;1677.852625&lt;/D&gt;&lt;D xsi:type="xsd:double"&gt;1655.418191&lt;/D&gt;&lt;D xsi:type="xsd:double"&gt;1675.399772&lt;/D&gt;&lt;D xsi:type="xsd:double"&gt;1668.398701&lt;/D&gt;&lt;D xsi:type="xsd:double"&gt;1664.845443&lt;/D&gt;&lt;D xsi:type="xsd:double"&gt;1669.408687&lt;/D&gt;&lt;D xsi:type="xsd:double"&gt;1668.309591&lt;/D&gt;&lt;D xsi:type="xsd:double"&gt;1659.850333&lt;/D&gt;&lt;D xsi:type="xsd:double"&gt;1656.01464&lt;/D&gt;&lt;D xsi:type="xsd:double"&gt;1655.044298&lt;/D&gt;&lt;D xsi:type="xsd:double"&gt;1660.543876&lt;/D&gt;&lt;D xsi:type="xsd:double"&gt;1650.116682&lt;/D&gt;&lt;D xsi:type="xsd:double"&gt;1643.194942&lt;/D&gt;&lt;D xsi:type="xsd:double"&gt;1637.705269&lt;/D&gt;&lt;D xsi:type="xsd:double"&gt;1634.466551&lt;/D&gt;&lt;D xsi:type="xsd:double"&gt;1616.779777&lt;/D&gt;&lt;D xsi:type="xsd:double"&gt;1611.778271&lt;/D&gt;&lt;D xsi:type="xsd:double"&gt;1592.6857&lt;/D&gt;&lt;D xsi:type="xsd:double"&gt;1572.365954&lt;/D&gt;&lt;D xsi:type="xsd:double"&gt;1569.927125&lt;/D&gt;&lt;D xsi:type="xsd:double"&gt;1571.919464&lt;/D&gt;&lt;D xsi:type="xsd:double"&gt;1598.456116&lt;/D&gt;&lt;D xsi:type="xsd:double"&gt;1607.460248&lt;/D&gt;&lt;D xsi:type="xsd:double"&gt;1603.669354&lt;/D&gt;&lt;D xsi:type="xsd:double"&gt;1611.35492&lt;/D&gt;&lt;D xsi:type="xsd:double"&gt;1604.922959&lt;/D&gt;&lt;D xsi:type="xsd:double"&gt;1618.360434&lt;/D&gt;&lt;D xsi:type="xsd:double"&gt;1650.452687&lt;/D&gt;&lt;D xsi:type="xsd:double"&gt;1661.740969&lt;/D&gt;&lt;D xsi:type="xsd:double"&gt;1659.491043&lt;/D&gt;&lt;D xsi:type="xsd:double"&gt;1657.316709&lt;/D&gt;&lt;D xsi:type="xsd:double"&gt;1659.336012&lt;/D&gt;&lt;D xsi:type="xsd:double"&gt;1660.002004&lt;/D&gt;&lt;D xsi:type="xsd:double"&gt;1651.73355&lt;/D&gt;&lt;D xsi:type="xsd:double"&gt;1645.413918&lt;/D&gt;&lt;D xsi:type="xsd:double"&gt;1655.105254&lt;/D&gt;&lt;D xsi:type="xsd:double"&gt;1646.368897&lt;/D&gt;&lt;D xsi:type="xsd:double"&gt;1650.165722&lt;/D&gt;&lt;D xsi:type="xsd:double"&gt;1647.65353&lt;/D&gt;&lt;D xsi:type="xsd:double"&gt;1641.161667&lt;/D&gt;&lt;D xsi:type="xsd:double"&gt;1646.054012&lt;/D&gt;&lt;D xsi:type="xsd:double"&gt;1645.217936&lt;/D&gt;&lt;D xsi:type="xsd:double"&gt;1661.068821&lt;/D&gt;&lt;D xsi:type="xsd:double"&gt;1656.147456&lt;/D&gt;&lt;D xsi:type="xsd:double"&gt;1654.156953&lt;/D&gt;&lt;D xsi:type="xsd:double"&gt;1646.275815&lt;/D&gt;&lt;D xsi:type="xsd:double"&gt;1639.652163&lt;/D&gt;&lt;D xsi:type="xsd:double"&gt;1637.276682&lt;/D&gt;&lt;D xsi:type="xsd:double"&gt;1626.656987&lt;/D&gt;&lt;D xsi:type="xsd:double"&gt;1618.383786&lt;/D&gt;&lt;D xsi:type="xsd:double"&gt;1613.751096&lt;/D&gt;&lt;D xsi:type="xsd:double"&gt;1592.78829&lt;/D&gt;&lt;D xsi:type="xsd:double"&gt;1598.214811&lt;/D&gt;&lt;D xsi:type="xsd:double"&gt;1587.694834&lt;/D&gt;&lt;D xsi:type="xsd:double"&gt;1588.709562&lt;/D&gt;&lt;D xsi:type="xsd:double"&gt;1600.116263&lt;/D&gt;&lt;D xsi:type="xsd:double"&gt;1614.228768&lt;/D&gt;&lt;D xsi:type="xsd:double"&gt;1617.6029&lt;/D&gt;&lt;D xsi:type="xsd:double"&gt;1612.607197&lt;/D&gt;&lt;D xsi:type="xsd:double"&gt;1598.88219&lt;/D&gt;&lt;D xsi:type="xsd:double"&gt;1604.737797&lt;/D&gt;&lt;D xsi:type="xsd:double"&gt;1613.313012&lt;/D&gt;&lt;D xsi:type="xsd:double"&gt;1621.336079&lt;/D&gt;&lt;D xsi:type="xsd:double"&gt;1628.424028&lt;/D&gt;&lt;D xsi:type="xsd:double"&gt;1624.818237&lt;/D&gt;&lt;D xsi:type="xsd:double"&gt;1621.906699&lt;/D&gt;&lt;D xsi:type="xsd:double"&gt;1623.696124&lt;/D&gt;&lt;D xsi:type="xsd:double"&gt;1623.151277&lt;/D&gt;&lt;D xsi:type="xsd:double"&gt;1616.341873&lt;/D&gt;&lt;D xsi:type="xsd:double"&gt;1611.338263&lt;/D&gt;&lt;D xsi:type="xsd:double"&gt;1616.435728&lt;/D&gt;&lt;D xsi:type="xsd:double"&gt;1622.823335&lt;/D&gt;&lt;D xsi:type="xsd:double"&gt;1621.495859&lt;/D&gt;&lt;D xsi:type="xsd:double"&gt;1612.85909&lt;/D&gt;&lt;D xsi:type="xsd:double"&gt;1601.560353&lt;/D&gt;&lt;D xsi:type="xsd:double"&gt;1598.550783&lt;/D&gt;&lt;D xsi:type="xsd:double"&gt;1600.843211&lt;/D&gt;&lt;D xsi:type="xsd:double"&gt;1596.279282&lt;/D&gt;&lt;D xsi:type="xsd:double"&gt;1588.467879&lt;/D&gt;&lt;D xsi:type="xsd:double"&gt;1607.717957&lt;/D&gt;&lt;D xsi:type="xsd:double"&gt;1599.426525&lt;/D&gt;&lt;D xsi:type="xsd:double"&gt;1603.814985&lt;/D&gt;&lt;D xsi:type="xsd:double"&gt;1597.855146&lt;/D&gt;&lt;D xsi:type="xsd:double"&gt;1602.860216&lt;/D&gt;&lt;D xsi:type="xsd:double"&gt;1611.85702&lt;/D&gt;&lt;D xsi:type="xsd:double"&gt;1614.333504&lt;/D&gt;&lt;D xsi:type="xsd:double"&gt;1610.22427&lt;/D&gt;&lt;D xsi:type=</t>
        </r>
      </text>
    </comment>
    <comment ref="A5" authorId="0" shapeId="0">
      <text>
        <r>
          <rPr>
            <b/>
            <sz val="9"/>
            <color indexed="81"/>
            <rFont val="Tahoma"/>
            <family val="2"/>
          </rPr>
          <t>"xsd:double"&gt;1607.961818&lt;/D&gt;&lt;D xsi:type="xsd:double"&gt;1607.920452&lt;/D&gt;&lt;D xsi:type="xsd:double"&gt;1601.64237&lt;/D&gt;&lt;D xsi:type="xsd:double"&gt;1610.793921&lt;/D&gt;&lt;D xsi:type="xsd:double"&gt;1599.726689&lt;/D&gt;&lt;D xsi:type="xsd:double"&gt;1598.139344&lt;/D&gt;&lt;D xsi:type="xsd:double"&gt;1586.637702&lt;/D&gt;&lt;D xsi:type="xsd:double"&gt;1570.339802&lt;/D&gt;&lt;D xsi:type="xsd:double"&gt;1558.187783&lt;/D&gt;&lt;D xsi:type="xsd:double"&gt;1562.774671&lt;/D&gt;&lt;D xsi:type="xsd:double"&gt;1557.350663&lt;/D&gt;&lt;D xsi:type="xsd:double"&gt;1545.94179&lt;/D&gt;&lt;D xsi:type="xsd:double"&gt;1519.778751&lt;/D&gt;&lt;D xsi:type="xsd:double"&gt;1523.129669&lt;/D&gt;&lt;D xsi:type="xsd:double"&gt;1536.396911&lt;/D&gt;&lt;D xsi:type="xsd:double"&gt;1547.499513&lt;/D&gt;&lt;D xsi:type="xsd:double"&gt;1542.794818&lt;/D&gt;&lt;D xsi:type="xsd:double"&gt;1551.016295&lt;/D&gt;&lt;D xsi:type="xsd:double"&gt;1553.510714&lt;/D&gt;&lt;D xsi:type="xsd:double"&gt;1543.672214&lt;/D&gt;&lt;D xsi:type="xsd:double"&gt;1554.992453&lt;/D&gt;&lt;D xsi:type="xsd:double"&gt;1556.737222&lt;/D&gt;&lt;D xsi:type="xsd:double"&gt;1553.745862&lt;/D&gt;&lt;D xsi:type="xsd:double"&gt;1555.566106&lt;/D&gt;&lt;D xsi:type="xsd:double"&gt;1557.866751&lt;/D&gt;&lt;D xsi:type="xsd:double"&gt;1563.258151&lt;/D&gt;&lt;D xsi:type="xsd:double"&gt;1573.128422&lt;/D&gt;&lt;D xsi:type="xsd:double"&gt;1561.533261&lt;/D&gt;&lt;D xsi:type="xsd:double"&gt;1547.237641&lt;/D&gt;&lt;D xsi:type="xsd:double"&gt;1546.517819&lt;/D&gt;&lt;D xsi:type="xsd:double"&gt;1533.722168&lt;/D&gt;&lt;D xsi:type="xsd:double"&gt;1532.927964&lt;/D&gt;&lt;D xsi:type="xsd:double"&gt;1535.733262&lt;/D&gt;&lt;D xsi:type="xsd:double"&gt;1529.138933&lt;/D&gt;&lt;D xsi:type="xsd:double"&gt;1515.913001&lt;/D&gt;&lt;D xsi:type="xsd:double"&gt;1502.400282&lt;/D&gt;&lt;D xsi:type="xsd:double"&gt;1497.581303&lt;/D&gt;&lt;D xsi:type="xsd:double"&gt;1496.293717&lt;/D&gt;&lt;D xsi:type="xsd:double"&gt;1486.06292&lt;/D&gt;&lt;D xsi:type="xsd:double"&gt;1472.738486&lt;/D&gt;&lt;D xsi:type="xsd:double"&gt;1481.11345&lt;/D&gt;&lt;D xsi:type="xsd:double"&gt;1480.03113&lt;/D&gt;&lt;D xsi:type="xsd:double"&gt;1484.400207&lt;/D&gt;&lt;D xsi:type="xsd:double"&gt;1504.406524&lt;/D&gt;&lt;D xsi:type="xsd:double"&gt;1508.489506&lt;/D&gt;&lt;D xsi:type="xsd:double"&gt;1497.797696&lt;/D&gt;&lt;D xsi:type="xsd:double"&gt;1489.650431&lt;/D&gt;&lt;D xsi:type="xsd:double"&gt;1500.58807&lt;/D&gt;&lt;D xsi:type="xsd:double"&gt;1501.38679&lt;/D&gt;&lt;D xsi:type="xsd:double"&gt;1508.802277&lt;/D&gt;&lt;D xsi:type="xsd:double"&gt;1508.13549&lt;/D&gt;&lt;D xsi:type="xsd:double"&gt;1527.040637&lt;/D&gt;&lt;D xsi:type="xsd:double"&gt;1527.194157&lt;/D&gt;&lt;D xsi:type="xsd:double"&gt;1524.060013&lt;/D&gt;&lt;D xsi:type="xsd:double"&gt;1526.904804&lt;/D&gt;&lt;D xsi:type="xsd:double"&gt;1527.822043&lt;/D&gt;&lt;D xsi:type="xsd:double"&gt;1519.329679&lt;/D&gt;&lt;D xsi:type="xsd:double"&gt;1528.058909&lt;/D&gt;&lt;D xsi:type="xsd:double"&gt;1530.462337&lt;/D&gt;&lt;D xsi:type="xsd:double"&gt;1533.852996&lt;/D&gt;&lt;D xsi:type="xsd:double"&gt;1524.914766&lt;/D&gt;&lt;D xsi:type="xsd:double"&gt;1507.912964&lt;/D&gt;&lt;D xsi:type="xsd:double"&gt;1510.324195&lt;/D&gt;&lt;D xsi:type="xsd:double"&gt;1508.856517&lt;/D&gt;&lt;D xsi:type="xsd:double"&gt;1516.206422&lt;/D&gt;&lt;D xsi:type="xsd:double"&gt;1517.722182&lt;/D&gt;&lt;D xsi:type="xsd:double"&gt;1518.380072&lt;/D&gt;&lt;D xsi:type="xsd:double"&gt;1519.765253&lt;/D&gt;&lt;D xsi:type="xsd:double"&gt;1520.616331&lt;/D&gt;&lt;D xsi:type="xsd:double"&gt;1513.517277&lt;/D&gt;&lt;D xsi:type="xsd:double"&gt;1511.125967&lt;/D&gt;&lt;D xsi:type="xsd:double"&gt;1503.378339&lt;/D&gt;&lt;D xsi:type="xsd:double"&gt;1500.526306&lt;/D&gt;&lt;D xsi:type="xsd:double"&gt;1500.938496&lt;/D&gt;&lt;D xsi:type="xsd:double"&gt;1498.306038&lt;/D&gt;&lt;D xsi:type="xsd:double"&gt;1496.672032&lt;/D&gt;&lt;D xsi:type="xsd:double"&gt;1473.314316&lt;/D&gt;&lt;D xsi:type="xsd:double"&gt;1468.468005&lt;/D&gt;&lt;D xsi:type="xsd:double"&gt;1457.516989&lt;/D&gt;&lt;D xsi:type="xsd:double"&gt;1449.051946&lt;/D&gt;&lt;D xsi:type="xsd:double"&gt;1440.585333&lt;/D&gt;&lt;D xsi:type="xsd:double"&gt;1444.855838&lt;/D&gt;&lt;D xsi:type="xsd:double"&gt;1444.334984&lt;/D&gt;&lt;D xsi:type="xsd:double"&gt;1433.547998&lt;/D&gt;&lt;D xsi:type="xsd:double"&gt;1436.028993&lt;/D&gt;&lt;D xsi:type="xsd:double"&gt;1425.512656&lt;/D&gt;&lt;D xsi:type="xsd:double"&gt;1412.533687&lt;/D&gt;&lt;D xsi:type="xsd:double"&gt;1400.975981&lt;/D&gt;&lt;D xsi:type="xsd:double"&gt;1421.185462&lt;/D&gt;&lt;D xsi:type="xsd:double"&gt;1423.867166&lt;/D&gt;&lt;D xsi:type="xsd:double"&gt;1474.879425&lt;/D&gt;&lt;D xsi:type="xsd:double"&gt;1483.038861&lt;/D&gt;&lt;D xsi:type="xsd:double"&gt;1476.972648&lt;/D&gt;&lt;D xsi:type="xsd:double"&gt;1463.828433&lt;/D&gt;&lt;D xsi:type="xsd:double"&gt;1464.20149&lt;/D&gt;&lt;D xsi:type="xsd:double"&gt;1457.574015&lt;/D&gt;&lt;D xsi:type="xsd:double"&gt;1463.42415&lt;/D&gt;&lt;D xsi:type="xsd:double"&gt;1473.129283&lt;/D&gt;&lt;D xsi:type="xsd:double"&gt;1470.216468&lt;/D&gt;&lt;D xsi:type="xsd:double"&gt;1454.909445&lt;/D&gt;&lt;D xsi:type="xsd:double"&gt;1450.946026&lt;/D&gt;&lt;D xsi:type="xsd:double"&gt;1473.481414&lt;/D&gt;&lt;D xsi:type="xsd:double"&gt;1472.73607&lt;/D&gt;&lt;D xsi:type="xsd:double"&gt;1471.932853&lt;/D&gt;&lt;D xsi:type="xsd:double"&gt;1491.786623&lt;/D&gt;&lt;D xsi:type="xsd:double"&gt;1489.440124&lt;/D&gt;&lt;D xsi:type="xsd:double"&gt;1497.12714&lt;/D&gt;&lt;D xsi:type="xsd:double"&gt;1492.74455&lt;/D&gt;&lt;D xsi:type="xsd:double"&gt;1493.443441&lt;/D&gt;&lt;D xsi:type="xsd:double"&gt;1512.89508&lt;/D&gt;&lt;D xsi:type="xsd:double"&gt;1520.635171&lt;/D&gt;&lt;D xsi:type="xsd:double"&gt;1518.40646&lt;/D&gt;&lt;D xsi:type="xsd:double"&gt;1512.983096&lt;/D&gt;&lt;D xsi:type="xsd:double"&gt;1508.015351&lt;/D&gt;&lt;D xsi:type="xsd:double"&gt;1510.866349&lt;/D&gt;&lt;D xsi:type="xsd:double"&gt;1505.972083&lt;/D&gt;&lt;D xsi:type="xsd:double"&gt;1497.398294&lt;/D&gt;&lt;D xsi:type="xsd:double"&gt;1495.838764&lt;/D&gt;&lt;D xsi:type="xsd:double"&gt;1495.741408&lt;/D&gt;&lt;D xsi:type="xsd:double"&gt;1503.662743&lt;/D&gt;&lt;D xsi:type="xsd:double"&gt;1492.064827&lt;/D&gt;&lt;D xsi:type="xsd:double"&gt;1481.850157&lt;/D&gt;&lt;D xsi:type="xsd:double"&gt;1482.457683&lt;/D&gt;&lt;D xsi:type="xsd:double"&gt;1469.722838&lt;/D&gt;&lt;D xsi:type="xsd:double"&gt;1466.532708&lt;/D&gt;&lt;D xsi:type="xsd:double"&gt;1476.139228&lt;/D&gt;&lt;D xsi:type="xsd:double"&gt;1468.437993&lt;/D&gt;&lt;D xsi:type="xsd:double"&gt;1457.798799&lt;/D&gt;&lt;D xsi:type="xsd:double"&gt;1459.25804&lt;/D&gt;&lt;D xsi:type="xsd:double"&gt;1450.792678&lt;/D&gt;&lt;D xsi:type="xsd:double"&gt;1443.855683&lt;/D&gt;&lt;D xsi:type="xsd:double"&gt;1427.075113&lt;/D&gt;&lt;D xsi:type="xsd:double"&gt;1422.252826&lt;/D&gt;&lt;D xsi:type="xsd:double"&gt;1413.722186&lt;/D&gt;&lt;D xsi:type="xsd:double"&gt;1420.703333&lt;/D&gt;&lt;D xsi:type="xsd:double"&gt;1438.807666&lt;/D&gt;&lt;D xsi:type="xsd:double"&gt;1431.094949&lt;/D&gt;&lt;D xsi:type="xsd:double"&gt;1456.536738&lt;/D&gt;&lt;D xsi:type="xsd:double"&gt;1462.815351&lt;/D&gt;&lt;D xsi:type="xsd:double"&gt;1452.412814&lt;/D&gt;&lt;D xsi:type="xsd:double"&gt;1433.009996&lt;/D&gt;&lt;D xsi:type="xsd:double"&gt;1426.451422&lt;/D&gt;&lt;D xsi:type="xsd:double"&gt;1419.10536&lt;/D&gt;&lt;D xsi:type="xsd:double"&gt;1422.21916&lt;/D&gt;&lt;D xsi:type="xsd:double"&gt;1425.587169&lt;/D&gt;&lt;D xsi:type="xsd:double"&gt;1435.411742&lt;/D&gt;&lt;D xsi:type="xsd:double"&gt;1428.035727&lt;/D&gt;&lt;D xsi:type="xsd:double"&gt;1434.619239&lt;/D&gt;&lt;D xsi:type="xsd:double"&gt;1428.946495&lt;/D&gt;&lt;D xsi:type="xsd:double"&gt;1432.63567&lt;/D&gt;&lt;D xsi:type="xsd:double"&gt;1426.713623&lt;/D&gt;&lt;D xsi:type="xsd:double"&gt;1432.331033&lt;/D&gt;&lt;D xsi:type="xsd:double"&gt;1426.662697&lt;/D&gt;&lt;D xsi:type="xsd:double"&gt;1434.352104&lt;/D&gt;&lt;D xsi:type="xsd:double"&gt;1426.753322&lt;/D&gt;&lt;D xsi:type="xsd:double"&gt;1430.966634&lt;/D&gt;&lt;D xsi:type="xsd:double"&gt;1444.476249&lt;/D&gt;&lt;D xsi:type="xsd:double"&gt;1440.207093&lt;/D&gt;&lt;D xsi:type="xsd:double"&gt;1429.838036&lt;/D&gt;&lt;D xsi:type="xsd:double"&gt;1433.278322&lt;/D&gt;&lt;D xsi:type="xsd:double"&gt;1434.828422&lt;/D&gt;&lt;D xsi:type="xsd:double"&gt;1428.716185&lt;/D&gt;&lt;D xsi:type="xsd:double"&gt;1424.88289&lt;/D&gt;&lt;D xsi:type="xsd:double"&gt;1422.258313&lt;/D&gt;&lt;D xsi:type="xsd:double"&gt;1420.254003&lt;/D&gt;&lt;D xsi:type="xsd:double"&gt;1404.941686&lt;/D&gt;&lt;D xsi:type="xsd:double"&gt;1401.748609&lt;/D&gt;&lt;D xsi:type="xsd:double"&gt;1405.180433&lt;/D&gt;&lt;D xsi:type="xsd:double"&gt;1399.42677&lt;/D&gt;&lt;D xsi:type="xsd:double"&gt;1386.05902&lt;/D&gt;&lt;D xsi:type="xsd:double"&gt;1391.218135&lt;/D&gt;&lt;D xsi:type="xsd:double"&gt;1402.052218&lt;/D&gt;&lt;D xsi:type="xsd:double"&gt;1392.105479&lt;/D&gt;&lt;D xsi:type="xsd:double"&gt;1410.01297&lt;/D&gt;&lt;D xsi:type="xsd:double"&gt;1419.814743&lt;/D&gt;&lt;D xsi:type="xsd:double"&gt;1406.915447&lt;/D&gt;&lt;D xsi:type="xsd:double"&gt;1411.589832&lt;/D&gt;&lt;D xsi:type="xsd:double"&gt;1413.805387&lt;/D&gt;&lt;D xsi:type="xsd:double"&gt;1413.833054&lt;/D&gt;&lt;D xsi:type="xsd:double"&gt;1405.700479&lt;/D&gt;&lt;D xsi:type="xsd:double"&gt;1410.441616&lt;/D&gt;&lt;D xsi:type="xsd:double"&gt;1401.919942&lt;/D&gt;&lt;D xsi:type="xsd:double"&gt;1408.347461&lt;/D&gt;&lt;D xsi:type="xsd:double"&gt;1405.149132&lt;/D&gt;&lt;D xsi:type="xsd:double"&gt;1399.680248&lt;/D&gt;&lt;D xsi:type="xsd:double"&gt;1416.788372&lt;/D&gt;&lt;D xsi:type="xsd:double"&gt;1405.4662&lt;/D&gt;&lt;D xsi:type="xsd:double"&gt;1409.466424&lt;/D&gt;&lt;D xsi:type="xsd:double"&gt;1410.675207&lt;/D&gt;&lt;D xsi:type="xsd:double"&gt;1403.040445&lt;/D&gt;&lt;D xsi:type="xsd:double"&gt;1405.465559&lt;/D&gt;&lt;D xsi:type="xsd:double"&gt;1396.135804&lt;/D&gt;&lt;D xsi:type="xsd:double"&gt;1393.039764&lt;/D&gt;&lt;D xsi:type="xsd:double"&gt;1393.619286&lt;/D&gt;&lt;D xsi:type="xsd:double"&gt;1388.11269&lt;/D&gt;&lt;D xsi:type="xsd:double"&gt;1386.160944&lt;/D&gt;&lt;D xsi:type="xsd:double"&gt;1378.915208&lt;/D&gt;&lt;D xsi:type="xsd:double"&gt;1382.741262&lt;/D&gt;&lt;D xsi:type="xsd:double"&gt;1380.205442&lt;/D&gt;&lt;D xsi:type="xsd:double"&gt;1381.94116&lt;/D&gt;&lt;D xsi:type="xsd:double"&gt;1378.484868&lt;/D&gt;&lt;D xsi:type="xsd:double"&gt;1367.153571&lt;/D&gt;&lt;D xsi:type="xsd:double"&gt;1362.246583&lt;/D&gt;&lt;D xsi:type="xsd:double"&gt;1366.907315&lt;/D&gt;&lt;D xsi:type="xsd:double"&gt;1370.111379&lt;/D&gt;&lt;D xsi:type="xsd:double"&gt;1364.386911&lt;/D&gt;&lt;D xsi:type="xsd:double"&gt;1367.383845&lt;/D&gt;&lt;D xsi:type="xsd:double"&gt;1338.499936&lt;/D&gt;&lt;D xsi:type="xsd:double"&gt;1326.83524&lt;/D&gt;&lt;D xsi:type="xsd:double"&gt;1336.299057&lt;/D&gt;&lt;D xsi:type="xsd:double"&gt;1335.980689&lt;/D&gt;&lt;D xsi:type="xsd:double"&gt;1338.336006&lt;/D&gt;&lt;D xsi:type="xsd:double"&gt;1341.064337&lt;/D&gt;&lt;D xsi:type="xsd:double"&gt;1351.852154&lt;/D&gt;&lt;D xsi:type="xsd:double"&gt;1348.901577&lt;/D&gt;&lt;D xsi:type="xsd:double"&gt;1347.92345&lt;/D&gt;&lt;D xsi:type="xsd:double"&gt;1335.204693&lt;/D&gt;&lt;D xsi:type="xsd:double"&gt;1325.492329&lt;/D&gt;&lt;D xsi:type="xsd:double"&gt;1327.620503&lt;/D&gt;&lt;D xsi:type="xsd:double"&gt;1332.270263&lt;/D&gt;&lt;D xsi:type="xsd:double"&gt;1329.939227&lt;/D&gt;&lt;D xsi:type="xsd:double"&gt;1321.958838&lt;/D&gt;&lt;D xsi:type="xsd:double"&gt;1320.739879&lt;/D&gt;&lt;D xsi:type="xsd:double"&gt;1319.125749&lt;/D&gt;&lt;D xsi:type="xsd:double"&gt;1315.397885&lt;/D&gt;&lt;D xsi:type="xsd:double"&gt;1314.016694&lt;/D&gt;&lt;D xsi:type="xsd:double"&gt;1314.300794&lt;/D&gt;&lt;D xsi:type="xsd:double"&gt;1315.492987&lt;/D&gt;&lt;D xsi:type="xsd:double"&gt;1314.670805&lt;/D&gt;&lt;D xsi:type="xsd:double"&gt;1303.848411&lt;/D&gt;&lt;D xsi:type="xsd:double"&gt;1299.361862&lt;/D&gt;&lt;D xsi:type="xsd:double"&gt;1302.63385&lt;/D&gt;&lt;D xsi:type="xsd:double"&gt;1304.854479&lt;/D&gt;&lt;D xsi:type="xsd:double"&gt;1284.323993&lt;/D&gt;&lt;D xsi:type="xsd:double"&gt;1281.289808&lt;/D&gt;&lt;D xsi:type="xsd:double"&gt;1280.859911&lt;/D&gt;&lt;D xsi:type="xsd:double"&gt;1253.305474&lt;/D&gt;&lt;D xsi:type="xsd:double"&gt;1253.859834&lt;/D&gt;&lt;D xsi:type="xsd:double"&gt;1257.115265&lt;/D&gt;&lt;D xsi:type="xsd:double"&gt;1271.853972&lt;/D&gt;&lt;D xsi:type="xsd:double"&gt;1274.319458&lt;/D&gt;&lt;D xsi:type="xsd:double"&gt;1276.024833&lt;/D&gt;&lt;D xsi:type="xsd:double"&gt;1276.724643&lt;/D&gt;&lt;D xsi:type="xsd:double"&gt;1289.11134&lt;/D&gt;&lt;D xsi:type="xsd:double"&gt;1311.419203&lt;/D&gt;&lt;D xsi:type="xsd:double"&gt;1303.371322&lt;/D&gt;&lt;D xsi:type="xsd:double"&gt;1305.773006&lt;/D&gt;&lt;D xsi:type="xsd:double"&gt;1313.187926&lt;/D&gt;&lt;D xsi:type="xsd:double"&gt;1301.521705&lt;/D&gt;&lt;D xsi:type="xsd:double"&gt;1300.227174&lt;/D&gt;&lt;D xsi:type="xsd:double"&gt;1302.76626&lt;/D&gt;&lt;D xsi:type="xsd:double"&gt;1298.764136&lt;/D&gt;&lt;D xsi:type="xsd:double"&gt;1299.994047&lt;/D&gt;&lt;D xsi:type="xsd:double"&gt;1320.863895&lt;/D&gt;&lt;D xsi:type="xsd:double"&gt;1322.284281&lt;/D&gt;&lt;D xsi:type="xsd:double"&gt;1339.545685&lt;/D&gt;&lt;D xsi:type="xsd:double"&gt;1339.648209&lt;/D&gt;&lt;D xsi:type="xsd:double"&gt;1329.430958&lt;/D&gt;&lt;D xsi:type="xsd:double"&gt;1312.778528&lt;/D&gt;&lt;D xsi:type="xsd:double"&gt;1306.020482&lt;/D&gt;&lt;D xsi:type="xsd:double"&gt;1308.8336&lt;/D&gt;&lt;D xsi:type="xsd:double"&gt;1305.144976&lt;/D&gt;&lt;D xsi:type="xsd:double"&gt;1313.460002&lt;/D&gt;&lt;D xsi:type="xsd:double"&gt;1326.365781&lt;/D&gt;&lt;D xsi:type="xsd:double"&gt;1334.629752&lt;/D&gt;&lt;D xsi:type="xsd:double"&gt;1329.004977&lt;/D&gt;&lt;D xsi:type="xsd:double"&gt;1318.913524&lt;/D&gt;&lt;D xsi:type="xsd:double"&gt;1319.515448&lt;/D&gt;&lt;D xsi:type="xsd:double"&gt;1318.824271&lt;/D&gt;&lt;D xsi:type="xsd:double"&gt;1311.504154&lt;/D&gt;&lt;D xsi:type="xsd:double"&gt;1320.173012&lt;/D&gt;&lt;D xsi:type="xsd:double"&gt;1309.401275&lt;/D&gt;&lt;D xsi:type="xsd:double"&gt;1327.245493&lt;/D&gt;&lt;D xsi:type="xsd:double"&gt;1331.805112&lt;/D&gt;&lt;D xsi:type="xsd:double"&gt;1338.047042&lt;/D&gt;&lt;D xsi:type="xsd:double"&gt;1334.481686&lt;/D&gt;&lt;D xsi:type="xsd:double"&gt;1341.495546&lt;/D&gt;&lt;D xsi:type="xsd:double"&gt;1337.163103&lt;/D&gt;&lt;D xsi:type="xsd:double"&gt;1342.30963&lt;/D&gt;&lt;D xsi:type="xsd:double"&gt;1347.613684&lt;/D&gt;&lt;D xsi:type="xsd:double"&gt;1329.482738&lt;/D&gt;&lt;D xsi:type="xsd:double"&gt;1316.702092&lt;/D&gt;&lt;D xsi:type="xsd:double"&gt;1311.711604&lt;/D&gt;&lt;D xsi:type="xsd:double"&gt;1306.306447&lt;/D&gt;&lt;D xsi:type="xsd:double"&gt;1312.078398&lt;/D&gt;&lt;D xsi:type="xsd:double"&gt;1297.595757&lt;/D&gt;&lt;D xsi:type="xsd:double"&gt;1273.214695&lt;/D&gt;&lt;D xsi:type="xsd:double"&gt;1274.652755&lt;/D&gt;&lt;D xsi:type="xsd:double"&gt;1279.208388&lt;/D&gt;&lt;D xsi:type="xsd:double"&gt;1272.019961&lt;/D&gt;&lt;D xsi:type="xsd:double"&gt;1283.226691&lt;/D&gt;&lt;D xsi:type="xsd:double"&gt;1284.25192&lt;/D&gt;&lt;D xsi:type="xsd:double"&gt;1286.547793&lt;/D&gt;&lt;D xsi:type="xsd:double"&gt;1285.840353&lt;/D&gt;&lt;D xsi:type="xsd:double"&gt;1285.282957&lt;/D&gt;&lt;D xsi:type="xsd:double"&gt;1287.842752&lt;/D&gt;&lt;D xsi:type="xsd:double"&gt;1293.427563&lt;/D&gt;&lt;D xsi:type="xsd:double"&gt;1289.752114&lt;/D&gt;&lt;D xsi:type="xsd:double"&gt;1290.231771&lt;/D&gt;&lt;D xsi:type="xsd:double"&gt;1287.617968&lt;/D&gt;&lt;D xsi:type="xsd:double"&gt;1276.822358&lt;/D&gt;&lt;D xsi:type="xsd:double"&gt;1277.508253&lt;/D&gt;&lt;D xsi:type="xsd:double"&gt;1276.256447&lt;/D&gt;&lt;D xsi:type="xsd:double"&gt;1278.359101&lt;/D&gt;&lt;D xsi:type="xsd:double"&gt;1277.792882&lt;/D&gt;&lt;D xsi:type="xsd:double"&gt;1276.092151&lt;/D&gt;&lt;D xsi:type="xsd:double"&gt;1276.403076&lt;/D&gt;&lt;D xsi:type="xsd:double"&gt;1267.848585&lt;/D&gt;&lt;D xsi:type="xsd:double"&gt;1259.649571&lt;/D&gt;&lt;D xsi:type="xsd:double"&gt;1234.965828&lt;/D&gt;&lt;D xsi:type="xsd:double"&gt;1248.102865&lt;/D&gt;&lt;D xsi:type="xsd:double"&gt;1250.568816&lt;/D&gt;&lt;D xsi:type="xsd:double"&gt;1253.89666&lt;/D&gt;&lt;D xsi:type="xsd:double"&gt;1250.01567&lt;/D&gt;&lt;D xsi:type="xsd:double"&gt;1227.82323&lt;/D&gt;&lt;D xsi:type="xsd:double"&gt;1201.743772&lt;/D&gt;&lt;D xsi:type="xsd:double"&gt;1202.881876&lt;/D&gt;&lt;D xsi:type="xsd:double"&gt;1212.045304&lt;/D&gt;&lt;D xsi:type="xsd:double"&gt;1231.352252&lt;/D&gt;&lt;D xsi:type="xsd:double"&gt;1247.821172&lt;/D&gt;&lt;D xsi:type="xsd:double"&gt;1239.070138&lt;/D&gt;&lt;D xsi:type="xsd:double"&gt;1229.118096&lt;/D&gt;&lt;D xsi:type="xsd:double"&gt;1225.351839&lt;/D&gt;&lt;D xsi:type="xsd:double"&gt;1225.546681&lt;/D&gt;&lt;D xsi:type="xsd:double"&gt;1207.471566&lt;/D&gt;&lt;D xsi:type="xsd:double"&gt;1218.814433&lt;/D&gt;&lt;D xsi:type="xsd:double"&gt;1218.790438&lt;/D&gt;&lt;D xsi:type="xsd:double"&gt;1224.124181&lt;/D&gt;&lt;D xsi:type="xsd:double"&gt;1229.355738&lt;/D&gt;&lt;D xsi:type="xsd:double"&gt;1242.387284&lt;/D&gt;&lt;D xsi:type="xsd:double"&gt;1251.400485&lt;/D&gt;&lt;D xsi:type="xsd:double"&gt;1240.495576&lt;/D&gt;&lt;D xsi:type="xsd:double"&gt;1235.715571&lt;/D&gt;&lt;D xsi:type="xsd:double"&gt;1199.934888&lt;/D&gt;&lt;D xsi:type="xsd:double"&gt;1201.706758&lt;/D&gt;&lt;D xsi:type="xsd:double"&gt;1190.430235&lt;/D&gt;&lt;D xsi:type="xsd:double"&gt;1188.273537&lt;/D&gt;&lt;D xsi:type="xsd:double"&gt;1205.670102&lt;/D&gt;&lt;D xsi:type="xsd:double"&gt;1206.860826&lt;/D&gt;&lt;D xsi:type="xsd:double"&gt;1229.50342&lt;/D&gt;&lt;D xsi:type="xsd:double"&gt;1226.935857&lt;/D&gt;&lt;D xsi:type="xsd:double"&gt;1211.712572&lt;/D&gt;&lt;D xsi:type="xsd:double"&gt;1208.529058&lt;/D&gt;&lt;D xsi:type="xsd:double"&gt;1196.003918&lt;/D&gt;&lt;D xsi:type="xsd:double"&gt;1190.173525&lt;/D&gt;&lt;D xsi:type="xsd:double"&gt;1191.915389&lt;/D&gt;&lt;D xsi:type="xsd:double"&gt;1184.097773&lt;/D&gt;&lt;D xsi:type="xsd:double"&gt;1188.858601&lt;/D&gt;&lt;D xsi:type="xsd:double"&gt;1190.738053&lt;/D&gt;&lt;D xsi:type="xsd:double"&gt;1183.598458&lt;/D&gt;&lt;D xsi:type="xsd:double"&gt;1158.301687&lt;/D&gt;&lt;D xsi:type="xsd:double"&gt;1151.205554&lt;/D&gt;&lt;D xsi:type="xsd:double"&gt;1152.971369&lt;/D&gt;&lt;D xsi:type="xsd:double"&gt;1177.644732&lt;/D&gt;&lt;D xsi:type="xsd:double"&gt;1181.365723&lt;/D&gt;&lt;D xsi:type="xsd:double"&gt;1201.505562&lt;/D&gt;&lt;D xsi:type="xsd:double"&gt;1188.559295&lt;/D&gt;&lt;D xsi:type="xsd:double"&gt;1191.463809&lt;/D&gt;&lt;D xsi:type="xsd:double"&gt;1187.358298&lt;/D&gt;&lt;D xsi:type="xsd:double"&gt;1199.880228&lt;/D&gt;&lt;D xsi:type="xsd:double"&gt;1191.452235&lt;/D&gt;&lt;D xsi:type="xsd:double"&gt;1178.43037&lt;/D&gt;&lt;D xsi:type="xsd:double"&gt;1191.484597&lt;/D&gt;&lt;D xsi:type="xsd:double"&gt;1204.634617&lt;/D&gt;&lt;D xsi:type="xsd:double"&gt;1213.993939&lt;/D&gt;&lt;D xsi:type="xsd:double"&gt;1224.337299&lt;/D&gt;&lt;D xsi:type="xsd:double"&gt;1242.404257&lt;/D&gt;&lt;D xsi:type="xsd:double"&gt;1245.042519&lt;/D&gt;&lt;D xsi:type="xsd:double"&gt;1240.848439&lt;/D&gt;&lt;D xsi:type="xsd:double"&gt;1250.582116&lt;/D&gt;&lt;D xsi:type="xsd:double"&gt;1260.927453&lt;/D&gt;&lt;D xsi:type="xsd:double"&gt;1264.98515&lt;/D&gt;&lt;D xsi:type="xsd:double"&gt;1284.440847&lt;/D&gt;&lt;D xsi:type="xsd:double"&gt;1291.501634&lt;/D&gt;&lt;D xsi:type="xsd:double"&gt;1296.98178&lt;/D&gt;&lt;D xsi:type="xsd:double"&gt;1293.991023&lt;/D&gt;&lt;D xsi:type="xsd:double"&gt;1298.712068&lt;/D&gt;&lt;D xsi:type="xsd:double"&gt;1293.430183&lt;/D&gt;&lt;D xsi:type="xsd:double"&gt;1285.520224&lt;/D&gt;&lt;D xsi:type="xsd:double"&gt;1271.804498&lt;/D&gt;&lt;D xsi:type="xsd:double"&gt;1264.214887&lt;/D&gt;&lt;D xsi:type="xsd:double"&gt;1281.712917&lt;/D&gt;&lt;D xsi:type="xsd:double"&gt;1277.721249&lt;/D&gt;&lt;D xsi:type="xsd:double"&gt;1283.872444&lt;/D&gt;&lt;D xsi:type="xsd:double"&gt;1287.090038&lt;/D&gt;&lt;D xsi:type="xsd:double"&gt;1266.941625&lt;/D&gt;&lt;D xsi:type="xsd:double"&gt;1268.349359&lt;/D&gt;&lt;D xsi:type="xsd:double"&gt;1284.254046&lt;/D&gt;&lt;D xsi:type="xsd:double"&gt;1266.597208&lt;/D&gt;&lt;D xsi:type="xsd:double"&gt;1259.339446&lt;/D&gt;&lt;D xsi:type="xsd:double"&gt;1280.141188&lt;/D&gt;&lt;D xsi:type="xsd:double"&gt;1290.089378&lt;/D&gt;&lt;D xsi:type="xsd:double"&gt;1291.811101&lt;/D&gt;&lt;D xsi:type="xsd:double"&gt;1316.884386&lt;/D&gt;&lt;D xsi:type="xsd:double"&gt;1324.256652&lt;/D&gt;&lt;D xsi:type="xsd:double"&gt;1312.010995&lt;/D&gt;&lt;D xsi:type="xsd:double"&gt;1305.420719&lt;/D&gt;&lt;D xsi:type="xsd:double"&gt;1312.447267&lt;/D&gt;&lt;D xsi:type="xsd:double"&gt;1322.318282&lt;/D&gt;&lt;D xsi:type="xsd:double"&gt;1323.377723&lt;/D&gt;&lt;D xsi:type="xsd:double"&gt;1308.247366&lt;/D&gt;&lt;D xsi:type="xsd:double"&gt;1304.325932&lt;/D&gt;&lt;D xsi:type="xsd:double"&gt;1312.393613&lt;/D&gt;&lt;D xsi:type="xsd:double"&gt;1316.706571&lt;/D&gt;&lt;D xsi:type="xsd:double"&gt;1325.651139&lt;/D&gt;&lt;D xsi:type="xsd:double"&gt;1320.957194&lt;/D&gt;&lt;D xsi:type="xsd:double"&gt;1314.448655&lt;/D&gt;&lt;D xsi:type="xsd:double"&gt;1305.705508&lt;/D&gt;&lt;D xsi:type="xsd:double"&gt;1308.591869&lt;/D&gt;&lt;D xsi:type="xsd:double"&gt;1289.613469&lt;/D&gt;&lt;D xsi:type="xsd:double"&gt;1291.861085&lt;/D&gt;&lt;D xsi:type="xsd:double"&gt;1290.382332&lt;/D&gt;&lt;D xsi:type="xsd:double"&gt;1270.771464&lt;/D&gt;&lt;D xsi:type="xsd:double"&gt;1265.483503&lt;/D&gt;&lt;D xsi:type="xsd:double"&gt;1292.050096&lt;/D&gt;&lt;D xsi:type="xsd:double"&gt;1298.504891&lt;/D&gt;&lt;D xsi:type="xsd:double"&gt;1304.481092&lt;/D&gt;&lt;D xsi:type="xsd:double"&gt;1298.720324&lt;/D&gt;&lt;D xsi:type="xsd:double"&gt;1302.996465&lt;/D&gt;&lt;D xsi:type="xsd:double"&gt;1298.084774&lt;/D&gt;&lt;D xsi:type="xsd:double"&gt;1300.56917&lt;/D&gt;&lt;D xsi:type="xsd:double"&gt;1294.344447&lt;/D&gt;&lt;D xsi:type="xsd:double"&gt;1288.977206&lt;/D&gt;&lt;D xsi:type="xsd:double"&gt;1294.618155&lt;/D&gt;&lt;D xsi:type="xsd:double"&gt;1288.050726&lt;/D&gt;&lt;D xsi:type="xsd:double"&gt;1280.15706&lt;/D&gt;&lt;D xsi:type="xsd:double"&gt;1274.572133&lt;/D&gt;&lt;D xsi:type="xsd:double"&gt;1273.911221&lt;/D&gt;&lt;D xsi:type="xsd:double"&gt;1279.203643&lt;/D&gt;&lt;D xsi:type="xsd:double"&gt;1269.663284&lt;/D&gt;&lt;D xsi:type="xsd:double"&gt;1284.241899&lt;/D&gt;&lt;D xsi:type="xsd:double"&gt;1281.234201&lt;/D&gt;&lt;D xsi:type="xsd:double"&gt;1278.270559&lt;/D&gt;&lt;D xsi:type="xsd:double"&gt;1273.460432&lt;/D&gt;&lt;D xsi:type="xsd:double"&gt;1273.742678&lt;/D&gt;&lt;D xsi:type="xsd:double"&gt;1259.91307&lt;/D&gt;&lt;D xsi:type="xsd:double"&gt;1257.584231&lt;/D&gt;&lt;D xsi:type="xsd:double"&gt;1240.893567&lt;/D&gt;&lt;D xsi:type="xsd:double"&gt;1238.887235&lt;/D&gt;&lt;D xsi:type="xsd:double"&gt;1246.037694&lt;/D&gt;&lt;D xsi:type="xsd:double"&gt;1250.633988&lt;/D&gt;&lt;D xsi:type="xsd:double"&gt;1243.353201&lt;/D&gt;&lt;D xsi:type="xsd:double"&gt;1237.124591&lt;/D&gt;&lt;D xsi:type="xsd:double"&gt;1242.689717&lt;/D&gt;&lt;D xsi:type="xsd:double"&gt;1235.638074&lt;/D&gt;&lt;D xsi:type="xsd:double"&gt;1233.003586&lt;/D&gt;&lt;D xsi:type="xsd:double"&gt;1222.17028&lt;/D&gt;&lt;D xsi:type="xsd:double"&gt;1211.635221&lt;/D&gt;&lt;D xsi:type="xsd:double"&gt;1201.058833&lt;/D&gt;&lt;D xsi:type="xsd:double"&gt;1207.369376&lt;/D&gt;&lt;D xsi:type="xsd:double"&gt;1204.300699&lt;/D&gt;&lt;D xsi:type="xsd:double"&gt;1207.553784&lt;/D&gt;&lt;D xsi:type="xsd:double"&gt;1192.484691&lt;/D&gt;&lt;D xsi:type="xsd:double"&gt;1191.667194&lt;/D&gt;&lt;D xsi:type="xsd:double"&gt;1197.031831&lt;/D&gt;&lt;D xsi:type="xsd:double"&gt;1203.619572&lt;/D&gt;&lt;D xsi:type="xsd:double"&gt;1206.092781&lt;/D&gt;&lt;D xsi:type="xsd:double"&gt;1182.594764&lt;/D&gt;&lt;D xsi:type="xsd:double"&gt;1177.557752&lt;/D&gt;&lt;D xsi:type="xsd:double"&gt;1167.96123&lt;/D&gt;&lt;D xsi:type="xsd:double"&gt;1183.58776&lt;/D&gt;&lt;D xsi:type="xsd:double"&gt;1182.239091&lt;/D&gt;&lt;D xsi:type="xsd:double"&gt;1173.460433&lt;/D&gt;&lt;D xsi:type="xsd:double"&gt;1164.162074&lt;/D&gt;&lt;D xsi:type="xsd:double"&gt;1163.89846&lt;/D&gt;&lt;D xsi:type="xsd:double"&gt;1135.299188&lt;/D&gt;&lt;D xsi:type="xsd:double"&gt;1146.475656&lt;/D&gt;&lt;D xsi:type="xsd:double"&gt;1142.850997&lt;/D&gt;&lt;D xsi:type="xsd:double"&gt;1139.044685&lt;/D&gt;&lt;D xsi:type="xsd:double"&gt;1159.39195&lt;/D&gt;&lt;D xsi:type="xsd:double"&gt;1168.922611&lt;/D&gt;&lt;D xsi:type="xsd:double"&gt;1187.286466&lt;/D&gt;&lt;D xsi:type="xsd:double"&gt;1174.599539&lt;/D&gt;&lt;D xsi:type="xsd:double"&gt;1197.310396&lt;/D&gt;&lt;D xsi:type="xsd:double"&gt;1193.675865&lt;/D&gt;&lt;D xsi:type="xsd:double"&gt;1199.331497&lt;/D&gt;&lt;D xsi:type="xsd:double"&gt;1187.635889&lt;/D&gt;&lt;D xsi:type="xsd:double"&gt;1184.458901&lt;/D&gt;&lt;D xsi:type="xsd:double"&gt;1184.604344&lt;/D&gt;&lt;D xsi:type="xsd:double"&gt;1139.696283&lt;/D&gt;&lt;D xsi:type="xsd:double"&gt;1132.349446&lt;/D&gt;&lt;D xsi:type="xsd:double"&gt;1097.810013&lt;/D&gt;&lt;D xsi:type="xsd:double"&gt;1102.891715&lt;/D&gt;&lt;D xsi:type="xsd:double"&gt;1127.248607&lt;/D&gt;&lt;D xsi:type="xsd:double"&gt;1130.984353&lt;/D&gt;&lt;D xsi:type="xsd:double"&gt;1157.499932&lt;/D&gt;&lt;D xsi:type="xsd:double"&gt;1162.670037&lt;/D&gt;&lt;D xsi:type="xsd:double"&gt;1178.948026&lt;/D&gt;&lt;D xsi:type="xsd:double"&gt;1191.203869&lt;/D&gt;&lt;D xsi:type="xsd:double"&gt;1194.555484&lt;/D&gt;&lt;D xsi:type="xsd:double"&gt;1205.459714&lt;/D&gt;&lt;D xsi:type="xsd:double"&gt;1178.919051&lt;/D&gt;&lt;D xsi:type="xsd:double"&gt;1180.591718&lt;/D&gt;&lt;D xsi:type="xsd:double"&gt;1215.6881&lt;/D&gt;&lt;D xsi:type="xsd:double"&gt;1204.973316&lt;/D&gt;&lt;D xsi:type="xsd:double"&gt;1203.066618&lt;/D&gt;&lt;D xsi:type="xsd:double"&gt;1206.761521&lt;/D&gt;&lt;D xsi:type="xsd:double"&gt;1189.295185&lt;/D&gt;&lt;D xsi:type="xsd:double"&gt;1174.773477&lt;/D&gt;&lt;D xsi:type="xsd:double"&gt;1217.296355&lt;/D&gt;&lt;D xsi:type="xsd:double"&gt;1254.203406&lt;/D&gt;&lt;D xsi:type="xsd:double"&gt;1250.822241&lt;/D&gt;&lt;D xsi:type="xsd:double"&gt;1200.42887&lt;/D&gt;&lt;D xsi:type="xsd:double"&gt;1195.813089&lt;/D&gt;&lt;D xsi:type="xsd:double"&gt;1211.885449&lt;/D&gt;&lt;D xsi:type="xsd:double"&gt;1194.329639&lt;/D&gt;&lt;D xsi:type="xsd:double"&gt;1166.9213&lt;/D&gt;&lt;D xsi:type="xsd:double"&gt;1174.969573&lt;/D&gt;&lt;D xsi:type="xsd:double"&gt;1177.541124&lt;/D&gt;&lt;D xsi:type="xsd:double"&gt;1171.839893&lt;/D&gt;&lt;D xsi:type="xsd:double"&gt;1186.399143&lt;/D&gt;&lt;D xsi:type="xsd:double"&gt;1169.206577&lt;/D&gt;&lt;D xsi:type="xsd:double"&gt;1175.707643&lt;/D&gt;&lt;D xsi:type="xsd:double"&gt;1159.276693&lt;/D&gt;&lt;D xsi:type="xsd:double"&gt;1156.538988&lt;/D&gt;&lt;D xsi:type="xsd:double"&gt;1126.152444&lt;/D&gt;&lt;D xsi:type="xsd:double"&gt;1123.845649&lt;/D&gt;&lt;D xsi:type="xsd:double"&gt;1096.161783&lt;/D&gt;&lt;D xsi:type="xsd:double"&gt;1074.4965&lt;/D&gt;&lt;D xsi:type="xsd:double"&gt;1074.812438&lt;/D&gt;&lt;D xsi:type="xsd:double"&gt;1104.06461&lt;/D&gt;&lt;D xsi:type="xsd:double"&gt;1129.69798&lt;/D&gt;&lt;D xsi:type="xsd:double"&gt;1122.446315&lt;/D&gt;&lt;D xsi:type="xsd:double"&gt;1140.156426&lt;/D&gt;&lt;D xsi:type="xsd:double"&gt;1109.429988&lt;/D&gt;&lt;D xsi:type="xsd:double"&gt;1094.9228&lt;/D&gt;&lt;D xsi:type="xsd:double"&gt;1089.332597&lt;/D&gt;&lt;D xsi:type="xsd:double"&gt;1137.175405&lt;/D&gt;&lt;D xsi:type="xsd:double"&gt;1161.937879&lt;/D&gt;&lt;D xsi:type="xsd:double"&gt;1156.533599&lt;/D&gt;&lt;D xsi:type="xsd:double"&gt;1176.026074&lt;/D&gt;&lt;D xsi:type="xsd:double"&gt;1169.474423&lt;/D&gt;&lt;D xsi:type="xsd:double"&gt;1145.071489&lt;/D&gt;&lt;D xsi:type="xsd:double"&gt;1134.648516&lt;/D&gt;&lt;D xsi:type="xsd:double"&gt;1122.683701&lt;/D&gt;&lt;D xsi:type="xsd:double"&gt;1134.677452&lt;/D&gt;&lt;D xsi:type="xsd:double"&gt;1169.618431&lt;/D&gt;&lt;D xsi:type="xsd:double"&gt;1173.437098&lt;/D&gt;&lt;D xsi:type="xsd:double"&gt;1141.908427&lt;/D&gt;&lt;D xsi:type="xsd:double"&gt;1175.26419&lt;/D&gt;&lt;D xsi:type="xsd:double"&gt;1203.166374&lt;/D&gt;&lt;D xsi:type="xsd:double"&gt;1211.224159&lt;/D&gt;&lt;D xsi:type="xsd:double"&gt;1196.180641&lt;/D&gt;&lt;D xsi:type="xsd:double"&gt;1190.919529&lt;/D&gt;&lt;D xsi:type="xsd:double"&gt;1163.018394&lt;/D&gt;&lt;D xsi:type="xsd:double"&gt;1154.638714&lt;/D&gt;&lt;D xsi:type="xsd:double"&gt;1168.581892&lt;/D&gt;&lt;D xsi:type="xsd:double"&gt;1157.747894&lt;/D&gt;&lt;D xsi:type="xsd:double"&gt;1131.333924&lt;/D&gt;&lt;D xsi:type="xsd:double"&gt;1131.691914&lt;/D&gt;&lt;D xsi:type="xsd:double"&gt;1147.862362&lt;/D&gt;&lt;D xsi:type="xsd:double"&gt;1200.344617&lt;/D&gt;&lt;D xsi:type="xsd:double"&gt;1196.576184&lt;/D&gt;&lt;D xsi:type="xsd:double"&gt;1204.799637&lt;/D&gt;&lt;D xsi:type="xsd:double"&gt;1180.821009&lt;/D&gt;&lt;D xsi:type="xsd:double"&gt;1166.539425&lt;/D&gt;&lt;D xsi:type="xsd:double"&gt;1130.330646&lt;/D&gt;&lt;D xsi:type="xsd:double"&gt;1164.913688&lt;/D&gt;&lt;D xsi:type="xsd:double"&gt;1132.907879&lt;/D&gt;&lt;D xsi:type="xsd:double"&gt;1194.049123&lt;/D&gt;&lt;D xsi:type="xsd:double"&gt;1208.396955&lt;/D&gt;&lt;D xsi:type="xsd:double"&gt;1262.707315&lt;/D&gt;&lt;D xsi:type="xsd:double"&gt;1269.436621&lt;/D&gt;&lt;D xsi:type="xsd:double"&gt;1297.225142&lt;/D&gt;&lt;D xsi:type="xsd:double"&gt;1306.054128&lt;/D&gt;&lt;D xsi:type="xsd:double"&gt;1312.62469&lt;/D&gt;&lt;D xsi:type="xsd:double"&gt;1318.959416&lt;/D&gt;&lt;D xsi:type="xsd:double"&gt;1342.401308&lt;/D&gt;&lt;D xsi:type="xsd:double"&gt;1340.93879&lt;/D&gt;&lt;D xsi:type="xsd:double"&gt;1348.694648&lt;/D&gt;&lt;D xsi:type="xsd:double"&gt;1343.718072&lt;/D&gt;&lt;D xsi:type="xsd:double"&gt;1324.115336&lt;/D&gt;&lt;D xsi:type="xsd:double"&gt;1316.538992&lt;/D&gt;&lt;D xsi:type="xsd:double"&gt;1297.040135&lt;/D&gt;&lt;D xsi:type="xsd:double"&gt;1313.168687&lt;/D&gt;&lt;D xsi:type="xsd:double"&gt;1310.830969&lt;/D&gt;&lt;D xsi:type="xsd:double"&gt;1320.340158&lt;/D&gt;&lt;D xsi:type="xsd:double"&gt;1307.279149&lt;/D&gt;&lt;D xsi:type="xsd:double"&gt;1314.811877&lt;/D&gt;&lt;D xsi:type="xsd:double"&gt;1343.125158&lt;/D&gt;&lt;D xsi:type="xsd:double"&gt;1352.385407&lt;/D&gt;&lt;D xsi:type="xsd:double"&gt;1341.980989&lt;/D&gt;&lt;D xsi:type="xsd:double"&gt;1345.932819&lt;/D&gt;&lt;D xsi:type="xsd:double"&gt;1343.805521&lt;/D&gt;&lt;D xsi:type="xsd:double"&gt;1331.182281&lt;/D&gt;&lt;D xsi:type="xsd:double"&gt;1314.000335&lt;/D&gt;&lt;D xsi:type="xsd:double"&gt;1296.429293&lt;/D&gt;&lt;D xsi:type="xsd:double"&gt;1281.770318&lt;/D&gt;&lt;D xsi:type="xsd:double"&gt;1275.447827&lt;/D&gt;&lt;D xsi:type="xsd:double"&gt;1281.572947&lt;/D&gt;&lt;D xsi:type="xsd:double"&gt;1299.53131&lt;/D&gt;&lt;D xsi:type="xsd:double"&gt;1301.774254&lt;/D&gt;&lt;D xsi:type="xsd:double"&gt;1281.548636&lt;/D&gt;&lt;D xsi:type="xsd:double"&gt;1280.578838&lt;/D&gt;&lt;D xsi:type="xsd:double"&gt;1273.56081&lt;/D&gt;&lt;D xsi:type="xsd:double"&gt;1283.970626&lt;/D&gt;&lt;D xsi:type="xsd:double"&gt;1305.837647&lt;/D&gt;&lt;D xsi:type="xsd:double"&gt;1288.485874&lt;/D&gt;&lt;D xsi:type="xsd:double"&gt;1288.491955&lt;/D&gt;&lt;D xsi:type="xsd:double"&gt;1307.925245&lt;/D&gt;&lt;D xsi:type="xsd:double"&gt;1301.837472&lt;/D&gt;&lt;D xsi:type="xsd:double"&gt;1311.898846&lt;/D&gt;&lt;D xsi:type="xsd:double"&gt;1309.77551&lt;/D&gt;&lt;D xsi:type="xsd:double"&gt;1320.112574&lt;/D&gt;&lt;D xsi:type="xsd:double"&gt;1325.359657&lt;/D&gt;&lt;D xsi:type="xsd:double"&gt;1335.58595&lt;/D&gt;&lt;D xsi:type="xsd:double"&gt;1354.607143&lt;/D&gt;&lt;D xsi:type="xsd:double"&gt;1338.467839&lt;/D&gt;&lt;D xsi:type="xsd:double"&gt;1326.95975&lt;/D&gt;&lt;D xsi:type="xsd:double"&gt;1320.261248&lt;/D&gt;&lt;D xsi:type="xsd:double"&gt;1315.762961&lt;/D&gt;&lt;D xsi:type="xsd:double"&gt;1313.692534&lt;/D&gt;&lt;D xsi:type="xsd:double"&gt;1336.64819&lt;/D&gt;&lt;D xsi:type="xsd:double"&gt;1345.733357&lt;/D&gt;&lt;D xsi:type="xsd:double"&gt;1341.983888&lt;/D&gt;&lt;D xsi:type="xsd:double"&gt;1329.329749&lt;/D&gt;&lt;D xsi:type="xsd:double"&gt;1336.646495&lt;/D&gt;&lt;D xsi:type="xsd:double"&gt;1343.166333&lt;/D&gt;&lt;D xsi:type="xsd:double"&gt;1351.135095&lt;/D&gt;&lt;D xsi:type="xsd:double"&gt;1357.348838&lt;/D&gt;&lt;D xsi:type="xsd:double"&gt;1366.364917&lt;/D&gt;&lt;D xsi:type="xsd:double"&gt;1353.772207&lt;/D&gt;&lt;D xsi:type="xsd:double"&gt;1359.269519&lt;/D&gt;&lt;D xsi:type="xsd:double"&gt;1355.452289&lt;/D&gt;&lt;D xsi:type="xsd:double"&gt;1371.363338&lt;/D&gt;&lt;D xsi:type="xsd:double"&gt;1382.986715&lt;/D&gt;&lt;D xsi:type="xsd:double"&gt;1391.863494&lt;/D&gt;&lt;D xsi:type="xsd:double"&gt;1388.620237&lt;/D&gt;&lt;D xsi:type="xsd:double"&gt;1384.943375&lt;/D&gt;&lt;D xsi:type="xsd:double"&gt;1371.376175&lt;/D&gt;&lt;D xsi:type="xsd:double"&gt;1366.686248&lt;/D&gt;&lt;D xsi:type="xsd:double"&gt;1357.498612&lt;/D&gt;&lt;D xsi:type="xsd:double"&gt;1360.954007&lt;/D&gt;&lt;D xsi:type="xsd:double"&gt;1350.218164&lt;/D&gt;&lt;D xsi:type="xsd:double"&gt;1324.451514&lt;/D&gt;&lt;D xsi:type="xsd:double"&gt;1316.906797&lt;/D&gt;&lt;D xsi:type="xsd:double"&gt;1338.037729&lt;/D&gt;&lt;D xsi:type="xsd:double"&gt;1336.540269&lt;/D&gt;&lt;D xsi:type="xsd:double"&gt;1338.748667&lt;/D&gt;&lt;D xsi:type="xsd:double"&gt;1333.85392&lt;/D&gt;&lt;D xsi:type="xsd:double"&gt;1348.647423&lt;/D&gt;&lt;D xsi:type="xsd:double"&gt;1351.431042&lt;/D&gt;&lt;D xsi:type="xsd:double"&gt;1345.196304&lt;/D&gt;&lt;D xsi:type="xsd:double"&gt;1348.860903&lt;/D&gt;&lt;D xsi:type="xsd:double"&gt;1343.636824&lt;/D&gt;&lt;D xsi:type="xsd:double"&gt;1345.622142&lt;/D&gt;&lt;D xsi:type="xsd:double"&gt;1341.445369&lt;/D&gt;&lt;D xsi:type="xsd:double"&gt;1334.92501&lt;/D&gt;&lt;D xsi:type="xsd:double"&gt;1335.975402&lt;/D&gt;&lt;D xsi:type="xsd:double"&gt;1323.811983&lt;/D&gt;&lt;D xsi:type="xsd:double"&gt;1321.605224&lt;/D&gt;&lt;D xsi:type="xsd:double"&gt;1325.851919&lt;/D&gt;&lt;D xsi:type="xsd:double"&gt;1324.040974&lt;/D&gt;&lt;D xsi:type="xsd:double"&gt;1311.617569&lt;/D&gt;&lt;D xsi:type="xsd:double"&gt;1311.007595&lt;/D&gt;&lt;D xsi:type="xsd:double"&gt;1307.41952&lt;/D&gt;&lt;D xsi:type="xsd:double"&gt;1287.129236&lt;/D&gt;&lt;D xsi:type="xsd:double"&gt;1279.69462&lt;/D&gt;&lt;D xsi:type="xsd:double"&gt;1260.149768&lt;/D&gt;&lt;D xsi:type="xsd:double"&gt;1271.869358&lt;/D&gt;&lt;D xsi:type="xsd:double"&gt;1301.313962&lt;/D&gt;&lt;D xsi:type="xsd:double"&gt;1315.074023&lt;/D&gt;&lt;D xsi:type="xsd:double"&gt;1313.55298&lt;/D&gt;&lt;D xsi:type="xsd:double"&gt;1339.582101&lt;/D&gt;&lt;D xsi:type="xsd:double"&gt;1341.045422&lt;/D&gt;&lt;D xsi:type="xsd:double"&gt;1338.868787&lt;/D&gt;&lt;D xsi:type="xsd:double"&gt;1348.43573&lt;/D&gt;&lt;D xsi:type="xsd:double"&gt;1352.05177&lt;/D&gt;&lt;D xsi:type="xsd:double"&gt;1337.943192&lt;/D&gt;&lt;D xsi:type="xsd:double"&gt;1340.888217&lt;/D&gt;&lt;D xsi:type="xsd:double"&gt;1351.647079&lt;/D&gt;&lt;D xsi:type="xsd:double"&gt;1341.299618&lt;/D&gt;&lt;D xsi:type="xsd:double"&gt;1327.055602&lt;/D&gt;&lt;D xsi:type="xsd:double"&gt;1329.899928&lt;/D&gt;&lt;D xsi:type="xsd:double"&gt;1338.117519&lt;/D&gt;&lt;D xsi:type="xsd:double"&gt;1362.621652&lt;/D&gt;&lt;D xsi:type="xsd:double"&gt;1359.681632&lt;/D&gt;&lt;D xsi:type="xsd:double"&gt;1352.025926&lt;/D&gt;&lt;D xsi:type="xsd:double"&gt;1344.274487&lt;/D&gt;&lt;D xsi:type="xsd:double"&gt;1344.830836&lt;/D&gt;&lt;D xsi:type="xsd:double"&gt;1340.993519&lt;/D&gt;&lt;D xsi:type="xsd:double"&gt;1337.848863&lt;/D&gt;&lt;D xsi:type="xsd:double"&gt;1342.337364&lt;/D&gt;&lt;D xsi:type="xsd:double"&gt;1347.355529&lt;/D&gt;&lt;D xsi:type="xsd:double"&gt;1339.436601&lt;/D&gt;&lt;D xsi:type="xsd:double"&gt;1331.65341&lt;/D&gt;&lt;D xsi:type="xsd:double"&gt;1329.933625&lt;/D&gt;&lt;D xsi:type="xsd:double"&gt;1332.772393&lt;/D&gt;&lt;D xsi:type="xsd:double"&gt;1330.269945&lt;/D&gt;&lt;D xsi:type="xsd:double"&gt;1308.083425&lt;/D&gt;&lt;D xsi:type="xsd:double"&gt;1302.12647&lt;/D&gt;&lt;D xsi:type="xsd:double"&gt;1321.139933&lt;/D&gt;&lt;D xsi:type="xsd:double"&gt;1318.322608&lt;/D&gt;&lt;D xsi:type="xsd:double"&gt;1310.927712&lt;/D&gt;&lt;D xsi:type="xsd:double"&gt;1312.183695&lt;/D&gt;&lt;D xsi:type="xsd:double"&gt;1302.543348&lt;/D&gt;&lt;D xsi:type="xsd:double"&gt;1295.092564&lt;/D&gt;&lt;D xsi:type="xsd:double"&gt;1308.808836&lt;/D&gt;&lt;D xsi:type="xsd:double"&gt;1316.173674&lt;/D&gt;&lt;D xsi:type="xsd:double"&gt;1308.996233&lt;/D&gt;&lt;D xsi:type="xsd:double"&gt;1305.338586&lt;/D&gt;&lt;D xsi:type="xsd:double"&gt;1298.464794&lt;/D&gt;&lt;D xsi:type="xsd:double"&gt;1282.234282&lt;/D&gt;&lt;D xsi:type="xsd:double"&gt;1275.611884&lt;/D&gt;&lt;D xsi:type="xsd:double"&gt;1281.406158&lt;/D&gt;&lt;D xsi:type="xsd:double"&gt;1283.657762&lt;/D&gt;&lt;D xsi:type="xsd:double"&gt;1285.137179&lt;/D&gt;&lt;D xsi:type="xsd:double"&gt;1289.260707&lt;/D&gt;&lt;D xsi:type="xsd:double"&gt;1287.943208&lt;/D&gt;&lt;D xsi:type="xsd:double"&gt;1280.071262&lt;/D&gt;&lt;D xsi:type="xsd:double"&gt;1276.693648&lt;/D&gt;&lt;D xsi:type="xsd:double"&gt;1279.085287&lt;/D&gt;&lt;D xsi:type="xsd:double"&gt;1275.536939&lt;/D&gt;&lt;D xsi:type="xsd:double"&gt;1272.938574&lt;/D&gt;&lt;D xsi:type="xsd:double"&gt;1273.47776&lt;/D&gt;&lt;D xsi:type="xsd:double"&gt;1273.728984&lt;/D&gt;&lt;D xsi:type="xsd:double"&gt;1271.277963&lt;/D&gt;&lt;D xsi:type="xsd:double"&gt;1259.818548&lt;/D&gt;&lt;D xsi:type="xsd:double"&gt;1257.844362&lt;/D&gt;&lt;D xsi:type="xsd:double"&gt;1260.039292&lt;/D&gt;&lt;D xsi:type="xsd:double"&gt;1259.679546&lt;/D&gt;&lt;D xsi:type="xsd:double"&gt;1267.704814&lt;/D&gt;&lt;D xsi:type="xsd:double"&gt;1265.316744&lt;/D&gt;&lt;D xsi:type="xsd:double"&gt;1256.518091&lt;/D&gt;&lt;D xsi:type="xsd:double"&gt;1251.218377&lt;/D&gt;&lt;D xsi:type="xsd:double"&gt;1246.556819&lt;/D&gt;&lt;D xsi:type="xsd:double"&gt;1249.358251&lt;/D&gt;&lt;D xsi:type="xsd:double"&gt;1244.750755&lt;/D&gt;&lt;D xsi:type="xsd:double"&gt;1247.148325&lt;/D&gt;&lt;D xsi:type="xsd:double"&gt;1237.413056&lt;/D&gt;&lt;D xsi:type="xsd:double"&gt;1216.675201&lt;/D&gt;&lt;D xsi:type="xsd:double"&gt;1193.558202&lt;/D&gt;&lt;D xsi:type="xsd:double"&gt;1200.862515&lt;/D&gt;&lt;D xsi:type="xsd:double"&gt;1210.358183&lt;/D&gt;&lt;D xsi:type="xsd:double"&gt;1221.906135&lt;/D&gt;&lt;D xsi:type="xsd:double"&gt;1210.645926&lt;/D&gt;&lt;D xsi:type="xsd:double"&gt;1231.422834&lt;/D&gt;&lt;D xsi:type="xsd:double"&gt;1235.331652&lt;/D&gt;&lt;D xsi:type="xsd:double"&gt;1234.121043&lt;/D&gt;&lt;D xsi:type="xsd:double"&gt;1214.574912&lt;/D&gt;&lt;D xsi:type="xsd:double"&gt;1212.556382&lt;/D&gt;&lt;D xsi:type="xsd:double"&gt;1235.368357&lt;/D&gt;&lt;D xsi:type="xsd:double"&gt;1236.35117&lt;/D&gt;&lt;D xsi:type="xsd:double"&gt;1248.132892&lt;/D&gt;&lt;D xsi:type="xsd:double"&gt;1250.407468&lt;/D&gt;&lt;D xsi:type="xsd:double"&gt;1258.774103&lt;/D&gt;&lt;D xsi:type="xsd:double"&gt;1261.366067&lt;/D&gt;&lt;D xsi:type="xsd:double"&gt;1264.732203&lt;/D&gt;&lt;D xsi:type="xsd:double"&gt;1263.41074&lt;/D&gt;&lt;D xsi:type="xsd:double"&gt;1233.94083&lt;/D&gt;&lt;D xsi:type="xsd:double"&gt;1233.978417&lt;/D&gt;&lt;D xsi:type="xsd:double"&gt;1223.306932&lt;/D&gt;&lt;D xsi:type="xsd:double"&gt;1222.225592&lt;/D&gt;&lt;D xsi:type="xsd:double"&gt;1221.34551&lt;/D&gt;&lt;D xsi:type="xsd:double"&gt;1213.887227&lt;/D&gt;&lt;D xsi:type="xsd:double"&gt;1223.803114&lt;/D&gt;&lt;D xsi:type="xsd:double"&gt;1229.689049&lt;/D&gt;&lt;D xsi:type="xsd:double"&gt;1222.958137&lt;/D&gt;&lt;D xsi:type="xsd:double"&gt;1224.92379&lt;/D&gt;&lt;D xsi:type="xsd:double"&gt;1221.86007&lt;/D&gt;&lt;D xsi:type="xsd:double"&gt;1208.853953&lt;/D&gt;&lt;D xsi:type="xsd:double"&gt;1227.860613&lt;/D&gt;&lt;D xsi:type="xsd:double"&gt;1223.43374&lt;/D&gt;&lt;D xsi:type="xsd:double"&gt;1226.069338&lt;/D&gt;&lt;D xsi:type="xsd:double"&gt;1222.061001&lt;/D&gt;&lt;D xsi:type="xsd:double"&gt;1207.823821&lt;/D&gt;&lt;D xsi:type="xsd:double"&gt;1210.442799&lt;/D&gt;&lt;D xsi:type="xsd:double"&gt;1209.774425&lt;/D&gt;&lt;D xsi:type="xsd:double"&gt;1206.359763&lt;/D&gt;&lt;D xsi:type="xsd:double"&gt;1205.327334&lt;/D&gt;&lt;D xsi:type="xsd:double"&gt;1198.999727&lt;/D&gt;&lt;D xsi:type="xsd:double"&gt;1175.344565&lt;/D&gt;&lt;D xsi:type="xsd:double"&gt;1184.192878&lt;/D&gt;&lt;D xsi:type="xsd:double"&gt;1179.194274&lt;/D&gt;&lt;D xsi:type="xsd:double"&gt;1183.962245&lt;/D&gt;&lt;D xsi:type="xsd:double"&gt;1184.132768&lt;/D&gt;&lt;D xsi:type="xsd:double"&gt;1180.599144&lt;/D&gt;&lt;D xsi:type="xsd:double"&gt;1183.028965&lt;/D&gt;&lt;D xsi:type="xsd:double"&gt;1163.327402&lt;/D&gt;&lt;D xsi:type="xsd:double"&gt;1170.546938&lt;/D&gt;&lt;D xsi:type="xsd:double"&gt;1169.469421&lt;/D&gt;&lt;D xsi:type="xsd:double"&gt;1171.558218&lt;/D&gt;&lt;D xsi:type="xsd:double"&gt;1156.099412&lt;/D&gt;&lt;D xsi:type="xsd:double"&gt;1157.074697&lt;/D&gt;&lt;D xsi:type="xsd:double"&gt;1159.209066&lt;/D&gt;&lt;D xsi:type="xsd:double"&gt;1158.154597&lt;/D&gt;&lt;D xsi:type="xsd:double"&gt;1154.475394&lt;/D&gt;&lt;D xsi:type="xsd:double"&gt;1139.022735&lt;/D&gt;&lt;D xsi:type="xsd:double"&gt;1136.706928&lt;/D&gt;&lt;D xsi:type="xsd:double"&gt;1128.584944&lt;/D&gt;&lt;D xsi:type="xsd:double"&gt;1123.68147&lt;/D&gt;&lt;D xsi:type="xsd:double"&gt;1131.487353&lt;/D&gt;&lt;D xsi:type="xsd:double"&gt;1119.146561&lt;/D&gt;&lt;D xsi:type="xsd:double"&gt;1111.515182&lt;/D&gt;&lt;D xsi:type="xsd:double"&gt;1080.699249&lt;/D&gt;&lt;D xsi:type="xsd:double"&gt;1083.62086&lt;/D&gt;&lt;D xsi:type="xsd:double"&gt;1089.237092&lt;/D&gt;&lt;D xsi:type="xsd:double"&gt;1077.337984&lt;/D&gt;&lt;D xsi:type="xsd:double"&gt;1073.831398&lt;/D&gt;&lt;D xsi:type="xsd:double"&gt;1079.04124&lt;/D&gt;&lt;D xsi:type="xsd:double"&gt;1093.235716&lt;/D&gt;&lt;D xsi:type="xsd:double"&gt;1093.774848&lt;/D&gt;&lt;D xsi:type="xsd:double"&gt;1106.911146&lt;/D&gt;&lt;D xsi:type="xsd:double"&gt;1119.657059&lt;/D&gt;&lt;D xsi:type="xsd:double"&gt;1118.886582&lt;/D&gt;&lt;D xsi:type="xsd:double"&gt;1106.211679&lt;/D&gt;&lt;D xsi:type="xsd:double"&gt;1103.559736&lt;/D&gt;&lt;D xsi:type="xsd:double"&gt;1106.066797&lt;/D&gt;&lt;D xsi:type="xsd:double"&gt;1112.82765&lt;/D&gt;&lt;D xsi:type="xsd:double"&gt;1145.357854&lt;/D&gt;&lt;D xsi:type="xsd:double"&gt;1158.180351&lt;/D&gt;&lt;D xsi:type="xsd:double"&gt;1152.248002&lt;/D&gt;&lt;D xsi:type="xsd:double"&gt;1153.012949&lt;/D&gt;&lt;D xsi:type="xsd:double"&gt;1152.498351&lt;/D&gt;&lt;D xsi:type="xsd:double"&gt;1152.989581&lt;/D&gt;&lt;D xsi:type="xsd:double"&gt;1152.168491&lt;/D&gt;&lt;D xsi:type="xsd:double"&gt;1124.825577&lt;/D&gt;&lt;D xsi:type="xsd:double"&gt;1128.228732&lt;/D&gt;&lt;D xsi:type="xsd:double"&gt;1129.302063&lt;/D&gt;&lt;D xsi:type="xsd:double"&gt;1130.920738&lt;/D&gt;&lt;D xsi:type="xsd:double"&gt;1129.747824&lt;/D&gt;&lt;D xsi:type="xsd:double"&gt;1117.</t>
        </r>
      </text>
    </comment>
    <comment ref="A6" authorId="0" shapeId="0">
      <text>
        <r>
          <rPr>
            <b/>
            <sz val="9"/>
            <color indexed="81"/>
            <rFont val="Tahoma"/>
            <family val="2"/>
          </rPr>
          <t>451738&lt;/D&gt;&lt;D xsi:type="xsd:double"&gt;1110.100205&lt;/D&gt;&lt;D xsi:type="xsd:double"&gt;1088.380242&lt;/D&gt;&lt;D xsi:type="xsd:double"&gt;1093.509978&lt;/D&gt;&lt;D xsi:type="xsd:double"&gt;1089.310969&lt;/D&gt;&lt;D xsi:type="xsd:double"&gt;1089.88948&lt;/D&gt;&lt;D xsi:type="xsd:double"&gt;1113.118071&lt;/D&gt;&lt;D xsi:type="xsd:double"&gt;1113.075351&lt;/D&gt;&lt;D xsi:type="xsd:double"&gt;1109.01152&lt;/D&gt;&lt;D xsi:type="xsd:double"&gt;1091.466468&lt;/D&gt;&lt;D xsi:type="xsd:double"&gt;1091.531673&lt;/D&gt;&lt;D xsi:type="xsd:double"&gt;1084.871104&lt;/D&gt;&lt;D xsi:type="xsd:double"&gt;1071.747373&lt;/D&gt;&lt;D xsi:type="xsd:double"&gt;1051.59692&lt;/D&gt;&lt;D xsi:type="xsd:double"&gt;1036.615549&lt;/D&gt;&lt;D xsi:type="xsd:double"&gt;1036.083686&lt;/D&gt;&lt;D xsi:type="xsd:double"&gt;1041.322943&lt;/D&gt;&lt;D xsi:type="xsd:double"&gt;1048.085968&lt;/D&gt;&lt;D xsi:type="xsd:double"&gt;1082.585978&lt;/D&gt;&lt;D xsi:type="xsd:double"&gt;1079.520978&lt;/D&gt;&lt;D xsi:type="xsd:double"&gt;1082.394834&lt;/D&gt;&lt;D xsi:type="xsd:double"&gt;1095.858561&lt;/D&gt;&lt;D xsi:type="xsd:double"&gt;1105.206268&lt;/D&gt;&lt;D xsi:type="xsd:double"&gt;1120.549194&lt;/D&gt;&lt;D xsi:type="xsd:double"&gt;1115.348875&lt;/D&gt;&lt;D xsi:type="xsd:double"&gt;1112.763364&lt;/D&gt;&lt;D xsi:type="xsd:double"&gt;1111.109372&lt;/D&gt;&lt;D xsi:type="xsd:double"&gt;1108.341295&lt;/D&gt;&lt;D xsi:type="xsd:double"&gt;1091.215535&lt;/D&gt;&lt;D xsi:type="xsd:double"&gt;1080.678679&lt;/D&gt;&lt;D xsi:type="xsd:double"&gt;1075.33321&lt;/D&gt;&lt;D xsi:type="xsd:double"&gt;1050.352799&lt;/D&gt;&lt;D xsi:type="xsd:double"&gt;1045.480376&lt;/D&gt;&lt;D xsi:type="xsd:double"&gt;1041.401967&lt;/D&gt;&lt;D xsi:type="xsd:double"&gt;1060.272441&lt;/D&gt;&lt;D xsi:type="xsd:double"&gt;1090.995709&lt;/D&gt;&lt;D xsi:type="xsd:double"&gt;1079.220686&lt;/D&gt;&lt;D xsi:type="xsd:double"&gt;1069.535605&lt;/D&gt;&lt;D xsi:type="xsd:double"&gt;1080.297598&lt;/D&gt;&lt;D xsi:type="xsd:double"&gt;1084.674604&lt;/D&gt;&lt;D xsi:type="xsd:double"&gt;1053.250779&lt;/D&gt;&lt;D xsi:type="xsd:double"&gt;1048.528781&lt;/D&gt;&lt;D xsi:type="xsd:double"&gt;1064.013586&lt;/D&gt;&lt;D xsi:type="xsd:double"&gt;1073.610383&lt;/D&gt;&lt;D xsi:type="xsd:double"&gt;1063.608883&lt;/D&gt;&lt;D xsi:type="xsd:double"&gt;1095.694442&lt;/D&gt;&lt;D xsi:type="xsd:double"&gt;1111.913383&lt;/D&gt;&lt;D xsi:type="xsd:double"&gt;1116.024092&lt;/D&gt;&lt;D xsi:type="xsd:double"&gt;1123.784231&lt;/D&gt;&lt;D xsi:type="xsd:double"&gt;1152.636041&lt;/D&gt;&lt;D xsi:type="xsd:double"&gt;1158.705627&lt;/D&gt;&lt;D xsi:type="xsd:double"&gt;1144.892094&lt;/D&gt;&lt;D xsi:type="xsd:double"&gt;1153.480747&lt;/D&gt;&lt;D xsi:type="xsd:double"&gt;1099.576393&lt;/D&gt;&lt;D xsi:type="xsd:double"&gt;1125.362988&lt;/D&gt;&lt;D xsi:type="xsd:double"&gt;1157.863578&lt;/D&gt;&lt;D xsi:type="xsd:double"&gt;1171.397487&lt;/D&gt;&lt;D xsi:type="xsd:double"&gt;1202.318829&lt;/D&gt;&lt;D xsi:type="xsd:double"&gt;1198.563561&lt;/D&gt;&lt;D xsi:type="xsd:double"&gt;1208.259436&lt;/D&gt;&lt;D xsi:type="xsd:double"&gt;1194.226246&lt;/D&gt;&lt;D xsi:type="xsd:double"&gt;1202.484715&lt;/D&gt;&lt;D xsi:type="xsd:double"&gt;1228.593835&lt;/D&gt;&lt;D xsi:type="xsd:double"&gt;1225.379883&lt;/D&gt;&lt;D xsi:type="xsd:double"&gt;1218.734137&lt;/D&gt;&lt;D xsi:type="xsd:double"&gt;1225.365355&lt;/D&gt;&lt;D xsi:type="xsd:double"&gt;1228.046952&lt;/D&gt;&lt;D xsi:type="xsd:double"&gt;1217.511392&lt;/D&gt;&lt;D xsi:type="xsd:double"&gt;1222.249108&lt;/D&gt;&lt;D xsi:type="xsd:double"&gt;1241.700425&lt;/D&gt;&lt;D xsi:type="xsd:double"&gt;1239.307556&lt;/D&gt;&lt;D xsi:type="xsd:double"&gt;1226.009853&lt;/D&gt;&lt;D xsi:type="xsd:double"&gt;1229.345108&lt;/D&gt;&lt;D xsi:type="xsd:double"&gt;1223.319354&lt;/D&gt;&lt;D xsi:type="xsd:double"&gt;1211.268242&lt;/D&gt;&lt;D xsi:type="xsd:double"&gt;1213.33325&lt;/D&gt;&lt;D xsi:type="xsd:double"&gt;1218.119743&lt;/D&gt;&lt;D xsi:type="xsd:double"&gt;1217.360312&lt;/D&gt;&lt;D xsi:type="xsd:double"&gt;1212.140093&lt;/D&gt;&lt;D xsi:type="xsd:double"&gt;1200.530432&lt;/D&gt;&lt;D xsi:type="xsd:double"&gt;1201.097324&lt;/D&gt;&lt;D xsi:type="xsd:double"&gt;1200.615115&lt;/D&gt;&lt;D xsi:type="xsd:double"&gt;1193.413996&lt;/D&gt;&lt;D xsi:type="xsd:double"&gt;1191.751184&lt;/D&gt;&lt;D xsi:type="xsd:double"&gt;1190.328303&lt;/D&gt;&lt;D xsi:type="xsd:double"&gt;1200.858945&lt;/D&gt;&lt;D xsi:type="xsd:double"&gt;1193.453137&lt;/D&gt;&lt;D xsi:type="xsd:double"&gt;1190.779699&lt;/D&gt;&lt;D xsi:type="xsd:double"&gt;1196.712455&lt;/D&gt;&lt;D xsi:type="xsd:double"&gt;1202.50514&lt;/D&gt;&lt;D xsi:type="xsd:double"&gt;1193.726135&lt;/D&gt;&lt;D xsi:type="xsd:double"&gt;1181.98962&lt;/D&gt;&lt;D xsi:type="xsd:double"&gt;1187.374129&lt;/D&gt;&lt;D xsi:type="xsd:double"&gt;1182.688301&lt;/D&gt;&lt;D xsi:type="xsd:double"&gt;1180.314854&lt;/D&gt;&lt;D xsi:type="xsd:double"&gt;1174.110077&lt;/D&gt;&lt;D xsi:type="xsd:double"&gt;1174.701291&lt;/D&gt;&lt;D xsi:type="xsd:double"&gt;1170.45861&lt;/D&gt;&lt;D xsi:type="xsd:double"&gt;1155.595682&lt;/D&gt;&lt;D xsi:type="xsd:double"&gt;1157.366019&lt;/D&gt;&lt;D xsi:type="xsd:double"&gt;1149.391999&lt;/D&gt;&lt;D xsi:type="xsd:double"&gt;1140.584666&lt;/D&gt;&lt;D xsi:type="xsd:double"&gt;1133.347606&lt;/D&gt;&lt;D xsi:type="xsd:double"&gt;1124.022769&lt;/D&gt;&lt;D xsi:type="xsd:double"&gt;1133.203045&lt;/D&gt;&lt;D xsi:type="xsd:double"&gt;1128.518838&lt;/D&gt;&lt;D xsi:type="xsd:double"&gt;1139.816658&lt;/D&gt;&lt;D xsi:type="xsd:double"&gt;1134.449415&lt;/D&gt;&lt;D xsi:type="xsd:double"&gt;1138.936496&lt;/D&gt;&lt;D xsi:type="xsd:double"&gt;1133.789163&lt;/D&gt;&lt;D xsi:type="xsd:double"&gt;1124.859054&lt;/D&gt;&lt;D xsi:type="xsd:double"&gt;1107.324479&lt;/D&gt;&lt;D xsi:type="xsd:double"&gt;1108.273064&lt;/D&gt;&lt;D xsi:type="xsd:double"&gt;1101.441453&lt;/D&gt;&lt;D xsi:type="xsd:double"&gt;1101.183234&lt;/D&gt;&lt;D xsi:type="xsd:double"&gt;1092.632333&lt;/D&gt;&lt;D xsi:type="xsd:double"&gt;1095.48126&lt;/D&gt;&lt;D xsi:type="xsd:double"&gt;1106.372242&lt;/D&gt;&lt;D xsi:type="xsd:double"&gt;1138.90456&lt;/D&gt;&lt;D xsi:type="xsd:double"&gt;1144.956669&lt;/D&gt;&lt;D xsi:type="xsd:double"&gt;1129.287128&lt;/D&gt;&lt;D xsi:type="xsd:double"&gt;1119.536891&lt;/D&gt;&lt;D xsi:type="xsd:double"&gt;1128.32398&lt;/D&gt;&lt;D xsi:type="xsd:double"&gt;1140.276608&lt;/D&gt;&lt;D xsi:type="xsd:double"&gt;1143.441567&lt;/D&gt;&lt;D xsi:type="xsd:double"&gt;1148.988986&lt;/D&gt;&lt;D xsi:type="xsd:double"&gt;1149.893882&lt;/D&gt;&lt;D xsi:type="xsd:double"&gt;1166.92849&lt;/D&gt;&lt;D xsi:type="xsd:double"&gt;1184.487313&lt;/D&gt;&lt;D xsi:type="xsd:double"&gt;1203.332499&lt;/D&gt;&lt;D xsi:type="xsd:double"&gt;1195.656803&lt;/D&gt;&lt;D xsi:type="xsd:double"&gt;1207.979533&lt;/D&gt;&lt;D xsi:type="xsd:double"&gt;1201.612974&lt;/D&gt;&lt;D xsi:type="xsd:double"&gt;1199.341736&lt;/D&gt;&lt;D xsi:type="xsd:double"&gt;1207.218305&lt;/D&gt;&lt;D xsi:type="xsd:double"&gt;1198.256512&lt;/D&gt;&lt;D xsi:type="xsd:double"&gt;1192.905765&lt;/D&gt;&lt;D xsi:type="xsd:double"&gt;1193.523573&lt;/D&gt;&lt;D xsi:type="xsd:double"&gt;1192.887046&lt;/D&gt;&lt;D xsi:type="xsd:double"&gt;1189.392981&lt;/D&gt;&lt;D xsi:type="xsd:double"&gt;1168.467916&lt;/D&gt;&lt;D xsi:type="xsd:double"&gt;1171.287229&lt;/D&gt;&lt;D xsi:type="xsd:double"&gt;1177.967068&lt;/D&gt;&lt;D xsi:type="xsd:double"&gt;1176.348266&lt;/D&gt;&lt;D xsi:type="xsd:double"&gt;1172.162639&lt;/D&gt;&lt;D xsi:type="xsd:double"&gt;1166.320608&lt;/D&gt;&lt;D xsi:type="xsd:double"&gt;1159.318913&lt;/D&gt;&lt;D xsi:type="xsd:double"&gt;1155.78482&lt;/D&gt;&lt;D xsi:type="xsd:double"&gt;1144.113422&lt;/D&gt;&lt;D xsi:type="xsd:double"&gt;1145.378435&lt;/D&gt;&lt;D xsi:type="xsd:double"&gt;1165.705523&lt;/D&gt;&lt;D xsi:type="xsd:double"&gt;1157.842714&lt;/D&gt;&lt;D xsi:type="xsd:double"&gt;1164.87016&lt;/D&gt;&lt;D xsi:type="xsd:double"&gt;1155.544044&lt;/D&gt;&lt;D xsi:type="xsd:double"&gt;1154.065364&lt;/D&gt;&lt;D xsi:type="xsd:double"&gt;1148.935284&lt;/D&gt;&lt;D xsi:type="xsd:double"&gt;1151.378285&lt;/D&gt;&lt;D xsi:type="xsd:double"&gt;1165.328802&lt;/D&gt;&lt;D xsi:type="xsd:double"&gt;1168.901383&lt;/D&gt;&lt;D xsi:type="xsd:double"&gt;1170.565339&lt;/D&gt;&lt;D xsi:type="xsd:double"&gt;1173.863021&lt;/D&gt;&lt;D xsi:type="xsd:double"&gt;1171.943717&lt;/D&gt;&lt;D xsi:type="xsd:double"&gt;1149.00684&lt;/D&gt;&lt;D xsi:type="xsd:double"&gt;1144.583222&lt;/D&gt;&lt;D xsi:type="xsd:double"&gt;1170.714311&lt;/D&gt;&lt;D xsi:type="xsd:double"&gt;1160.136491&lt;/D&gt;&lt;D xsi:type="xsd:double"&gt;1165.829939&lt;/D&gt;&lt;D xsi:type="xsd:double"&gt;1145.724323&lt;/D&gt;&lt;D xsi:type="xsd:double"&gt;1151.979093&lt;/D&gt;&lt;D xsi:type="xsd:double"&gt;1171.542206&lt;/D&gt;&lt;D xsi:type="xsd:double"&gt;1169.560268&lt;/D&gt;&lt;D xsi:type="xsd:double"&gt;1175.395855&lt;/D&gt;&lt;D xsi:type="xsd:double"&gt;1158.257608&lt;/D&gt;&lt;D xsi:type="xsd:double"&gt;1152.500229&lt;/D&gt;&lt;D xsi:type="xsd:double"&gt;1162.163401&lt;/D&gt;&lt;D xsi:type="xsd:double"&gt;1156.844239&lt;/D&gt;&lt;D xsi:type="xsd:double"&gt;1157.712254&lt;/D&gt;&lt;D xsi:type="xsd:double"&gt;1132.191563&lt;/D&gt;&lt;D xsi:type="xsd:double"&gt;1128.342985&lt;/D&gt;&lt;D xsi:type="xsd:double"&gt;1115.33364&lt;/D&gt;&lt;D xsi:type="xsd:double"&gt;1104.091368&lt;/D&gt;&lt;D xsi:type="xsd:double"&gt;1109.242967&lt;/D&gt;&lt;D xsi:type="xsd:double"&gt;1106.170052&lt;/D&gt;&lt;D xsi:type="xsd:double"&gt;1127.807554&lt;/D&gt;&lt;D xsi:type="xsd:double"&gt;1108.97104&lt;/D&gt;&lt;D xsi:type="xsd:double"&gt;1131.438984&lt;/D&gt;&lt;D xsi:type="xsd:double"&gt;1139.865731&lt;/D&gt;&lt;D xsi:type="xsd:double"&gt;1153.422259&lt;/D&gt;&lt;D xsi:type="xsd:double"&gt;1163.502362&lt;/D&gt;&lt;D xsi:type="xsd:double"&gt;1163.515717&lt;/D&gt;&lt;D xsi:type="xsd:double"&gt;1166.031761&lt;/D&gt;&lt;D xsi:type="xsd:double"&gt;1170.638011&lt;/D&gt;&lt;D xsi:type="xsd:double"&gt;1156.19846&lt;/D&gt;&lt;D xsi:type="xsd:double"&gt;1166.651985&lt;/D&gt;&lt;D xsi:type="xsd:double"&gt;1162.569594&lt;/D&gt;&lt;D xsi:type="xsd:double"&gt;1142.152908&lt;/D&gt;&lt;D xsi:type="xsd:double"&gt;1145.925177&lt;/D&gt;&lt;D xsi:type="xsd:double"&gt;1139.844183&lt;/D&gt;&lt;D xsi:type="xsd:double"&gt;1137.587265&lt;/D&gt;&lt;D xsi:type="xsd:double"&gt;1122.974269&lt;/D&gt;&lt;D xsi:type="xsd:double"&gt;1121.628483&lt;/D&gt;&lt;D xsi:type="xsd:double"&gt;1099.442241&lt;/D&gt;&lt;D xsi:type="xsd:double"&gt;1088.902846&lt;/D&gt;&lt;D xsi:type="xsd:double"&gt;1102.035296&lt;/D&gt;&lt;D xsi:type="xsd:double"&gt;1126.984507&lt;/D&gt;&lt;D xsi:type="xsd:double"&gt;1125.570838&lt;/D&gt;&lt;D xsi:type="xsd:double"&gt;1127.597448&lt;/D&gt;&lt;D xsi:type="xsd:double"&gt;1115.39798&lt;/D&gt;&lt;D xsi:type="xsd:double"&gt;1122.924508&lt;/D&gt;&lt;D xsi:type="xsd:double"&gt;1137.892137&lt;/D&gt;&lt;D xsi:type="xsd:double"&gt;1143.385053&lt;/D&gt;&lt;D xsi:type="xsd:double"&gt;1130.869384&lt;/D&gt;&lt;D xsi:type="xsd:double"&gt;1139.428717&lt;/D&gt;&lt;D xsi:type="xsd:double"&gt;1142.292336&lt;/D&gt;&lt;D xsi:type="xsd:double"&gt;1138.328684&lt;/D&gt;&lt;D xsi:type="xsd:double"&gt;1119.90326&lt;/D&gt;&lt;D xsi:type="xsd:double"&gt;1118.306903&lt;/D&gt;&lt;D xsi:type="xsd:double"&gt;1119.225433&lt;/D&gt;&lt;D xsi:type="xsd:double"&gt;1114.797374&lt;/D&gt;&lt;D xsi:type="xsd:double"&gt;1106.314175&lt;/D&gt;&lt;D xsi:type="xsd:double"&gt;1098.553117&lt;/D&gt;&lt;D xsi:type="xsd:double"&gt;1075.408187&lt;/D&gt;&lt;D xsi:type="xsd:double"&gt;1064.263909&lt;/D&gt;&lt;D xsi:type="xsd:double"&gt;1058.947441&lt;/D&gt;&lt;D xsi:type="xsd:double"&gt;1066.630863&lt;/D&gt;&lt;D xsi:type="xsd:double"&gt;1085.598716&lt;/D&gt;&lt;D xsi:type="xsd:double"&gt;1094.09241&lt;/D&gt;&lt;D xsi:type="xsd:double"&gt;1085.778658&lt;/D&gt;&lt;D xsi:type="xsd:double"&gt;1086.604773&lt;/D&gt;&lt;D xsi:type="xsd:double"&gt;1090.654865&lt;/D&gt;&lt;D xsi:type="xsd:double"&gt;1087.768645&lt;/D&gt;&lt;D xsi:type="xsd:double"&gt;1080.572733&lt;/D&gt;&lt;D xsi:type="xsd:double"&gt;1063.122102&lt;/D&gt;&lt;D xsi:type="xsd:double"&gt;1050.650503&lt;/D&gt;&lt;D xsi:type="xsd:double"&gt;1045.117651&lt;/D&gt;&lt;D xsi:type="xsd:double"&gt;1034.275517&lt;/D&gt;&lt;D xsi:type="xsd:double"&gt;1063.978359&lt;/D&gt;&lt;D xsi:type="xsd:double"&gt;1071.060571&lt;/D&gt;&lt;D xsi:type="xsd:double"&gt;1058.57863&lt;/D&gt;&lt;D xsi:type="xsd:double"&gt;1049.344061&lt;/D&gt;&lt;D xsi:type="xsd:double"&gt;1060.147296&lt;/D&gt;&lt;D xsi:type="xsd:double"&gt;1063.206896&lt;/D&gt;&lt;D xsi:type="xsd:double"&gt;1059.239197&lt;/D&gt;&lt;D xsi:type="xsd:double"&gt;1061.640293&lt;/D&gt;&lt;D xsi:type="xsd:double"&gt;1066.794844&lt;/D&gt;&lt;D xsi:type="xsd:double"&gt;1065.585363&lt;/D&gt;&lt;D xsi:type="xsd:double"&gt;1044.753372&lt;/D&gt;&lt;D xsi:type="xsd:double"&gt;1038.791368&lt;/D&gt;&lt;D xsi:type="xsd:double"&gt;1023.420947&lt;/D&gt;&lt;D xsi:type="xsd:double"&gt;1028.211313&lt;/D&gt;&lt;D xsi:type="xsd:double"&gt;1032.264391&lt;/D&gt;&lt;D xsi:type="xsd:double"&gt;1027.49286&lt;/D&gt;&lt;D xsi:type="xsd:double"&gt;1024.711906&lt;/D&gt;&lt;D xsi:type="xsd:double"&gt;1005.286119&lt;/D&gt;&lt;D xsi:type="xsd:double"&gt;1004.783019&lt;/D&gt;&lt;D xsi:type="xsd:double"&gt;995.667616&lt;/D&gt;&lt;D xsi:type="xsd:double"&gt;982.495742&lt;/D&gt;&lt;D xsi:type="xsd:double"&gt;980.578676&lt;/D&gt;&lt;D xsi:type="xsd:double"&gt;972.238641&lt;/D&gt;&lt;D xsi:type="xsd:double"&gt;945.719069&lt;/D&gt;&lt;D xsi:type="xsd:double"&gt;934.77838&lt;/D&gt;&lt;D xsi:type="xsd:double"&gt;921.396544&lt;/D&gt;&lt;D xsi:type="xsd:double"&gt;926.599285&lt;/D&gt;&lt;D xsi:type="xsd:double"&gt;921.144622&lt;/D&gt;&lt;D xsi:type="xsd:double"&gt;929.895479&lt;/D&gt;&lt;D xsi:type="xsd:double"&gt;940.861502&lt;/D&gt;&lt;D xsi:type="xsd:double"&gt;947.705582&lt;/D&gt;&lt;D xsi:type="xsd:double"&gt;972.850011&lt;/D&gt;&lt;D xsi:type="xsd:double"&gt;964.048079&lt;/D&gt;&lt;D xsi:type="xsd:double"&gt;970.771735&lt;/D&gt;&lt;D xsi:type="xsd:double"&gt;963.773009&lt;/D&gt;&lt;D xsi:type="xsd:double"&gt;957.560428&lt;/D&gt;&lt;D xsi:type="xsd:double"&gt;951.089397&lt;/D&gt;&lt;D xsi:type="xsd:double"&gt;938.314472&lt;/D&gt;&lt;D xsi:type="xsd:double"&gt;939.168921&lt;/D&gt;&lt;D xsi:type="xsd:double"&gt;964.803308&lt;/D&gt;&lt;D xsi:type="xsd:double"&gt;958.47911&lt;/D&gt;&lt;D xsi:type="xsd:double"&gt;952.441609&lt;/D&gt;&lt;D xsi:type="xsd:double"&gt;960.018957&lt;/D&gt;&lt;D xsi:type="xsd:double"&gt;968.495203&lt;/D&gt;&lt;D xsi:type="xsd:double"&gt;994.393296&lt;/D&gt;&lt;D xsi:type="xsd:double"&gt;996.856099&lt;/D&gt;&lt;D xsi:type="xsd:double"&gt;987.53312&lt;/D&gt;&lt;D xsi:type="xsd:double"&gt;982.640484&lt;/D&gt;&lt;D xsi:type="xsd:double"&gt;975.18543&lt;/D&gt;&lt;D xsi:type="xsd:double"&gt;982.286439&lt;/D&gt;&lt;D xsi:type="xsd:double"&gt;986.029615&lt;/D&gt;&lt;D xsi:type="xsd:double"&gt;982.993719&lt;/D&gt;&lt;D xsi:type="xsd:double"&gt;1000.084301&lt;/D&gt;&lt;D xsi:type="xsd:double"&gt;994.497824&lt;/D&gt;&lt;D xsi:type="xsd:double"&gt;970.003651&lt;/D&gt;&lt;D xsi:type="xsd:double"&gt;954.956374&lt;/D&gt;&lt;D xsi:type="xsd:double"&gt;952.139193&lt;/D&gt;&lt;D xsi:type="xsd:double"&gt;958.274168&lt;/D&gt;&lt;D xsi:type="xsd:double"&gt;941.249509&lt;/D&gt;&lt;D xsi:type="xsd:double"&gt;937.593091&lt;/D&gt;&lt;D xsi:type="xsd:double"&gt;953.474363&lt;/D&gt;&lt;D xsi:type="xsd:double"&gt;947.683456&lt;/D&gt;&lt;D xsi:type="xsd:double"&gt;936.280262&lt;/D&gt;&lt;D xsi:type="xsd:double"&gt;920.845372&lt;/D&gt;&lt;D xsi:type="xsd:double"&gt;920.982215&lt;/D&gt;&lt;D xsi:type="xsd:double"&gt;919.733251&lt;/D&gt;&lt;D xsi:type="xsd:double"&gt;941.637398&lt;/D&gt;&lt;D xsi:type="xsd:double"&gt;943.518205&lt;/D&gt;&lt;D xsi:type="xsd:double"&gt;953.56738&lt;/D&gt;&lt;D xsi:type="xsd:double"&gt;933.917428&lt;/D&gt;&lt;D xsi:type="xsd:double"&gt;934.771594&lt;/D&gt;&lt;D xsi:type="xsd:double"&gt;922.55447&lt;/D&gt;&lt;D xsi:type="xsd:double"&gt;921.533187&lt;/D&gt;&lt;D xsi:type="xsd:double"&gt;896.219663&lt;/D&gt;&lt;D xsi:type="xsd:double"&gt;893.024719&lt;/D&gt;&lt;D xsi:type="xsd:double"&gt;886.034584&lt;/D&gt;&lt;D xsi:type="xsd:double"&gt;866.307261&lt;/D&gt;&lt;D xsi:type="xsd:double"&gt;876.427991&lt;/D&gt;&lt;D xsi:type="xsd:double"&gt;882.259302&lt;/D&gt;&lt;D xsi:type="xsd:double"&gt;863.998367&lt;/D&gt;&lt;D xsi:type="xsd:double"&gt;857.492479&lt;/D&gt;&lt;D xsi:type="xsd:double"&gt;856.378635&lt;/D&gt;&lt;D xsi:type="xsd:double"&gt;849.118414&lt;/D&gt;&lt;D xsi:type="xsd:double"&gt;881.268122&lt;/D&gt;&lt;D xsi:type="xsd:double"&gt;875.59215&lt;/D&gt;&lt;D xsi:type="xsd:double"&gt;863.482205&lt;/D&gt;&lt;D xsi:type="xsd:double"&gt;861.859147&lt;/D&gt;&lt;D xsi:type="xsd:double"&gt;866.413972&lt;/D&gt;&lt;D xsi:type="xsd:double"&gt;861.37092&lt;/D&gt;&lt;D xsi:type="xsd:double"&gt;835.519035&lt;/D&gt;&lt;D xsi:type="xsd:double"&gt;832.787154&lt;/D&gt;&lt;D xsi:type="xsd:double"&gt;848.542586&lt;/D&gt;&lt;D xsi:type="xsd:double"&gt;854.897525&lt;/D&gt;&lt;D xsi:type="xsd:double"&gt;852.757128&lt;/D&gt;&lt;D xsi:type="xsd:double"&gt;817.556456&lt;/D&gt;&lt;D xsi:type="xsd:double"&gt;805.216286&lt;/D&gt;&lt;D xsi:type="xsd:double"&gt;792.646664&lt;/D&gt;&lt;D xsi:type="xsd:double"&gt;824.691829&lt;/D&gt;&lt;D xsi:type="xsd:double"&gt;841.526677&lt;/D&gt;&lt;D xsi:type="xsd:double"&gt;829.440299&lt;/D&gt;&lt;D xsi:type="xsd:double"&gt;824.072881&lt;/D&gt;&lt;D xsi:type="xsd:double"&gt;830.155257&lt;/D&gt;&lt;D xsi:type="xsd:double"&gt;789.933496&lt;/D&gt;&lt;D xsi:type="xsd:double"&gt;803.109644&lt;/D&gt;&lt;D xsi:type="xsd:double"&gt;788.828931&lt;/D&gt;&lt;D xsi:type="xsd:double"&gt;778.581748&lt;/D&gt;&lt;D xsi:type="xsd:double"&gt;765.186406&lt;/D&gt;&lt;D xsi:type="xsd:double"&gt;756.409867&lt;/D&gt;&lt;D xsi:type="xsd:double"&gt;745.532417&lt;/D&gt;&lt;D xsi:type="xsd:double"&gt;730.950418&lt;/D&gt;&lt;D xsi:type="xsd:double"&gt;725.262397&lt;/D&gt;&lt;D xsi:type="xsd:double"&gt;688.637721&lt;/D&gt;&lt;D xsi:type="xsd:double"&gt;697.499984&lt;/D&gt;&lt;D xsi:type="xsd:double"&gt;700.456103&lt;/D&gt;&lt;D xsi:type="xsd:double"&gt;722.384851&lt;/D&gt;&lt;D xsi:type="xsd:double"&gt;705.350946&lt;/D&gt;&lt;D xsi:type="xsd:double"&gt;713.849757&lt;/D&gt;&lt;D xsi:type="xsd:double"&gt;750.862829&lt;/D&gt;&lt;D xsi:type="xsd:double"&gt;763.753499&lt;/D&gt;&lt;D xsi:type="xsd:double"&gt;763.810292&lt;/D&gt;&lt;D xsi:type="xsd:double"&gt;767.787815&lt;/D&gt;&lt;D xsi:type="xsd:double"&gt;757.293932&lt;/D&gt;&lt;D xsi:type="xsd:double"&gt;772.838993&lt;/D&gt;&lt;D xsi:type="xsd:double"&gt;790.180489&lt;/D&gt;&lt;D xsi:type="xsd:double"&gt;791.382914&lt;/D&gt;&lt;D xsi:type="xsd:double"&gt;796.666953&lt;/D&gt;&lt;D xsi:type="xsd:double"&gt;837.017916&lt;/D&gt;&lt;D xsi:type="xsd:double"&gt;837.683598&lt;/D&gt;&lt;D xsi:type="xsd:double"&gt;845.039697&lt;/D&gt;&lt;D xsi:type="xsd:double"&gt;846.422773&lt;/D&gt;&lt;D xsi:type="xsd:double"&gt;876.937081&lt;/D&gt;&lt;D xsi:type="xsd:double"&gt;870.73912&lt;/D&gt;&lt;D xsi:type="xsd:double"&gt;852.943593&lt;/D&gt;&lt;D xsi:type="xsd:double"&gt;847.951732&lt;/D&gt;&lt;D xsi:type="xsd:double"&gt;843.768716&lt;/D&gt;&lt;D xsi:type="xsd:double"&gt;828.891686&lt;/D&gt;&lt;D xsi:type="xsd:double"&gt;838.82699&lt;/D&gt;&lt;D xsi:type="xsd:double"&gt;857.929348&lt;/D&gt;&lt;D xsi:type="xsd:double"&gt;878.830695&lt;/D&gt;&lt;D xsi:type="xsd:double"&gt;854.457868&lt;/D&gt;&lt;D xsi:type="xsd:double"&gt;841.91655&lt;/D&gt;&lt;D xsi:type="xsd:double"&gt;825.382734&lt;/D&gt;&lt;D xsi:type="xsd:double"&gt;830.423713&lt;/D&gt;&lt;D xsi:type="xsd:double"&gt;838.425311&lt;/D&gt;&lt;D xsi:type="xsd:double"&gt;822.614947&lt;/D&gt;&lt;D xsi:type="xsd:double"&gt;865.830126&lt;/D&gt;&lt;D xsi:type="xsd:double"&gt;853.347019&lt;/D&gt;&lt;D xsi:type="xsd:double"&gt;862.247728&lt;/D&gt;&lt;D xsi:type="xsd:double"&gt;889.419111&lt;/D&gt;&lt;D xsi:type="xsd:double"&gt;902.582084&lt;/D&gt;&lt;D xsi:type="xsd:double"&gt;922.634611&lt;/D&gt;&lt;D xsi:type="xsd:double"&gt;938.555493&lt;/D&gt;&lt;D xsi:type="xsd:double"&gt;939.603017&lt;/D&gt;&lt;D xsi:type="xsd:double"&gt;949.687936&lt;/D&gt;&lt;D xsi:type="xsd:double"&gt;945.267911&lt;/D&gt;&lt;D xsi:type="xsd:double"&gt;945.966212&lt;/D&gt;&lt;D xsi:type="xsd:double"&gt;920.225651&lt;/D&gt;&lt;D xsi:type="xsd:double"&gt;915.972763&lt;/D&gt;&lt;D xsi:type="xsd:double"&gt;901.077148&lt;/D&gt;&lt;D xsi:type="xsd:double"&gt;893.419288&lt;/D&gt;&lt;D xsi:type="xsd:double"&gt;887.959861&lt;/D&gt;&lt;D xsi:type="xsd:double"&gt;888.308935&lt;/D&gt;&lt;D xsi:type="xsd:double"&gt;892.733714&lt;/D&gt;&lt;D xsi:type="xsd:double"&gt;906.918703&lt;/D&gt;&lt;D xsi:type="xsd:double"&gt;919.439512&lt;/D&gt;&lt;D xsi:type="xsd:double"&gt;928.124952&lt;/D&gt;&lt;D xsi:type="xsd:double"&gt;917.067711&lt;/D&gt;&lt;D xsi:type="xsd:double"&gt;891.239635&lt;/D&gt;&lt;D xsi:type="xsd:double"&gt;885.367264&lt;/D&gt;&lt;D xsi:type="xsd:double"&gt;892.29191&lt;/D&gt;&lt;D xsi:type="xsd:double"&gt;899.092926&lt;/D&gt;&lt;D xsi:type="xsd:double"&gt;887.651969&lt;/D&gt;&lt;D xsi:type="xsd:double"&gt;894.885247&lt;/D&gt;&lt;D xsi:type="xsd:double"&gt;848.398908&lt;/D&gt;&lt;D xsi:type="xsd:double"&gt;844.577137&lt;/D&gt;&lt;D xsi:type="xsd:double"&gt;860.187574&lt;/D&gt;&lt;D xsi:type="xsd:double"&gt;846.743409&lt;/D&gt;&lt;D xsi:type="xsd:double"&gt;830.330639&lt;/D&gt;&lt;D xsi:type="xsd:double"&gt;892.925783&lt;/D&gt;&lt;D xsi:type="xsd:double"&gt;876.871954&lt;/D&gt;&lt;D xsi:type="xsd:double"&gt;863.236517&lt;/D&gt;&lt;D xsi:type="xsd:double"&gt;849.286483&lt;/D&gt;&lt;D xsi:type="xsd:double"&gt;794.83916&lt;/D&gt;&lt;D xsi:type="xsd:double"&gt;771.523363&lt;/D&gt;&lt;D xsi:type="xsd:double"&gt;821.633605&lt;/D&gt;&lt;D xsi:type="xsd:double"&gt;861.51157&lt;/D&gt;&lt;D xsi:type="xsd:double"&gt;858.825642&lt;/D&gt;&lt;D xsi:type="xsd:double"&gt;879.419932&lt;/D&gt;&lt;D xsi:type="xsd:double"&gt;893.951141&lt;/D&gt;&lt;D xsi:type="xsd:double"&gt;869.979022&lt;/D&gt;&lt;D xsi:type="xsd:double"&gt;906.284427&lt;/D&gt;&lt;D xsi:type="xsd:double"&gt;940.75532&lt;/D&gt;&lt;D xsi:type="xsd:double"&gt;939.279292&lt;/D&gt;&lt;D xsi:type="xsd:double"&gt;925.090133&lt;/D&gt;&lt;D xsi:type="xsd:double"&gt;982.978021&lt;/D&gt;&lt;D xsi:type="xsd:double"&gt;1007.645287&lt;/D&gt;&lt;D xsi:type="xsd:double"&gt;961.492523&lt;/D&gt;&lt;D xsi:type="xsd:double"&gt;957.245207&lt;/D&gt;&lt;D xsi:type="xsd:double"&gt;952.146807&lt;/D&gt;&lt;D xsi:type="xsd:double"&gt;924.288942&lt;/D&gt;&lt;D xsi:type="xsd:double"&gt;892.187351&lt;/D&gt;&lt;D xsi:type="xsd:double"&gt;834.034892&lt;/D&gt;&lt;D xsi:type="xsd:double"&gt;871.637001&lt;/D&gt;&lt;D xsi:type="xsd:double"&gt;910.683379&lt;/D&gt;&lt;D xsi:type="xsd:double"&gt;909.838925&lt;/D&gt;&lt;D xsi:type="xsd:double"&gt;972.118926&lt;/D&gt;&lt;D xsi:type="xsd:double"&gt;989.589538&lt;/D&gt;&lt;D xsi:type="xsd:double"&gt;950.774284&lt;/D&gt;&lt;D xsi:type="xsd:double"&gt;937.094566&lt;/D&gt;&lt;D xsi:type="xsd:double"&gt;950.361991&lt;/D&gt;&lt;D xsi:type="xsd:double"&gt;1022.589499&lt;/D&gt;&lt;D xsi:type="xsd:double"&gt;997.024435&lt;/D&gt;&lt;D xsi:type="xsd:double"&gt;910.330972&lt;/D&gt;&lt;D xsi:type="xsd:double"&gt;958.044824&lt;/D&gt;&lt;D xsi:type="xsd:double"&gt;1003.687315&lt;/D&gt;&lt;D xsi:type="xsd:double"&gt;1039.719059&lt;/D&gt;&lt;D xsi:type="xsd:double"&gt;1072.993864&lt;/D&gt;&lt;D xsi:type="xsd:double"&gt;1138.674169&lt;/D&gt;&lt;D xsi:type="xsd:double"&gt;1141.415409&lt;/D&gt;&lt;D xsi:type="xsd:double"&gt;1184.288344&lt;/D&gt;&lt;D xsi:type="xsd:double"&gt;1182.442745&lt;/D&gt;&lt;D xsi:type="xsd:double"&gt;1163.529837&lt;/D&gt;&lt;D xsi:type="xsd:double"&gt;1250.368383&lt;/D&gt;&lt;D xsi:type="xsd:double"&gt;1261.194205&lt;/D&gt;&lt;D xsi:type="xsd:double"&gt;1244.025927&lt;/D&gt;&lt;D xsi:type="xsd:double"&gt;1249.65848&lt;/D&gt;&lt;D xsi:type="xsd:double"&gt;1264.891489&lt;/D&gt;&lt;D xsi:type="xsd:double"&gt;1286.437296&lt;/D&gt;&lt;D xsi:type="xsd:double"&gt;1216.768851&lt;/D&gt;&lt;D xsi:type="xsd:double"&gt;1191.370759&lt;/D&gt;&lt;D xsi:type="xsd:double"&gt;1228.089891&lt;/D&gt;&lt;D xsi:type="xsd:double"&gt;1236.902689&lt;/D&gt;&lt;D xsi:type="xsd:double"&gt;1283.139926&lt;/D&gt;&lt;D xsi:type="xsd:double"&gt;1263.081662&lt;/D&gt;&lt;D xsi:type="xsd:double"&gt;1264.269347&lt;/D&gt;&lt;D xsi:type="xsd:double"&gt;1264.90938&lt;/D&gt;&lt;D xsi:type="xsd:double"&gt;1297.559673&lt;/D&gt;&lt;D xsi:type="xsd:double"&gt;1269.131324&lt;/D&gt;&lt;D xsi:type="xsd:double"&gt;1282.034027&lt;/D&gt;&lt;D xsi:type="xsd:double"&gt;1318.194169&lt;/D&gt;&lt;D xsi:type="xsd:double"&gt;1328.554904&lt;/D&gt;&lt;D xsi:type="xsd:double"&gt;1344.864992&lt;/D&gt;&lt;D xsi:type="xsd:double"&gt;1347.307851&lt;/D&gt;&lt;D xsi:type="xsd:double"&gt;1330.448075&lt;/D&gt;&lt;D xsi:type="xsd:double"&gt;1321.829193&lt;/D&gt;&lt;D xsi:type="xsd:double"&gt;1324.167981&lt;/D&gt;&lt;D xsi:type="xsd:double"&gt;1337.53229&lt;/D&gt;&lt;D xsi:type="xsd:double"&gt;1327.633867&lt;/D&gt;&lt;D xsi:type="xsd:double"&gt;1322.530344&lt;/D&gt;&lt;D xsi:type="xsd:double"&gt;1314.414944&lt;/D&gt;&lt;D xsi:type="xsd:double"&gt;1335.283281&lt;/D&gt;&lt;D xsi:type="xsd:double"&gt;1342.964955&lt;/D&gt;&lt;D xsi:type="xsd:double"&gt;1347.217501&lt;/D&gt;&lt;D xsi:type="xsd:double"&gt;1341.667579&lt;/D&gt;&lt;D xsi:type="xsd:double"&gt;1357.046492&lt;/D&gt;&lt;D xsi:type="xsd:double"&gt;1369.68543&lt;/D&gt;&lt;D xsi:type="xsd:double"&gt;1357.828272&lt;/D&gt;&lt;D xsi:type="xsd:double"&gt;1352.234762&lt;/D&gt;&lt;D xsi:type="xsd:double"&gt;1369.231685&lt;/D&gt;&lt;D xsi:type="xsd:double"&gt;1360.735748&lt;/D&gt;&lt;D xsi:type="xsd:double"&gt;1338.705312&lt;/D&gt;&lt;D xsi:type="xsd:double"&gt;1351.91153&lt;/D&gt;&lt;D xsi:type="xsd:double"&gt;1366.699466&lt;/D&gt;&lt;D xsi:type="xsd:double"&gt;1374.933486&lt;/D&gt;&lt;D xsi:type="xsd:double"&gt;1353.233835&lt;/D&gt;&lt;D xsi:type="xsd:double"&gt;1345.797054&lt;/D&gt;&lt;D xsi:type="xsd:double"&gt;1360.690037&lt;/D&gt;&lt;D xsi:type="xsd:double"&gt;1364.276583&lt;/D&gt;&lt;D xsi:type="xsd:double"&gt;1385.423119&lt;/D&gt;&lt;D xsi:type="xsd:double"&gt;1377.57771&lt;/D&gt;&lt;D xsi:type="xsd:double"&gt;1369.163831&lt;/D&gt;&lt;D xsi:type="xsd:double"&gt;1362.520428&lt;/D&gt;&lt;D xsi:type="xsd:double"&gt;1359.96231&lt;/D&gt;&lt;D xsi:type="xsd:double"&gt;1337.531913&lt;/D&gt;&lt;D xsi:type="xsd:double"&gt;1323.96572&lt;/D&gt;&lt;D xsi:type="xsd:double"&gt;1341.639921&lt;/D&gt;&lt;D xsi:type="xsd:double"&gt;1345.471997&lt;/D&gt;&lt;D xsi:type="xsd:double"&gt;1359.91334&lt;/D&gt;&lt;D xsi:type="xsd:double"&gt;1361.740601&lt;/D&gt;&lt;D xsi:type="xsd:double"&gt;1365.938872&lt;/D&gt;&lt;D xsi:type="xsd:double"&gt;1364.976025&lt;/D&gt;&lt;D xsi:type="xsd:double"&gt;1372.835955&lt;/D&gt;&lt;D xsi:type="xsd:double"&gt;1375.407694&lt;/D&gt;&lt;D xsi:type="xsd:double"&gt;1392.58136&lt;/D&gt;&lt;D xsi:type="xsd:double"&gt;1402.128633&lt;/D&gt;&lt;D xsi:type="xsd:double"&gt;1397.593216&lt;/D&gt;&lt;D xsi:type="xsd:double"&gt;1403.359282&lt;/D&gt;&lt;D xsi:type="xsd:double"&gt;1428.384675&lt;/D&gt;&lt;D xsi:type="xsd:double"&gt;1421.083748&lt;/D&gt;&lt;D xsi:type="xsd:double"&gt;1424.4827&lt;/D&gt;&lt;D xsi:type="xsd:double"&gt;1430.437898&lt;/D&gt;&lt;D xsi:type="xsd:double"&gt;1450.146165&lt;/D&gt;&lt;D xsi:type="xsd:double"&gt;1456.845773&lt;/D&gt;&lt;D xsi:type="xsd:double"&gt;1468.736914&lt;/D&gt;&lt;D xsi:type="xsd:double"&gt;1467.59919&lt;/D&gt;&lt;D xsi:type="xsd:double"&gt;1459.954903&lt;/D&gt;&lt;D xsi:type="xsd:double"&gt;1447.358379&lt;/D&gt;&lt;D xsi:type="xsd:double"&gt;1453.185947&lt;/D&gt;&lt;D xsi:type="xsd:double"&gt;1469.132877&lt;/D&gt;&lt;D xsi:type="xsd:double"&gt;1489.014416&lt;/D&gt;&lt;D xsi:type="xsd:double"&gt;1496.478436&lt;/D&gt;&lt;D xsi:type="xsd:double"&gt;1518.64377&lt;/D&gt;&lt;D xsi:type="xsd:double"&gt;1504.555662&lt;/D&gt;&lt;D xsi:type="xsd:double"&gt;1509.22557&lt;/D&gt;&lt;D xsi:type="xsd:double"&gt;1515.991748&lt;/D&gt;&lt;D xsi:type="xsd:double"&gt;1525.725874&lt;/D&gt;&lt;D xsi:type="xsd:double"&gt;1520.350097&lt;/D&gt;&lt;D xsi:type="xsd:double"&gt;1515.145032&lt;/D&gt;&lt;D xsi:type="xsd:double"&gt;1512.949889&lt;/D&gt;&lt;D xsi:type="xsd:double"&gt;1517.408766&lt;/D&gt;&lt;D xsi:type="xsd:double"&gt;1534.082033&lt;/D&gt;&lt;D xsi:type="xsd:double"&gt;1532.580068&lt;/D&gt;&lt;D xsi:type="xsd:double"&gt;1547.876987&lt;/D&gt;&lt;D xsi:type="xsd:double"&gt;1560.677277&lt;/D&gt;&lt;D xsi:type="xsd:double"&gt;1555.61441&lt;/D&gt;&lt;D xsi:type="xsd:double"&gt;1545.570654&lt;/D&gt;&lt;D xsi:type="xsd:double"&gt;1530.807236&lt;/D&gt;&lt;D xsi:type="xsd:double"&gt;1526.118174&lt;/D&gt;&lt;D xsi:type="xsd:double"&gt;1526.614024&lt;/D&gt;&lt;D xsi:type="xsd:double"&gt;1513.689874&lt;/D&gt;&lt;D xsi:type="xsd:double"&gt;1527.521444&lt;/D&gt;&lt;D xsi:type="xsd:double"&gt;1523.274378&lt;/D&gt;&lt;D xsi:type="xsd:double"&gt;1537.269055&lt;/D&gt;&lt;D xsi:type="xsd:double"&gt;1529.739706&lt;/D&gt;&lt;D xsi:type="xsd:double"&gt;1530.194288&lt;/D&gt;&lt;D xsi:type="xsd:double"&gt;1515.928525&lt;/D&gt;&lt;D xsi:type="xsd:double"&gt;1508.987728&lt;/D&gt;&lt;D xsi:type="xsd:double"&gt;1510.016651&lt;/D&gt;&lt;D xsi:type="xsd:double"&gt;1518.063158&lt;/D&gt;&lt;D xsi:type="xsd:double"&gt;1514.520324&lt;/D&gt;&lt;D xsi:type="xsd:double"&gt;1500.737285&lt;/D&gt;&lt;D xsi:type="xsd:double"&gt;1504.507705&lt;/D&gt;&lt;D xsi:type="xsd:double"&gt;1503.292052&lt;/D&gt;&lt;D xsi:type="xsd:double"&gt;1512.642945&lt;/D&gt;&lt;D xsi:type="xsd:double"&gt;1504.556959&lt;/D&gt;&lt;D xsi:type="xsd:double"&gt;1488.124431&lt;/D&gt;&lt;D xsi:type="xsd:double"&gt;1491.391174&lt;/D&gt;&lt;D xsi:type="xsd:double"&gt;1456.90007&lt;/D&gt;&lt;D xsi:type="xsd:double"&gt;1451.212184&lt;/D&gt;&lt;D xsi:type="xsd:double"&gt;1461.41621&lt;/D&gt;&lt;D xsi:type="xsd:double"&gt;1479.618314&lt;/D&gt;&lt;D xsi:type="xsd:double"&gt;1476.893336&lt;/D&gt;&lt;D xsi:type="xsd:double"&gt;1486.768023&lt;/D&gt;&lt;D xsi:type="xsd:double"&gt;1498.540089&lt;/D&gt;&lt;D xsi:type="xsd:double"&gt;1492.568215&lt;/D&gt;&lt;D xsi:type="xsd:double"&gt;1485.483652&lt;/D&gt;&lt;D xsi:type="xsd:double"&gt;1481.231534&lt;/D&gt;&lt;D xsi:type="xsd:double"&gt;1467.763568&lt;/D&gt;&lt;D xsi:type="xsd:double"&gt;1437.402631&lt;/D&gt;&lt;D xsi:type="xsd:double"&gt;1435.61984&lt;/D&gt;&lt;D xsi:type="xsd:double"&gt;1443.659602&lt;/D&gt;&lt;D xsi:type="xsd:double"&gt;1446.744109&lt;/D&gt;&lt;D xsi:type="xsd:double"&gt;1448.566206&lt;/D&gt;&lt;D xsi:type="xsd:double"&gt;1417.088077&lt;/D&gt;&lt;D xsi:type="xsd:double"&gt;1404.407625&lt;/D&gt;&lt;D xsi:type="xsd:double"&gt;1400.351988&lt;/D&gt;&lt;D xsi:type="xsd:double"&gt;1424.576285&lt;/D&gt;&lt;D xsi:type="xsd:double"&gt;1378.556791&lt;/D&gt;&lt;D xsi:type="xsd:double"&gt;1407.992003&lt;/D&gt;&lt;D xsi:type="xsd:double"&gt;1428.618555&lt;/D&gt;&lt;D xsi:type="xsd:double"&gt;1430.930708&lt;/D&gt;&lt;D xsi:type="xsd:double"&gt;1420.854949&lt;/D&gt;&lt;D xsi:type="xsd:double"&gt;1390.807837&lt;/D&gt;&lt;D xsi:type="xsd:double"&gt;1411.264975&lt;/D&gt;&lt;D xsi:type="xsd:double"&gt;1429.806632&lt;/D&gt;&lt;D xsi:type="xsd:double"&gt;1444.993733&lt;/D&gt;&lt;D xsi:type="xsd:double"&gt;1432.950565&lt;/D&gt;&lt;D xsi:type="xsd:double"&gt;1441.746328&lt;/D&gt;&lt;D xsi:type="xsd:double"&gt;1455.560154&lt;/D&gt;&lt;D xsi:type="xsd:double"&gt;1485.42202&lt;/D&gt;&lt;D xsi:type="xsd:double"&gt;1498.201029&lt;/D&gt;&lt;D xsi:type="xsd:double"&gt;1487.421243&lt;/D&gt;&lt;D xsi:type="xsd:double"&gt;1471.832186&lt;/D&gt;&lt;D xsi:type="xsd:double"&gt;1448.925081&lt;/D&gt;&lt;D xsi:type="xsd:double"&gt;1447.353766&lt;/D&gt;&lt;D xsi:type="xsd:double"&gt;1443.235523&lt;/D&gt;&lt;D xsi:type="xsd:double"&gt;1453.42158&lt;/D&gt;&lt;D xsi:type="xsd:double"&gt;1439.499713&lt;/D&gt;&lt;D xsi:type="xsd:double"&gt;1445.958727&lt;/D&gt;&lt;D xsi:type="xsd:double"&gt;1445.472463&lt;/D&gt;&lt;D xsi:type="xsd:double"&gt;1438.11955&lt;/D&gt;&lt;D xsi:type="xsd:double"&gt;1414.44601&lt;/D&gt;&lt;D xsi:type="xsd:double"&gt;1414.581046&lt;/D&gt;&lt;D xsi:type="xsd:double"&gt;1416.491839&lt;/D&gt;&lt;D xsi:type="xsd:double"&gt;1425.067411&lt;/D&gt;&lt;D xsi:type="xsd:double"&gt;1436.178545&lt;/D&gt;&lt;D xsi:type="xsd:double"&gt;1484.324419&lt;/D&gt;&lt;D xsi:type="xsd:double"&gt;1487.557776&lt;/D&gt;&lt;D xsi:type="xsd:double"&gt;1466.346317&lt;/D&gt;&lt;D xsi:type="xsd:double"&gt;1449.370255&lt;/D&gt;&lt;D xsi:type="xsd:double"&gt;1458.25042&lt;/D&gt;&lt;D xsi:type="xsd:double"&gt;1443.390586&lt;/D&gt;&lt;D xsi:type="xsd:double"&gt;1438.959749&lt;/D&gt;&lt;D xsi:type="xsd:double"&gt;1440.016781&lt;/D&gt;&lt;D xsi:type="xsd:double"&gt;1397.174734&lt;/D&gt;&lt;D xsi:type="xsd:double"&gt;1391.492368&lt;/D&gt;&lt;D xsi:type="xsd:double"&gt;1437.800006&lt;/D&gt;&lt;D xsi:type="xsd:double"&gt;1448.788292&lt;/D&gt;&lt;D xsi:type="xsd:double"&gt;1469.557863&lt;/D&gt;&lt;D xsi:type="xsd:double"&gt;1494.109222&lt;/D&gt;&lt;D xsi:type="xsd:double"&gt;1530.287219&lt;/D&gt;&lt;D xsi:type="xsd:double"&gt;1515.929862&lt;/D&gt;&lt;D xsi:type="xsd:double"&gt;1529.875794&lt;/D&gt;&lt;D xsi:type="xsd:double"&gt;1529.688442&lt;/D&gt;&lt;D xsi:type="xsd:double"&gt;1526.90842&lt;/D&gt;&lt;D xsi:type="xsd:double"&gt;1537.13751&lt;/D&gt;&lt;D xsi:type="xsd:double"&gt;1543.308566&lt;/D&gt;&lt;D xsi:type="xsd:double"&gt;1576.462586&lt;/D&gt;&lt;D xsi:type="xsd:double"&gt;1578.132767&lt;/D&gt;&lt;D xsi:type="xsd:double"&gt;1588.8025&lt;/D&gt;&lt;D xsi:type="xsd:double"&gt;1594.789118&lt;/D&gt;&lt;D xsi:type="xsd:double"&gt;1590.148487&lt;/D&gt;&lt;D xsi:type="xsd:double"&gt;1598.194043&lt;/D&gt;&lt;D xsi:type="xsd:double"&gt;1589.448109&lt;/D&gt;&lt;D xsi:type="xsd:double"&gt;1580.546307&lt;/D&gt;&lt;D xsi:type="xsd:double"&gt;1556.929955&lt;/D&gt;&lt;D xsi:type="xsd:double"&gt;1552.415715&lt;/D&gt;&lt;D xsi:type="xsd:double"&gt;1556.839679&lt;/D&gt;&lt;D xsi:type="xsd:double"&gt;1552.769864&lt;/D&gt;&lt;D xsi:type="xsd:double"&gt;1582.115796&lt;/D&gt;&lt;D xsi:type="xsd:double"&gt;1601.349129&lt;/D&gt;&lt;D xsi:type="xsd:double"&gt;1622.881019&lt;/D&gt;&lt;D xsi:type="xsd:double"&gt;1619.767058&lt;/D&gt;&lt;D xsi:type="xsd:double"&gt;1641.140032&lt;/D&gt;&lt;D xsi:type="xsd:double"&gt;1630.052396&lt;/D&gt;&lt;D xsi:type="xsd:double"&gt;1623.890801&lt;/D&gt;&lt;D xsi:type="xsd:double"&gt;1609.845875&lt;/D&gt;&lt;D xsi:type="xsd:double"&gt;1593.08153&lt;/D&gt;&lt;D xsi:type="xsd:double"&gt;1604.064034&lt;/D&gt;&lt;D xsi:type="xsd:double"&gt;1610.941816&lt;/D&gt;&lt;D xsi:type="xsd:double"&gt;1601.573653&lt;/D&gt;&lt;D xsi:type="xsd:double"&gt;1592.202736&lt;/D&gt;&lt;D xsi:type="xsd:double"&gt;1561.926082&lt;/D&gt;&lt;D xsi:type="xsd:double"&gt;1553.547393&lt;/D&gt;&lt;D xsi:type="xsd:double"&gt;1566.899915&lt;/D&gt;&lt;D xsi:type="xsd:double"&gt;1542.569869&lt;/D&gt;&lt;D xsi:type="xsd:double"&gt;1570.736376&lt;/D&gt;&lt;D xsi:type="xsd:double"&gt;1555.750636&lt;/D&gt;&lt;D xsi:type="xsd:double"&gt;1581.10187&lt;/D&gt;&lt;D xsi:type="xsd:double"&gt;1585.160003&lt;/D&gt;&lt;D xsi:type="xsd:double"&gt;1607.88294&lt;/D&gt;&lt;D xsi:type="xsd:double"&gt;1601.805582&lt;/D&gt;&lt;D xsi:type="xsd:double"&gt;1576.249982&lt;/D&gt;&lt;D xsi:type="xsd:double"&gt;1598.08319&lt;/D&gt;&lt;D xsi:type="xsd:double"&gt;1621.029507&lt;/D&gt;&lt;D xsi:type="xsd:double"&gt;1630.315324&lt;/D&gt;&lt;D xsi:type="xsd:double"&gt;1651.59306&lt;/D&gt;&lt;D xsi:type="xsd:double"&gt;1634.740634&lt;/D&gt;&lt;D xsi:type="xsd:double"&gt;1647.073&lt;/D&gt;&lt;D xsi:type="xsd:double"&gt;1653.245353&lt;/D&gt;&lt;D xsi:type="xsd:double"&gt;1682.351432&lt;/D&gt;&lt;D xsi:type="xsd:double"&gt;1663.887322&lt;/D&gt;&lt;D xsi:type="xsd:double"&gt;1672.606199&lt;/D&gt;&lt;D xsi:type="xsd:double"&gt;1658.946966&lt;/D&gt;&lt;D xsi:type="xsd:double"&gt;1635.477274&lt;/D&gt;&lt;D xsi:type="xsd:double"&gt;1627.85196&lt;/D&gt;&lt;D xsi:type="xsd:double"&gt;1633.440034&lt;/D&gt;&lt;D xsi:type="xsd:double"&gt;1614.690283&lt;/D&gt;&lt;D xsi:type="xsd:double"&gt;1627.421133&lt;/D&gt;&lt;D xsi:type="xsd:double"&gt;1655.650075&lt;/D&gt;&lt;D xsi:type="xsd:double"&gt;1653.102203&lt;/D&gt;&lt;D xsi:type="xsd:double"&gt;1647.85179&lt;/D&gt;&lt;D xsi:type="xsd:double"&gt;1664.800978&lt;/D&gt;&lt;D xsi:type="xsd:double"&gt;1675.287107&lt;/D&gt;&lt;D xsi:type="xsd:double"&gt;1675.173401&lt;/D&gt;&lt;D xsi:type="xsd:double"&gt;1670.273501&lt;/D&gt;&lt;D xsi:type="xsd:double"&gt;1667.337916&lt;/D&gt;&lt;D xsi:type="xsd:double"&gt;1655.175475&lt;/D&gt;&lt;D xsi:type="xsd:double"&gt;1663.743031&lt;/D&gt;&lt;D xsi:type="xsd:double"&gt;1648.6295&lt;/D&gt;&lt;D xsi:type="xsd:double"&gt;1647.82096&lt;/D&gt;&lt;D xsi:type="xsd:double"&gt;1650.313448&lt;/D&gt;&lt;D xsi:type="xsd:double"&gt;1649.09687&lt;/D&gt;&lt;D xsi:type="xsd:double"&gt;1633.576446&lt;/D&gt;&lt;D xsi:type="xsd:double"&gt;1631.302091&lt;/D&gt;&lt;D xsi:type="xsd:double"&gt;1616.568381&lt;/D&gt;&lt;D xsi:type="xsd:double"&gt;1609.751377&lt;/D&gt;&lt;D xsi:type="xsd:double"&gt;1611.839957&lt;/D&gt;&lt;D xsi:type="xsd:double"&gt;1614.107078&lt;/D&gt;&lt;D xsi:type="xsd:double"&gt;1609.960975&lt;/D&gt;&lt;D xsi:type="xsd:double"&gt;1609.852126&lt;/D&gt;&lt;D xsi:type="xsd:double"&gt;1579.560287&lt;/D&gt;&lt;D xsi:type="xsd:double"&gt;1554.123026&lt;/D&gt;&lt;D xsi:type="xsd:double"&gt;1566.515524&lt;/D&gt;&lt;D xsi:type="xsd:double"&gt;1568.870499&lt;/D&gt;&lt;D xsi:type="xsd:double"&gt;1559.465332&lt;/D&gt;&lt;D xsi:type="xsd:double"&gt;1555.390548&lt;/D&gt;&lt;D xsi:type="xsd:double"&gt;1533.720473&lt;/D&gt;&lt;D xsi:type="xsd:double"&gt;1542.638461&lt;/D&gt;&lt;D xsi:type="xsd:double"&gt;1563.252746&lt;/D&gt;&lt;D xsi:type="xsd:double"&gt;1555.992091&lt;/D&gt;&lt;D xsi:type="xsd:double"&gt;1572.912737&lt;/D&gt;&lt;D xsi:type="xsd:double"&gt;1561.585133&lt;/D&gt;&lt;D xsi:type="xsd:double"&gt;1540.420596&lt;/D&gt;&lt;D xsi:type="xsd:double"&gt;1536.979741&lt;/D&gt;&lt;D xsi:type="xsd:double"&gt;1520.883221&lt;/D&gt;&lt;D xsi:type="xsd:double"&gt;1548.478213&lt;/D&gt;&lt;D xsi:type="xsd:double"&gt;1552.627419&lt;/D&gt;&lt;D xsi:type="xsd:double"&gt;1540.083814&lt;/D&gt;&lt;D xsi:type="xsd:double"&gt;1531.754059&lt;/D&gt;&lt;D xsi:type="xsd:double"&gt;1513.305616&lt;/D&gt;&lt;D xsi:type="xsd:double"&gt;1507.459098&lt;/D&gt;&lt;D xsi:type="xsd:double"&gt;1498.240373&lt;/D&gt;&lt;D xsi:type="xsd:double"&gt;1473.367903&lt;/D&gt;&lt;D xsi:type="xsd:double"&gt;1494.529735&lt;/D&gt;&lt;D xsi:type="xsd:double"&gt;1517.374992&lt;/D&gt;&lt;D xsi:type="xsd:double"&gt;1539.499713&lt;/D&gt;&lt;D xsi:type="xsd:double"&gt;1531.424165&lt;/D&gt;&lt;D xsi:type="xsd:double"&gt;1554.91123&lt;/D&gt;&lt;D xsi:type="xsd:double"&gt;1589.526002&lt;/D&gt;&lt;D xsi:type="xsd:double"&gt;1563.853588&lt;/D&gt;&lt;D xsi:type="xsd:double"&gt;1554.456972&lt;/D&gt;&lt;D xsi:type="xsd:double"&gt;1542.177521&lt;/D&gt;&lt;D xsi:type="xsd:double"&gt;1564.855594&lt;/D&gt;&lt;D xsi:type="xsd:double"&gt;1556.333699&lt;/D&gt;&lt;D xsi:type="xsd:double"&gt;1565.811315&lt;/D&gt;&lt;D xsi:type="xsd:double"&gt;1564.223217&lt;/D&gt;&lt;D xsi:type="xsd:double"&gt;1555.569694&lt;/D&gt;&lt;D xsi:type="xsd:double"&gt;1579.148294&lt;/D&gt;&lt;D xsi:type="xsd:double"&gt;1614.7923&lt;/D&gt;&lt;D xsi:type="xsd:double"&gt;1622.687772&lt;/D&gt;&lt;D xsi:type="xsd:double"&gt;1645.824436&lt;/D&gt;&lt;D xsi:type="xsd:double"&gt;1642.19893&lt;/D&gt;&lt;D xsi:type="xsd:double"&gt;1654.908641&lt;/D&gt;&lt;D xsi:type="xsd:double"&gt;1643.917118&lt;/D&gt;&lt;D xsi:type="xsd:double"&gt;1651.85476&lt;/D&gt;&lt;D xsi:type="xsd:double"&gt;1654.045447&lt;/D&gt;&lt;D xsi:type="xsd:double"&gt;1654.799586&lt;/D&gt;&lt;D xsi:type="xsd:double"&gt;1646.208457&lt;/D&gt;&lt;D xsi:type="xsd:double"&gt;1625.100086&lt;/D&gt;&lt;D xsi:type="xsd:double"&gt;1622.900951&lt;/D&gt;&lt;D xsi:type="xsd:double"&gt;1635.763278&lt;/D&gt;&lt;D xsi:type="xsd:double"&gt;1631.374008&lt;/D&gt;&lt;D xsi:type="xsd:double"&gt;1624.259853&lt;/D&gt;&lt;D xsi:type="xsd:double"&gt;1624.386632&lt;/D&gt;&lt;D xsi:type="xsd:double"&gt;1616.86582&lt;/D&gt;&lt;D xsi:type="xsd:double"&gt;1602.359909&lt;/D&gt;&lt;D xsi:type="xsd:double"&gt;1596.359513&lt;/D&gt;&lt;D xsi:type="xsd:double"&gt;1588.192595&lt;/D&gt;&lt;D xsi:type="xsd:double"&gt;1587.825033&lt;/D&gt;&lt;D xsi:type="xsd:double"&gt;1593.491588&lt;/D&gt;&lt;D xsi:type="xsd:double"&gt;1598.100063&lt;/D&gt;&lt;D xsi:type="xsd:double"&gt;1610.324889&lt;/D&gt;&lt;D xsi:type="xsd:double"&gt;1611.226185&lt;/D&gt;&lt;D xsi:type="xsd:double"&gt;1619.845706&lt;/D&gt;&lt;D xsi:type="xsd:double"&gt;1619.39476&lt;/D&gt;&lt;D xsi:type="xsd:double"&gt;1619.220082&lt;/D&gt;&lt;D xsi:type="xsd:double"&gt;1603.091666&lt;/D&gt;&lt;D xsi:type="xsd:double"&gt;1589.469055&lt;/D&gt;&lt;D xsi:type="xsd:double"&gt;1578.059318&lt;/D&gt;&lt;D xsi:type="xsd:double"&gt;1591.331765&lt;/D&gt;&lt;D xsi:type="xsd:double"&gt;1585.932891&lt;/D&gt;&lt;D xsi:type="xsd:double"&gt;1584.769782&lt;/D&gt;&lt;D xsi:type="xsd:double"&gt;1607.747138&lt;/D&gt;&lt;D xsi:type="xsd:double"&gt;1624.571486&lt;/D&gt;&lt;D xsi:type="xsd:double"&gt;1630.057645&lt;/D&gt;&lt;D xsi:type="xsd:double"&gt;1625.21929&lt;/D&gt;&lt;D xsi:type="xsd:double"&gt;1616.871376&lt;/D&gt;&lt;D xsi:type="xsd:double"&gt;1608.609868&lt;/D&gt;&lt;D xsi:type="xsd:double"&gt;1605.75328&lt;/D&gt;&lt;D xsi:type="xsd:double"&gt;1599.402862&lt;/D&gt;&lt;D xsi:type="xsd:double"&gt;1596.959658&lt;/D&gt;&lt;D xsi:type="xsd:double"&gt;1612.597604&lt;/D&gt;&lt;D xsi:type="xsd:double"&gt;1607.105516&lt;/D&gt;&lt;D xsi:type="xsd:double"&gt;1605.406172&lt;/D&gt;&lt;D xsi:type="xsd:double"&gt;1604.615271&lt;/D&gt;&lt;D xsi:type="xsd:double"&gt;1595.410136&lt;/D&gt;&lt;D xsi:type="xsd:double"&gt;1598.195732&lt;/D&gt;&lt;D xsi:type="xsd:double"&gt;1594.404842&lt;/D&gt;&lt;D xsi:type="xsd:double"&gt;1593.206349&lt;/D&gt;&lt;D xsi:type="xsd:double"&gt;1593.84122&lt;/D&gt;&lt;D xsi:type="xsd:double"&gt;1584.499119&lt;/D&gt;&lt;D xsi:type="xsd:double"&gt;1602.482702&lt;/D&gt;&lt;D xsi:type="xsd:double"&gt;1596.107864&lt;/D&gt;&lt;D xsi:type="xsd:double"&gt;1605.400783&lt;/D&gt;&lt;D xsi:type="xsd:double"&gt;1597.444881&lt;/D&gt;&lt;D xsi:type="xsd:double"&gt;1589.884665&lt;/D&gt;&lt;D xsi:type="xsd:double"&gt;1585.85261&lt;/D&gt;&lt;D xsi:type="xsd:double"&gt;1575.912547&lt;/D&gt;&lt;D xsi:type="xsd:double"&gt;1577.859595&lt;/D&gt;&lt;D xsi:type="xsd:double"&gt;1584.094226&lt;/D&gt;&lt;D xsi:type="xsd:double"&gt;1585.761878&lt;/D&gt;&lt;D xsi:type="xsd:double"&gt;1587.764002&lt;/D&gt;&lt;D xsi:type="xsd:double"&gt;1576.65789&lt;/D&gt;&lt;D xsi:type="xsd:double"&gt;1579.767217&lt;/D&gt;&lt;D xsi:type="xsd:double"&gt;1583.136173&lt;/D&gt;&lt;D xsi:type="xsd:double"&gt;1569.599787&lt;/D&gt;&lt;D xsi:type="xsd:double"&gt;1576.038238&lt;/D&gt;&lt;D xsi:type="xsd:double"&gt;1574.449094&lt;/D&gt;&lt;D xsi:type="xsd:double"&gt;1571.643138&lt;/D&gt;&lt;D xsi:type="xsd:double"&gt;1553.655057&lt;/D&gt;</t>
        </r>
      </text>
    </comment>
    <comment ref="A7" authorId="0" shapeId="0">
      <text>
        <r>
          <rPr>
            <b/>
            <sz val="9"/>
            <color indexed="81"/>
            <rFont val="Tahoma"/>
            <family val="2"/>
          </rPr>
          <t>&lt;D xsi:type="xsd:double"&gt;1548.971072&lt;/D&gt;&lt;D xsi:type="xsd:double"&gt;1544.235914&lt;/D&gt;&lt;D xsi:type="xsd:double"&gt;1549.777742&lt;/D&gt;&lt;D xsi:type="xsd:double"&gt;1540.706379&lt;/D&gt;&lt;D xsi:type="xsd:double"&gt;1542.406809&lt;/D&gt;&lt;D xsi:type="xsd:double"&gt;1538.172555&lt;/D&gt;&lt;D xsi:type="xsd:double"&gt;1532.390811&lt;/D&gt;&lt;D xsi:type="xsd:double"&gt;1518.173096&lt;/D&gt;&lt;D xsi:type="xsd:double"&gt;1514.180641&lt;/D&gt;&lt;D xsi:type="xsd:double"&gt;1515.93547&lt;/D&gt;&lt;D xsi:type="xsd:double"&gt;1510.352264&lt;/D&gt;&lt;D xsi:type="xsd:double"&gt;1518.367172&lt;/D&gt;&lt;D xsi:type="xsd:double"&gt;1525.060428&lt;/D&gt;&lt;D xsi:type="xsd:double"&gt;1526.852384&lt;/D&gt;&lt;D xsi:type="xsd:double"&gt;1524.834823&lt;/D&gt;&lt;D xsi:type="xsd:double"&gt;1512.179148&lt;/D&gt;&lt;D xsi:type="xsd:double"&gt;1496.908871&lt;/D&gt;&lt;D xsi:type="xsd:double"&gt;1486.486883&lt;/D&gt;&lt;D xsi:type="xsd:double"&gt;1469.670506&lt;/D&gt;&lt;D xsi:type="xsd:double"&gt;1471.285098&lt;/D&gt;&lt;D xsi:type="xsd:double"&gt;1456.19108&lt;/D&gt;&lt;D xsi:type="xsd:double"&gt;1469.545102&lt;/D&gt;&lt;D xsi:type="xsd:double"&gt;1490.43743&lt;/D&gt;&lt;D xsi:type="xsd:double"&gt;1485.229822&lt;/D&gt;&lt;D xsi:type="xsd:double"&gt;1483.503161&lt;/D&gt;&lt;D xsi:type="xsd:double"&gt;1470.365693&lt;/D&gt;&lt;D xsi:type="xsd:double"&gt;1467.819443&lt;/D&gt;&lt;D xsi:type="xsd:double"&gt;1447.570396&lt;/D&gt;&lt;D xsi:type="xsd:double"&gt;1470.038714&lt;/D&gt;&lt;D xsi:type="xsd:double"&gt;1481.531522&lt;/D&gt;&lt;D xsi:type="xsd:double"&gt;1490.440282&lt;/D&gt;&lt;D xsi:type="xsd:double"&gt;1503.41739&lt;/D&gt;&lt;D xsi:type="xsd:double"&gt;1541.713606&lt;/D&gt;&lt;D xsi:type="xsd:double"&gt;1538.93346&lt;/D&gt;&lt;D xsi:type="xsd:double"&gt;1535.928658&lt;/D&gt;&lt;D xsi:type="xsd:double"&gt;1534.369509&lt;/D&gt;&lt;D xsi:type="xsd:double"&gt;1540.345129&lt;/D&gt;&lt;D xsi:type="xsd:double"&gt;1536.73535&lt;/D&gt;&lt;D xsi:type="xsd:double"&gt;1538.959515&lt;/D&gt;&lt;D xsi:type="xsd:double"&gt;1533.82967&lt;/D&gt;&lt;D xsi:type="xsd:double"&gt;1517.244213&lt;/D&gt;&lt;D xsi:type="xsd:double"&gt;1506.229483&lt;/D&gt;&lt;D xsi:type="xsd:double"&gt;1513.763721&lt;/D&gt;&lt;D xsi:type="xsd:double"&gt;1516.788454&lt;/D&gt;&lt;D xsi:type="xsd:double"&gt;1522.242721&lt;/D&gt;&lt;D xsi:type="xsd:double"&gt;1517.527089&lt;/D&gt;&lt;D xsi:type="xsd:double"&gt;1512.411859&lt;/D&gt;&lt;D xsi:type="xsd:double"&gt;1515.724427&lt;/D&gt;&lt;D xsi:type="xsd:double"&gt;1514.085821&lt;/D&gt;&lt;D xsi:type="xsd:double"&gt;1500.231671&lt;/D&gt;&lt;D xsi:type="xsd:double"&gt;1496.763707&lt;/D&gt;&lt;D xsi:type="xsd:double"&gt;1488.967086&lt;/D&gt;&lt;D xsi:type="xsd:double"&gt;1487.301866&lt;/D&gt;&lt;D xsi:type="xsd:double"&gt;1495.444838&lt;/D&gt;&lt;D xsi:type="xsd:double"&gt;1505.980395&lt;/D&gt;&lt;D xsi:type="xsd:double"&gt;1496.532487&lt;/D&gt;&lt;D xsi:type="xsd:double"&gt;1490.114329&lt;/D&gt;&lt;D xsi:type="xsd:double"&gt;1493.558242&lt;/D&gt;&lt;D xsi:type="xsd:double"&gt;1487.814461&lt;/D&gt;&lt;D xsi:type="xsd:double"&gt;1490.637408&lt;/D&gt;&lt;D xsi:type="xsd:double"&gt;1490.199579&lt;/D&gt;&lt;D xsi:type="xsd:double"&gt;1487.556143&lt;/D&gt;&lt;D xsi:type="xsd:double"&gt;1475.485558&lt;/D&gt;&lt;D xsi:type="xsd:double"&gt;1465.336006&lt;/D&gt;&lt;D xsi:type="xsd:double"&gt;1472.72922&lt;/D&gt;&lt;D xsi:type="xsd:double"&gt;1471.379135&lt;/D&gt;&lt;D xsi:type="xsd:double"&gt;1469.801661&lt;/D&gt;&lt;D xsi:type="xsd:double"&gt;1484.353967&lt;/D&gt;&lt;D xsi:type="xsd:double"&gt;1488.630523&lt;/D&gt;&lt;D xsi:type="xsd:double"&gt;1483.577994&lt;/D&gt;&lt;D xsi:type="xsd:double"&gt;1486.636104&lt;/D&gt;&lt;D xsi:type="xsd:double"&gt;1486.322017&lt;/D&gt;&lt;D xsi:type="xsd:double"&gt;1474.818556&lt;/D&gt;&lt;D xsi:type="xsd:double"&gt;1472.988183&lt;/D&gt;&lt;D xsi:type="xsd:double"&gt;1479.413923&lt;/D&gt;&lt;D xsi:type="xsd:double"&gt;1483.747866&lt;/D&gt;&lt;D xsi:type="xsd:double"&gt;1479.924999&lt;/D&gt;&lt;D xsi:type="xsd:double"&gt;1479.964663&lt;/D&gt;&lt;D xsi:type="xsd:double"&gt;1483.770495&lt;/D&gt;&lt;D xsi:type="xsd:double"&gt;1483.737316&lt;/D&gt;&lt;D xsi:type="xsd:double"&gt;1474.731953&lt;/D&gt;&lt;D xsi:type="xsd:double"&gt;1471.437335&lt;/D&gt;&lt;D xsi:type="xsd:double"&gt;1469.067631&lt;/D&gt;&lt;D xsi:type="xsd:double"&gt;1469.489785&lt;/D&gt;&lt;D xsi:type="xsd:double"&gt;1468.722608&lt;/D&gt;&lt;D xsi:type="xsd:double"&gt;1469.25186&lt;/D&gt;&lt;D xsi:type="xsd:double"&gt;1467.549808&lt;/D&gt;&lt;D xsi:type="xsd:double"&gt;1462.027432&lt;/D&gt;&lt;D xsi:type="xsd:double"&gt;1452.985952&lt;/D&gt;&lt;D xsi:type="xsd:double"&gt;1455.165743&lt;/D&gt;&lt;D xsi:type="xsd:double"&gt;1450.328644&lt;/D&gt;&lt;D xsi:type="xsd:double"&gt;1433.701047&lt;/D&gt;&lt;D xsi:type="xsd:double"&gt;1432.77278&lt;/D&gt;&lt;D xsi:type="xsd:double"&gt;1447.924405&lt;/D&gt;&lt;D xsi:type="xsd:double"&gt;1449.075922&lt;/D&gt;&lt;D xsi:type="xsd:double"&gt;1439.377731&lt;/D&gt;&lt;D xsi:type="xsd:double"&gt;1435.603317&lt;/D&gt;&lt;D xsi:type="xsd:double"&gt;1439.753763&lt;/D&gt;&lt;D xsi:type="xsd:double"&gt;1442.00732&lt;/D&gt;&lt;D xsi:type="xsd:double"&gt;1440.877332&lt;/D&gt;&lt;D xsi:type="xsd:double"&gt;1436.754267&lt;/D&gt;&lt;D xsi:type="xsd:double"&gt;1430.22081&lt;/D&gt;&lt;D xsi:type="xsd:double"&gt;1431.870086&lt;/D&gt;&lt;D xsi:type="xsd:double"&gt;1428.555792&lt;/D&gt;&lt;D xsi:type="xsd:double"&gt;1433.313837&lt;/D&gt;&lt;D xsi:type="xsd:double"&gt;1436.012857&lt;/D&gt;&lt;D xsi:type="xsd:double"&gt;1427.166492&lt;/D&gt;&lt;D xsi:type="xsd:double"&gt;1413.907239&lt;/D&gt;&lt;D xsi:type="xsd:double"&gt;1416.78111&lt;/D&gt;&lt;D xsi:type="xsd:double"&gt;1419.294863&lt;/D&gt;&lt;D xsi:type="xsd:double"&gt;1422.926482&lt;/D&gt;&lt;D xsi:type="xsd:double"&gt;1420.791178&lt;/D&gt;&lt;D xsi:type="xsd:double"&gt;1424.878127&lt;/D&gt;&lt;D xsi:type="xsd:double"&gt;1430.039241&lt;/D&gt;&lt;D xsi:type="xsd:double"&gt;1421.221357&lt;/D&gt;&lt;D xsi:type="xsd:double"&gt;1414.912265&lt;/D&gt;&lt;D xsi:type="xsd:double"&gt;1414.448268&lt;/D&gt;&lt;D xsi:type="xsd:double"&gt;1409.579218&lt;/D&gt;&lt;D xsi:type="xsd:double"&gt;1406.380586&lt;/D&gt;&lt;D xsi:type="xsd:double"&gt;1401.879311&lt;/D&gt;&lt;D xsi:type="xsd:double"&gt;1397.962805&lt;/D&gt;&lt;D xsi:type="xsd:double"&gt;1405.166714&lt;/D&gt;&lt;D xsi:type="xsd:double"&gt;1398.122815&lt;/D&gt;&lt;D xsi:type="xsd:double"&gt;1394.935275&lt;/D&gt;&lt;D xsi:type="xsd:double"&gt;1385.170477&lt;/D&gt;&lt;D xsi:type="xsd:double"&gt;1387.724567&lt;/D&gt;&lt;D xsi:type="xsd:double"&gt;1385.517545&lt;/D&gt;&lt;D xsi:type="xsd:double"&gt;1383.805848&lt;/D&gt;&lt;D xsi:type="xsd:double"&gt;1390.591713&lt;/D&gt;&lt;D xsi:type="xsd:double"&gt;1381.244206&lt;/D&gt;&lt;D xsi:type="xsd:double"&gt;1373.268019&lt;/D&gt;&lt;D xsi:type="xsd:double"&gt;1375.567217&lt;/D&gt;&lt;D xsi:type="xsd:double"&gt;1373.367672&lt;/D&gt;&lt;D xsi:type="xsd:double"&gt;1375.816665&lt;/D&gt;&lt;D xsi:type="xsd:double"&gt;1373.835608&lt;/D&gt;&lt;D xsi:type="xsd:double"&gt;1364.746418&lt;/D&gt;&lt;D xsi:type="xsd:double"&gt;1357.265232&lt;/D&gt;&lt;D xsi:type="xsd:double"&gt;1354.458006&lt;/D&gt;&lt;D xsi:type="xsd:double"&gt;1360.112052&lt;/D&gt;&lt;D xsi:type="xsd:double"&gt;1359.431574&lt;/D&gt;&lt;D xsi:type="xsd:double"&gt;1354.816948&lt;/D&gt;&lt;D xsi:type="xsd:double"&gt;1357.586639&lt;/D&gt;&lt;D xsi:type="xsd:double"&gt;1355.098745&lt;/D&gt;&lt;D xsi:type="xsd:double"&gt;1356.582542&lt;/D&gt;&lt;D xsi:type="xsd:double"&gt;1353.515289&lt;/D&gt;&lt;D xsi:type="xsd:double"&gt;1349.30599&lt;/D&gt;&lt;D xsi:type="xsd:double"&gt;1337.718051&lt;/D&gt;&lt;D xsi:type="xsd:double"&gt;1344.475108&lt;/D&gt;&lt;D xsi:type="xsd:double"&gt;1343.010594&lt;/D&gt;&lt;D xsi:type="xsd:double"&gt;1355.843629&lt;/D&gt;&lt;D xsi:type="xsd:double"&gt;1370.823418&lt;/D&gt;&lt;D xsi:type="xsd:double"&gt;1365.171287&lt;/D&gt;&lt;D xsi:type="xsd:double"&gt;1358.871581&lt;/D&gt;&lt;D xsi:type="xsd:double"&gt;1358.69615&lt;/D&gt;&lt;D xsi:type="xsd:double"&gt;1353.584835&lt;/D&gt;&lt;D xsi:type="xsd:double"&gt;1350.510924&lt;/D&gt;&lt;D xsi:type="xsd:double"&gt;1345.063601&lt;/D&gt;&lt;D xsi:type="xsd:double"&gt;1348.523715&lt;/D&gt;&lt;D xsi:type="xsd:double"&gt;1348.503469&lt;/D&gt;&lt;D xsi:type="xsd:double"&gt;1354.183854&lt;/D&gt;&lt;D xsi:type="xsd:double"&gt;1354.353512&lt;/D&gt;&lt;D xsi:type="xsd:double"&gt;1354.906833&lt;/D&gt;&lt;D xsi:type="xsd:double"&gt;1354.747552&lt;/D&gt;&lt;D xsi:type="xsd:double"&gt;1351.791888&lt;/D&gt;&lt;D xsi:type="xsd:double"&gt;1338.812082&lt;/D&gt;&lt;D xsi:type="xsd:double"&gt;1323.134014&lt;/D&gt;&lt;D xsi:type="xsd:double"&gt;1318.502769&lt;/D&gt;&lt;D xsi:type="xsd:double"&gt;1322.276778&lt;/D&gt;&lt;D xsi:type="xsd:double"&gt;1326.958865&lt;/D&gt;&lt;D xsi:type="xsd:double"&gt;1324.231633&lt;/D&gt;&lt;D xsi:type="xsd:double"&gt;1324.403552&lt;/D&gt;&lt;D xsi:type="xsd:double"&gt;1335.694314&lt;/D&gt;&lt;D xsi:type="xsd:double"&gt;1327.089646&lt;/D&gt;&lt;D xsi:type="xsd:double"&gt;1330.664216&lt;/D&gt;&lt;D xsi:type="xsd:double"&gt;1318.657845&lt;/D&gt;&lt;D xsi:type="xsd:double"&gt;1327.233159&lt;/D&gt;&lt;D xsi:type="xsd:double"&gt;1328.160748&lt;/D&gt;&lt;D xsi:type="xsd:double"&gt;1313.624508&lt;/D&gt;&lt;D xsi:type="xsd:double"&gt;1303.988943&lt;/D&gt;&lt;D xsi:type="xsd:double"&gt;1303.926799&lt;/D&gt;&lt;D xsi:type="xsd:double"&gt;1295.760085&lt;/D&gt;&lt;D xsi:type="xsd:double"&gt;1279.854371&lt;/D&gt;&lt;D xsi:type="xsd:double"&gt;1288.240975&lt;/D&gt;&lt;D xsi:type="xsd:double"&gt;1285.121974&lt;/D&gt;&lt;D xsi:type="xsd:double"&gt;1260.976926&lt;/D&gt;&lt;D xsi:type="xsd:double"&gt;1266.101637&lt;/D&gt;&lt;D xsi:type="xsd:double"&gt;1274.684692&lt;/D&gt;&lt;D xsi:type="xsd:double"&gt;1289.897445&lt;/D&gt;&lt;D xsi:type="xsd:double"&gt;1305.84888&lt;/D&gt;&lt;D xsi:type="xsd:double"&gt;1318.011701&lt;/D&gt;&lt;D xsi:type="xsd:double"&gt;1319.839978&lt;/D&gt;&lt;D xsi:type="xsd:double"&gt;1319.11465&lt;/D&gt;&lt;D xsi:type="xsd:double"&gt;1320.019518&lt;/D&gt;&lt;D xsi:type="xsd:double"&gt;1313.973763&lt;/D&gt;&lt;D xsi:type="xsd:double"&gt;1327.957959&lt;/D&gt;&lt;D xsi:type="xsd:double"&gt;1319.93448&lt;/D&gt;&lt;D xsi:type="xsd:double"&gt;1299.161244&lt;/D&gt;&lt;D xsi:type="xsd:double"&gt;1273.366883&lt;/D&gt;&lt;D xsi:type="xsd:double"&gt;1274.310646&lt;/D&gt;&lt;D xsi:type="xsd:double"&gt;1281.197435&lt;/D&gt;&lt;D xsi:type="xsd:double"&gt;1277.425006&lt;/D&gt;&lt;D xsi:type="xsd:double"&gt;1279.571733&lt;/D&gt;&lt;D xsi:type="xsd:double"&gt;1280.152296&lt;/D&gt;&lt;D xsi:type="xsd:double"&gt;1270.338785&lt;/D&gt;&lt;D xsi:type="xsd:double"&gt;1269.093561&lt;/D&gt;&lt;D xsi:type="xsd:double"&gt;1278.098205&lt;/D&gt;&lt;D xsi:type="xsd:double"&gt;1277.059978&lt;/D&gt;&lt;D xsi:type="xsd:double"&gt;1250.878033&lt;/D&gt;&lt;D xsi:type="xsd:double"&gt;1243.938416&lt;/D&gt;&lt;D xsi:type="xsd:double"&gt;1269.594641&lt;/D&gt;&lt;D xsi:type="xsd:double"&gt;1283.848829&lt;/D&gt;&lt;D xsi:type="xsd:double"&gt;1276.068295&lt;/D&gt;&lt;D xsi:type="xsd:double"&gt;1298.126287&lt;/D&gt;&lt;D xsi:type="xsd:double"&gt;1306.005845&lt;/D&gt;&lt;D xsi:type="xsd:double"&gt;1326.149173&lt;/D&gt;&lt;D xsi:type="xsd:double"&gt;1342.763233&lt;/D&gt;&lt;D xsi:type="xsd:double"&gt;1332.020895&lt;/D&gt;&lt;D xsi:type="xsd:double"&gt;1322.246057&lt;/D&gt;&lt;D xsi:type="xsd:double"&gt;1319.753978&lt;/D&gt;&lt;D xsi:type="xsd:double"&gt;1332.425896&lt;/D&gt;&lt;D xsi:type="xsd:double"&gt;1319.740162&lt;/D&gt;&lt;D xsi:type="xsd:double"&gt;1306.63233&lt;/D&gt;&lt;D xsi:type="xsd:double"&gt;1314.305645&lt;/D&gt;&lt;D xsi:type="xsd:double"&gt;1308.23259&lt;/D&gt;&lt;D xsi:type="xsd:double"&gt;1321.98237&lt;/D&gt;&lt;D xsi:type="xsd:double"&gt;1325.071702&lt;/D&gt;&lt;D xsi:type="xsd:double"&gt;1336.154318&lt;/D&gt;&lt;D xsi:type="xsd:double"&gt;1360.57362&lt;/D&gt;&lt;D xsi:type="xsd:double"&gt;1363.720086&lt;/D&gt;&lt;D xsi:type="xsd:double"&gt;1373.124036&lt;/D&gt;&lt;D xsi:type="xsd:double"&gt;1391.14981&lt;/D&gt;&lt;D xsi:type="xsd:double"&gt;1402.546547&lt;/D&gt;&lt;D xsi:type="xsd:double"&gt;1406.275548&lt;/D&gt;&lt;D xsi:type="xsd:double"&gt;1402.192522&lt;/D&gt;&lt;D xsi:type="xsd:double"&gt;1399.604099&lt;/D&gt;&lt;D xsi:type="xsd:double"&gt;1383.952227&lt;/D&gt;&lt;D xsi:type="xsd:double"&gt;1377.577274&lt;/D&gt;&lt;D xsi:type="xsd:double"&gt;1385.430054&lt;/D&gt;&lt;D xsi:type="xsd:double"&gt;1375.206597&lt;/D&gt;&lt;D xsi:type="xsd:double"&gt;1373.383507&lt;/D&gt;&lt;D xsi:type="xsd:double"&gt;1374.534243&lt;/D&gt;&lt;D xsi:type="xsd:double"&gt;1369.507793&lt;/D&gt;&lt;D xsi:type="xsd:double"&gt;1364.385525&lt;/D&gt;&lt;D xsi:type="xsd:double"&gt;1365.409456&lt;/D&gt;&lt;D xsi:type="xsd:double"&gt;1370.009457&lt;/D&gt;&lt;D xsi:type="xsd:double"&gt;1363.76203&lt;/D&gt;&lt;D xsi:type="xsd:double"&gt;1363.389061&lt;/D&gt;&lt;D xsi:type="xsd:double"&gt;1353.870577&lt;/D&gt;&lt;D xsi:type="xsd:double"&gt;1339.330585&lt;/D&gt;&lt;D xsi:type="xsd:double"&gt;1334.900907&lt;/D&gt;&lt;D xsi:type="xsd:double"&gt;1333.491927&lt;/D&gt;&lt;D xsi:type="xsd:double"&gt;1337.234229&lt;/D&gt;&lt;D xsi:type="xsd:double"&gt;1347.243341&lt;/D&gt;&lt;D xsi:type="xsd:double"&gt;1346.285169&lt;/D&gt;&lt;D xsi:type="xsd:double"&gt;1358.549101&lt;/D&gt;&lt;D xsi:type="xsd:double"&gt;1356.249564&lt;/D&gt;&lt;D xsi:type="xsd:double"&gt;1350.578371&lt;/D&gt;&lt;D xsi:type="xsd:double"&gt;1343.337689&lt;/D&gt;&lt;D xsi:type="xsd:double"&gt;1335.069312&lt;/D&gt;&lt;D xsi:type="xsd:double"&gt;1342.9254&lt;/D&gt;&lt;D xsi:type="xsd:double"&gt;1332.28781&lt;/D&gt;&lt;D xsi:type="xsd:double"&gt;1328.79912&lt;/D&gt;&lt;D xsi:type="xsd:double"&gt;1333.873676&lt;/D&gt;&lt;D xsi:type="xsd:double"&gt;1335.516744&lt;/D&gt;&lt;D xsi:type="xsd:double"&gt;1330.181083&lt;/D&gt;&lt;D xsi:type="xsd:double"&gt;1337.315734&lt;/D&gt;&lt;D xsi:type="xsd:double"&gt;1332.258263&lt;/D&gt;&lt;D xsi:type="xsd:double"&gt;1340.145148&lt;/D&gt;&lt;D xsi:type="xsd:double"&gt;1338.582651&lt;/D&gt;&lt;D xsi:type="xsd:double"&gt;1334.481276&lt;/D&gt;&lt;D xsi:type="xsd:double"&gt;1330.390512&lt;/D&gt;&lt;D xsi:type="xsd:double"&gt;1325.378342&lt;/D&gt;&lt;D xsi:type="xsd:double"&gt;1312.833606&lt;/D&gt;&lt;D xsi:type="xsd:double"&gt;1303.841548&lt;/D&gt;&lt;D xsi:type="xsd:double"&gt;1299.059362&lt;/D&gt;&lt;D xsi:type="xsd:double"&gt;1295.720754&lt;/D&gt;&lt;D xsi:type="xsd:double"&gt;1298.577992&lt;/D&gt;&lt;D xsi:type="xsd:double"&gt;1308.704208&lt;/D&gt;&lt;D xsi:type="xsd:double"&gt;1311.698068&lt;/D&gt;&lt;D xsi:type="xsd:double"&gt;1314.15952&lt;/D&gt;&lt;D xsi:type="xsd:double"&gt;1316.333452&lt;/D&gt;&lt;D xsi:type="xsd:double"&gt;1309.450996&lt;/D&gt;&lt;D xsi:type="xsd:double"&gt;1319.067494&lt;/D&gt;&lt;D xsi:type="xsd:double"&gt;1313.122559&lt;/D&gt;&lt;D xsi:type="xsd:double"&gt;1311.657299&lt;/D&gt;&lt;D xsi:type="xsd:double"&gt;1308.602933&lt;/D&gt;&lt;D xsi:type="xsd:double"&gt;1302.690115&lt;/D&gt;&lt;D xsi:type="xsd:double"&gt;1301.876136&lt;/D&gt;&lt;D xsi:type="xsd:double"&gt;1303.182554&lt;/D&gt;&lt;D xsi:type="xsd:double"&gt;1295.821933&lt;/D&gt;&lt;D xsi:type="xsd:double"&gt;1293.619116&lt;/D&gt;&lt;D xsi:type="xsd:double"&gt;1286.072253&lt;/D&gt;&lt;D xsi:type="xsd:double"&gt;1291.207513&lt;/D&gt;&lt;D xsi:type="xsd:double"&gt;1293.822864&lt;/D&gt;&lt;D xsi:type="xsd:double"&gt;1288.608811&lt;/D&gt;&lt;D xsi:type="xsd:double"&gt;1289.579881&lt;/D&gt;&lt;D xsi:type="xsd:double"&gt;1297.848402&lt;/D&gt;&lt;D xsi:type="xsd:double"&gt;1296.126573&lt;/D&gt;&lt;D xsi:type="xsd:double"&gt;1304.517564&lt;/D&gt;&lt;D xsi:type="xsd:double"&gt;1314.581855&lt;/D&gt;&lt;D xsi:type="xsd:double"&gt;1313.213624&lt;/D&gt;&lt;D xsi:type="xsd:double"&gt;1311.63474&lt;/D&gt;&lt;D xsi:type="xsd:double"&gt;1311.68429&lt;/D&gt;&lt;D xsi:type="xsd:double"&gt;1301.378992&lt;/D&gt;&lt;D xsi:type="xsd:double"&gt;1291.0646&lt;/D&gt;&lt;D xsi:type="xsd:double"&gt;1289.022492&lt;/D&gt;&lt;D xsi:type="xsd:double"&gt;1286.604388&lt;/D&gt;&lt;D xsi:type="xsd:double"&gt;1281.701117&lt;/D&gt;&lt;D xsi:type="xsd:double"&gt;1296.505557&lt;/D&gt;&lt;D xsi:type="xsd:double"&gt;1285.169019&lt;/D&gt;&lt;D xsi:type="xsd:double"&gt;1295.453062&lt;/D&gt;&lt;D xsi:type="xsd:double"&gt;1306.768387&lt;/D&gt;&lt;D xsi:type="xsd:double"&gt;1307.644659&lt;/D&gt;&lt;D xsi:type="xsd:double"&gt;1311.643843&lt;/D&gt;&lt;D xsi:type="xsd:double"&gt;1304.191573&lt;/D&gt;&lt;D xsi:type="xsd:double"&gt;1309.423501&lt;/D&gt;&lt;D xsi:type="xsd:double"&gt;1308.152705&lt;/D&gt;&lt;D xsi:type="xsd:double"&gt;1295.402094&lt;/D&gt;&lt;D xsi:type="xsd:double"&gt;1295.114661&lt;/D&gt;&lt;D xsi:type="xsd:double"&gt;1281.299932&lt;/D&gt;&lt;D xsi:type="xsd:double"&gt;1257.775395&lt;/D&gt;&lt;D xsi:type="xsd:double"&gt;1266.524984&lt;/D&gt;&lt;D xsi:type="xsd:double"&gt;1268.084556&lt;/D&gt;&lt;D xsi:type="xsd:double"&gt;1264.092782&lt;/D&gt;&lt;D xsi:type="xsd:double"&gt;1270.982656&lt;/D&gt;&lt;D xsi:type="xsd:double"&gt;1270.024212&lt;/D&gt;&lt;D xsi:type="xsd:double"&gt;1265.16677&lt;/D&gt;&lt;D xsi:type="xsd:double"&gt;1262.173192&lt;/D&gt;&lt;D xsi:type="xsd:double"&gt;1263.552431&lt;/D&gt;&lt;D xsi:type="xsd:double"&gt;1267.82904&lt;/D&gt;&lt;D xsi:type="xsd:double"&gt;1264.652177&lt;/D&gt;&lt;D xsi:type="xsd:double"&gt;1270.94325&lt;/D&gt;&lt;D xsi:type="xsd:double"&gt;1264.885478&lt;/D&gt;&lt;D xsi:type="xsd:double"&gt;1260.547378&lt;/D&gt;&lt;D xsi:type="xsd:double"&gt;1252.590593&lt;/D&gt;&lt;D xsi:type="xsd:double"&gt;1248.681906&lt;/D&gt;&lt;D xsi:type="xsd:double"&gt;1248.200696&lt;/D&gt;&lt;D xsi:type="xsd:double"&gt;1252.667435&lt;/D&gt;&lt;D xsi:type="xsd:double"&gt;1249.715406&lt;/D&gt;&lt;D xsi:type="xsd:double"&gt;1249.706047&lt;/D&gt;&lt;D xsi:type="xsd:double"&gt;1244.462392&lt;/D&gt;&lt;D xsi:type="xsd:double"&gt;1231.412414&lt;/D&gt;&lt;D xsi:type="xsd:double"&gt;1237.86766&lt;/D&gt;&lt;D xsi:type="xsd:double"&gt;1238.787573&lt;/D&gt;&lt;D xsi:type="xsd:double"&gt;1243.399331&lt;/D&gt;&lt;D xsi:type="xsd:double"&gt;1243.801057&lt;/D&gt;&lt;D xsi:type="xsd:double"&gt;1236.456696&lt;/D&gt;&lt;D xsi:type="xsd:double"&gt;1234.075364&lt;/D&gt;&lt;D xsi:type="xsd:double"&gt;1227.142316&lt;/D&gt;&lt;D xsi:type="xsd:double"&gt;1221.32954&lt;/D&gt;&lt;D xsi:type="xsd:double"&gt;1207.996229&lt;/D&gt;&lt;D xsi:type="xsd:double"&gt;1208.201936&lt;/D&gt;&lt;D xsi:type="xsd:double"&gt;1213.604659&lt;/D&gt;&lt;D xsi:type="xsd:double"&gt;1216.387008&lt;/D&gt;&lt;D xsi:type="xsd:double"&gt;1210.525919&lt;/D&gt;&lt;D xsi:type="xsd:double"&gt;1206.001082&lt;/D&gt;&lt;D xsi:type="xsd:double"&gt;1206.973267&lt;/D&gt;&lt;D xsi:type="xsd:double"&gt;1209.4995&lt;/D&gt;&lt;D xsi:type="xsd:double"&gt;1207.148649&lt;/D&gt;&lt;D xsi:type="xsd:double"&gt;1212.79503&lt;/D&gt;&lt;D xsi:type="xsd:double"&gt;1205.806808&lt;/D&gt;&lt;D xsi:type="xsd:double"&gt;1194.768224&lt;/D&gt;&lt;D xsi:type="xsd:double"&gt;1193.880108&lt;/D&gt;&lt;D xsi:type="xsd:double"&gt;1182.674384&lt;/D&gt;&lt;D xsi:type="xsd:double"&gt;1175.406113&lt;/D&gt;&lt;D xsi:type="xsd:double"&gt;1182.942737&lt;/D&gt;&lt;D xsi:type="xsd:double"&gt;1184.785378&lt;/D&gt;&lt;D xsi:type="xsd:double"&gt;1180.77116&lt;/D&gt;&lt;D xsi:type="xsd:double"&gt;1168.07945&lt;/D&gt;&lt;D xsi:type="xsd:double"&gt;1167.330281&lt;/D&gt;&lt;D xsi:type="xsd:double"&gt;1175.271127&lt;/D&gt;&lt;D xsi:type="xsd:double"&gt;1171.675847&lt;/D&gt;&lt;D xsi:type="xsd:double"&gt;1183.663095&lt;/D&gt;&lt;D xsi:type="xsd:double"&gt;1183.861979&lt;/D&gt;&lt;D xsi:type="xsd:double"&gt;1173.847913&lt;/D&gt;&lt;D xsi:type="xsd:double"&gt;1182.559587&lt;/D&gt;&lt;D xsi:type="xsd:double"&gt;1188.743387&lt;/D&gt;&lt;D xsi:type="xsd:double"&gt;1188.197832&lt;/D&gt;&lt;D xsi:type="xsd:double"&gt;1193.96863&lt;/D&gt;&lt;D xsi:type="xsd:double"&gt;1193.670997&lt;/D&gt;&lt;D xsi:type="xsd:double"&gt;1200.793818&lt;/D&gt;&lt;D xsi:type="xsd:double"&gt;1216.462131&lt;/D&gt;&lt;D xsi:type="xsd:double"&gt;1220.773159&lt;/D&gt;&lt;D xsi:type="xsd:double"&gt;1224.314012&lt;/D&gt;&lt;D xsi:type="xsd:double"&gt;1221.83331&lt;/D&gt;&lt;D xsi:type="xsd:double"&gt;1213.589465&lt;/D&gt;&lt;D xsi:type="xsd:double"&gt;1207.466234&lt;/D&gt;&lt;D xsi:type="xsd:double"&gt;1211.515253&lt;/D&gt;&lt;D xsi:type="xsd:double"&gt;1204.527584&lt;/D&gt;&lt;D xsi:type="xsd:double"&gt;1205.746913&lt;/D&gt;&lt;D xsi:type="xsd:double"&gt;1208.63476&lt;/D&gt;&lt;D xsi:type="xsd:double"&gt;1215.615472&lt;/D&gt;&lt;D xsi:type="xsd:double"&gt;1217.008354&lt;/D&gt;&lt;D xsi:type="xsd:double"&gt;1220.981928&lt;/D&gt;&lt;D xsi:type="xsd:double"&gt;1214.248818&lt;/D&gt;&lt;D xsi:type="xsd:double"&gt;1215.582258&lt;/D&gt;&lt;D xsi:type="xsd:double"&gt;1214.614717&lt;/D&gt;&lt;D xsi:type="xsd:double"&gt;1222.76945&lt;/D&gt;&lt;D xsi:type="xsd:double"&gt;1225.585288&lt;/D&gt;&lt;D xsi:type="xsd:double"&gt;1215.60111&lt;/D&gt;&lt;D xsi:type="xsd:double"&gt;1220.613861&lt;/D&gt;&lt;D xsi:type="xsd:double"&gt;1218.802447&lt;/D&gt;&lt;D xsi:type="xsd:double"&gt;1207.354723&lt;/D&gt;&lt;D xsi:type="xsd:double"&gt;1206.305089&lt;/D&gt;&lt;D xsi:type="xsd:double"&gt;1194.807033&lt;/D&gt;&lt;D xsi:type="xsd:double"&gt;1181.430091&lt;/D&gt;&lt;D xsi:type="xsd:double"&gt;1184.885403&lt;/D&gt;&lt;D xsi:type="xsd:double"&gt;1184.727908&lt;/D&gt;&lt;D xsi:type="xsd:double"&gt;1189.05185&lt;/D&gt;&lt;D xsi:type="xsd:double"&gt;1189.088968&lt;/D&gt;&lt;D xsi:type="xsd:double"&gt;1193.397679&lt;/D&gt;&lt;D xsi:type="xsd:double"&gt;1198.705724&lt;/D&gt;&lt;D xsi:type="xsd:double"&gt;1190.993094&lt;/D&gt;&lt;D xsi:type="xsd:double"&gt;1187.979277&lt;/D&gt;&lt;D xsi:type="xsd:double"&gt;1195.966566&lt;/D&gt;&lt;D xsi:type="xsd:double"&gt;1198.409173&lt;/D&gt;&lt;D xsi:type="xsd:double"&gt;1207.454375&lt;/D&gt;&lt;D xsi:type="xsd:double"&gt;1208.195891&lt;/D&gt;&lt;D xsi:type="xsd:double"&gt;1211.997508&lt;/D&gt;&lt;D xsi:type="xsd:double"&gt;1203.61331&lt;/D&gt;&lt;D xsi:type="xsd:double"&gt;1196.365037&lt;/D&gt;&lt;D xsi:type="xsd:double"&gt;1189.959568&lt;/D&gt;&lt;D xsi:type="xsd:double"&gt;1187.876856&lt;/D&gt;&lt;D xsi:type="xsd:double"&gt;1198.234058&lt;/D&gt;&lt;D xsi:type="xsd:double"&gt;1204.735494&lt;/D&gt;&lt;D xsi:type="xsd:double"&gt;1201.072365&lt;/D&gt;&lt;D xsi:type="xsd:double"&gt;1192.053552&lt;/D&gt;&lt;D xsi:type="xsd:double"&gt;1188.164757&lt;/D&gt;&lt;D xsi:type="xsd:double"&gt;1190.040399&lt;/D&gt;&lt;D xsi:type="xsd:double"&gt;1183.333735&lt;/D&gt;&lt;D xsi:type="xsd:double"&gt;1177.804617&lt;/D&gt;&lt;D xsi:type="xsd:double"&gt;1178.778511&lt;/D&gt;&lt;D xsi:type="xsd:double"&gt;1182.14121&lt;/D&gt;&lt;D xsi:type="xsd:double"&gt;1179.107722&lt;/D&gt;&lt;D xsi:type="xsd:double"&gt;1176.353638&lt;/D&gt;&lt;D xsi:type="xsd:double"&gt;1173.400485&lt;/D&gt;&lt;D xsi:type="xsd:double"&gt;1170.745977&lt;/D&gt;&lt;D xsi:type="xsd:double"&gt;1173.751517&lt;/D&gt;&lt;D xsi:type="xsd:double"&gt;1175.488958&lt;/D&gt;&lt;D xsi:type="xsd:double"&gt;1171.404029&lt;/D&gt;&lt;D xsi:type="xsd:double"&gt;1173.612562&lt;/D&gt;&lt;D xsi:type="xsd:double"&gt;1168.24095&lt;/D&gt;&lt;D xsi:type="xsd:double"&gt;1156.70023&lt;/D&gt;&lt;D xsi:type="xsd:double"&gt;1145.157956&lt;/D&gt;&lt;D xsi:type="xsd:double"&gt;1149.985787&lt;/D&gt;&lt;D xsi:type="xsd:double"&gt;1151.990149&lt;/D&gt;&lt;D xsi:type="xsd:double"&gt;1147.833775&lt;/D&gt;&lt;D xsi:type="xsd:double"&gt;1148.813064&lt;/D&gt;&lt;D xsi:type="xsd:double"&gt;1153.772262&lt;/D&gt;&lt;D xsi:type="xsd:double"&gt;1153.873948&lt;/D&gt;&lt;D xsi:type="xsd:double"&gt;1147.079536&lt;/D&gt;&lt;D xsi:type="xsd:double"&gt;1149.811195&lt;/D&gt;&lt;D xsi:type="xsd:double"&gt;1157.164368&lt;/D&gt;&lt;D xsi:type="xsd:double"&gt;1165.044027&lt;/D&gt;&lt;D xsi:type="xsd:double"&gt;1164.144088&lt;/D&gt;&lt;D xsi:type="xsd:double"&gt;1163.125948&lt;/D&gt;&lt;D xsi:type="xsd:double"&gt;1166.842419&lt;/D&gt;&lt;D xsi:type="xsd:double"&gt;1157.272847&lt;/D&gt;&lt;D xsi:type="xsd:double"&gt;1152.59367&lt;/D&gt;&lt;D xsi:type="xsd:double"&gt;1149.298456&lt;/D&gt;&lt;D xsi:type="xsd:double"&gt;1146.576206&lt;/D&gt;&lt;D xsi:type="xsd:double"&gt;1147.400096&lt;/D&gt;&lt;D xsi:type="xsd:double"&gt;1148.391419&lt;/D&gt;&lt;D xsi:type="xsd:double"&gt;1151.038452&lt;/D&gt;&lt;D xsi:type="xsd:double"&gt;1150.669216&lt;/D&gt;&lt;D xsi:type="xsd:double"&gt;1147.580057&lt;/D&gt;&lt;D xsi:type="xsd:double"&gt;1146.650953&lt;/D&gt;&lt;D xsi:type="xsd:double"&gt;1150.761739&lt;/D&gt;&lt;D xsi:type="xsd:double"&gt;1148.818832&lt;/D&gt;&lt;D xsi:type="xsd:double"&gt;1140.676843&lt;/D&gt;&lt;D xsi:type="xsd:double"&gt;1147.665864&lt;/D&gt;&lt;D xsi:type="xsd:double"&gt;1145.28037&lt;/D&gt;&lt;D xsi:type="xsd:double"&gt;1141.27215&lt;/D&gt;&lt;D xsi:type="xsd:double"&gt;1144.97272&lt;/D&gt;&lt;D xsi:type="xsd:double"&gt;1144.609891&lt;/D&gt;&lt;D xsi:type="xsd:double"&gt;1137.928388&lt;/D&gt;&lt;D xsi:type="xsd:double"&gt;1141.373461&lt;/D&gt;&lt;D xsi:type="xsd:double"&gt;1135.008036&lt;/D&gt;&lt;D xsi:type="xsd:double"&gt;1124.647712&lt;/D&gt;&lt;D xsi:type="xsd:double"&gt;1120.589879&lt;/D&gt;&lt;D xsi:type="xsd:double"&gt;1118.39839&lt;/D&gt;&lt;D xsi:type="xsd:double"&gt;1124.699816&lt;/D&gt;&lt;D xsi:type="xsd:double"&gt;1133.107224&lt;/D&gt;&lt;D xsi:type="xsd:double"&gt;1134.245734&lt;/D&gt;&lt;D xsi:type="xsd:double"&gt;1141.962482&lt;/D&gt;&lt;D xsi:type="xsd:double"&gt;1140.61454&lt;/D&gt;&lt;D xsi:type="xsd:double"&gt;1140.430095&lt;/D&gt;&lt;D xsi:type="xsd:double"&gt;1140.21987&lt;/D&gt;&lt;D xsi:type="xsd:double"&gt;1127.67736&lt;/D&gt;&lt;D xsi:type="xsd:double"&gt;1125.761037&lt;/D&gt;&lt;D xsi:type="xsd:double"&gt;1123.64164&lt;/D&gt;&lt;D xsi:type="xsd:double"&gt;1114.972891&lt;/D&gt;&lt;D xsi:type="xsd:double"&gt;1123.713805&lt;/D&gt;&lt;D xsi:type="xsd:double"&gt;1126.467829&lt;/D&gt;&lt;D xsi:type="xsd:double"&gt;1134.120083&lt;/D&gt;&lt;D xsi:type="xsd:double"&gt;1129.85907&lt;/D&gt;&lt;D xsi:type="xsd:double"&gt;1129.81765&lt;/D&gt;&lt;D xsi:type="xsd:double"&gt;1118.484188&lt;/D&gt;&lt;D xsi:type="xsd:double"&gt;1126.469394&lt;/D&gt;&lt;D xsi:type="xsd:double"&gt;1117.008604&lt;/D&gt;&lt;D xsi:type="xsd:double"&gt;1123.822654&lt;/D&gt;&lt;D xsi:type="xsd:double"&gt;1137.408298&lt;/D&gt;&lt;D xsi:type="xsd:double"&gt;1149.368179&lt;/D&gt;&lt;D xsi:type="xsd:double"&gt;1154.076614&lt;/D&gt;&lt;D xsi:type="xsd:double"&gt;1155.576044&lt;/D&gt;&lt;D xsi:type="xsd:double"&gt;1153.652126&lt;/D&gt;&lt;D xsi:type="xsd:double"&gt;1159.550608&lt;/D&gt;&lt;D xsi:type="xsd:double"&gt;1152.668826&lt;/D&gt;&lt;D xsi:type="xsd:double"&gt;1149.170472&lt;/D&gt;&lt;D xsi:type="xsd:double"&gt;1142.453839&lt;/D&gt;&lt;D xsi:type="xsd:double"&gt;1148.163544&lt;/D&gt;&lt;D xsi:type="xsd:double"&gt;1151.183791&lt;/D&gt;&lt;D xsi:type="xsd:double"&gt;1148.343539&lt;/D&gt;&lt;D xsi:type="xsd:double"&gt;1140.060098&lt;/D&gt;&lt;D xsi:type="xsd:double"&gt;1145.626726&lt;/D&gt;&lt;D xsi:type="xsd:double"&gt;1146.521677&lt;/D&gt;&lt;D xsi:type="xsd:double"&gt;1147.590081&lt;/D&gt;&lt;D xsi:type="xsd:double"&gt;1157.412848&lt;/D&gt;&lt;D xsi:type="xsd:double"&gt;1162.077891&lt;/D&gt;&lt;D xsi:type="xsd:double"&gt;1169.190721&lt;/D&gt;&lt;D xsi:type="xsd:double"&gt;1170.849987&lt;/D&gt;&lt;D xsi:type="xsd:double"&gt;1172.151794&lt;/D&gt;&lt;D xsi:type="xsd:double"&gt;1178.015981&lt;/D&gt;&lt;D xsi:type="xsd:double"&gt;1180.79567&lt;/D&gt;&lt;D xsi:type="xsd:double"&gt;1181.573611&lt;/D&gt;&lt;D xsi:type="xsd:double"&gt;1183.329823&lt;/D&gt;&lt;D xsi:type="xsd:double"&gt;1185.56326&lt;/D&gt;&lt;D xsi:type="xsd:double"&gt;1193.001568&lt;/D&gt;&lt;D xsi:type="xsd:double"&gt;1192.303907&lt;/D&gt;&lt;D xsi:type="xsd:double"&gt;1192.427094&lt;/D&gt;&lt;D xsi:type="xsd:double"&gt;1178.780075&lt;/D&gt;&lt;D xsi:type="xsd:double"&gt;1177.943407&lt;/D&gt;&lt;D xsi:type="xsd:double"&gt;1179.964&lt;/D&gt;&lt;D xsi:type="xsd:double"&gt;1176.702634&lt;/D&gt;&lt;D xsi:type="xsd:double"&gt;1177.135561&lt;/D&gt;&lt;D xsi:type="xsd:double"&gt;1165.42915&lt;/D&gt;&lt;D xsi:type="xsd:double"&gt;1160.736967&lt;/D&gt;&lt;D xsi:type="xsd:double"&gt;1162.934638&lt;/D&gt;&lt;D xsi:type="xsd:double"&gt;1169.156905&lt;/D&gt;&lt;D xsi:type="xsd:double"&gt;1167.526019&lt;/D&gt;&lt;D xsi:type="xsd:double"&gt;1169.647072&lt;/D&gt;&lt;D xsi:type="xsd:double"&gt;1172.317913&lt;/D&gt;&lt;D xsi:type="xsd:double"&gt;1168.618382&lt;/D&gt;&lt;D xsi:type="xsd:double"&gt;1163.29631&lt;/D&gt;&lt;D xsi:type="xsd:double"&gt;1156.068011&lt;/D&gt;&lt;D xsi:type="xsd:double"&gt;1149.077479&lt;/D&gt;&lt;D xsi:type="xsd:double"&gt;1154.026626&lt;/D&gt;&lt;D xsi:type="xsd:double"&gt;1156.228554&lt;/D&gt;&lt;D xsi:type="xsd:double"&gt;1157.969262&lt;/D&gt;&lt;D xsi:type="xsd:double"&gt;1147.036487&lt;/D&gt;&lt;D xsi:type="xsd:double"&gt;1152.682501&lt;/D&gt;&lt;D xsi:type="xsd:double"&gt;1147.972232&lt;/D&gt;&lt;D xsi:type="xsd:double"&gt;1142.349958&lt;/D&gt;&lt;D xsi:type="xsd:double"&gt;1133.394537&lt;/D&gt;&lt;D xsi:type="xsd:double"&gt;1137.933018&lt;/D&gt;&lt;D xsi:type="xsd:double"&gt;1137.960256&lt;/D&gt;&lt;D xsi:type="xsd:double"&gt;1128.650305&lt;/D&gt;&lt;D xsi:type="xsd:double"&gt;1128.371661&lt;/D&gt;&lt;D xsi:type="xsd:double"&gt;1128.218459&lt;/D&gt;&lt;D xsi:type="xsd:double"&gt;1130.987366&lt;/D&gt;&lt;D xsi:type="xsd:double"&gt;1141.44973&lt;/D&gt;&lt;D xsi:type="xsd:double"&gt;1146.442425&lt;/D&gt;&lt;D xsi:type="xsd:double"&gt;1141.071894&lt;/D&gt;&lt;D xsi:type="xsd:double"&gt;1138.803218&lt;/D&gt;&lt;D xsi:type="xsd:double"&gt;1145.902871&lt;/D&gt;&lt;D xsi:type="xsd:double"&gt;1141.113941&lt;/D&gt;&lt;D xsi:type="xsd:double"&gt;1144.147142&lt;/D&gt;&lt;D xsi:type="xsd:double"&gt;1139.905518&lt;/D&gt;&lt;D xsi:type="xsd:double"&gt;1142.084962&lt;/D&gt;&lt;D xsi:type="xsd:double"&gt;1142.251903&lt;/D&gt;&lt;D xsi:type="xsd:double"&gt;1148.834701&lt;/D&gt;&lt;D xsi:type="xsd:double"&gt;1161.534831&lt;/D&gt;&lt;D xsi:type="xsd:double"&gt;1169.340622&lt;/D&gt;&lt;D xsi:type="xsd:double"&gt;1169.97711&lt;/D&gt;&lt;D xsi:type="xsd:double"&gt;1165.80757&lt;/D&gt;&lt;D xsi:type="xsd:double"&gt;1167.715393&lt;/D&gt;&lt;D xsi:type="xsd:double"&gt;1162.886601&lt;/D&gt;&lt;D xsi:type="xsd:double"&gt;1159.71501&lt;/D&gt;&lt;D xsi:type="xsd:double"&gt;1155.542849&lt;/D&gt;&lt;D xsi:type="xsd:double"&gt;1150.13575&lt;/D&gt;&lt;D xsi:type="xsd:double"&gt;1146.194473&lt;/D&gt;&lt;D xsi:type="xsd:double"&gt;1139.285833&lt;/D&gt;&lt;D xsi:type="xsd:double"&gt;1146.055708&lt;/D&gt;&lt;D xsi:type="xsd:double"&gt;1150.456052&lt;/D&gt;&lt;D xsi:type="xsd:double"&gt;1142.969117&lt;/D&gt;&lt;D xsi:type="xsd:double"&gt;1139.604762&lt;/D&gt;&lt;D xsi:type="xsd:double"&gt;1128.094988&lt;/D&gt;&lt;D xsi:type="xsd:double"&gt;1129.511232&lt;/D&gt;&lt;D xsi:type="xsd:double"&gt;1130.694473&lt;/D&gt;&lt;D xsi:type="xsd:double"&gt;1135.333645&lt;/D&gt;&lt;D xsi:type="xsd:double"&gt;1142.741037&lt;/D&gt;&lt;D xsi:type="xsd:double"&gt;1144.320253&lt;/D&gt;&lt;D xsi:type="xsd:double"&gt;1141.060897&lt;/D&gt;&lt;D xsi:type="xsd:double"&gt;1139.469982&lt;/D&gt;&lt;D xsi:type="xsd:double"&gt;1127.33914&lt;/D&gt;&lt;D xsi:type="xsd:double"&gt;1132.527294&lt;/D&gt;&lt;D xsi:type="xsd:double"&gt;1132.844872&lt;/D&gt;&lt;D xsi:type="xsd:double"&gt;1127.099541&lt;/D&gt;&lt;D xsi:type="xsd:double"&gt;1121.921302&lt;/D&gt;&lt;D xsi:type="xsd:double"&gt;1120.438603&lt;/D&gt;&lt;D xsi:type="xsd:double"&gt;1121.204876&lt;/D&gt;&lt;D xsi:type="xsd:double"&gt;1127.013987&lt;/D&gt;&lt;D xsi:type="xsd:double"&gt;1128.173576&lt;/D&gt;&lt;D xsi:type="xsd:double"&gt;1119.348999&lt;/D&gt;&lt;D xsi:type="xsd:double"&gt;1124.590806&lt;/D&gt;&lt;D xsi:type="xsd:double"&gt;1122.83631&lt;/D&gt;&lt;D xsi:type="xsd:double"&gt;1112.223072&lt;/D&gt;&lt;D xsi:type="xsd:double"&gt;1104.666983&lt;/D&gt;&lt;D xsi:type="xsd:double"&gt;1105.4858&lt;/D&gt;&lt;D xsi:type="xsd:double"&gt;1107.600568&lt;/D&gt;&lt;D xsi:type="xsd:double"&gt;1108.502301&lt;/D&gt;&lt;D xsi:type="xsd:double"&gt;1102.023954&lt;/D&gt;&lt;D xsi:type="xsd:double"&gt;1090.383603&lt;/D&gt;&lt;D xsi:type="xsd:double"&gt;1078.922401&lt;/D&gt;&lt;D xsi:type="xsd:double"&gt;1075.616747&lt;/D&gt;&lt;D xsi:type="xsd:double"&gt;1072.698343&lt;/D&gt;&lt;D xsi:type="xsd:double"&gt;1072.650525&lt;/D&gt;&lt;D xsi:type="xsd:double"&gt;1068.275864&lt;/D&gt;&lt;D xsi:type="xsd:double"&gt;1056.370721&lt;/D&gt;&lt;D xsi:type="xsd:double"&gt;1047.084031&lt;/D&gt;&lt;D xsi:type="xsd:double"&gt;1049.822169&lt;/D&gt;&lt;D xsi:type="xsd:double"&gt;1054.674204&lt;/D&gt;&lt;D xsi:type="xsd:double"&gt;1051.090852&lt;/D&gt;&lt;D xsi:type="xsd:double"&gt;1052.375545&lt;/D&gt;&lt;D xsi:type="xsd:double"&gt;1053.42303&lt;/D&gt;&lt;D xsi:type="xsd:double"&gt;1051.215132&lt;/D&gt;&lt;D xsi:type="xsd:double"&gt;1047.008543&lt;/D&gt;&lt;D xsi:type="xsd:double"&gt;1051.656907&lt;/D&gt;&lt;D xsi:type="xsd:double"&gt;1056.891245&lt;/D&gt;&lt;D xsi:type="xsd:double"&gt;1064.647925&lt;/D&gt;&lt;D xsi:type="xsd:double"&gt;1064.102785&lt;/D&gt;&lt;D xsi:type="xsd:double"&gt;1064.868399&lt;/D&gt;&lt;D xsi:type="xsd:double"&gt;1071.90075&lt;/D&gt;&lt;D xsi:type="xsd:double"&gt;1067.61718&lt;/D&gt;&lt;D xsi:type="xsd:double"&gt;1066.110219&lt;/D&gt;&lt;D xsi:type="xsd:double"&gt;1062.846929&lt;/D&gt;&lt;D xsi:type="xsd:double"&gt;1047.860626&lt;/D&gt;&lt;D xsi:type="xsd:double"&gt;1044.859868&lt;/D&gt;&lt;D xsi:type="xsd:double"&gt;1040.56093&lt;/D&gt;&lt;D xsi:type="xsd:double"&gt;1035.593848&lt;/D&gt;&lt;D xsi:type="xsd:double"&gt;1041.525618&lt;/D&gt;&lt;D xsi:type="xsd:double"&gt;1042.203413&lt;/D&gt;&lt;D xsi:type="xsd:double"&gt;1045.285166&lt;/D&gt;&lt;D xsi:type="xsd:double"&gt;1055.968817&lt;/D&gt;&lt;D xsi:type="xsd:double"&gt;1047.570854&lt;/D&gt;&lt;D xsi:type="xsd:double"&gt;1051.617122&lt;/D&gt;&lt;D xsi:type="xsd:double"&gt;1047.800348&lt;/D&gt;&lt;D xsi:type="xsd:double"&gt;1044.593282&lt;/D&gt;&lt;D xsi:type="xsd:double"&gt;1055.038924&lt;/D&gt;&lt;D xsi:type="xsd:double"&gt;1052.734615&lt;/D&gt;&lt;D xsi:type="xsd:double"&gt;1049.522295&lt;/D&gt;&lt;D xsi:type="xsd:double"&gt;1042.288832&lt;/D&gt;&lt;D xsi:type="xsd:double"&gt;1043.58665&lt;/D&gt;&lt;D xsi:type="xsd:double"&gt;1045.126818&lt;/D&gt;&lt;D xsi:type="xsd:double"&gt;1036.243188&lt;/D&gt;&lt;D xsi:type="xsd:double"&gt;1041.493066&lt;/D&gt;&lt;D xsi:type="xsd:double"&gt;1034.345831&lt;/D&gt;&lt;D xsi:type="xsd:double"&gt;1029.630751&lt;/D&gt;&lt;D xsi:type="xsd:double"&gt;1026.992477&lt;/D&gt;&lt;D xsi:type="xsd:double"&gt;1032.599592&lt;/D&gt;&lt;D xsi:type="xsd:double"&gt;1029.25959&lt;/D&gt;&lt;D xsi:type="xsd:double"&gt;1026.451002&lt;/D&gt;&lt;D xsi:type="xsd:double"&gt;1020.92041&lt;/D&gt;&lt;D xsi:type="xsd:double"&gt;1022.954528&lt;/D&gt;&lt;D xsi:type="xsd:double"&gt;1023.343701&lt;/D&gt;&lt;D xsi:type="xsd:double"&gt;1020.512324&lt;/D&gt;&lt;D xsi:type="xsd:double"&gt;1018.036496&lt;/D&gt;&lt;D xsi:type="xsd:double"&gt;1010.980549&lt;/D&gt;&lt;D xsi:type="xsd:double"&gt;1008.436041&lt;/D&gt;&lt;D xsi:type="xsd:double"&gt;999.322489&lt;/D&gt;&lt;D xsi:type="xsd:double"&gt;997.726464&lt;/D&gt;&lt;D xsi:type="xsd:double"&gt;1005.115767&lt;/D&gt;&lt;D xsi:type="xsd:double"&gt;1011.003484&lt;/D&gt;&lt;D xsi:type="xsd:double"&gt;1000.76662&lt;/D&gt;&lt;D xsi:type="xsd:double"&gt;1003.809184&lt;/D&gt;&lt;D xsi:type="xsd:double"&gt;1013.364525&lt;/D&gt;&lt;D xsi:type="xsd:double"&gt;1022.498668&lt;/D&gt;&lt;D xsi:type="xsd:double"&gt;1027.710248&lt;/D&gt;&lt;D xsi:type="xsd:double"&gt;1029.562114&lt;/D&gt;&lt;D xsi:type="xsd:double"&gt;1026.991246&lt;/D&gt;&lt;D xsi:type="xsd:double"&gt;1024.313098&lt;/D&gt;&lt;D xsi:type="xsd:double"&gt;1017.889707&lt;/D&gt;&lt;D xsi:type="xsd:double"&gt;1016.544351&lt;/D&gt;&lt;D xsi:type="xsd:double"&gt;1012.909263&lt;/D&gt;&lt;D xsi:type="xsd:double"&gt;1016.779028&lt;/D&gt;&lt;D xsi:type="xsd:double"&gt;1027.720526&lt;/D&gt;&lt;D xsi:type="xsd:double"&gt;1030.261371&lt;/D&gt;&lt;D xsi:type="xsd:double"&gt;1039.617117&lt;/D&gt;&lt;D xsi:type="xsd:double"&gt;1037.692411&lt;/D&gt;&lt;D xsi:type="xsd:double"&gt;1039.197125&lt;/D&gt;&lt;D xsi:type="xsd:double"&gt;1038.089612&lt;/D&gt;&lt;D xsi:type="xsd:double"&gt;1044.645894&lt;/D&gt;&lt;D xsi:type="xsd:double"&gt;1046.969369&lt;/D&gt;&lt;D xsi:type="xsd:double"&gt;1048.748359&lt;/D&gt;&lt;D xsi:type="xsd:double"&gt;1047.731283&lt;/D&gt;&lt;D xsi:type="xsd:double"&gt;1044.66233&lt;/D&gt;&lt;D xsi:type="xsd:double"&gt;1048.479309&lt;/D&gt;&lt;D xsi:type="xsd:double"&gt;1045.166116&lt;/D&gt;&lt;D xsi:type="xsd:double"&gt;1054.753784&lt;/D&gt;&lt;D xsi:type="xsd:double"&gt;1056.450041&lt;/D&gt;&lt;D xsi:type="xsd:double"&gt;1062.513508&lt;/D&gt;&lt;D xsi:type="xsd:double"&gt;1061.008511&lt;/D&gt;&lt;D xsi:type="xsd:double"&gt;1063.592451&lt;/D&gt;&lt;D xsi:type="xsd:double"&gt;1059.648035&lt;/D&gt;&lt;D xsi:type="xsd:double"&gt;1064.663427&lt;/D&gt;&lt;D xsi:type="xsd:double"&gt;1059.486819&lt;/D&gt;&lt;D xsi:type="xsd:double"&gt;1053.216812&lt;/D&gt;&lt;D xsi:type="xsd:double"&gt;1054.894445&lt;/D&gt;&lt;D xsi:type="xsd:double"&gt;1056.674552&lt;/D&gt;&lt;D xsi:type="xsd:double"&gt;1053.16198&lt;/D&gt;&lt;D xsi:type="xsd:double"&gt;1052.395981&lt;/D&gt;&lt;D xsi:type="xsd:double"&gt;1048.328624&lt;/D&gt;&lt;D xsi:type="xsd:double"&gt;1042.392627&lt;/D&gt;&lt;D xsi:type="xsd:double"&gt;1055.642161&lt;/D&gt;&lt;D xsi:type="xsd:double"&gt;1051.611222&lt;/D&gt;&lt;D xsi:type="xsd:double"&gt;1062.658612&lt;/D&gt;&lt;D xsi:type="xsd:double"&gt;1061.623381&lt;/D&gt;&lt;D xsi:type="xsd:double"&gt;1043.434545&lt;/D&gt;&lt;D xsi:type="xsd:double"&gt;1037.840689&lt;/D&gt;&lt;D xsi:type="xsd:double"&gt;1044.900809&lt;/D&gt;&lt;D xsi:type="xsd:double"&gt;1041.62637&lt;/D&gt;&lt;D xsi:type="xsd:double"&gt;1041.845393&lt;/D&gt;&lt;D xsi:type="xsd:double"&gt;1043.90215&lt;/D&gt;&lt;D xsi:type="xsd:double"&gt;1033.011269&lt;/D&gt;&lt;D xsi:type="xsd:double"&gt;1027.876823&lt;/D&gt;&lt;D xsi:type="xsd:double"&gt;1017.577212&lt;/D&gt;&lt;D xsi:type="xsd:double"&gt;1016.320339&lt;/D&gt;&lt;D xsi:type="xsd:double"&gt;1008.611992&lt;/D&gt;&lt;D xsi:type="xsd:double"&gt;1014.131668&lt;/D&gt;&lt;D xsi:type="xsd:double"&gt;1003.912672&lt;/D&gt;&lt;D xsi:type="xsd:double"&gt;997.019208&lt;/D&gt;&lt;D xsi:type="xsd:double"&gt;1006.938322&lt;/D&gt;&lt;D xsi:type="xsd:double"&gt;1009.326666&lt;/D&gt;&lt;D xsi:type="xsd:double"&gt;1012.057414&lt;/D&gt;&lt;D xsi:type="xsd:double"&gt;1008.611174&lt;/D&gt;&lt;D xsi:type="xsd:double"&gt;1001.658524&lt;/D&gt;&lt;D xsi:type="xsd:double"&gt;1025.131328&lt;/D&gt;&lt;D xsi:type="xsd:double"&gt;1041.640521&lt;/D&gt;&lt;D xsi:type="xsd:double"&gt;1053.893621&lt;/D&gt;&lt;D xsi:type="xsd:double"&gt;1049.174919&lt;/D&gt;&lt;D xsi:type="xsd:double"&gt;1041.700376&lt;/D&gt;&lt;D xsi:type="xsd:double"&gt;1035.657355&lt;/D&gt;&lt;D xsi:type="xsd:double"&gt;1042.878062&lt;/D&gt;&lt;D xsi:type="xsd:double"&gt;1048.309373&lt;/D&gt;&lt;D xsi:type="xsd:double"&gt;1064.146903&lt;/D&gt;&lt;D xsi:type="xsd:double"&gt;1063.657146&lt;/D&gt;&lt;D xsi:type="xsd:double"&gt;1063.692145&lt;/D&gt;&lt;D xsi:type="xsd:double"&gt;1061.689331&lt;/D&gt;&lt;D xsi:type="xsd:double"&gt;1052.078066&lt;/D&gt;&lt;D xsi:type="xsd:double"&gt;1054.720119&lt;/D&gt;&lt;D xsi:type="xsd:double"&gt;1062.886819&lt;/D&gt;&lt;D xsi:type="xsd:double"&gt;1062.589877&lt;/D&gt;&lt;D xsi:type="xsd:double"&gt;1054.61836&lt;/D&gt;&lt;D xsi:type="xsd:double"&gt;1056.301796&lt;/D&gt;&lt;D xsi:type="xsd:double"&gt;1064.561425&lt;/D&gt;&lt;D xsi:type="xsd:double"&gt;1075.594611&lt;/D&gt;&lt;D xsi:type="xsd:double"&gt;1073.283882&lt;/D&gt;&lt;D xsi:type="xsd:double"&gt;1074.756599&lt;/D&gt;&lt;D xsi:type="xsd:double"&gt;1075.615149&lt;/D&gt;&lt;D xsi:type="xsd:double"&gt;1077.05185&lt;/D&gt;&lt;D xsi:type="xsd:double"&gt;1073.326597&lt;/D&gt;&lt;D xsi:type="xsd:double"&gt;1068.465074&lt;/D&gt;&lt;D xsi:type="xsd:double"&gt;1059.156753&lt;/D&gt;&lt;D xsi:type="xsd:double"&gt;1055.978889&lt;/D&gt;&lt;D xsi:type="xsd:double"&gt;1052.70899&lt;/D&gt;&lt;D xsi:type="xsd:double"&gt;1039.98&lt;/D&gt;&lt;D xsi:type="xsd:double"&gt;1039.868028&lt;/D&gt;&lt;D xsi:type="xsd:double"&gt;1025.894809&lt;/D&gt;&lt;D xsi:type="xsd:double"&gt;1028.753433&lt;/D&gt;&lt;D xsi:type="xsd:double"&gt;1030.270359&lt;/D&gt;&lt;D xsi:type="xsd:double"&gt;1043.961297&lt;/D&gt;&lt;D xsi:type="xsd:double"&gt;1050.841989&lt;/D&gt;&lt;D xsi:type="xsd:double"&gt;1049.5596&lt;/D&gt;&lt;D xsi:type="xsd:double"&gt;1039.732994&lt;/D&gt;&lt;D xsi:type="xsd:double"&gt;1030.144146&lt;/D&gt;&lt;D xsi:type="xsd:double"&gt;1041.9345&lt;/D&gt;&lt;D xsi:type="xsd:double"&gt;1037.080316&lt;/D&gt;&lt;D xsi:type="xsd:double"&gt;1055.026474&lt;/D&gt;&lt;D xsi:type="xsd:double"&gt;1071.21597&lt;/D&gt;&lt;D xsi:type="xsd:double"&gt;1075.524291&lt;/D&gt;&lt;D xsi:type="xsd:double"&gt;1082.160324&lt;/D&gt;&lt;D xsi:type="xsd:double"&gt;1074.161805&lt;/D&gt;&lt;D xsi:type="xsd:double"&gt;1069.358498&lt;/D&gt;&lt;D xsi:type="xsd:double"&gt;1074.816006&lt;/D&gt;&lt;D xsi:type="xsd:double"&gt;1081.07668&lt;/D&gt;&lt;D xsi:type="xsd:double"&gt;1068.647596&lt;/D&gt;&lt;D xsi:type="xsd:double"&gt;1066.04015&lt;/D&gt;&lt;D xsi:type="xsd:double"&gt;1067.52171&lt;/D&gt;&lt;D xsi:type="xsd:double"&gt;1067.676275&lt;/D&gt;&lt;D xsi:type="xsd:double"&gt;1070.409553&lt;/D&gt;&lt;D xsi:type="xsd:double"&gt;1070.7328&lt;/D&gt;&lt;D xsi:type="xsd:double"&gt;1079.220626&lt;/D&gt;&lt;D xsi:type="xsd:double"&gt;1082.278134&lt;/D&gt;&lt;D xsi:type="xsd:double"&gt;1085.795463&lt;/D&gt;&lt;D xsi:type="xsd:double"&gt;1074.316183&lt;/D&gt;&lt;D xsi:type="xsd:double"&gt;1078.052438&lt;/D&gt;&lt;D xsi:type="xsd:double"&gt;1076.262087&lt;/D&gt;&lt;D xsi:type="xsd:double"&gt;1069.771927&lt;/D&gt;&lt;D xsi:type="xsd:double"&gt;1065.996041&lt;/D&gt;&lt;D xsi:type="xsd:double"&gt;1064.195239&lt;/D&gt;&lt;D xsi:type="xsd:double"&gt;1051.357112&lt;/D&gt;&lt;D xsi:type="xsd:double"&gt;1048.375262&lt;/D&gt;&lt;D xsi:type="xsd:double"&gt;1057.776461&lt;/D&gt;&lt;D xsi:type="xsd:double"&gt;1055.640051&lt;/D&gt;&lt;D xsi:type="xsd:double"&gt;1052.288549&lt;/D&gt;&lt;D xsi:type="xsd:double"&gt;1053.869265&lt;/D&gt;&lt;D xsi:type="xsd:double"&gt;1061.352262&lt;/D&gt;&lt;D xsi:type="xsd:double"&gt;1069.614914&lt;/D&gt;&lt;D xsi:type="xsd:double"&gt;1073.841262&lt;/D&gt;&lt;D xsi:type="xsd:double"&gt;1071.693135&lt;/D&gt;&lt;D xsi:type="xsd:double"&gt;1073.706722&lt;/D&gt;&lt;D xsi:type="xsd:double"&gt;1072.508552&lt;/D&gt;&lt;D xsi:type="xsd:double"&gt;1065.002158&lt;/D&gt;&lt;D xsi:type="xsd:double"&gt;1059.630559&lt;/D&gt;&lt;D xsi:type="xsd:double"&gt;1056.716921&lt;/D&gt;&lt;D xsi:type="xsd:double"&gt;1059.702632&lt;/D&gt;&lt;D xsi:type="xsd:double"&gt;1054.595896&lt;/D&gt;&lt;D xsi:type="xsd:double"&gt;1058.006943&lt;/D&gt;&lt;D xsi:type="xsd:double"&gt;1056.784571&lt;/D&gt;&lt;D xsi:type="xsd:double"&gt;1059.435564&lt;/D&gt;&lt;D xsi:type="xsd:double"&gt;1052.089226&lt;/D&gt;&lt;D xsi:type="xsd:double"&gt;1054.328191&lt;/</t>
        </r>
      </text>
    </comment>
    <comment ref="A8" authorId="0" shapeId="0">
      <text>
        <r>
          <rPr>
            <b/>
            <sz val="9"/>
            <color indexed="81"/>
            <rFont val="Tahoma"/>
            <family val="2"/>
          </rPr>
          <t>D&gt;&lt;D xsi:type="xsd:double"&gt;1051.889019&lt;/D&gt;&lt;D xsi:type="xsd:double"&gt;1038.06045&lt;/D&gt;&lt;D xsi:type="xsd:double"&gt;1036.318265&lt;/D&gt;&lt;D xsi:type="xsd:double"&gt;1032.264932&lt;/D&gt;&lt;D xsi:type="xsd:double"&gt;1028.181762&lt;/D&gt;&lt;D xsi:type="xsd:double"&gt;1018.307586&lt;/D&gt;&lt;D xsi:type="xsd:double"&gt;1016.696561&lt;/D&gt;&lt;D xsi:type="xsd:double"&gt;1015.887817&lt;/D&gt;&lt;D xsi:type="xsd:double"&gt;1012.461065&lt;/D&gt;&lt;D xsi:type="xsd:double"&gt;1008.523022&lt;/D&gt;&lt;D xsi:type="xsd:double"&gt;1007.168725&lt;/D&gt;&lt;D xsi:type="xsd:double"&gt;997.984428&lt;/D&gt;&lt;D xsi:type="xsd:double"&gt;997.056692&lt;/D&gt;&lt;D xsi:type="xsd:double"&gt;995.878297&lt;/D&gt;&lt;D xsi:type="xsd:double"&gt;995.216543&lt;/D&gt;&lt;D xsi:type="xsd:double"&gt;989.474913&lt;/D&gt;&lt;D xsi:type="xsd:double"&gt;983.09266&lt;/D&gt;&lt;D xsi:type="xsd:double"&gt;987.475739&lt;/D&gt;&lt;D xsi:type="xsd:double"&gt;990.686895&lt;/D&gt;&lt;D xsi:type="xsd:double"&gt;987.820996&lt;/D&gt;&lt;D xsi:type="xsd:double"&gt;992.251766&lt;/D&gt;&lt;D xsi:type="xsd:double"&gt;990.529899&lt;/D&gt;&lt;D xsi:type="xsd:double"&gt;989.34956&lt;/D&gt;&lt;D xsi:type="xsd:double"&gt;988.272089&lt;/D&gt;&lt;D xsi:type="xsd:double"&gt;976.019023&lt;/D&gt;&lt;D xsi:type="xsd:double"&gt;974.718051&lt;/D&gt;&lt;D xsi:type="xsd:double"&gt;968.170861&lt;/D&gt;&lt;D xsi:type="xsd:double"&gt;965.535066&lt;/D&gt;&lt;D xsi:type="xsd:double"&gt;955.978237&lt;/D&gt;&lt;D xsi:type="xsd:double"&gt;954.115395&lt;/D&gt;&lt;D xsi:type="xsd:double"&gt;957.418661&lt;/D&gt;&lt;D xsi:type="xsd:double"&gt;956.49454&lt;/D&gt;&lt;D xsi:type="xsd:double"&gt;957.911081&lt;/D&gt;&lt;D xsi:type="xsd:double"&gt;970.017471&lt;/D&gt;&lt;D xsi:type="xsd:double"&gt;972.72779&lt;/D&gt;&lt;D xsi:type="xsd:double"&gt;968.243546&lt;/D&gt;&lt;D xsi:type="xsd:double"&gt;958.32435&lt;/D&gt;&lt;D xsi:type="xsd:double"&gt;962.816912&lt;/D&gt;&lt;D xsi:type="xsd:double"&gt;967.327036&lt;/D&gt;&lt;D xsi:type="xsd:double"&gt;964.50355&lt;/D&gt;&lt;D xsi:type="xsd:double"&gt;964.089295&lt;/D&gt;&lt;D xsi:type="xsd:double"&gt;967.230545&lt;/D&gt;&lt;D xsi:type="xsd:double"&gt;966.841096&lt;/D&gt;&lt;D xsi:type="xsd:double"&gt;962.707074&lt;/D&gt;&lt;D xsi:type="xsd:double"&gt;964.589022&lt;/D&gt;&lt;D xsi:type="xsd:double"&gt;963.82245&lt;/D&gt;&lt;D xsi:type="xsd:double"&gt;960.510079&lt;/D&gt;&lt;D xsi:type="xsd:double"&gt;949.993684&lt;/D&gt;&lt;D xsi:type="xsd:double"&gt;946.113573&lt;/D&gt;&lt;D xsi:type="xsd:double"&gt;947.078934&lt;/D&gt;&lt;D xsi:type="xsd:double"&gt;953.54058&lt;/D&gt;&lt;D xsi:type="xsd:double"&gt;965.055538&lt;/D&gt;&lt;D xsi:type="xsd:double"&gt;963.094136&lt;/D&gt;&lt;D xsi:type="xsd:double"&gt;959.427428&lt;/D&gt;&lt;D xsi:type="xsd:double"&gt;967.054053&lt;/D&gt;&lt;D xsi:type="xsd:double"&gt;963.245754&lt;/D&gt;&lt;D xsi:type="xsd:double"&gt;964.297808&lt;/D&gt;&lt;D xsi:type="xsd:double"&gt;961.551426&lt;/D&gt;&lt;D xsi:type="xsd:double"&gt;956.272883&lt;/D&gt;&lt;D xsi:type="xsd:double"&gt;953.811903&lt;/D&gt;&lt;D xsi:type="xsd:double"&gt;947.361074&lt;/D&gt;&lt;D xsi:type="xsd:double"&gt;951.584952&lt;/D&gt;&lt;D xsi:type="xsd:double"&gt;946.826156&lt;/D&gt;&lt;D xsi:type="xsd:double"&gt;944.228669&lt;/D&gt;&lt;D xsi:type="xsd:double"&gt;933.32607&lt;/D&gt;&lt;D xsi:type="xsd:double"&gt;928.394682&lt;/D&gt;&lt;D xsi:type="xsd:double"&gt;909.64133&lt;/D&gt;&lt;D xsi:type="xsd:double"&gt;916.904136&lt;/D&gt;&lt;D xsi:type="xsd:double"&gt;912.187888&lt;/D&gt;&lt;D xsi:type="xsd:double"&gt;918.88958&lt;/D&gt;&lt;D xsi:type="xsd:double"&gt;925.676491&lt;/D&gt;&lt;D xsi:type="xsd:double"&gt;935.666972&lt;/D&gt;&lt;D xsi:type="xsd:double"&gt;932.745458&lt;/D&gt;&lt;D xsi:type="xsd:double"&gt;942.483744&lt;/D&gt;&lt;D xsi:type="xsd:double"&gt;944.095136&lt;/D&gt;&lt;D xsi:type="xsd:double"&gt;933.316797&lt;/D&gt;&lt;D xsi:type="xsd:double"&gt;931.848466&lt;/D&gt;&lt;D xsi:type="xsd:double"&gt;921.604978&lt;/D&gt;&lt;D xsi:type="xsd:double"&gt;922.988474&lt;/D&gt;&lt;D xsi:type="xsd:double"&gt;919.340579&lt;/D&gt;&lt;D xsi:type="xsd:double"&gt;918.010553&lt;/D&gt;&lt;D xsi:type="xsd:double"&gt;927.774544&lt;/D&gt;&lt;D xsi:type="xsd:double"&gt;931.5765&lt;/D&gt;&lt;D xsi:type="xsd:double"&gt;922.872352&lt;/D&gt;&lt;D xsi:type="xsd:double"&gt;924.453321&lt;/D&gt;&lt;D xsi:type="xsd:double"&gt;922.909225&lt;/D&gt;&lt;D xsi:type="xsd:double"&gt;916.592281&lt;/D&gt;&lt;D xsi:type="xsd:double"&gt;905.323801&lt;/D&gt;&lt;D xsi:type="xsd:double"&gt;901.241779&lt;/D&gt;&lt;D xsi:type="xsd:double"&gt;897.030441&lt;/D&gt;&lt;D xsi:type="xsd:double"&gt;895.155478&lt;/D&gt;&lt;D xsi:type="xsd:double"&gt;896.485335&lt;/D&gt;&lt;D xsi:type="xsd:double"&gt;897.740252&lt;/D&gt;&lt;D xsi:type="xsd:double"&gt;904.558635&lt;/D&gt;&lt;D xsi:type="xsd:double"&gt;903.239532&lt;/D&gt;&lt;D xsi:type="xsd:double"&gt;902.644349&lt;/D&gt;&lt;D xsi:type="xsd:double"&gt;901.284678&lt;/D&gt;&lt;D xsi:type="xsd:double"&gt;895.259149&lt;/D&gt;&lt;D xsi:type="xsd:double"&gt;894.786678&lt;/D&gt;&lt;D xsi:type="xsd:double"&gt;887.779661&lt;/D&gt;&lt;D xsi:type="xsd:double"&gt;889.21092&lt;/D&gt;&lt;D xsi:type="xsd:double"&gt;882.790166&lt;/D&gt;&lt;D xsi:type="xsd:double"&gt;878.398793&lt;/D&gt;&lt;D xsi:type="xsd:double"&gt;875.53347&lt;/D&gt;&lt;D xsi:type="xsd:double"&gt;869.976079&lt;/D&gt;&lt;D xsi:type="xsd:double"&gt;872.990758&lt;/D&gt;&lt;D xsi:type="xsd:double"&gt;880.925222&lt;/D&gt;&lt;D xsi:type="xsd:double"&gt;880.788606&lt;/D&gt;&lt;D xsi:type="xsd:double"&gt;887.780441&lt;/D&gt;&lt;D xsi:type="xsd:double"&gt;886.781055&lt;/D&gt;&lt;D xsi:type="xsd:double"&gt;891.688432&lt;/D&gt;&lt;D xsi:type="xsd:double"&gt;896.436624&lt;/D&gt;&lt;D xsi:type="xsd:double"&gt;894.612477&lt;/D&gt;&lt;D xsi:type="xsd:double"&gt;885.975782&lt;/D&gt;&lt;D xsi:type="xsd:double"&gt;883.999141&lt;/D&gt;&lt;D xsi:type="xsd:double"&gt;880.353542&lt;/D&gt;&lt;D xsi:type="xsd:double"&gt;874.567083&lt;/D&gt;&lt;D xsi:type="xsd:double"&gt;881.667533&lt;/D&gt;&lt;D xsi:type="xsd:double"&gt;874.813318&lt;/D&gt;&lt;D xsi:type="xsd:double"&gt;886.413429&lt;/D&gt;&lt;D xsi:type="xsd:double"&gt;892.497003&lt;/D&gt;&lt;D xsi:type="xsd:double"&gt;897.449678&lt;/D&gt;&lt;D xsi:type="xsd:double"&gt;889.533208&lt;/D&gt;&lt;D xsi:type="xsd:double"&gt;884.99237&lt;/D&gt;&lt;D xsi:type="xsd:double"&gt;894.786078&lt;/D&gt;&lt;D xsi:type="xsd:double"&gt;898.612516&lt;/D&gt;&lt;D xsi:type="xsd:double"&gt;897.993269&lt;/D&gt;&lt;D xsi:type="xsd:double"&gt;885.823434&lt;/D&gt;&lt;D xsi:type="xsd:double"&gt;886.364889&lt;/D&gt;&lt;D xsi:type="xsd:double"&gt;874.431752&lt;/D&gt;&lt;D xsi:type="xsd:double"&gt;871.065708&lt;/D&gt;&lt;D xsi:type="xsd:double"&gt;874.177336&lt;/D&gt;&lt;D xsi:type="xsd:double"&gt;877.820469&lt;/D&gt;&lt;D xsi:type="xsd:double"&gt;876.456201&lt;/D&gt;&lt;D xsi:type="xsd:double"&gt;877.848503&lt;/D&gt;&lt;D xsi:type="xsd:double"&gt;880.920538&lt;/D&gt;&lt;D xsi:type="xsd:double"&gt;894.190931&lt;/D&gt;&lt;D xsi:type="xsd:double"&gt;893.20636&lt;/D&gt;&lt;D xsi:type="xsd:double"&gt;905.355001&lt;/D&gt;&lt;D xsi:type="xsd:double"&gt;907.260082&lt;/D&gt;&lt;D xsi:type="xsd:double"&gt;903.273561&lt;/D&gt;&lt;D xsi:type="xsd:double"&gt;887.463291&lt;/D&gt;&lt;D xsi:type="xsd:double"&gt;894.313821&lt;/D&gt;&lt;D xsi:type="xsd:double"&gt;892.272077&lt;/D&gt;&lt;D xsi:type="xsd:double"&gt;879.567224&lt;/D&gt;&lt;D xsi:type="xsd:double"&gt;875.64606&lt;/D&gt;&lt;D xsi:type="xsd:double"&gt;883.293181&lt;/D&gt;&lt;D xsi:type="xsd:double"&gt;881.732164&lt;/D&gt;&lt;D xsi:type="xsd:double"&gt;875.957673&lt;/D&gt;&lt;D xsi:type="xsd:double"&gt;865.86517&lt;/D&gt;&lt;D xsi:type="xsd:double"&gt;865.511393&lt;/D&gt;&lt;D xsi:type="xsd:double"&gt;857.649033&lt;/D&gt;&lt;D xsi:type="xsd:double"&gt;852.526185&lt;/D&gt;&lt;D xsi:type="xsd:double"&gt;850.655965&lt;/D&gt;&lt;D xsi:type="xsd:double"&gt;847.740054&lt;/D&gt;&lt;D xsi:type="xsd:double"&gt;836.939832&lt;/D&gt;&lt;D xsi:type="xsd:double"&gt;834.240986&lt;/D&gt;&lt;D xsi:type="xsd:double"&gt;826.242954&lt;/D&gt;&lt;D xsi:type="xsd:double"&gt;826.132343&lt;/D&gt;&lt;D xsi:type="xsd:double"&gt;826.253561&lt;/D&gt;&lt;D xsi:type="xsd:double"&gt;844.286402&lt;/D&gt;&lt;D xsi:type="xsd:double"&gt;843.039712&lt;/D&gt;&lt;D xsi:type="xsd:double"&gt;838.026879&lt;/D&gt;&lt;D xsi:type="xsd:double"&gt;838.565304&lt;/D&gt;&lt;D xsi:type="xsd:double"&gt;839.966041&lt;/D&gt;&lt;D xsi:type="xsd:double"&gt;831.393686&lt;/D&gt;&lt;D xsi:type="xsd:double"&gt;821.617973&lt;/D&gt;&lt;D xsi:type="xsd:double"&gt;830.663353&lt;/D&gt;&lt;D xsi:type="xsd:double"&gt;834.826168&lt;/D&gt;&lt;D xsi:type="xsd:double"&gt;824.162549&lt;/D&gt;&lt;D xsi:type="xsd:double"&gt;822.497934&lt;/D&gt;&lt;D xsi:type="xsd:double"&gt;814.951727&lt;/D&gt;&lt;D xsi:type="xsd:double"&gt;813.302452&lt;/D&gt;&lt;D xsi:type="xsd:double"&gt;808.135669&lt;/D&gt;&lt;D xsi:type="xsd:double"&gt;806.666&lt;/D&gt;&lt;D xsi:type="xsd:double"&gt;794.409&lt;/D&gt;&lt;D xsi:type="xsd:double"&gt;805.296&lt;/D&gt;&lt;D xsi:type="xsd:double"&gt;810.797&lt;/D&gt;&lt;D xsi:type="xsd:double"&gt;803.888&lt;/D&gt;&lt;D xsi:type="xsd:double"&gt;790.628&lt;/D&gt;&lt;D xsi:type="xsd:double"&gt;792.656&lt;/D&gt;&lt;D xsi:type="xsd:double"&gt;782.68&lt;/D&gt;&lt;D xsi:type="xsd:double"&gt;789.094&lt;/D&gt;&lt;D xsi:type="xsd:double"&gt;781.179&lt;/D&gt;&lt;D xsi:type="xsd:double"&gt;770.296&lt;/D&gt;&lt;D xsi:type="xsd:double"&gt;772.938&lt;/D&gt;&lt;D xsi:type="xsd:double"&gt;771.811&lt;/D&gt;&lt;D xsi:type="xsd:double"&gt;778.792&lt;/D&gt;&lt;D xsi:type="xsd:double"&gt;782.854&lt;/D&gt;&lt;D xsi:type="xsd:double"&gt;774.865&lt;/D&gt;&lt;D xsi:type="xsd:double"&gt;771.598&lt;/D&gt;&lt;D xsi:type="xsd:double"&gt;773.24&lt;/D&gt;&lt;D xsi:type="xsd:double"&gt;756.638&lt;/D&gt;&lt;D xsi:type="xsd:double"&gt;748.628&lt;/D&gt;&lt;D xsi:type="xsd:double"&gt;762.954&lt;/D&gt;&lt;D xsi:type="xsd:double"&gt;766.602&lt;/D&gt;&lt;D xsi:type="xsd:double"&gt;770.102&lt;/D&gt;&lt;D xsi:type="xsd:double"&gt;771.798&lt;/D&gt;&lt;D xsi:type="xsd:double"&gt;764.795&lt;/D&gt;&lt;D xsi:type="xsd:double"&gt;785.873&lt;/D&gt;&lt;D xsi:type="xsd:double"&gt;770.799&lt;/D&gt;&lt;D xsi:type="xsd:double"&gt;768.823&lt;/D&gt;&lt;D xsi:type="xsd:double"&gt;762.883&lt;/D&gt;&lt;D xsi:type="xsd:double"&gt;760.214&lt;/D&gt;&lt;D xsi:type="xsd:double"&gt;740.352&lt;/D&gt;&lt;D xsi:type="xsd:double"&gt;732.313&lt;/D&gt;&lt;D xsi:type="xsd:double"&gt;710.794&lt;/D&gt;&lt;D xsi:type="xsd:double"&gt;716.176&lt;/D&gt;&lt;D xsi:type="xsd:double"&gt;721.252&lt;/D&gt;&lt;D xsi:type="xsd:double"&gt;737.976&lt;/D&gt;&lt;D xsi:type="xsd:double"&gt;739.075&lt;/D&gt;&lt;D xsi:type="xsd:double"&gt;745.768&lt;/D&gt;&lt;D xsi:type="xsd:double"&gt;742.542&lt;/D&gt;&lt;D xsi:type="xsd:double"&gt;752.712&lt;/D&gt;&lt;D xsi:type="xsd:double"&gt;752.864&lt;/D&gt;&lt;D xsi:type="xsd:double"&gt;746.792&lt;/D&gt;&lt;D xsi:type="xsd:double"&gt;741.42&lt;/D&gt;&lt;D xsi:type="xsd:double"&gt;747.713&lt;/D&gt;&lt;D xsi:type="xsd:double"&gt;753.139&lt;/D&gt;&lt;D xsi:type="xsd:double"&gt;763.519&lt;/D&gt;&lt;D xsi:type="xsd:double"&gt;757.089&lt;/D&gt;&lt;D xsi:type="xsd:double"&gt;761.159&lt;/D&gt;&lt;D xsi:type="xsd:double"&gt;768.08&lt;/D&gt;&lt;D xsi:type="xsd:double"&gt;754.254&lt;/D&gt;&lt;D xsi:type="xsd:double"&gt;742.415&lt;/D&gt;&lt;D xsi:type="xsd:double"&gt;742.731&lt;/D&gt;&lt;D xsi:type="xsd:double"&gt;750.675&lt;/D&gt;&lt;D xsi:type="xsd:double"&gt;750.648&lt;/D&gt;&lt;D xsi:type="xsd:double"&gt;750.077&lt;/D&gt;&lt;D xsi:type="xsd:double"&gt;756.983&lt;/D&gt;&lt;D xsi:type="xsd:double"&gt;765.281&lt;/D&gt;&lt;D xsi:type="xsd:double"&gt;764.514&lt;/D&gt;&lt;D xsi:type="xsd:double"&gt;774.548&lt;/D&gt;&lt;D xsi:type="xsd:double"&gt;767.478&lt;/D&gt;&lt;D xsi:type="xsd:double"&gt;762.445&lt;/D&gt;&lt;D xsi:type="xsd:double"&gt;769.991&lt;/D&gt;&lt;D xsi:type="xsd:double"&gt;766.396&lt;/D&gt;&lt;D xsi:type="xsd:double"&gt;761.209&lt;/D&gt;&lt;D xsi:type="xsd:double"&gt;777.969&lt;/D&gt;&lt;D xsi:type="xsd:double"&gt;792.893&lt;/D&gt;&lt;D xsi:type="xsd:double"&gt;786.962&lt;/D&gt;&lt;D xsi:type="xsd:double"&gt;795.879&lt;/D&gt;&lt;D xsi:type="xsd:double"&gt;808.766&lt;/D&gt;&lt;D xsi:type="xsd:double"&gt;818.893&lt;/D&gt;&lt;D xsi:type="xsd:double"&gt;821.253&lt;/D&gt;&lt;D xsi:type="xsd:double"&gt;830.673&lt;/D&gt;&lt;D xsi:type="xsd:double"&gt;824.671&lt;/D&gt;&lt;D xsi:type="xsd:double"&gt;824.474&lt;/D&gt;&lt;D xsi:type="xsd:double"&gt;822.243&lt;/D&gt;&lt;D xsi:type="xsd:double"&gt;809.471&lt;/D&gt;&lt;D xsi:type="xsd:double"&gt;822.022&lt;/D&gt;&lt;D xsi:type="xsd:double"&gt;829.408&lt;/D&gt;&lt;D xsi:type="xsd:double"&gt;813.908&lt;/D&gt;&lt;D xsi:type="xsd:double"&gt;811.357&lt;/D&gt;&lt;D xsi:type="xsd:double"&gt;792.215&lt;/D&gt;&lt;D xsi:type="xsd:double"&gt;789.432&lt;/D&gt;&lt;D xsi:type="xsd:double"&gt;784.081&lt;/D&gt;&lt;D xsi:type="xsd:double"&gt;796.999&lt;/D&gt;&lt;D xsi:type="xsd:double"&gt;797.344&lt;/D&gt;&lt;D xsi:type="xsd:double"&gt;798.339&lt;/D&gt;&lt;D xsi:type="xsd:double"&gt;796.23&lt;/D&gt;&lt;D xsi:type="xsd:double"&gt;787.865&lt;/D&gt;&lt;D xsi:type="xsd:double"&gt;791.588&lt;/D&gt;&lt;D xsi:type="xsd:double"&gt;804.569&lt;/D&gt;&lt;D xsi:type="xsd:double"&gt;809.054&lt;/D&gt;&lt;D xsi:type="xsd:double"&gt;793.309&lt;/D&gt;&lt;D xsi:type="xsd:double"&gt;801.175&lt;/D&gt;&lt;D xsi:type="xsd:double"&gt;804.151&lt;/D&gt;&lt;D xsi:type="xsd:double"&gt;801.909&lt;/D&gt;&lt;D xsi:type="xsd:double"&gt;794.431&lt;/D&gt;&lt;D xsi:type="xsd:double"&gt;810.424&lt;/D&gt;&lt;D xsi:type="xsd:double"&gt;806.437&lt;/D&gt;&lt;D xsi:type="xsd:double"&gt;815.667&lt;/D&gt;&lt;D xsi:type="xsd:double"&gt;819.997&lt;/D&gt;&lt;D xsi:type="xsd:double"&gt;831.764&lt;/D&gt;&lt;D xsi:type="xsd:double"&gt;833.471&lt;/D&gt;&lt;D xsi:type="xsd:double"&gt;830.529&lt;/D&gt;&lt;D xsi:type="xsd:double"&gt;812.622&lt;/D&gt;&lt;D xsi:type="xsd:double"&gt;827.991&lt;/D&gt;&lt;D xsi:type="xsd:double"&gt;828.581&lt;/D&gt;&lt;D xsi:type="xsd:double"&gt;829.284&lt;/D&gt;&lt;D xsi:type="xsd:double"&gt;810.483&lt;/D&gt;&lt;D xsi:type="xsd:double"&gt;803.045&lt;/D&gt;&lt;D xsi:type="xsd:double"&gt;806.078&lt;/D&gt;&lt;D xsi:type="xsd:double"&gt;809.751&lt;/D&gt;&lt;D xsi:type="xsd:double"&gt;803.131&lt;/D&gt;&lt;D xsi:type="xsd:double"&gt;789.427&lt;/D&gt;&lt;D xsi:type="xsd:double"&gt;792.902&lt;/D&gt;&lt;D xsi:type="xsd:double"&gt;786.383&lt;/D&gt;&lt;D xsi:type="xsd:double"&gt;800.399&lt;/D&gt;&lt;D xsi:type="xsd:double"&gt;807.159&lt;/D&gt;&lt;D xsi:type="xsd:double"&gt;820.108&lt;/D&gt;&lt;D xsi:type="xsd:double"&gt;818.875&lt;/D&gt;&lt;D xsi:type="xsd:double"&gt;811.187&lt;/D&gt;&lt;D xsi:type="xsd:double"&gt;798.855&lt;/D&gt;&lt;D xsi:type="xsd:double"&gt;791.883&lt;/D&gt;&lt;D xsi:type="xsd:double"&gt;789.865&lt;/D&gt;&lt;D xsi:type="xsd:double"&gt;779.681&lt;/D&gt;&lt;D xsi:type="xsd:double"&gt;793.427&lt;/D&gt;&lt;D xsi:type="xsd:double"&gt;792.807&lt;/D&gt;&lt;D xsi:type="xsd:double"&gt;784.438&lt;/D&gt;&lt;D xsi:type="xsd:double"&gt;786.761&lt;/D&gt;&lt;D xsi:type="xsd:double"&gt;789.687&lt;/D&gt;&lt;D xsi:type="xsd:double"&gt;798.064&lt;/D&gt;&lt;D xsi:type="xsd:double"&gt;789.828&lt;/D&gt;&lt;D xsi:type="xsd:double"&gt;787.778&lt;/D&gt;&lt;D xsi:type="xsd:double"&gt;772.038&lt;/D&gt;&lt;D xsi:type="xsd:double"&gt;786.107&lt;/D&gt;&lt;D xsi:type="xsd:double"&gt;750.737&lt;/D&gt;&lt;D xsi:type="xsd:double"&gt;749.32&lt;/D&gt;&lt;D xsi:type="xsd:double"&gt;721.46&lt;/D&gt;&lt;D xsi:type="xsd:double"&gt;703.704&lt;/D&gt;&lt;D xsi:type="xsd:double"&gt;716.104&lt;/D&gt;&lt;D xsi:type="xsd:double"&gt;713.602&lt;/D&gt;&lt;D xsi:type="xsd:double"&gt;727.578&lt;/D&gt;&lt;D xsi:type="xsd:double"&gt;742.197&lt;/D&gt;&lt;D xsi:type="xsd:double"&gt;750.193&lt;/D&gt;&lt;D xsi:type="xsd:double"&gt;755.634&lt;/D&gt;&lt;D xsi:type="xsd:double"&gt;738.179&lt;/D&gt;&lt;D xsi:type="xsd:double"&gt;752.079&lt;/D&gt;&lt;D xsi:type="xsd:double"&gt;765.114&lt;/D&gt;&lt;D xsi:type="xsd:double"&gt;747.113&lt;/D&gt;&lt;D xsi:type="xsd:double"&gt;734.825&lt;/D&gt;&lt;D xsi:type="xsd:double"&gt;747.048&lt;/D&gt;&lt;D xsi:type="xsd:double"&gt;760.801&lt;/D&gt;&lt;D xsi:type="xsd:double"&gt;762.389&lt;/D&gt;&lt;D xsi:type="xsd:double"&gt;777.498&lt;/D&gt;&lt;D xsi:type="xsd:double"&gt;786.269&lt;/D&gt;&lt;D xsi:type="xsd:double"&gt;796.248&lt;/D&gt;&lt;D xsi:type="xsd:double"&gt;798.166&lt;/D&gt;&lt;D xsi:type="xsd:double"&gt;802.639&lt;/D&gt;&lt;D xsi:type="xsd:double"&gt;821.567&lt;/D&gt;&lt;D xsi:type="xsd:double"&gt;817.328&lt;/D&gt;&lt;D xsi:type="xsd:double"&gt;809.931&lt;/D&gt;&lt;D xsi:type="xsd:double"&gt;808.07&lt;/D&gt;&lt;D xsi:type="xsd:double"&gt;795.96&lt;/D&gt;&lt;D xsi:type="xsd:double"&gt;803.933&lt;/D&gt;&lt;D xsi:type="xsd:double"&gt;797.896&lt;/D&gt;&lt;D xsi:type="xsd:double"&gt;830.582&lt;/D&gt;&lt;D xsi:type="xsd:double"&gt;830.345&lt;/D&gt;&lt;D xsi:type="xsd:double"&gt;835.092&lt;/D&gt;&lt;D xsi:type="xsd:double"&gt;854.383&lt;/D&gt;&lt;D xsi:type="xsd:double"&gt;855.863&lt;/D&gt;&lt;D xsi:type="xsd:double"&gt;852.46&lt;/D&gt;&lt;D xsi:type="xsd:double"&gt;867.209&lt;/D&gt;&lt;D xsi:type="xsd:double"&gt;856.63&lt;/D&gt;&lt;D xsi:type="xsd:double"&gt;846.345&lt;/D&gt;&lt;D xsi:type="xsd:double"&gt;857.051&lt;/D&gt;&lt;D xsi:type="xsd:double"&gt;842.656&lt;/D&gt;&lt;D xsi:type="xsd:double"&gt;841.104&lt;/D&gt;&lt;D xsi:type="xsd:double"&gt;829.6&lt;/D&gt;&lt;D xsi:type="xsd:double"&gt;813.782&lt;/D&gt;&lt;D xsi:type="xsd:double"&gt;822.06&lt;/D&gt;&lt;D xsi:type="xsd:double"&gt;829.45&lt;/D&gt;&lt;D xsi:type="xsd:double"&gt;821.488&lt;/D&gt;&lt;D xsi:type="xsd:double"&gt;798.213&lt;/D&gt;&lt;D xsi:type="xsd:double"&gt;787.158&lt;/D&gt;&lt;D xsi:type="xsd:double"&gt;772.989&lt;/D&gt;&lt;D xsi:type="xsd:double"&gt;795.794&lt;/D&gt;&lt;D xsi:type="xsd:double"&gt;806.186&lt;/D&gt;&lt;D xsi:type="xsd:double"&gt;830.549&lt;/D&gt;&lt;D xsi:type="xsd:double"&gt;826.752&lt;/D&gt;&lt;D xsi:type="xsd:double"&gt;821.126&lt;/D&gt;&lt;D xsi:type="xsd:double"&gt;785.778&lt;/D&gt;&lt;D xsi:type="xsd:double"&gt;782.041&lt;/D&gt;&lt;D xsi:type="xsd:double"&gt;776.156&lt;/D&gt;&lt;D xsi:type="xsd:double"&gt;756.697&lt;/D&gt;&lt;D xsi:type="xsd:double"&gt;776.933&lt;/D&gt;&lt;D xsi:type="xsd:double"&gt;806.138&lt;/D&gt;&lt;D xsi:type="xsd:double"&gt;835.135&lt;/D&gt;&lt;D xsi:type="xsd:double"&gt;842.754&lt;/D&gt;&lt;D xsi:type="xsd:double"&gt;832.66&lt;/D&gt;&lt;D xsi:type="xsd:double"&gt;841.384&lt;/D&gt;&lt;D xsi:type="xsd:double"&gt;853.37&lt;/D&gt;&lt;D xsi:type="xsd:double"&gt;855.418&lt;/D&gt;&lt;D xsi:type="xsd:double"&gt;862.32&lt;/D&gt;&lt;D xsi:type="xsd:double"&gt;889.658&lt;/D&gt;&lt;D xsi:type="xsd:double"&gt;901.812&lt;/D&gt;&lt;D xsi:type="xsd:double"&gt;905.023&lt;/D&gt;&lt;D xsi:type="xsd:double"&gt;873.24&lt;/D&gt;&lt;D xsi:type="xsd:double"&gt;877.57&lt;/D&gt;&lt;D xsi:type="xsd:double"&gt;896.826&lt;/D&gt;&lt;D xsi:type="xsd:double"&gt;907.81&lt;/D&gt;&lt;D xsi:type="xsd:double"&gt;895.861&lt;/D&gt;&lt;D xsi:type="xsd:double"&gt;884.669&lt;/D&gt;&lt;D xsi:type="xsd:double"&gt;888.545&lt;/D&gt;&lt;D xsi:type="xsd:double"&gt;893.162&lt;/D&gt;&lt;D xsi:type="xsd:double"&gt;894.902&lt;/D&gt;&lt;D xsi:type="xsd:double"&gt;904.24&lt;/D&gt;&lt;D xsi:type="xsd:double"&gt;913.964&lt;/D&gt;&lt;D xsi:type="xsd:double"&gt;927.548&lt;/D&gt;&lt;D xsi:type="xsd:double"&gt;925.844&lt;/D&gt;&lt;D xsi:type="xsd:double"&gt;905.699&lt;/D&gt;&lt;D xsi:type="xsd:double"&gt;914.731&lt;/D&gt;&lt;D xsi:type="xsd:double"&gt;924.733&lt;/D&gt;&lt;D xsi:type="xsd:double"&gt;926.641&lt;/D&gt;&lt;D xsi:type="xsd:double"&gt;934.334&lt;/D&gt;&lt;D xsi:type="xsd:double"&gt;933.08&lt;/D&gt;&lt;D xsi:type="xsd:double"&gt;938.78&lt;/D&gt;&lt;D xsi:type="xsd:double"&gt;948.983&lt;/D&gt;&lt;D xsi:type="xsd:double"&gt;948.825&lt;/D&gt;&lt;D xsi:type="xsd:double"&gt;953.863&lt;/D&gt;&lt;D xsi:type="xsd:double"&gt;967.847&lt;/D&gt;&lt;D xsi:type="xsd:double"&gt;967.188&lt;/D&gt;&lt;D xsi:type="xsd:double"&gt;970.515&lt;/D&gt;&lt;D xsi:type="xsd:double"&gt;974.79&lt;/D&gt;&lt;D xsi:type="xsd:double"&gt;980.381&lt;/D&gt;&lt;D xsi:type="xsd:double"&gt;986.017&lt;/D&gt;&lt;D xsi:type="xsd:double"&gt;981.831&lt;/D&gt;&lt;D xsi:type="xsd:double"&gt;979.27&lt;/D&gt;&lt;D xsi:type="xsd:double"&gt;986.321&lt;/D&gt;&lt;D xsi:type="xsd:double"&gt;994.873&lt;/D&gt;&lt;D xsi:type="xsd:double"&gt;986.611&lt;/D&gt;&lt;D xsi:type="xsd:double"&gt;982.055&lt;/D&gt;&lt;D xsi:type="xsd:double"&gt;979.059&lt;/D&gt;&lt;D xsi:type="xsd:double"&gt;967.702&lt;/D&gt;&lt;D xsi:type="xsd:double"&gt;956.612&lt;/D&gt;&lt;D xsi:type="xsd:double"&gt;967.247&lt;/D&gt;&lt;D xsi:type="xsd:double"&gt;975.925&lt;/D&gt;&lt;D xsi:type="xsd:double"&gt;949.589&lt;/D&gt;&lt;D xsi:type="xsd:double"&gt;957.169&lt;/D&gt;&lt;D xsi:type="xsd:double"&gt;968.424&lt;/D&gt;&lt;D xsi:type="xsd:double"&gt;972.495&lt;/D&gt;&lt;D xsi:type="xsd:double"&gt;975.199&lt;/D&gt;&lt;D xsi:type="xsd:double"&gt;968.25&lt;/D&gt;&lt;D xsi:type="xsd:double"&gt;961.348&lt;/D&gt;&lt;D xsi:type="xsd:double"&gt;967.58&lt;/D&gt;&lt;D xsi:type="xsd:double"&gt;977.539&lt;/D&gt;&lt;D xsi:type="xsd:double"&gt;978.135&lt;/D&gt;&lt;D xsi:type="xsd:double"&gt;982.317&lt;/D&gt;&lt;D xsi:type="xsd:double"&gt;986.97&lt;/D&gt;&lt;D xsi:type="xsd:double"&gt;996.907&lt;/D&gt;&lt;D xsi:type="xsd:double"&gt;997.132&lt;/D&gt;&lt;D xsi:type="xsd:double"&gt;998.039&lt;/D&gt;&lt;D xsi:type="xsd:double"&gt;995.604&lt;/D&gt;&lt;D xsi:type="xsd:double"&gt;975.601&lt;/D&gt;&lt;D xsi:type="xsd:double"&gt;976.237&lt;/D&gt;&lt;D xsi:type="xsd:double"&gt;973.534&lt;/D&gt;&lt;D xsi:type="xsd:double"&gt;991.976&lt;/D&gt;&lt;D xsi:type="xsd:double"&gt;981.699&lt;/D&gt;&lt;D xsi:type="xsd:double"&gt;986.178&lt;/D&gt;&lt;D xsi:type="xsd:double"&gt;990.926&lt;/D&gt;&lt;D xsi:type="xsd:double"&gt;993.596&lt;/D&gt;&lt;D xsi:type="xsd:double"&gt;994.947&lt;/D&gt;&lt;D xsi:type="xsd:double"&gt;999.751&lt;/D&gt;&lt;D xsi:type="xsd:double"&gt;1005.049&lt;/D&gt;&lt;D xsi:type="xsd:double"&gt;1005.522&lt;/D&gt;&lt;D xsi:type="xsd:double"&gt;999.951&lt;/D&gt;&lt;D xsi:type="xsd:double"&gt;996.771&lt;/D&gt;&lt;D xsi:type="xsd:double"&gt;994.056&lt;/D&gt;&lt;D xsi:type="xsd:double"&gt;1006.178&lt;/D&gt;&lt;D xsi:type="xsd:double"&gt;1010.175&lt;/D&gt;&lt;D xsi:type="xsd:double"&gt;1011.373&lt;/D&gt;&lt;D xsi:type="xsd:double"&gt;1024.416&lt;/D&gt;&lt;D xsi:type="xsd:double"&gt;1018.901&lt;/D&gt;&lt;D xsi:type="xsd:double"&gt;1020.334&lt;/D&gt;&lt;D xsi:type="xsd:double"&gt;1009.972&lt;/D&gt;&lt;D xsi:type="xsd:double"&gt;1006.788&lt;/D&gt;&lt;D xsi:type="xsd:double"&gt;1014.236&lt;/D&gt;&lt;D xsi:type="xsd:double"&gt;1022.266&lt;/D&gt;&lt;D xsi:type="xsd:double"&gt;1020.405&lt;/D&gt;&lt;D xsi:type="xsd:double"&gt;1016.817&lt;/D&gt;&lt;D xsi:type="xsd:double"&gt;1011.177&lt;/D&gt;&lt;D xsi:type="xsd:double"&gt;999.789&lt;/D&gt;&lt;D xsi:type="xsd:double"&gt;1005.088&lt;/D&gt;&lt;D xsi:type="xsd:double"&gt;980.73&lt;/D&gt;&lt;D xsi:type="xsd:double"&gt;962.732&lt;/D&gt;&lt;D xsi:type="xsd:double"&gt;963.414&lt;/D&gt;&lt;D xsi:type="xsd:double"&gt;958.537&lt;/D&gt;&lt;D xsi:type="xsd:double"&gt;957.994&lt;/D&gt;&lt;D xsi:type="xsd:double"&gt;946.272&lt;/D&gt;&lt;D xsi:type="xsd:double"&gt;942.524&lt;/D&gt;&lt;D xsi:type="xsd:double"&gt;946.226&lt;/D&gt;&lt;D xsi:type="xsd:double"&gt;942.277&lt;/D&gt;&lt;D xsi:type="xsd:double"&gt;961.945&lt;/D&gt;&lt;D xsi:type="xsd:double"&gt;970.535&lt;/D&gt;&lt;D xsi:type="xsd:double"&gt;968.036&lt;/D&gt;&lt;D xsi:type="xsd:double"&gt;961.071&lt;/D&gt;&lt;D xsi:type="xsd:double"&gt;962.106&lt;/D&gt;&lt;D xsi:type="xsd:double"&gt;949.109&lt;/D&gt;&lt;D xsi:type="xsd:double"&gt;939.364&lt;/D&gt;&lt;D xsi:type="xsd:double"&gt;937.039&lt;/D&gt;&lt;D xsi:type="xsd:double"&gt;943.319&lt;/D&gt;&lt;D xsi:type="xsd:double"&gt;951.276&lt;/D&gt;&lt;D xsi:type="xsd:double"&gt;967.444&lt;/D&gt;&lt;D xsi:type="xsd:double"&gt;972.418&lt;/D&gt;&lt;D xsi:type="xsd:double"&gt;959.972&lt;/D&gt;&lt;D xsi:type="xsd:double"&gt;959.17&lt;/D&gt;&lt;D xsi:type="xsd:double"&gt;980.643&lt;/D&gt;&lt;D xsi:type="xsd:double"&gt;978.142&lt;/D&gt;&lt;D xsi:type="xsd:double"&gt;982.123&lt;/D&gt;&lt;D xsi:type="xsd:double"&gt;977.349&lt;/D&gt;&lt;D xsi:type="xsd:double"&gt;971.613&lt;/D&gt;&lt;D xsi:type="xsd:double"&gt;980.084&lt;/D&gt;&lt;D xsi:type="xsd:double"&gt;985.299&lt;/D&gt;&lt;D xsi:type="xsd:double"&gt;977.39&lt;/D&gt;&lt;D xsi:type="xsd:double"&gt;992.22&lt;/D&gt;&lt;D xsi:type="xsd:double"&gt;988.179&lt;/D&gt;&lt;D xsi:type="xsd:double"&gt;997.014&lt;/D&gt;&lt;D xsi:type="xsd:double"&gt;1001.982&lt;/D&gt;&lt;D xsi:type="xsd:double"&gt;1004.584&lt;/D&gt;&lt;D xsi:type="xsd:double"&gt;1008.681&lt;/D&gt;&lt;D xsi:type="xsd:double"&gt;1016.525&lt;/D&gt;&lt;D xsi:type="xsd:double"&gt;1023.486&lt;/D&gt;&lt;D xsi:type="xsd:double"&gt;1017.717&lt;/D&gt;&lt;D xsi:type="xsd:double"&gt;1006.929&lt;/D&gt;&lt;D xsi:type="xsd:double"&gt;1003.516&lt;/D&gt;&lt;D xsi:type="xsd:double"&gt;1007.966&lt;/D&gt;&lt;D xsi:type="xsd:double"&gt;1003.834&lt;/D&gt;&lt;D xsi:type="xsd:double"&gt;991.827&lt;/D&gt;&lt;D xsi:type="xsd:double"&gt;989.995&lt;/D&gt;&lt;D xsi:type="xsd:double"&gt;992.426&lt;/D&gt;&lt;D xsi:type="xsd:double"&gt;989.628&lt;/D&gt;&lt;D xsi:type="xsd:double"&gt;996.086&lt;/D&gt;&lt;D xsi:type="xsd:double"&gt;995.93&lt;/D&gt;&lt;D xsi:type="xsd:double"&gt;991.778&lt;/D&gt;&lt;D xsi:type="xsd:double"&gt;979.912&lt;/D&gt;&lt;D xsi:type="xsd:double"&gt;980.218&lt;/D&gt;&lt;D xsi:type="xsd:double"&gt;996.17&lt;/D&gt;&lt;D xsi:type="xsd:double"&gt;994.296&lt;/D&gt;&lt;D xsi:type="xsd:double"&gt;996.576&lt;/D&gt;&lt;D xsi:type="xsd:double"&gt;1013.709&lt;/D&gt;&lt;D xsi:type="xsd:double"&gt;1022.871&lt;/D&gt;&lt;D xsi:type="xsd:double"&gt;1021.408&lt;/D&gt;&lt;D xsi:type="xsd:double"&gt;998.668&lt;/D&gt;&lt;D xsi:type="xsd:double"&gt;987.278&lt;/D&gt;&lt;D xsi:type="xsd:double"&gt;997.928&lt;/D&gt;&lt;D xsi:type="xsd:double"&gt;992.725&lt;/D&gt;&lt;D xsi:type="xsd:double"&gt;987.214&lt;/D&gt;&lt;D xsi:type="xsd:double"&gt;1001.754&lt;/D&gt;&lt;D xsi:type="xsd:double"&gt;1008.55&lt;/D&gt;&lt;D xsi:type="xsd:double"&gt;1002.483&lt;/D&gt;&lt;D xsi:type="xsd:double"&gt;995.569&lt;/D&gt;&lt;D xsi:type="xsd:double"&gt;1001.175&lt;/D&gt;&lt;D xsi:type="xsd:double"&gt;1008.046&lt;/D&gt;&lt;D xsi:type="xsd:double"&gt;998.955&lt;/D&gt;&lt;D xsi:type="xsd:double"&gt;997.004&lt;/D&gt;&lt;D xsi:type="xsd:double"&gt;993.923&lt;/D&gt;&lt;D xsi:type="xsd:double"&gt;991.415&lt;/D&gt;&lt;D xsi:type="xsd:double"&gt;977.824&lt;/D&gt;&lt;D xsi:type="xsd:double"&gt;986.334&lt;/D&gt;&lt;D xsi:type="xsd:double"&gt;988.744&lt;/D&gt;&lt;D xsi:type="xsd:double"&gt;981.881&lt;/D&gt;&lt;D xsi:type="xsd:double"&gt;983.037&lt;/D&gt;&lt;D xsi:type="xsd:double"&gt;973.129&lt;/D&gt;&lt;D xsi:type="xsd:double"&gt;960.787&lt;/D&gt;&lt;D xsi:type="xsd:double"&gt;959.323&lt;/D&gt;&lt;D xsi:type="xsd:double"&gt;943.2&lt;/D&gt;&lt;D xsi:type="xsd:double"&gt;943.17&lt;/D&gt;&lt;D xsi:type="xsd:double"&gt;959.091&lt;/D&gt;&lt;D xsi:type="xsd:double"&gt;976.418&lt;/D&gt;&lt;D xsi:type="xsd:double"&gt;969.856&lt;/D&gt;&lt;D xsi:type="xsd:double"&gt;966.665&lt;/D&gt;&lt;D xsi:type="xsd:double"&gt;964.73&lt;/D&gt;&lt;D xsi:type="xsd:double"&gt;959.566&lt;/D&gt;&lt;D xsi:type="xsd:double"&gt;949.265&lt;/D&gt;&lt;D xsi:type="xsd:double"&gt;953.151&lt;/D&gt;&lt;D xsi:type="xsd:double"&gt;965.268&lt;/D&gt;&lt;D xsi:type="xsd:double"&gt;968.137&lt;/D&gt;&lt;D xsi:type="xsd:double"&gt;960.869&lt;/D&gt;&lt;D xsi:type="xsd:double"&gt;968.045&lt;/D&gt;&lt;D xsi:type="xsd:double"&gt;969.005&lt;/D&gt;&lt;D xsi:type="xsd:double"&gt;957.243&lt;/D&gt;&lt;D xsi:type="xsd:double"&gt;941.799&lt;/D&gt;&lt;D xsi:type="xsd:double"&gt;948.194&lt;/D&gt;&lt;D xsi:type="xsd:double"&gt;952.51&lt;/D&gt;&lt;D xsi:type="xsd:double"&gt;951.365&lt;/D&gt;&lt;D xsi:type="xsd:double"&gt;942.582&lt;/D&gt;&lt;D xsi:type="xsd:double"&gt;932.319&lt;/D&gt;&lt;D xsi:type="xsd:double"&gt;921.979&lt;/D&gt;&lt;D xsi:type="xsd:double"&gt;926.023&lt;/D&gt;&lt;D xsi:type="xsd:double"&gt;906.525&lt;/D&gt;&lt;D xsi:type="xsd:double"&gt;898.607&lt;/D&gt;&lt;D xsi:type="xsd:double"&gt;899.188&lt;/D&gt;&lt;D xsi:type="xsd:double"&gt;888.682&lt;/D&gt;&lt;D xsi:type="xsd:double"&gt;856.596&lt;/D&gt;&lt;D xsi:type="xsd:double"&gt;879.457&lt;/D&gt;&lt;D xsi:type="xsd:double"&gt;907.638&lt;/D&gt;&lt;D xsi:type="xsd:double"&gt;917.065&lt;/D&gt;&lt;D xsi:type="xsd:double"&gt;921.02&lt;/D&gt;&lt;D xsi:type="xsd:double"&gt;968.082&lt;/D&gt;&lt;D xsi:type="xsd:double"&gt;971.413&lt;/D&gt;&lt;D xsi:type="xsd:double"&gt;985.587&lt;/D&gt;&lt;D xsi:type="xsd:double"&gt;1004.777&lt;/D&gt;&lt;D xsi:type="xsd:double"&gt;1012.491&lt;/D&gt;&lt;D xsi:type="xsd:double"&gt;1016.732&lt;/D&gt;&lt;D xsi:type="xsd:double"&gt;1014.601&lt;/D&gt;&lt;D xsi:type="xsd:double"&gt;1033.199&lt;/D&gt;&lt;D xsi:type="xsd:double"&gt;1041.832&lt;/D&gt;&lt;D xsi:type="xsd:double"&gt;1055.323&lt;/D&gt;&lt;D xsi:type="xsd:double"&gt;1057.948&lt;/D&gt;&lt;D xsi:type="xsd:double"&gt;1042.017&lt;/D&gt;&lt;D xsi:type="xsd:double"&gt;1047.196&lt;/D&gt;&lt;D xsi:type="xsd:double"&gt;1040.493&lt;/D&gt;&lt;D xsi:type="xsd:double"&gt;1042.746&lt;/D&gt;&lt;D xsi:type="xsd:double"&gt;1041.456&lt;/D&gt;&lt;D xsi:type="xsd:double"&gt;1055.818&lt;/D&gt;&lt;D xsi:type="xsd:double"&gt;1059.077&lt;/D&gt;&lt;D xsi:type="xsd:double"&gt;1059.298&lt;/D&gt;&lt;D xsi:type="xsd:double"&gt;1054.734&lt;/D&gt;&lt;D xsi:type="xsd:double"&gt;1053.897&lt;/D&gt;&lt;D xsi:type="xsd:double"&gt;1050.243&lt;/D&gt;&lt;D xsi:type="xsd:double"&gt;1055.555&lt;/D&gt;&lt;D xsi:type="xsd:double"&gt;1070.444&lt;/D&gt;&lt;D xsi:type="xsd:double"&gt;1068.046&lt;/D&gt;&lt;D xsi:type="xsd:double"&gt;1076.814&lt;/D&gt;&lt;D xsi:type="xsd:double"&gt;1082.969&lt;/D&gt;&lt;D xsi:type="xsd:double"&gt;1075.672&lt;/D&gt;&lt;D xsi:type="xsd:double"&gt;1069.669&lt;/D&gt;&lt;D xsi:type="xsd:double"&gt;1060.17&lt;/D&gt;&lt;D xsi:type="xsd:double"&gt;1058.542&lt;/D&gt;&lt;D xsi:type="xsd:double"&gt;1053.149&lt;/D&gt;&lt;D xsi:type="xsd:double"&gt;1046.543&lt;/D&gt;&lt;D xsi:type="xsd:double"&gt;1039.121&lt;/D&gt;&lt;D xsi:type="xsd:double"&gt;1049.456&lt;/D&gt;&lt;D xsi:type="xsd:double"&gt;1063.461&lt;/D&gt;&lt;D xsi:type="xsd:double"&gt;1066.98&lt;/D&gt;&lt;D xsi:type="xsd:double"&gt;1058.783&lt;/D&gt;&lt;D xsi:type="xsd:double"&gt;1060.596&lt;/D&gt;&lt;D xsi:type="xsd:double"&gt;1060.292&lt;/D&gt;&lt;D xsi:type="xsd:double"&gt;1066.907&lt;/D&gt;&lt;D xsi:type="xsd:double"&gt;1062.587&lt;/D&gt;&lt;D xsi:type="xsd:double"&gt;1045.698&lt;/D&gt;&lt;D xsi:type="xsd:double"&gt;1049.792&lt;/D&gt;&lt;D xsi:type="xsd:double"&gt;1056.093&lt;/D&gt;&lt;D xsi:type="xsd:double"&gt;1050.748&lt;/D&gt;&lt;D xsi:type="xsd:double"&gt;1071.72&lt;/D&gt;&lt;D xsi:type="xsd:double"&gt;1090.629&lt;/D&gt;&lt;D xsi:type="xsd:double"&gt;1095.408&lt;/D&gt;&lt;D xsi:type="xsd:double"&gt;1084.788&lt;/D&gt;&lt;D xsi:type="xsd:double"&gt;1080.883&lt;/D&gt;&lt;D xsi:type="xsd:double"&gt;1074.657&lt;/D&gt;&lt;D xsi:type="xsd:double"&gt;1078.831&lt;/D&gt;&lt;D xsi:type="xsd:double"&gt;1085.174&lt;/D&gt;&lt;D xsi:type="xsd:double"&gt;1087.416&lt;/D&gt;&lt;D xsi:type="xsd:double"&gt;1090.434&lt;/D&gt;&lt;D xsi:type="xsd:double"&gt;1081.698&lt;/D&gt;&lt;D xsi:type="xsd:double"&gt;1079.164&lt;/D&gt;&lt;D xsi:type="xsd:double"&gt;1077.855&lt;/D&gt;&lt;D xsi:type="xsd:double"&gt;1085.37&lt;/D&gt;&lt;D xsi:type="xsd:double"&gt;1091.971&lt;/D&gt;&lt;D xsi:type="xsd:double"&gt;1103.444&lt;/D&gt;&lt;D xsi:type="xsd:double"&gt;1106.23&lt;/D&gt;&lt;D xsi:type="xsd:double"&gt;1113.109&lt;/D&gt;&lt;D xsi:type="xsd:double"&gt;1125.447&lt;/D&gt;&lt;D xsi:type="xsd:double"&gt;1132.694&lt;/D&gt;&lt;D xsi:type="xsd:double"&gt;1128.336&lt;/D&gt;&lt;D xsi:type="xsd:double"&gt;1137.818&lt;/D&gt;&lt;D xsi:type="xsd:double"&gt;1127.677&lt;/D&gt;&lt;D xsi:type="xsd:double"&gt;1122.638&lt;/D&gt;&lt;D xsi:type="xsd:double"&gt;1121.088&lt;/D&gt;&lt;D xsi:type="xsd:double"&gt;1120.56&lt;/D&gt;&lt;D xsi:type="xsd:double"&gt;1136.419&lt;/D&gt;&lt;D xsi:type="xsd:double"&gt;1143.752&lt;/D&gt;&lt;D xsi:type="xsd:double"&gt;1154.265&lt;/D&gt;&lt;D xsi:type="xsd:double"&gt;1153.573&lt;/D&gt;&lt;D xsi:type="xsd:double"&gt;1166.365&lt;/D&gt;&lt;D xsi:type="xsd:double"&gt;1168.504&lt;/D&gt;&lt;D xsi:type="xsd:double"&gt;1155.993&lt;/D&gt;&lt;D xsi:type="xsd:double"&gt;1155.641&lt;/D&gt;&lt;D xsi:type="xsd:double"&gt;1148.861&lt;/D&gt;&lt;D xsi:type="xsd:double"&gt;1131.69&lt;/D&gt;&lt;D xsi:type="xsd:double"&gt;1125.214&lt;/D&gt;&lt;D xsi:type="xsd:double"&gt;1132.905&lt;/D&gt;&lt;D xsi:type="xsd:double"&gt;1141.981&lt;/D&gt;&lt;D xsi:type="xsd:double"&gt;1137.109&lt;/D&gt;&lt;D xsi:type="xsd:double"&gt;1144.191&lt;/D&gt;&lt;D xsi:type="xsd:double"&gt;1151.137&lt;/D&gt;&lt;D xsi:type="xsd:double"&gt;1150.752&lt;/D&gt;&lt;D xsi:type="xsd:double"&gt;1139.206&lt;/D&gt;&lt;D xsi:type="xsd:double"&gt;1153.797&lt;/D&gt;&lt;D xsi:type="xsd:double"&gt;1153.094&lt;/D&gt;&lt;D xsi:type="xsd:double"&gt;1138.087&lt;/D&gt;&lt;D xsi:type="xsd:double"&gt;1137.863&lt;/D&gt;&lt;D xsi:type="xsd:double"&gt;1128.379&lt;/D&gt;&lt;D xsi:type="xsd:double"&gt;1120.203&lt;/D&gt;&lt;D xsi:type="xsd:double"&gt;1108.899&lt;/D&gt;&lt;D xsi:type="xsd:double"&gt;1117.043&lt;/D&gt;&lt;D xsi:type="xsd:double"&gt;1130.579&lt;/D&gt;&lt;D xsi:type="xsd:double"&gt;1135.063&lt;/D&gt;&lt;D xsi:type="xsd:double"&gt;1118.755&lt;/D&gt;&lt;D xsi:type="xsd:double"&gt;1085.9&lt;/D&gt;&lt;D xsi:type="xsd:double"&gt;1082.287&lt;/D&gt;&lt;D xsi:type="xsd:double"&gt;1088.616&lt;/D&gt;&lt;D xsi:type="xsd:double"&gt;1075.41&lt;/D&gt;&lt;D xsi:type="xsd:double"&gt;1075.239&lt;/D&gt;&lt;D xsi:type="xsd:double"&gt;1057.974&lt;/D&gt;&lt;D xsi:type="xsd:double"&gt;1053.077&lt;/D&gt;&lt;D xsi:type="xsd:double"&gt;1062.645&lt;/D&gt;&lt;D xsi:type="xsd:double"&gt;1031.471&lt;/D&gt;&lt;D xsi:type="xsd:double"&gt;1024.601&lt;/D&gt;&lt;D xsi:type="xsd:double"&gt;1050.522&lt;/D&gt;&lt;D xsi:type="xsd:double"&gt;1061.262&lt;/D&gt;&lt;D xsi:type="xsd:double"&gt;1055.205&lt;/D&gt;&lt;D xsi:type="xsd:double"&gt;1065.396&lt;/D&gt;&lt;D xsi:type="xsd:double"&gt;1086.015&lt;/D&gt;&lt;D xsi:type="xsd:double"&gt;1063.742&lt;/D&gt;&lt;D xsi:type="xsd:double"&gt;1039.646&lt;/D&gt;&lt;D xsi:type="xsd:double"&gt;1014.634&lt;/D&gt;&lt;D xsi:type="xsd:double"&gt;1039.597&lt;/D&gt;&lt;D xsi:type="xsd:double"&gt;1052.208&lt;/D&gt;&lt;D xsi:type="xsd:double"&gt;1059.48&lt;/D&gt;&lt;D xsi:type="xsd:double"&gt;1050.533&lt;/D&gt;&lt;D xsi:type="xsd:double"&gt;1075.17&lt;/D&gt;&lt;D xsi:type="xsd:double"&gt;1066.231&lt;/D&gt;&lt;D xsi:type="xsd:double"&gt;1090.841&lt;/D&gt;&lt;D xsi:type="xsd:double"&gt;1093.098&lt;/D&gt;&lt;D xsi:type="xsd:double"&gt;1133.747&lt;/D&gt;&lt;D xsi:type="xsd:double"&gt;1152.918&lt;/D&gt;&lt;D xsi:type="xsd:double"&gt;1152.015&lt;/D&gt;&lt;D xsi:type="xsd:double"&gt;1149.102&lt;/D&gt;&lt;D xsi:type="xsd:double"&gt;1135.516&lt;/D&gt;&lt;D xsi:type="xsd:double"&gt;1130.224&lt;/D&gt;&lt;D xsi:type="xsd:double"&gt;1137.194&lt;/D&gt;&lt;D xsi:type="xsd:double"&gt;1137.879&lt;/D&gt;&lt;D xsi:type="xsd:double"&gt;1149.075&lt;/D&gt;&lt;D xsi:type="xsd:double"&gt;1150.115&lt;/D&gt;&lt;D xsi:type="xsd:double"&gt;1134.801&lt;/D&gt;&lt;D xsi:type="xsd:double"&gt;1142.867&lt;/D&gt;&lt;D xsi:type="xsd:double"&gt;1146.804&lt;/D&gt;&lt;D xsi:type="xsd:double"&gt;1162.402&lt;/D&gt;&lt;D xsi:type="xsd:double"&gt;1180.341&lt;/D&gt;&lt;D xsi:type="xsd:double"&gt;1196.277&lt;/D&gt;&lt;D xsi:type="xsd:double"&gt;1191.436&lt;/D&gt;&lt;D xsi:type="xsd:double"&gt;1198.793&lt;/D&gt;&lt;D xsi:type="xsd:double"&gt;1207.956&lt;/D&gt;&lt;D xsi:type="xsd:double"&gt;1194.633&lt;/D&gt;&lt;D xsi:type="xsd:double"&gt;1207.946&lt;/D&gt;&lt;D xsi:type="xsd:double"&gt;1219.203&lt;/D&gt;&lt;D xsi:type="xsd:double"&gt;1230.114&lt;/D&gt;&lt;D xsi:type="xsd:double"&gt;1232.543&lt;/D&gt;&lt;D xsi:type="xsd:double"&gt;1229.947&lt;/D&gt;&lt;D xsi:type="xsd:double"&gt;1249.184&lt;/D&gt;&lt;D xsi:type="xsd:double"&gt;1244.222&lt;/D&gt;&lt;D xsi:type="xsd:double"&gt;1243.546&lt;/D&gt;&lt;D xsi:type="xsd:double"&gt;1236.392&lt;/D&gt;&lt;D xsi:type="xsd:double"&gt;1231.862&lt;/D&gt;&lt;D xsi:type="xsd:double"&gt;1233.857&lt;/D&gt;&lt;D xsi:type="xsd:double"&gt;1236.389&lt;/D&gt;&lt;D xsi:type="xsd:double"&gt;1238.199&lt;/D&gt;&lt;D xsi:type="xsd:double"&gt;1229.822&lt;/D&gt;&lt;D xsi:type="xsd:double"&gt;1229.599&lt;/D&gt;&lt;D xsi:type="xsd:double"&gt;1233.699&lt;/D&gt;&lt;D xsi:type="xsd:double"&gt;1219.386&lt;/D&gt;&lt;D xsi:type="xsd:double"&gt;1212.339&lt;/D&gt;&lt;D xsi:type="xsd:double"&gt;1211.981&lt;/D&gt;&lt;D xsi:type="xsd:double"&gt;1213.185&lt;/D&gt;&lt;D xsi:type="xsd:double"&gt;1202.419&lt;/D&gt;&lt;D xsi:type="xsd:double"&gt;1200.297&lt;/D&gt;&lt;D xsi:type="xsd:double"&gt;1206.864&lt;/D&gt;&lt;D xsi:type="xsd:double"&gt;1211.43&lt;/D&gt;&lt;D xsi:type="xsd:double"&gt;1227.168&lt;/D&gt;&lt;D xsi:type="xsd:double"&gt;1227.486&lt;/D&gt;&lt;D xsi:type="xsd:double"&gt;1201.872&lt;/D&gt;&lt;D xsi:type="xsd:double"&gt;1221.253&lt;/D&gt;&lt;D xsi:type="xsd:double"&gt;1222.038&lt;/D&gt;&lt;D xsi:type="xsd:double"&gt;1219.151&lt;/D&gt;&lt;D xsi:type="xsd:double"&gt;1206.913&lt;/D&gt;&lt;D xsi:type="xsd:double"&gt;1197.947&lt;/D&gt;&lt;D xsi:type="xsd:double"&gt;1179.298&lt;/D&gt;&lt;D xsi:type="xsd:double"&gt;1178.156&lt;/D&gt;&lt;D xsi:type="xsd:double"&gt;1207.501&lt;/D&gt;&lt;D xsi:type="xsd:double"&gt;1216.816&lt;/D&gt;&lt;D xsi:type="xsd:double"&gt;1211.47&lt;/D&gt;&lt;D xsi:type="xsd:double"&gt;1233.084&lt;/D&gt;&lt;D xsi:type="xsd:double"&gt;1245.029&lt;/D&gt;&lt;D xsi:type="xsd:double"&gt;1253.391&lt;/D&gt;&lt;D xsi:type="xsd:double"&gt;1259.098&lt;/D&gt;&lt;D xsi:type="xsd:double"&gt;1245.374&lt;/D&gt;&lt;D xsi:type="xsd:double"&gt;1230.664&lt;/D&gt;&lt;D xsi:type="xsd:double"&gt;1236.407&lt;/D&gt;&lt;D xsi:type="xsd:double"&gt;1248.261&lt;/D&gt;&lt;D xsi:type="xsd:double"&gt;1216.204&lt;/D&gt;&lt;D xsi:type="xsd:double"&gt;1210.53&lt;/D&gt;&lt;D xsi:type="xsd:double"&gt;1203.054&lt;/D&gt;&lt;D xsi:type="xsd:double"&gt;1218.667&lt;/D&gt;&lt;D xsi:type="xsd:double"&gt;1217.804&lt;/D&gt;&lt;D xsi:type="xsd:double"&gt;1227.604&lt;/D&gt;&lt;D xsi:type="xsd:double"&gt;1214.758&lt;/D&gt;&lt;D xsi:type="xsd:double"&gt;1198.667&lt;/D&gt;&lt;D xsi:type="xsd:double"&gt;1222.016&lt;/D&gt;&lt;D xsi:type="xsd:double"&gt;1221.84&lt;/D&gt;&lt;D xsi:type="xsd:double"&gt;1243.874&lt;/D&gt;&lt;D xsi:type="xsd:double"&gt;1248.516&lt;/D&gt;&lt;D xsi:type="xsd:double"&gt;1264.264&lt;/D&gt;&lt;D xsi:type="xsd:double"&gt;1258.669&lt;/D&gt;&lt;D xsi:type="xsd:double"&gt;1235.31&lt;/D&gt;&lt;D xsi:type="xsd:double"&gt;1252.448&lt;/D&gt;&lt;D xsi:type="xsd:double"&gt;1274.764&lt;/D&gt;&lt;D xsi:type="xsd:double"&gt;1284.65&lt;/D&gt;&lt;D xsi:type="xsd:double"&gt;1299.047&lt;/D&gt;&lt;D xsi:type="xsd:double"&gt;1300.045&lt;/D&gt;&lt;D xsi:type="xsd:double"&gt;1295.781&lt;/D&gt;&lt;D xsi:type="xsd:double"&gt;1293.265&lt;/D&gt;&lt;D xsi:type="xsd:double"&gt;1288.208&lt;/D&gt;&lt;D xsi:type="xsd:double"&gt;1282.138&lt;/D&gt;&lt;D xsi:type="xsd:double"&gt;1261.502&lt;/D&gt;&lt;D xsi:type="xsd:double"&gt;1253.725&lt;/D&gt;&lt;D xsi:type="xsd:double"&gt;1238.106&lt;/D&gt;&lt;D xsi:type="xsd:double"&gt;1240.826&lt;/D&gt;&lt;D xsi:type="xsd:double"&gt;1264.392&lt;/D&gt;&lt;D xsi:type="xsd:double"&gt;1255.08&lt;/D&gt;&lt;D xsi:type="xsd:double"&gt;1252.556&lt;/D&gt;&lt;D xsi:type="xsd:double"&gt;1244.274&lt;/D&gt;&lt;D xsi:type="xsd:double"&gt;1216.995&lt;/D&gt;&lt;D xsi:type="xsd:double"&gt;1228.02&lt;/D&gt;&lt;D xsi:type="xsd:double"&gt;1245.865&lt;/D&gt;&lt;D xsi:type="xsd:double"&gt;1247.98&lt;/D&gt;&lt;D xsi:type="xsd:double"&gt;1226.485&lt;/D&gt;&lt;D xsi:type="xsd:double"&gt;1247.305&lt;/D&gt;&lt;D xsi:type="xsd:double"&gt;1269.419&lt;/D&gt;&lt;D xsi:type="xsd:double"&gt;1276.51&lt;/D&gt;&lt;D xsi:type="xsd:double"&gt;1289.478&lt;/D&gt;&lt;D xsi:type="xsd:double"&gt;1305.718&lt;/D&gt;&lt;D xsi:type="xsd:double"&gt;1304.132&lt;/D&gt;&lt;D xsi:type="xsd:double"&gt;1302.84&lt;/D&gt;&lt;D xsi:type="xsd:double"&gt;1307.241&lt;/D&gt;&lt;D xsi:type="xsd:double"&gt;1305.245&lt;/D&gt;&lt;D xsi:type="xsd:double"&gt;1312.458&lt;/D&gt;&lt;D xsi:type="xsd:double"&gt;1297.53&lt;/D&gt;&lt;D xsi:type="xsd:double"&gt;1299.697&lt;/D&gt;&lt;D xsi:type="xsd:double"&gt;1308.011&lt;/D&gt;&lt;D xsi:type="xsd:double"&gt;1309.528&lt;/D&gt;&lt;D xsi:type="xsd:double"&gt;1303.026&lt;/D&gt;&lt;D xsi:type="xsd:double"&gt;1308.375&lt;/D&gt;&lt;D xsi:type="xsd:double"&gt;1316.403&lt;/D&gt;&lt;D xsi:type="xsd:double"&gt;1307.983&lt;/D&gt;&lt;D xsi:type="xsd:double"&gt;1326.193&lt;/D&gt;&lt;D xsi:type="xsd:double"&gt;1336.424&lt;/D&gt;&lt;D xsi:type="xsd:double"&gt;1335.748&lt;/D&gt;&lt;D xsi:type="xsd:double"&gt;1336.414&lt;/D&gt;&lt;D xsi:type="xsd:double"&gt;1345.147&lt;/D&gt;&lt;D xsi:type="xsd:double"&gt;1353.765&lt;/D&gt;&lt;D xsi:type="xsd:double"&gt;1365.524&lt;/D&gt;&lt;D xsi:type="xsd:double"&gt;1364.397&lt;/D&gt;&lt;D xsi:type="xsd:double"&gt;1380.384&lt;/D&gt;&lt;D xsi:type="xsd:double"&gt;1395.154&lt;/D&gt;&lt;D xsi:type="xsd:double"&gt;1379.87&lt;/D&gt;&lt;D xsi:type="xsd:double"&gt;1374.85&lt;/D&gt;&lt;D xsi:type="xsd:double"&gt;1383.41&lt;/D&gt;&lt;D xsi:type="xsd:double"&gt;1388.213&lt;/D&gt;&lt;D xsi:type="xsd:double"&gt;1383.447&lt;/D&gt;&lt;D xsi:type="xsd:double"&gt;1378.79&lt;/D&gt;&lt;D xsi:type="xsd:double"&gt;1374.595&lt;/D&gt;&lt;D xsi:type="xsd:double"&gt;1371.257&lt;/D&gt;&lt;D xsi:type="xsd:double"&gt;1370.965&lt;/D&gt;&lt;D xsi:type="xsd:double"&gt;1370.686&lt;/D&gt;&lt;D xsi:type="xsd:double"&gt;1374.483&lt;/D&gt;&lt;D xsi:type="xsd:double"&gt;1371.308&lt;/D&gt;&lt;D xsi:type="xsd:double"&gt;1370.857&lt;/D&gt;&lt;D xsi:type="xsd:double"&gt;1369.143&lt;/D&gt;&lt;D xsi:type="xsd:double"&gt;1357.519&lt;/D&gt;&lt;D xsi:type="xsd:double"&gt;1353.636&lt;/D&gt;&lt;D xsi:type="xsd:double"&gt;1356.353&lt;/D&gt;&lt;D xsi:type="xsd:double"&gt;1356.297&lt;/D&gt;&lt;D xsi:type="xsd:double"&gt;1357.172&lt;/D&gt;&lt;D xsi:type="xsd:double"&gt;1347.827&lt;/D&gt;&lt;D xsi:type="xsd:double"&gt;1336.487&lt;/D&gt;&lt;D xsi:type="xsd:double"&gt;1341.126&lt;/D&gt;&lt;D xsi:type="xsd:double"&gt;1343.452&lt;/D&gt;&lt;D xsi:type="xsd:double"&gt;1337.647&lt;/D&gt;&lt;D xsi:type="xsd:double"&gt;1329.378&lt;/D&gt;&lt;D xsi:type="xsd:double"&gt;1353.727&lt;/D&gt;&lt;D xsi:type="xsd:double"&gt;1364.08&lt;/D&gt;&lt;D xsi:type="xsd:double"&gt;1374.138&lt;/D&gt;&lt;D xsi:type="xsd:double"&gt;1369.573&lt;/D&gt;&lt;D xsi:type="xsd:double"&gt;1377.749&lt;/D&gt;&lt;D xsi:type="xsd:double"&gt;1391.489&lt;/D&gt;&lt;D xsi:type="xsd:double"&gt;1381.313&lt;/D&gt;&lt;D xsi:type="xsd:double"&gt;1389.228&lt;/D&gt;&lt;D xsi:type="xsd:double"&gt;1405.833&lt;/D&gt;&lt;D xsi:type="xsd:double"&gt;1404.506&lt;/D&gt;&lt;D xsi:type="xsd:double"&gt;1395.928&lt;/D&gt;&lt;D xsi:type="xsd:double"&gt;1400.188&lt;/D&gt;&lt;D xsi:type="xsd:double"&gt;1396.118&lt;/D&gt;&lt;D xsi:type="xsd:double"&gt;1395.877&lt;/D&gt;&lt;D xsi:type="xsd:double"&gt;1394.346&lt;/D&gt;&lt;D xsi:type="xsd:double"&gt;1378.756&lt;/D&gt;&lt;D xsi:type="xsd:double"&gt;1376.179&lt;/D&gt;&lt;D xsi:type="xsd:double"&gt;1388.851&lt;/D&gt;&lt;D xsi:type="xsd:double"&gt;1377.722&lt;/D&gt;&lt;D xsi:type="xsd:double"&gt;1366.249&lt;/D&gt;&lt;D xsi:type="xsd:double"&gt;1376.126&lt;/D&gt;&lt;D xsi:type="xsd:double"&gt;1369.551&lt;/D&gt;&lt;D xsi:type="xsd:double"&gt;1368.005&lt;/D&gt;&lt;D xsi:type="xsd:double"&gt;1365.728&lt;/D&gt;&lt;D xsi:type="xsd:double"&gt;1374.648&lt;/D&gt;&lt;D xsi:type="xsd:double"&gt;1390.577&lt;/D&gt;&lt;D xsi:type="xs</t>
        </r>
      </text>
    </comment>
    <comment ref="A9" authorId="0" shapeId="0">
      <text>
        <r>
          <rPr>
            <b/>
            <sz val="9"/>
            <color indexed="81"/>
            <rFont val="Tahoma"/>
            <family val="2"/>
          </rPr>
          <t>d:double"&gt;1394.379&lt;/D&gt;&lt;D xsi:type="xsd:double"&gt;1392.613&lt;/D&gt;&lt;D xsi:type="xsd:double"&gt;1380.483&lt;/D&gt;&lt;D xsi:type="xsd:double"&gt;1385.126&lt;/D&gt;&lt;D xsi:type="xsd:double"&gt;1390.047&lt;/D&gt;&lt;D xsi:type="xsd:double"&gt;1387.097&lt;/D&gt;&lt;D xsi:type="xsd:double"&gt;1376.86&lt;/D&gt;&lt;D xsi:type="xsd:double"&gt;1379.607&lt;/D&gt;&lt;D xsi:type="xsd:double"&gt;1385.367&lt;/D&gt;&lt;D xsi:type="xsd:double"&gt;1391.889&lt;/D&gt;&lt;D xsi:type="xsd:double"&gt;1390.11&lt;/D&gt;&lt;D xsi:type="xsd:double"&gt;1388.459&lt;/D&gt;&lt;D xsi:type="xsd:double"&gt;1390.178&lt;/D&gt;&lt;D xsi:type="xsd:double"&gt;1356.123&lt;/D&gt;&lt;D xsi:type="xsd:double"&gt;1334.136&lt;/D&gt;&lt;D xsi:type="xsd:double"&gt;1337.945&lt;/D&gt;&lt;D xsi:type="xsd:double"&gt;1302.288&lt;/D&gt;&lt;D xsi:type="xsd:double"&gt;1301.016&lt;/D&gt;&lt;D xsi:type="xsd:double"&gt;1300.419&lt;/D&gt;&lt;D xsi:type="xsd:double"&gt;1295.391&lt;/D&gt;&lt;D xsi:type="xsd:double"&gt;1302.551&lt;/D&gt;&lt;D xsi:type="xsd:double"&gt;1314.587&lt;/D&gt;&lt;D xsi:type="xsd:double"&gt;1340.342&lt;/D&gt;&lt;D xsi:type="xsd:double"&gt;1345.57&lt;/D&gt;&lt;D xsi:type="xsd:double"&gt;1369.778&lt;/D&gt;&lt;D xsi:type="xsd:double"&gt;1352.211&lt;/D&gt;&lt;D xsi:type="xsd:double"&gt;1344.754&lt;/D&gt;&lt;D xsi:type="xsd:double"&gt;1327.872&lt;/D&gt;&lt;D xsi:type="xsd:double"&gt;1317.035&lt;/D&gt;&lt;D xsi:type="xsd:double"&gt;1335.827&lt;/D&gt;&lt;D xsi:type="xsd:double"&gt;1348.434&lt;/D&gt;&lt;D xsi:type="xsd:double"&gt;1355.943&lt;/D&gt;&lt;D xsi:type="xsd:double"&gt;1345.104&lt;/D&gt;&lt;D xsi:type="xsd:double"&gt;1348.076&lt;/D&gt;&lt;D xsi:type="xsd:double"&gt;1378.142&lt;/D&gt;&lt;D xsi:type="xsd:double"&gt;1379.513&lt;/D&gt;&lt;D xsi:type="xsd:double"&gt;1370.108&lt;/D&gt;&lt;D xsi:type="xsd:double"&gt;1369.974&lt;/D&gt;&lt;D xsi:type="xsd:double"&gt;1379.563&lt;/D&gt;&lt;D xsi:type="xsd:double"&gt;1384.111&lt;/D&gt;&lt;D xsi:type="xsd:double"&gt;1363.39&lt;/D&gt;&lt;D xsi:type="xsd:double"&gt;1362.986&lt;/D&gt;&lt;D xsi:type="xsd:double"&gt;1357.039&lt;/D&gt;&lt;D xsi:type="xsd:double"&gt;1360.993&lt;/D&gt;&lt;D xsi:type="xsd:double"&gt;1333.898&lt;/D&gt;&lt;D xsi:type="xsd:double"&gt;1329.983&lt;/D&gt;&lt;D xsi:type="xsd:double"&gt;1384.06&lt;/D&gt;&lt;D xsi:type="xsd:double"&gt;1402.146&lt;/D&gt;&lt;D xsi:type="xsd:double"&gt;1417.992&lt;/D&gt;&lt;D xsi:type="xsd:double"&gt;1429.584&lt;/D&gt;&lt;D xsi:type="xsd:double"&gt;1432.618&lt;/D&gt;&lt;D xsi:type="xsd:double"&gt;1421.046&lt;/D&gt;&lt;D xsi:type="xsd:double"&gt;1411.027&lt;/D&gt;&lt;D xsi:type="xsd:double"&gt;1420.991&lt;/D&gt;&lt;D xsi:type="xsd:double"&gt;1426.94&lt;/D&gt;&lt;D xsi:type="xsd:double"&gt;1431.938&lt;/D&gt;&lt;D xsi:type="xsd:double"&gt;1419.584&lt;/D&gt;&lt;D xsi:type="xsd:double"&gt;1443.741&lt;/D&gt;&lt;D xsi:type="xsd:double"&gt;1445.784&lt;/D&gt;&lt;D xsi:type="xsd:double"&gt;1448.758&lt;/D&gt;&lt;D xsi:type="xsd:double"&gt;1447.933&lt;/D&gt;&lt;D xsi:type="xsd:double"&gt;1436.531&lt;/D&gt;&lt;D xsi:type="xsd:double"&gt;1421.473&lt;/D&gt;&lt;D xsi:type="xsd:double"&gt;1421.679&lt;/D&gt;&lt;D xsi:type="xsd:double"&gt;1402.369&lt;/D&gt;&lt;D xsi:type="xsd:double"&gt;1399.438&lt;/D&gt;&lt;D xsi:type="xsd:double"&gt;1392.79&lt;/D&gt;&lt;D xsi:type="xsd:double"&gt;1348.609&lt;/D&gt;&lt;D xsi:type="xsd:double"&gt;1342.833&lt;/D&gt;&lt;D xsi:type="xsd:double"&gt;1353.886&lt;/D&gt;&lt;D xsi:type="xsd:double"&gt;1373.675&lt;/D&gt;&lt;D xsi:type="xsd:double"&gt;1375.566&lt;/D&gt;&lt;D xsi:type="xsd:double"&gt;1354.186&lt;/D&gt;&lt;D xsi:type="xsd:double"&gt;1356.141&lt;/D&gt;&lt;D xsi:type="xsd:double"&gt;1375.608&lt;/D&gt;&lt;D xsi:type="xsd:double"&gt;1383.944&lt;/D&gt;&lt;D xsi:type="xsd:double"&gt;1370.659&lt;/D&gt;&lt;D xsi:type="xsd:double"&gt;1359.032&lt;/D&gt;&lt;D xsi:type="xsd:double"&gt;1340.583&lt;/D&gt;&lt;D xsi:type="xsd:double"&gt;1330.347&lt;/D&gt;&lt;D xsi:type="xsd:double"&gt;1332.035&lt;/D&gt;&lt;D xsi:type="xsd:double"&gt;1337.978&lt;/D&gt;&lt;D xsi:type="xsd:double"&gt;1341.997&lt;/D&gt;&lt;D xsi:type="xsd:double"&gt;1330.401&lt;/D&gt;&lt;D xsi:type="xsd:double"&gt;1333.475&lt;/D&gt;&lt;D xsi:type="xsd:double"&gt;1356.942&lt;/D&gt;&lt;D xsi:type="xsd:double"&gt;1350.401&lt;/D&gt;&lt;D xsi:type="xsd:double"&gt;1353.768&lt;/D&gt;&lt;D xsi:type="xsd:double"&gt;1359.944&lt;/D&gt;&lt;D xsi:type="xsd:double"&gt;1365.002&lt;/D&gt;&lt;D xsi:type="xsd:double"&gt;1379.694&lt;/D&gt;&lt;D xsi:type="xsd:double"&gt;1381.357&lt;/D&gt;&lt;D xsi:type="xsd:double"&gt;1391.962&lt;/D&gt;&lt;D xsi:type="xsd:double"&gt;1374.92&lt;/D&gt;&lt;D xsi:type="xsd:double"&gt;1380.884&lt;/D&gt;&lt;D xsi:type="xsd:double"&gt;1378.742&lt;/D&gt;&lt;D xsi:type="xsd:double"&gt;1356.332&lt;/D&gt;&lt;D xsi:type="xsd:double"&gt;1348.85&lt;/D&gt;&lt;D xsi:type="xsd:double"&gt;1338.246&lt;/D&gt;&lt;/FQL&gt;&lt;FQL&gt;&lt;Q&gt;990100^JULIAN(FG_PRICE(2/27/2026,1/31/2000,,USD).DATES)&lt;/Q&gt;&lt;R&gt;6559&lt;/R&gt;&lt;C&gt;1&lt;/C&gt;&lt;D xsi:type="xsd:long"&gt;46080&lt;/D&gt;&lt;D xsi:type="xsd:long"&gt;46079&lt;/D&gt;&lt;D xsi:type="xsd:long"&gt;46078&lt;/D&gt;&lt;D xsi:type="xsd:long"&gt;46077&lt;/D&gt;&lt;D xsi:type="xsd:long"&gt;46076&lt;/D&gt;&lt;D xsi:type="xsd:long"&gt;46073&lt;/D&gt;&lt;D xsi:type="xsd:long"&gt;46072&lt;/D&gt;&lt;D xsi:type="xsd:long"&gt;46071&lt;/D&gt;&lt;D xsi:type="xsd:long"&gt;46070&lt;/D&gt;&lt;D xsi:type="xsd:long"&gt;46066&lt;/D&gt;&lt;D xsi:type="xsd:long"&gt;46065&lt;/D&gt;&lt;D xsi:type="xsd:long"&gt;46064&lt;/D&gt;&lt;D xsi:type="xsd:long"&gt;46063&lt;/D&gt;&lt;D xsi:type="xsd:long"&gt;46062&lt;/D&gt;&lt;D xsi:type="xsd:long"&gt;46059&lt;/D&gt;&lt;D xsi:type="xsd:long"&gt;46058&lt;/D&gt;&lt;D xsi:type="xsd:long"&gt;46057&lt;/D&gt;&lt;D xsi:type="xsd:long"&gt;46056&lt;/D&gt;&lt;D xsi:type="xsd:long"&gt;46055&lt;/D&gt;&lt;D xsi:type="xsd:long"&gt;46052&lt;/D&gt;&lt;D xsi:type="xsd:long"&gt;46051&lt;/D&gt;&lt;D xsi:type="xsd:long"&gt;46050&lt;/D&gt;&lt;D xsi:type="xsd:long"&gt;46049&lt;/D&gt;&lt;D xsi:type="xsd:long"&gt;46048&lt;/D&gt;&lt;D xsi:type="xsd:long"&gt;46045&lt;/D&gt;&lt;D xsi:type="xsd:long"&gt;46044&lt;/D&gt;&lt;D xsi:type="xsd:long"&gt;46043&lt;/D&gt;&lt;D xsi:type="xsd:long"&gt;46042&lt;/D&gt;&lt;D xsi:type="xsd:long"&gt;46038&lt;/D&gt;&lt;D xsi:type="xsd:long"&gt;46037&lt;/D&gt;&lt;D xsi:type="xsd:long"&gt;46036&lt;/D&gt;&lt;D xsi:type="xsd:long"&gt;46035&lt;/D&gt;&lt;D xsi:type="xsd:long"&gt;46034&lt;/D&gt;&lt;D xsi:type="xsd:long"&gt;46031&lt;/D&gt;&lt;D xsi:type="xsd:long"&gt;46030&lt;/D&gt;&lt;D xsi:type="xsd:long"&gt;46029&lt;/D&gt;&lt;D xsi:type="xsd:long"&gt;46028&lt;/D&gt;&lt;D xsi:type="xsd:long"&gt;46027&lt;/D&gt;&lt;D xsi:type="xsd:long"&gt;46024&lt;/D&gt;&lt;D xsi:type="xsd:long"&gt;46022&lt;/D&gt;&lt;D xsi:type="xsd:long"&gt;46021&lt;/D&gt;&lt;D xsi:type="xsd:long"&gt;46020&lt;/D&gt;&lt;D xsi:type="xsd:long"&gt;46017&lt;/D&gt;&lt;D xsi:type="xsd:long"&gt;46015&lt;/D&gt;&lt;D xsi:type="xsd:long"&gt;46014&lt;/D&gt;&lt;D xsi:type="xsd:long"&gt;46013&lt;/D&gt;&lt;D xsi:type="xsd:long"&gt;46010&lt;/D&gt;&lt;D xsi:type="xsd:long"&gt;46009&lt;/D&gt;&lt;D xsi:type="xsd:long"&gt;46008&lt;/D&gt;&lt;D xsi:type="xsd:long"&gt;46007&lt;/D&gt;&lt;D xsi:type="xsd:long"&gt;46006&lt;/D&gt;&lt;D xsi:type="xsd:long"&gt;46003&lt;/D&gt;&lt;D xsi:type="xsd:long"&gt;46002&lt;/D&gt;&lt;D xsi:type="xsd:long"&gt;46001&lt;/D&gt;&lt;D xsi:type="xsd:long"&gt;46000&lt;/D&gt;&lt;D xsi:type="xsd:long"&gt;45999&lt;/D&gt;&lt;D xsi:type="xsd:long"&gt;45996&lt;/D&gt;&lt;D xsi:type="xsd:long"&gt;45995&lt;/D&gt;&lt;D xsi:type="xsd:long"&gt;45994&lt;/D&gt;&lt;D xsi:type="xsd:long"&gt;45993&lt;/D&gt;&lt;D xsi:type="xsd:long"&gt;45992&lt;/D&gt;&lt;D xsi:type="xsd:long"&gt;45989&lt;/D&gt;&lt;D xsi:type="xsd:long"&gt;45987&lt;/D&gt;&lt;D xsi:type="xsd:long"&gt;45986&lt;/D&gt;&lt;D xsi:type="xsd:long"&gt;45985&lt;/D&gt;&lt;D xsi:type="xsd:long"&gt;45982&lt;/D&gt;&lt;D xsi:type="xsd:long"&gt;45981&lt;/D&gt;&lt;D xsi:type="xsd:long"&gt;45980&lt;/D&gt;&lt;D xsi:type="xsd:long"&gt;45979&lt;/D&gt;&lt;D xsi:type="xsd:long"&gt;45978&lt;/D&gt;&lt;D xsi:type="xsd:long"&gt;45975&lt;/D&gt;&lt;D xsi:type="xsd:long"&gt;45974&lt;/D&gt;&lt;D xsi:type="xsd:long"&gt;45973&lt;/D&gt;&lt;D xsi:type="xsd:long"&gt;45972&lt;/D&gt;&lt;D xsi:type="xsd:long"&gt;45971&lt;/D&gt;&lt;D xsi:type="xsd:long"&gt;45968&lt;/D&gt;&lt;D xsi:type="xsd:long"&gt;45967&lt;/D&gt;&lt;D xsi:type="xsd:long"&gt;45966&lt;/D&gt;&lt;D xsi:type="xsd:long"&gt;45965&lt;/D&gt;&lt;D xsi:type="xsd:long"&gt;45964&lt;/D&gt;&lt;D xsi:type="xsd:long"&gt;45961&lt;/D&gt;&lt;D xsi:type="xsd:long"&gt;45960&lt;/D&gt;&lt;D xsi:type="xsd:long"&gt;45959&lt;/D&gt;&lt;D xsi:type="xsd:long"&gt;45958&lt;/D&gt;&lt;D xsi:type="xsd:long"&gt;45957&lt;/D&gt;&lt;D xsi:type="xsd:long"&gt;45954&lt;/D&gt;&lt;D xsi:type="xsd:long"&gt;45953&lt;/D&gt;&lt;D xsi:type="xsd:long"&gt;45952&lt;/D&gt;&lt;D xsi:type="xsd:long"&gt;45951&lt;/D&gt;&lt;D xsi:type="xsd:long"&gt;45950&lt;/D&gt;&lt;D xsi:type="xsd:long"&gt;45947&lt;/D&gt;&lt;D xsi:type="xsd:long"&gt;45946&lt;/D&gt;&lt;D xsi:type="xsd:long"&gt;45945&lt;/D&gt;&lt;D xsi:type="xsd:long"&gt;45944&lt;/D&gt;&lt;D xsi:type="xsd:long"&gt;45943&lt;/D&gt;&lt;D xsi:type="xsd:long"&gt;45940&lt;/D&gt;&lt;D xsi:type="xsd:long"&gt;45939&lt;/D&gt;&lt;D xsi:type="xsd:long"&gt;45938&lt;/D&gt;&lt;D xsi:type="xsd:long"&gt;45937&lt;/D&gt;&lt;D xsi:type="xsd:long"&gt;45936&lt;/D&gt;&lt;D xsi:type="xsd:long"&gt;45933&lt;/D&gt;&lt;D xsi:type="xsd:long"&gt;45932&lt;/D&gt;&lt;D xsi:type="xsd:long"&gt;45931&lt;/D&gt;&lt;D xsi:type="xsd:long"&gt;45930&lt;/D&gt;&lt;D xsi:type="xsd:long"&gt;45929&lt;/D&gt;&lt;D xsi:type="xsd:long"&gt;45926&lt;/D&gt;&lt;D xsi:type="xsd:long"&gt;45925&lt;/D&gt;&lt;D xsi:type="xsd:long"&gt;45924&lt;/D&gt;&lt;D xsi:type="xsd:long"&gt;45923&lt;/D&gt;&lt;D xsi:type="xsd:long"&gt;45922&lt;/D&gt;&lt;D xsi:type="xsd:long"&gt;45919&lt;/D&gt;&lt;D xsi:type="xsd:long"&gt;45918&lt;/D&gt;&lt;D xsi:type="xsd:long"&gt;45917&lt;/D&gt;&lt;D xsi:type="xsd:long"&gt;45916&lt;/D&gt;&lt;D xsi:type="xsd:long"&gt;45915&lt;/D&gt;&lt;D xsi:type="xsd:long"&gt;45912&lt;/D&gt;&lt;D xsi:type="xsd:long"&gt;45911&lt;/D&gt;&lt;D xsi:type="xsd:long"&gt;45910&lt;/D&gt;&lt;D xsi:type="xsd:long"&gt;45909&lt;/D&gt;&lt;D xsi:type="xsd:long"&gt;45908&lt;/D&gt;&lt;D xsi:type="xsd:long"&gt;45905&lt;/D&gt;&lt;D xsi:type="xsd:long"&gt;45904&lt;/D&gt;&lt;D xsi:type="xsd:long"&gt;45903&lt;/D&gt;&lt;D xsi:type="xsd:long"&gt;45902&lt;/D&gt;&lt;D xsi:type="xsd:long"&gt;45898&lt;/D&gt;&lt;D xsi:type="xsd:long"&gt;45897&lt;/D&gt;&lt;D xsi:type="xsd:long"&gt;45896&lt;/D&gt;&lt;D xsi:type="xsd:long"&gt;45895&lt;/D&gt;&lt;D xsi:type="xsd:long"&gt;45894&lt;/D&gt;&lt;D xsi:type="xsd:long"&gt;45891&lt;/D&gt;&lt;D xsi:type="xsd:long"&gt;45890&lt;/D&gt;&lt;D xsi:type="xsd:long"&gt;45889&lt;/D&gt;&lt;D xsi:type="xsd:long"&gt;45888&lt;/D&gt;&lt;D xsi:type="xsd:long"&gt;45887&lt;/D&gt;&lt;D xsi:type="xsd:long"&gt;45884&lt;/D&gt;&lt;D xsi:type="xsd:long"&gt;45883&lt;/D&gt;&lt;D xsi:type="xsd:long"&gt;45882&lt;/D&gt;&lt;D xsi:type="xsd:long"&gt;45881&lt;/D&gt;&lt;D xsi:type="xsd:long"&gt;45880&lt;/D&gt;&lt;D xsi:type="xsd:long"&gt;45877&lt;/D&gt;&lt;D xsi:type="xsd:long"&gt;45876&lt;/D&gt;&lt;D xsi:type="xsd:long"&gt;45875&lt;/D&gt;&lt;D xsi:type="xsd:long"&gt;45874&lt;/D&gt;&lt;D xsi:type="xsd:long"&gt;45873&lt;/D&gt;&lt;D xsi:type="xsd:long"&gt;45870&lt;/D&gt;&lt;D xsi:type="xsd:long"&gt;45869&lt;/D&gt;&lt;D xsi:type="xsd:long"&gt;45868&lt;/D&gt;&lt;D xsi:type="xsd:long"&gt;45867&lt;/D&gt;&lt;D xsi:type="xsd:long"&gt;45866&lt;/D&gt;&lt;D xsi:type="xsd:long"&gt;45863&lt;/D&gt;&lt;D xsi:type="xsd:long"&gt;45862&lt;/D&gt;&lt;D xsi:type="xsd:long"&gt;45861&lt;/D&gt;&lt;D xsi:type="xsd:long"&gt;45860&lt;/D&gt;&lt;D xsi:type="xsd:long"&gt;45859&lt;/D&gt;&lt;D xsi:type="xsd:long"&gt;45856&lt;/D&gt;&lt;D xsi:type="xsd:long"&gt;45855&lt;/D&gt;&lt;D xsi:type="xsd:long"&gt;45854&lt;/D&gt;&lt;D xsi:type="xsd:long"&gt;45853&lt;/D&gt;&lt;D xsi:type="xsd:long"&gt;45852&lt;/D&gt;&lt;D xsi:type="xsd:long"&gt;45849&lt;/D&gt;&lt;D xsi:type="xsd:long"&gt;45848&lt;/D&gt;&lt;D xsi:type="xsd:long"&gt;45847&lt;/D&gt;&lt;D xsi:type="xsd:long"&gt;45846&lt;/D&gt;&lt;D xsi:type="xsd:long"&gt;45845&lt;/D&gt;&lt;D xsi:type="xsd:long"&gt;45841&lt;/D&gt;&lt;D xsi:type="xsd:long"&gt;45840&lt;/D&gt;&lt;D xsi:type="xsd:long"&gt;45839&lt;/D&gt;&lt;D xsi:type="xsd:long"&gt;45838&lt;/D&gt;&lt;D xsi:type="xsd:long"&gt;45835&lt;/D&gt;&lt;D xsi:type="xsd:long"&gt;45834&lt;/D&gt;&lt;D xsi:type="xsd:long"&gt;45833&lt;/D&gt;&lt;D xsi:type="xsd:long"&gt;45832&lt;/D&gt;&lt;D xsi:type="xsd:long"&gt;45831&lt;/D&gt;&lt;D xsi:type="xsd:long"&gt;45828&lt;/D&gt;&lt;D xsi:type="xsd:long"&gt;45826&lt;/D&gt;&lt;D xsi:type="xsd:long"&gt;45825&lt;/D&gt;&lt;D xsi:type="xsd:long"&gt;45824&lt;/D&gt;&lt;D xsi:type="xsd:long"&gt;45821&lt;/D&gt;&lt;D xsi:type="xsd:long"&gt;45820&lt;/D&gt;&lt;D xsi:type="xsd:long"&gt;45819&lt;/D&gt;&lt;D xsi:type="xsd:long"&gt;45818&lt;/D&gt;&lt;D xsi:type="xsd:long"&gt;45817&lt;/D&gt;&lt;D xsi:type="xsd:long"&gt;45814&lt;/D&gt;&lt;D xsi:type="xsd:long"&gt;45813&lt;/D&gt;&lt;D xsi:type="xsd:long"&gt;45812&lt;/D&gt;&lt;D xsi:type="xsd:long"&gt;45811&lt;/D&gt;&lt;D xsi:type="xsd:long"&gt;45810&lt;/D&gt;&lt;D xsi:type="xsd:long"&gt;45807&lt;/D&gt;&lt;D xsi:type="xsd:long"&gt;45806&lt;/D&gt;&lt;D xsi:type="xsd:long"&gt;45805&lt;/D&gt;&lt;D xsi:type="xsd:long"&gt;45804&lt;/D&gt;&lt;D xsi:type="xsd:long"&gt;45800&lt;/D&gt;&lt;D xsi:type="xsd:long"&gt;45799&lt;/D&gt;&lt;D xsi:type="xsd:long"&gt;45798&lt;/D&gt;&lt;D xsi:type="xsd:long"&gt;45797&lt;/D&gt;&lt;D xsi:type="xsd:long"&gt;45796&lt;/D&gt;&lt;D xsi:type="xsd:long"&gt;45793&lt;/D&gt;&lt;D xsi:type="xsd:long"&gt;45792&lt;/D&gt;&lt;D xsi:type="xsd:long"&gt;45791&lt;/D&gt;&lt;D xsi:type="xsd:long"&gt;45790&lt;/D&gt;&lt;D xsi:type="xsd:long"&gt;45789&lt;/D&gt;&lt;D xsi:type="xsd:long"&gt;45786&lt;/D&gt;&lt;D xsi:type="xsd:long"&gt;45785&lt;/D&gt;&lt;D xsi:type="xsd:long"&gt;45784&lt;/D&gt;&lt;D xsi:type="xsd:long"&gt;45783&lt;/D&gt;&lt;D xsi:type="xsd:long"&gt;45782&lt;/D&gt;&lt;D xsi:type="xsd:long"&gt;45779&lt;/D&gt;&lt;D xsi:type="xsd:long"&gt;45778&lt;/D&gt;&lt;D xsi:type="xsd:long"&gt;45777&lt;/D&gt;&lt;D xsi:type="xsd:long"&gt;45776&lt;/D&gt;&lt;D xsi:type="xsd:long"&gt;45775&lt;/D&gt;&lt;D xsi:type="xsd:long"&gt;45772&lt;/D&gt;&lt;D xsi:type="xsd:long"&gt;45771&lt;/D&gt;&lt;D xsi:type="xsd:long"&gt;45770&lt;/D&gt;&lt;D xsi:type="xsd:long"&gt;45769&lt;/D&gt;&lt;D xsi:type="xsd:long"&gt;45768&lt;/D&gt;&lt;D xsi:type="xsd:long"&gt;45764&lt;/D&gt;&lt;D xsi:type="xsd:long"&gt;45763&lt;/D&gt;&lt;D xsi:type="xsd:long"&gt;45762&lt;/D&gt;&lt;D xsi:type="xsd:long"&gt;45761&lt;/D&gt;&lt;D xsi:type="xsd:long"&gt;45758&lt;/D&gt;&lt;D xsi:type="xsd:long"&gt;45757&lt;/D&gt;&lt;D xsi:type="xsd:long"&gt;45756&lt;/D&gt;&lt;D xsi:type="xsd:long"&gt;45755&lt;/D&gt;&lt;D xsi:type="xsd:long"&gt;45754&lt;/D&gt;&lt;D xsi:type="xsd:long"&gt;45751&lt;/D&gt;&lt;D xsi:type="xsd:long"&gt;45750&lt;/D&gt;&lt;D xsi:type="xsd:long"&gt;45749&lt;/D&gt;&lt;D xsi:type="xsd:long"&gt;45748&lt;/D&gt;&lt;D xsi:type="xsd:long"&gt;45747&lt;/D&gt;&lt;D xsi:type="xsd:long"&gt;45744&lt;/D&gt;&lt;D xsi:type="xsd:long"&gt;45743&lt;/D&gt;&lt;D xsi:type="xsd:long"&gt;45742&lt;/D&gt;&lt;D xsi:type="xsd:long"&gt;45741&lt;/D&gt;&lt;D xsi:type="xsd:long"&gt;45740&lt;/D&gt;&lt;D xsi:type="xsd:long"&gt;45737&lt;/D&gt;&lt;D xsi:type="xsd:long"&gt;45736&lt;/D&gt;&lt;D xsi:type="xsd:long"&gt;45735&lt;/D&gt;&lt;D xsi:type="xsd:long"&gt;45734&lt;/D&gt;&lt;D xsi:type="xsd:long"&gt;45733&lt;/D&gt;&lt;D xsi:type="xsd:long"&gt;45730&lt;/D&gt;&lt;D xsi:type="xsd:long"&gt;45729&lt;/D&gt;&lt;D xsi:type="xsd:long"&gt;45728&lt;/D&gt;&lt;D xsi:type="xsd:long"&gt;45727&lt;/D&gt;&lt;D xsi:type="xsd:long"&gt;45726&lt;/D&gt;&lt;D xsi:type="xsd:long"&gt;45723&lt;/D&gt;&lt;D xsi:type="xsd:long"&gt;45722&lt;/D&gt;&lt;D xsi:type="xsd:long"&gt;45721&lt;/D&gt;&lt;D xsi:type="xsd:long"&gt;45720&lt;/D&gt;&lt;D xsi:type="xsd:long"&gt;45719&lt;/D&gt;&lt;D xsi:type="xsd:long"&gt;45716&lt;/D&gt;&lt;D xsi:type="xsd:long"&gt;45715&lt;/D&gt;&lt;D xsi:type="xsd:long"&gt;45714&lt;/D&gt;&lt;D xsi:type="xsd:long"&gt;45713&lt;/D&gt;&lt;D xsi:type="xsd:long"&gt;45712&lt;/D&gt;&lt;D xsi:type="xsd:long"&gt;45709&lt;/D&gt;&lt;D xsi:type="xsd:long"&gt;45708&lt;/D&gt;&lt;D xsi:type="xsd:long"&gt;45707&lt;/D&gt;&lt;D xsi:type="xsd:long"&gt;45706&lt;/D&gt;&lt;D xsi:type="xsd:long"&gt;45702&lt;/D&gt;&lt;D xsi:type="xsd:long"&gt;45701&lt;/D&gt;&lt;D xsi:type="xsd:long"&gt;45700&lt;/D&gt;&lt;D xsi:type="xsd:long"&gt;45699&lt;/D&gt;&lt;D xsi:type="xsd:long"&gt;45698&lt;/D&gt;&lt;D xsi:type="xsd:long"&gt;45695&lt;/D&gt;&lt;D xsi:type="xsd:long"&gt;45694&lt;/D&gt;&lt;D xsi:type="xsd:long"&gt;45693&lt;/D&gt;&lt;D xsi:type="xsd:long"&gt;45692&lt;/D&gt;&lt;D xsi:type="xsd:long"&gt;45691&lt;/D&gt;&lt;D xsi:type="xsd:long"&gt;45688&lt;/D&gt;&lt;D xsi:type="xsd:long"&gt;45687&lt;/D&gt;&lt;D xsi:type="xsd:long"&gt;45686&lt;/D&gt;&lt;D xsi:type="xsd:long"&gt;45685&lt;/D&gt;&lt;D xsi:type="xsd:long"&gt;45684&lt;/D&gt;&lt;D xsi:type="xsd:long"&gt;45681&lt;/D&gt;&lt;D xsi:type="xsd:long"&gt;45680&lt;/D&gt;&lt;D xsi:type="xsd:long"&gt;45679&lt;/D&gt;&lt;D xsi:type="xsd:long"&gt;45678&lt;/D&gt;&lt;D xsi:type="xsd:long"&gt;45674&lt;/D&gt;&lt;D xsi:type="xsd:long"&gt;45673&lt;/D&gt;&lt;D xsi:type="xsd:long"&gt;45672&lt;/D&gt;&lt;D xsi:type="xsd:long"&gt;45671&lt;/D&gt;&lt;D xsi:type="xsd:long"&gt;45670&lt;/D&gt;&lt;D xsi:type="xsd:long"&gt;45667&lt;/D&gt;&lt;D xsi:type="xsd:long"&gt;45665&lt;/D&gt;&lt;D xsi:type="xsd:long"&gt;45664&lt;/D&gt;&lt;D xsi:type="xsd:long"&gt;45663&lt;/D&gt;&lt;D xsi:type="xsd:long"&gt;45660&lt;/D&gt;&lt;D xsi:type="xsd:long"&gt;45659&lt;/D&gt;&lt;D xsi:type="xsd:long"&gt;45657&lt;/D&gt;&lt;D xsi:type="xsd:long"&gt;45656&lt;/D&gt;&lt;D xsi:type="xsd:long"&gt;45653&lt;/D&gt;&lt;D xsi:type="xsd:long"&gt;45652&lt;/D&gt;&lt;D xsi:type="xsd:long"&gt;45650&lt;/D&gt;&lt;D xsi:type="xsd:long"&gt;45649&lt;/D&gt;&lt;D xsi:type="xsd:long"&gt;45646&lt;/D&gt;&lt;D xsi:type="xsd:long"&gt;45645&lt;/D&gt;&lt;D xsi:type="xsd:long"&gt;45644&lt;/D&gt;&lt;D xsi:type="xsd:long"&gt;45643&lt;/D&gt;&lt;D xsi:type="xsd:long"&gt;45642&lt;/D&gt;&lt;D xsi:type="xsd:long"&gt;45639&lt;/D&gt;&lt;D xsi:type="xsd:long"&gt;45638&lt;/D&gt;&lt;D xsi:type="xsd:long"&gt;45637&lt;/D&gt;&lt;D xsi:type="xsd:long"&gt;45636&lt;/D&gt;&lt;D xsi:type="xsd:long"&gt;45635&lt;/D&gt;&lt;D xsi:type="xsd:long"&gt;45632&lt;/D&gt;&lt;D xsi:type="xsd:long"&gt;45631&lt;/D&gt;&lt;D xsi:type="xsd:long"&gt;45630&lt;/D&gt;&lt;D xsi:type="xsd:long"&gt;45629&lt;/D&gt;&lt;D xsi:type="xsd:long"&gt;45628&lt;/D&gt;&lt;D xsi:type="xsd:long"&gt;45625&lt;/D&gt;&lt;D xsi:type="xsd:long"&gt;45623&lt;/D&gt;&lt;D xsi:type="xsd:long"&gt;45622&lt;/D&gt;&lt;D xsi:type="xsd:long"&gt;45621&lt;/D&gt;&lt;D xsi:type="xsd:long"&gt;45618&lt;/D&gt;&lt;D xsi:type="xsd:long"&gt;45617&lt;/D&gt;&lt;D xsi:type="xsd:long"&gt;45616&lt;/D&gt;&lt;D xsi:type="xsd:long"&gt;45615&lt;/D&gt;&lt;D xsi:type="xsd:long"&gt;45614&lt;/D&gt;&lt;D xsi:type="xsd:long"&gt;45611&lt;/D&gt;&lt;D xsi:type="xsd:long"&gt;45610&lt;/D&gt;&lt;D xsi:type="xsd:long"&gt;45609&lt;/D&gt;&lt;D xsi:type="xsd:long"&gt;45608&lt;/D&gt;&lt;D xsi:type="xsd:long"&gt;45607&lt;/D&gt;&lt;D xsi:type="xsd:long"&gt;45604&lt;/D&gt;&lt;D xsi:type="xsd:long"&gt;45603&lt;/D&gt;&lt;D xsi:type="xsd:long"&gt;45602&lt;/D&gt;&lt;D xsi:type="xsd:long"&gt;45601&lt;/D&gt;&lt;D xsi:type="xsd:long"&gt;45600&lt;/D&gt;&lt;D xsi:type="xsd:long"&gt;45597&lt;/D&gt;&lt;D xsi:type="xsd:long"&gt;45596&lt;/D&gt;&lt;D xsi:type="xsd:long"&gt;45595&lt;/D&gt;&lt;D xsi:type="xsd:long"&gt;45594&lt;/D&gt;&lt;D xsi:type="xsd:long"&gt;45593&lt;/D&gt;&lt;D xsi:type="xsd:long"&gt;45590&lt;/D&gt;&lt;D xsi:type="xsd:long"&gt;45589&lt;/D&gt;&lt;D xsi:type="xsd:long"&gt;45588&lt;/D&gt;&lt;D xsi:type="xsd:long"&gt;45587&lt;/D&gt;&lt;D xsi:type="xsd:long"&gt;45586&lt;/D&gt;&lt;D xsi:type="xsd:long"&gt;45583&lt;/D&gt;&lt;D xsi:type="xsd:long"&gt;45582&lt;/D&gt;&lt;D xsi:type="xsd:long"&gt;45581&lt;/D&gt;&lt;D xsi:type="xsd:long"&gt;45580&lt;/D&gt;&lt;D xsi:type="xsd:long"&gt;45579&lt;/D&gt;&lt;D xsi:type="xsd:long"&gt;45576&lt;/D&gt;&lt;D xsi:type="xsd:long"&gt;45575&lt;/D&gt;&lt;D xsi:type="xsd:long"&gt;45574&lt;/D&gt;&lt;D xsi:type="xsd:long"&gt;45573&lt;/D&gt;&lt;D xsi:type="xsd:long"&gt;45572&lt;/D&gt;&lt;D xsi:type="xsd:long"&gt;45569&lt;/D&gt;&lt;D xsi:type="xsd:long"&gt;45568&lt;/D&gt;&lt;D xsi:type="xsd:long"&gt;45567&lt;/D&gt;&lt;D xsi:type="xsd:long"&gt;45566&lt;/D&gt;&lt;D xsi:type="xsd:long"&gt;45565&lt;/D&gt;&lt;D xsi:type="xsd:long"&gt;45562&lt;/D&gt;&lt;D xsi:type="xsd:long"&gt;45561&lt;/D&gt;&lt;D xsi:type="xsd:long"&gt;45560&lt;/D&gt;&lt;D xsi:type="xsd:long"&gt;45559&lt;/D&gt;&lt;D xsi:type="xsd:long"&gt;45558&lt;/D&gt;&lt;D xsi:type="xsd:long"&gt;45555&lt;/D&gt;&lt;D xsi:type="xsd:long"&gt;45554&lt;/D&gt;&lt;D xsi:type="xsd:long"&gt;45553&lt;/D&gt;&lt;D xsi:type="xsd:long"&gt;45552&lt;/D&gt;&lt;D xsi:type="xsd:long"&gt;45551&lt;/D&gt;&lt;D xsi:type="xsd:long"&gt;45548&lt;/D&gt;&lt;D xsi:type="xsd:long"&gt;45547&lt;/D&gt;&lt;D xsi:type="xsd:long"&gt;45546&lt;/D&gt;&lt;D xsi:type="xsd:long"&gt;45545&lt;/D&gt;&lt;D xsi:type="xsd:long"&gt;45544&lt;/D&gt;&lt;D xsi:type="xsd:long"&gt;45541&lt;/D&gt;&lt;D xsi:type="xsd:long"&gt;45540&lt;/D&gt;&lt;D xsi:type="xsd:long"&gt;45539&lt;/D&gt;&lt;D xsi:type="xsd:long"&gt;45538&lt;/D&gt;&lt;D xsi:type="xsd:long"&gt;45534&lt;/D&gt;&lt;D xsi:type="xsd:long"&gt;45533&lt;/D&gt;&lt;D xsi:type="xsd:long"&gt;45532&lt;/D&gt;&lt;D xsi:type="xsd:long"&gt;45531&lt;/D&gt;&lt;D xsi:type="xsd:long"&gt;45530&lt;/D&gt;&lt;D xsi:type="xsd:long"&gt;45527&lt;/D&gt;&lt;D xsi:type="xsd:long"&gt;45526&lt;/D&gt;&lt;D xsi:type="xsd:long"&gt;45525&lt;/D&gt;&lt;D xsi:type="xsd:long"&gt;45524&lt;/D&gt;&lt;D xsi:type="xsd:long"&gt;45523&lt;/D&gt;&lt;D xsi:type="xsd:long"&gt;45520&lt;/D&gt;&lt;D xsi:type="xsd:long"&gt;45519&lt;/D&gt;&lt;D xsi:type="xsd:long"&gt;45518&lt;/D&gt;&lt;D xsi:type="xsd:long"&gt;45517&lt;/D&gt;&lt;D xsi:type="xsd:long"&gt;45516&lt;/D&gt;&lt;D xsi:type="xsd:long"&gt;45513&lt;/D&gt;&lt;D xsi:type="xsd:long"&gt;45512&lt;/D&gt;&lt;D xsi:type="xsd:long"&gt;45511&lt;/D&gt;&lt;D xsi:type="xsd:long"&gt;45510&lt;/D&gt;&lt;D xsi:type="xsd:long"&gt;45509&lt;/D&gt;&lt;D xsi:type="xsd:long"&gt;45506&lt;/D&gt;&lt;D xsi:type="xsd:long"&gt;45505&lt;/D&gt;&lt;D xsi:type="xsd:long"&gt;45504&lt;/D&gt;&lt;D xsi:type="xsd:long"&gt;45503&lt;/D&gt;&lt;D xsi:type="xsd:long"&gt;45502&lt;/D&gt;&lt;D xsi:type="xsd:long"&gt;45499&lt;/D&gt;&lt;D xsi:type="xsd:long"&gt;45498&lt;/D&gt;&lt;D xsi:type="xsd:long"&gt;45497&lt;/D&gt;&lt;D xsi:type="xsd:long"&gt;45496&lt;/D&gt;&lt;D xsi:type="xsd:long"&gt;45495&lt;/D&gt;&lt;D xsi:type="xsd:long"&gt;45492&lt;/D&gt;&lt;D xsi:type="xsd:long"&gt;45491&lt;/D&gt;&lt;D xsi:type="xsd:long"&gt;45490&lt;/D&gt;&lt;D xsi:type="xsd:long"&gt;45489&lt;/D&gt;&lt;D xsi:type="xsd:long"&gt;45488&lt;/D&gt;&lt;D xsi:type="xsd:long"&gt;45485&lt;/D&gt;&lt;D xsi:type="xsd:long"&gt;45484&lt;/D&gt;&lt;D xsi:type="xsd:long"&gt;45483&lt;/D&gt;&lt;D xsi:type="xsd:long"&gt;45482&lt;/D&gt;&lt;D xsi:type="xsd:long"&gt;45481&lt;/D&gt;&lt;D xsi:type="xsd:long"&gt;45478&lt;/D&gt;&lt;D xsi:type="xsd:long"&gt;45476&lt;/D&gt;&lt;D xsi:type="xsd:long"&gt;45475&lt;/D&gt;&lt;D xsi:type="xsd:long"&gt;45474&lt;/D&gt;&lt;D xsi:type="xsd:long"&gt;45471&lt;/D&gt;&lt;D xsi:type="xsd:long"&gt;45470&lt;/D&gt;&lt;D xsi:type="xsd:long"&gt;45469&lt;/D&gt;&lt;D xsi:type="xsd:long"&gt;45468&lt;/D&gt;&lt;D xsi:type="xsd:long"&gt;45467&lt;/D&gt;&lt;D xsi:type="xsd:long"&gt;45464&lt;/D&gt;&lt;D xsi:type="xsd:long"&gt;45463&lt;/D&gt;&lt;D xsi:type="xsd:long"&gt;45461&lt;/D&gt;&lt;D xsi:type="xsd:long"&gt;45460&lt;/D&gt;&lt;D xsi:type="xsd:long"&gt;45457&lt;/D&gt;&lt;D xsi:type="xsd:long"&gt;45456&lt;/D&gt;&lt;D xsi:type="xsd:long"&gt;45455&lt;/D&gt;&lt;D xsi:type="xsd:long"&gt;45454&lt;/D&gt;&lt;D xsi:type="xsd:long"&gt;45453&lt;/D&gt;&lt;D xsi:type="xsd:long"&gt;45450&lt;/D&gt;&lt;D xsi:type="xsd:long"&gt;45449&lt;/D&gt;&lt;D xsi:type="xsd:long"&gt;45448&lt;/D&gt;&lt;D xsi:type="xsd:long"&gt;45447&lt;/D&gt;&lt;D xsi:type="xsd:long"&gt;45446&lt;/D&gt;&lt;D xsi:type="xsd:long"&gt;45443&lt;/D&gt;&lt;D xsi:type="xsd:long"&gt;45442&lt;/D&gt;&lt;D xsi:type="xsd:long"&gt;45441&lt;/D&gt;&lt;D xsi:type="xsd:long"&gt;45440&lt;/D&gt;&lt;D xsi:type="xsd:long"&gt;45436&lt;/D&gt;&lt;D xsi:type="xsd:long"&gt;45435&lt;/D&gt;&lt;D xsi:type="xsd:long"&gt;45434&lt;/D&gt;&lt;D xsi:type="xsd:long"&gt;45433&lt;/D&gt;&lt;D xsi:type="xsd:long"&gt;45432&lt;/D&gt;&lt;D xsi:type="xsd:long"&gt;45429&lt;/D&gt;&lt;D xsi:type="xsd:long"&gt;45428&lt;/D&gt;&lt;D xsi:type="xsd:long"&gt;45427&lt;/D&gt;&lt;D xsi:type="xsd:long"&gt;45426&lt;/D&gt;&lt;D xsi:type="xsd:long"&gt;45425&lt;/D&gt;&lt;D xsi:type="xsd:long"&gt;45422&lt;/D&gt;&lt;D xsi:type="xsd:long"&gt;45421&lt;/D&gt;&lt;D xsi:type="xsd:long"&gt;45420&lt;/D&gt;&lt;D xsi:type="xsd:long"&gt;45419&lt;/D&gt;&lt;D xsi:type="xsd:long"&gt;45418&lt;/D&gt;&lt;D xsi:type="xsd:long"&gt;45415&lt;/D&gt;&lt;D xsi:type="xsd:long"&gt;45414&lt;/D&gt;&lt;D xsi:type="xsd:long"&gt;45413&lt;/D&gt;&lt;D xsi:type="xsd:long"&gt;45412&lt;/D&gt;&lt;D xsi:type="xsd:long"&gt;45411&lt;/D&gt;&lt;D xsi:type="xsd:long"&gt;45408&lt;/D&gt;&lt;D xsi:type="xsd:long"&gt;45407&lt;/D&gt;&lt;D xsi:type="xsd:long"&gt;45406&lt;/D&gt;&lt;D xsi:type="xsd:long"&gt;45405&lt;/D&gt;&lt;D xsi:type="xsd:long"&gt;45404&lt;/D&gt;&lt;D xsi:type="xsd:long"&gt;45401&lt;/D&gt;&lt;D xsi:type="xsd:long"&gt;45400&lt;/D&gt;&lt;D xsi:type="xsd:long"&gt;45399&lt;/D&gt;&lt;D xsi:type="xsd:long"&gt;45398&lt;/D&gt;&lt;D xsi:type="xsd:long"&gt;45397&lt;/D&gt;&lt;D xsi:type="xsd:long"&gt;45394&lt;/D&gt;&lt;D xsi:type="xsd:long"&gt;45393&lt;/D&gt;&lt;D xsi:type="xsd:long"&gt;45392&lt;/D&gt;&lt;D xsi:type="xsd:long"&gt;45391&lt;/D&gt;&lt;D xsi:type="xsd:long"&gt;45390&lt;/D&gt;&lt;D xsi:type="xsd:long"&gt;45387&lt;/D&gt;&lt;D xsi:type="xsd:long"&gt;45386&lt;/D&gt;&lt;D xsi:type="xsd:long"&gt;45385&lt;/D&gt;&lt;D xsi:type="xsd:long"&gt;45384&lt;/D&gt;&lt;D xsi:type="xsd:long"&gt;45383&lt;/D&gt;&lt;D xsi:type="xsd:long"&gt;45379&lt;/D&gt;&lt;D xsi:type="xsd:long"&gt;45378&lt;/D&gt;&lt;D xsi:type="xsd:long"&gt;45377&lt;/D&gt;&lt;D xsi:type="xsd:long"&gt;45376&lt;/D&gt;&lt;D xsi:type="xsd:long"&gt;45373&lt;/D&gt;&lt;D xsi:type="xsd:long"&gt;45372&lt;/D&gt;&lt;D xsi:type="xsd:long"&gt;45371&lt;/D&gt;&lt;D xsi:type="xsd:long"&gt;45370&lt;/D&gt;&lt;D xsi:type="xsd:long"&gt;45369&lt;/D&gt;&lt;D xsi:type="xsd:long"&gt;45366&lt;/D&gt;&lt;D xsi:type="xsd:long"&gt;45365&lt;/D&gt;&lt;D xsi:type="xsd:long"&gt;45364&lt;/D&gt;&lt;D xsi:type="xsd:long"&gt;45363&lt;/D&gt;&lt;D xsi:type="xsd:long"&gt;45362&lt;/D&gt;&lt;D xsi:type="xsd:long"&gt;45359&lt;/D&gt;&lt;D xsi:type="xsd:long"&gt;45358&lt;/D&gt;&lt;D xsi:type="xsd:long"&gt;45357&lt;/D&gt;&lt;D xsi:type="xsd:long"&gt;45356&lt;/D&gt;&lt;D xsi:type="xsd:long"&gt;45355&lt;/D&gt;&lt;D xsi:type="xsd:long"&gt;45352&lt;/D&gt;&lt;D xsi:type="xsd:long"&gt;45351&lt;/D&gt;&lt;D xsi:type="xsd:long"&gt;45350&lt;/D&gt;&lt;D xsi:type="xsd:long"&gt;45349&lt;/D&gt;&lt;D xsi:type="xsd:long"&gt;45348&lt;/D&gt;&lt;D xsi:type="xsd:long"&gt;45345&lt;/D&gt;&lt;D xsi:type="xsd:long"&gt;45344&lt;/D&gt;&lt;D xsi:type="xsd:long"&gt;45343&lt;/D&gt;&lt;D xsi:type="xsd:long"&gt;45342&lt;/D&gt;&lt;D xsi:type="xsd:long"&gt;45338&lt;/D&gt;&lt;D xsi:type="xsd:long"&gt;45337&lt;/D&gt;&lt;D xsi:type="xsd:long"&gt;45336&lt;/D&gt;&lt;D xsi:type="xsd:long"&gt;45335&lt;/D&gt;&lt;D xsi:type="xsd:long"&gt;45334&lt;/D&gt;&lt;D xsi:type="xsd:long"&gt;45331&lt;/D&gt;&lt;D xsi:type="xsd:long"&gt;45330&lt;/D&gt;&lt;D xsi:type="xsd:long"&gt;45329&lt;/D&gt;&lt;D xsi:type="xsd:long"&gt;45328&lt;/D&gt;&lt;D xsi:type="xsd:long"&gt;45327&lt;/D&gt;&lt;D xsi:type="xsd:long"&gt;45324&lt;/D&gt;&lt;D xsi:type="xsd:long"&gt;45323&lt;/D&gt;&lt;D xsi:type="xsd:long"&gt;45322&lt;/D&gt;&lt;D xsi:type="xsd:long"&gt;45321&lt;/D&gt;&lt;D xsi:type="xsd:long"&gt;45320&lt;/D&gt;&lt;D xsi:type="xsd:long"&gt;45317&lt;/D&gt;&lt;D xsi:type="xsd:long"&gt;45316&lt;/D&gt;&lt;D xsi:type="xsd:long"&gt;45315&lt;/D&gt;&lt;D xsi:type="xsd:long"&gt;45314&lt;/D&gt;&lt;D xsi:type="xsd:long"&gt;45313&lt;/D&gt;&lt;D xsi:type="xsd:long"&gt;45310&lt;/D&gt;&lt;D xsi:type="xsd:long"&gt;45309&lt;/D&gt;&lt;D xsi:type="xsd:long"&gt;45308&lt;/D&gt;&lt;D xsi:type="xsd:long"&gt;45307&lt;/D&gt;&lt;D xsi:type="xsd:long"&gt;45303&lt;/D&gt;&lt;D xsi:type="xsd:long"&gt;45302&lt;/D&gt;&lt;D xsi:type="xsd:long"&gt;45301&lt;/D&gt;&lt;D xsi:type="xsd:long"&gt;45300&lt;/D&gt;&lt;D xsi:type="xsd:long"&gt;45299&lt;/D&gt;&lt;D xsi:type="xsd:long"&gt;45296&lt;/D&gt;&lt;D xsi:type="xsd:long"&gt;45295&lt;/D&gt;&lt;D xsi:type="xsd:long"&gt;45294&lt;/D&gt;&lt;D xsi:type="xsd:long"&gt;45293&lt;/D&gt;&lt;D xsi:type="xsd:long"&gt;45289&lt;/D&gt;&lt;D xsi:type="xsd:long"&gt;45288&lt;/D&gt;&lt;D xsi:type="xsd:long"&gt;45287&lt;/D&gt;&lt;D xsi:type="xsd:long"&gt;45286&lt;/D&gt;&lt;D xsi:type="xsd:long"&gt;45282&lt;/D&gt;&lt;D xsi:type="xsd:long"&gt;45281&lt;/D&gt;&lt;D xsi:type="xsd:long"&gt;45280&lt;/D&gt;&lt;D xsi:type="xsd:long"&gt;45279&lt;/D&gt;&lt;D xsi:type="xsd:long"&gt;45278&lt;/D&gt;&lt;D xsi:type="xsd:long"&gt;45275&lt;/D&gt;&lt;D xsi:type="xsd:long"&gt;45274&lt;/D&gt;&lt;D xsi:type="xsd:long"&gt;45273&lt;/D&gt;&lt;D xsi:type="xsd:long"&gt;45272&lt;/D&gt;&lt;D xsi:type="xsd:long"&gt;45271&lt;/D&gt;&lt;D xsi:type="xsd:long"&gt;45268&lt;/D&gt;&lt;D xsi:type="xsd:long"&gt;45267&lt;/D&gt;&lt;D xsi:type="xsd:long"&gt;45266&lt;/D&gt;&lt;D xsi:type="xsd:long"&gt;45265&lt;/D&gt;&lt;D xsi:type="xsd:long"&gt;45264&lt;/D&gt;&lt;D xsi:type="xsd:long"&gt;45261&lt;/D&gt;&lt;D xsi:type="xsd:long"&gt;45260&lt;/D&gt;&lt;D xsi:type="xsd:long"&gt;45259&lt;/D&gt;&lt;D xsi:type="xsd:long"&gt;45258&lt;/D&gt;&lt;D xsi:type="xsd:long"&gt;45257&lt;/D&gt;&lt;D xsi:type="xsd:long"&gt;45254&lt;/D&gt;&lt;D xsi:type="xsd:long"&gt;45252&lt;/D&gt;&lt;D xsi:type="xsd:long"&gt;45251&lt;/D&gt;&lt;D xsi:type="xsd:long"&gt;45250&lt;/D&gt;&lt;D xsi:type="xsd:long"&gt;45247&lt;/D&gt;&lt;D xsi:type="xsd:long"&gt;45246&lt;/D&gt;&lt;D xsi:type="xsd:long"&gt;45245&lt;/D&gt;&lt;D xsi:type="xsd:long"&gt;45244&lt;/D&gt;&lt;D xsi:type="xsd:long"&gt;45243&lt;/D&gt;&lt;D xsi:type="xsd:long"&gt;45240&lt;/D&gt;&lt;D xsi:type="xsd:long"&gt;45239&lt;/D&gt;&lt;D xsi:type="xsd:long"&gt;45238&lt;/D&gt;&lt;D xsi:type="xsd:long"&gt;45237&lt;/D&gt;&lt;D xsi:type="xsd:long"&gt;45236&lt;/D&gt;&lt;D xsi:type="xsd:long"&gt;45233&lt;/D&gt;&lt;D xsi:type="xsd:long"&gt;45232&lt;/D&gt;&lt;D xsi:type="xsd:long"&gt;45231&lt;/D&gt;&lt;D xsi:type="xsd:long"&gt;45230&lt;/D&gt;&lt;D xsi:type="xsd:long"&gt;45229&lt;/D&gt;&lt;D xsi:type="xsd:long"&gt;45226&lt;/D&gt;&lt;D xsi:type="xsd:long"&gt;45225&lt;/D&gt;&lt;D xsi:type="xsd:long"&gt;45224&lt;/D&gt;&lt;D xsi:type="xsd:long"&gt;45223&lt;/D&gt;&lt;D xsi:type="xsd:long"&gt;45222&lt;/D&gt;&lt;D xsi:type="xsd:long"&gt;45219&lt;/D&gt;&lt;D xsi:type="xsd:long"&gt;45218&lt;/D&gt;&lt;D xsi:type="xsd:long"&gt;45217&lt;/D&gt;&lt;D xsi:type="xsd:long"&gt;45216&lt;/D&gt;&lt;D xsi:type="xsd:long"&gt;45215&lt;/D&gt;&lt;D xsi:type="xsd:long"&gt;45212&lt;/D&gt;&lt;D xsi:type="xsd:long"&gt;45211&lt;/D&gt;&lt;D xsi:type="xsd:long"&gt;45210&lt;/D&gt;&lt;D xsi:type="xsd:long"&gt;45209&lt;/D&gt;&lt;D xsi:type="xsd:long"&gt;45208&lt;/D&gt;&lt;D xsi:type="xsd:long"&gt;45205&lt;/D&gt;&lt;D xsi:type="xsd:long"&gt;45204&lt;/D&gt;&lt;D xsi:type="xsd:long"&gt;45203&lt;/D&gt;&lt;D xsi:type="xsd:long"&gt;45202&lt;/D&gt;&lt;D xsi:type="xsd:long"&gt;45201&lt;/D&gt;&lt;D xsi:type="xsd:long"&gt;45198&lt;/D&gt;&lt;D xsi:type="xsd:long"&gt;45197&lt;/D&gt;&lt;D xsi:type="xsd:long"&gt;45196&lt;/D&gt;&lt;D xsi:type="xsd:long"&gt;45195&lt;/D&gt;&lt;D xsi:type="xsd:long"&gt;45194&lt;/D&gt;&lt;D xsi:type="xsd:long"&gt;45191&lt;/D&gt;&lt;D xsi:type="xsd:long"&gt;45190&lt;/D&gt;&lt;D xsi:type="xsd:long"&gt;45189&lt;/D&gt;&lt;D xsi:type="xsd:long"&gt;45188&lt;/D&gt;&lt;D xsi:type="xsd:long"&gt;45187&lt;/D&gt;&lt;D xsi:type="xsd:long"&gt;45184&lt;/D&gt;&lt;D xsi:type="xsd:long"&gt;45183&lt;/D&gt;&lt;D xsi:type="xsd:long"&gt;45182&lt;/D&gt;&lt;D xsi:type="xsd:long"&gt;45181&lt;/D&gt;&lt;D xsi:type="xsd:long"&gt;45180&lt;/D&gt;&lt;D xsi:type="xsd:long"&gt;45177&lt;/D&gt;&lt;D xsi:type="xsd:long"&gt;45176&lt;/D&gt;&lt;D xsi:type="xsd:long"&gt;45175&lt;/D&gt;&lt;D xsi:type="xsd:long"&gt;45174&lt;/D&gt;&lt;D xsi:type="xsd:long"&gt;45170&lt;/D&gt;&lt;D xsi:type="xsd:long"&gt;45169&lt;/D&gt;&lt;D xsi:type="xsd:long"&gt;45168&lt;/D&gt;&lt;D xsi:type="xsd:long"&gt;45167&lt;/D&gt;&lt;D xsi:type="xsd:long"&gt;45166&lt;/D&gt;&lt;D xsi:type="xsd:long"&gt;45163&lt;/D&gt;&lt;D xsi:type="xsd:long"&gt;45162&lt;/D&gt;&lt;D xsi:type="xsd:long"&gt;45161&lt;/D&gt;&lt;D xsi:type="xsd:long"&gt;45160&lt;/D&gt;&lt;D xsi:type="xsd:long"&gt;45159&lt;/D&gt;&lt;D xsi:type="xsd:long"&gt;45156&lt;/D&gt;&lt;D xsi:type="xsd:long"&gt;45155&lt;/D&gt;&lt;D xsi:type="xsd:long"&gt;45154&lt;/D&gt;&lt;D xsi:type="xsd:long"&gt;45153&lt;/D&gt;&lt;D xsi:type="xsd:long"&gt;45152&lt;/D&gt;&lt;D xsi:type="xsd:long"&gt;45149&lt;/D&gt;&lt;D xsi:type="xsd:long"&gt;45148&lt;/D&gt;&lt;D xsi:type="xsd:long"&gt;45147&lt;/D&gt;&lt;D xsi:type="xsd:long"&gt;45146&lt;/D&gt;&lt;D xsi:type="xsd:long"&gt;45145&lt;/D&gt;&lt;D xsi:type="xsd:long"&gt;45142&lt;/D&gt;&lt;D xsi:type="xsd:long"&gt;45141&lt;/D&gt;&lt;D xsi:type="xsd:long"&gt;45140&lt;/D&gt;&lt;D xsi:type="xsd:long"&gt;45139&lt;/D&gt;&lt;D xsi:type="xsd:long"&gt;45138&lt;/D&gt;&lt;D xsi:type="xsd:long"&gt;45135&lt;/D&gt;&lt;D xsi:type="xsd:long"&gt;45134&lt;/D&gt;&lt;D xsi:type="xsd:long"&gt;45133&lt;/D&gt;&lt;D xsi:type="xsd:long"&gt;45132&lt;/D&gt;&lt;D xsi:type="xsd:long"&gt;45131&lt;/D&gt;&lt;D xsi:type="xsd:long"&gt;45128&lt;/D&gt;&lt;D xsi:type="xsd:long"&gt;45127&lt;/D&gt;&lt;D xsi:type="xsd:long"&gt;45126&lt;/D&gt;&lt;D xsi:type="xsd:long"&gt;45125&lt;/D&gt;&lt;D xsi:type="xsd:long"&gt;45124&lt;/D&gt;&lt;D xsi:type="xsd:long"&gt;45121&lt;/D&gt;&lt;D xsi:type="xsd:long"&gt;45120&lt;/D&gt;&lt;D xsi:type="xsd:long"&gt;45119&lt;/D&gt;&lt;D xsi:type="xsd:long"&gt;45118&lt;/D&gt;&lt;D xsi:type="xsd:long"&gt;45117&lt;/D&gt;&lt;D xsi:type="xsd:long"&gt;45114&lt;/D&gt;&lt;D xsi:type="xsd:long"&gt;45113&lt;/D&gt;&lt;D xsi:type="xsd:long"&gt;45112&lt;/D&gt;&lt;D xsi:type="xsd:long"&gt;45110&lt;/D&gt;&lt;D xsi:type="xsd:long"&gt;45107&lt;/D&gt;&lt;D xsi:type="xsd:long"&gt;45106&lt;/D&gt;&lt;D xsi:type="xsd:long"&gt;45105&lt;/D&gt;&lt;D xsi:type="xsd:long"&gt;45104&lt;/D&gt;&lt;D xsi:type="xsd:long"&gt;45103&lt;/D&gt;&lt;D xsi:type="xsd:long"&gt;45100&lt;/D&gt;&lt;D xsi:type="xsd:long"&gt;45099&lt;/D&gt;&lt;D xsi:type="xsd:long"&gt;45098&lt;/D&gt;&lt;D xsi:type="xsd:long"&gt;45097&lt;/D&gt;&lt;D xsi:type="xsd:long"&gt;45093&lt;/D&gt;&lt;D xsi:type="xsd:long"&gt;45092&lt;/D&gt;&lt;D xsi:type="xsd:long"&gt;45091&lt;/D&gt;&lt;D xsi:type="xsd:long"&gt;45090&lt;/D&gt;&lt;D xsi:type="xsd:long"&gt;45089&lt;/D&gt;&lt;D xsi:type="xsd:long"&gt;45086&lt;/D&gt;&lt;D xsi:type="xsd:long"&gt;45085&lt;/D&gt;&lt;D xsi:type="xsd:long"&gt;45084&lt;/D&gt;&lt;D xsi:type="xsd:long"&gt;45083&lt;/D&gt;&lt;D xsi:type="xsd:long"&gt;45082&lt;/D&gt;&lt;D xsi:type="xsd:long"&gt;45079&lt;/D&gt;&lt;D xsi:type="xsd:long"&gt;45078&lt;/D&gt;&lt;D xsi:type="xsd:long"&gt;45077&lt;/D&gt;&lt;D xsi:type="xsd:long"&gt;45076&lt;/D&gt;&lt;D xsi:type="xsd:long"&gt;45072&lt;/D&gt;&lt;D xsi:type="xsd:long"&gt;45071&lt;/D&gt;&lt;D xsi:type="xsd:long"&gt;45070&lt;/D&gt;&lt;D xsi:type="xsd:long"&gt;45069&lt;/D&gt;&lt;D xsi:type="xsd:long"&gt;45068&lt;/D&gt;&lt;D xsi:type="xsd:long"&gt;45065&lt;/D&gt;&lt;D xsi:type="xsd:long"&gt;45064&lt;/D&gt;&lt;D xsi:type="xsd:long"&gt;45063&lt;/D&gt;&lt;D xsi:type="xsd:long"&gt;45062&lt;/D&gt;&lt;D xsi:type="xsd:long"&gt;45061&lt;/D&gt;&lt;D xsi:type="xsd:long"&gt;45058&lt;/D&gt;&lt;D xsi:type="xsd:long"&gt;45057&lt;/D&gt;&lt;D xsi:type="xsd:long"&gt;45056&lt;/D&gt;&lt;D xsi:type="xsd:long"&gt;45055&lt;/D&gt;&lt;D xsi:type="xsd:long"&gt;45054&lt;/D&gt;&lt;D xsi:type="xsd:long"&gt;45051&lt;/D&gt;&lt;D xsi:type="xsd:long"&gt;45050&lt;/D&gt;&lt;D xsi:type="xsd:long"&gt;45049&lt;/D&gt;&lt;D xsi:type="xsd:long"&gt;45048&lt;/D&gt;&lt;D xsi:type="xsd:long"&gt;45047&lt;/D&gt;&lt;D xsi:type="xsd:long"&gt;45044&lt;/D&gt;&lt;D xsi:type="xsd:long"&gt;45043&lt;/D&gt;&lt;D xsi:type="xsd:long"&gt;45042&lt;/D&gt;&lt;D xsi:type="xsd:long"&gt;45041&lt;/D&gt;&lt;D xsi:type="xsd:long"&gt;45040&lt;/D&gt;&lt;D xsi:type="xsd:long"&gt;45037&lt;/D&gt;&lt;D xsi:type="xsd:long"&gt;45036&lt;/D&gt;&lt;D xsi:type="xsd:long"&gt;45035&lt;/D&gt;&lt;D xsi:type="xsd:long"&gt;45034&lt;/D&gt;&lt;D xsi:type="xsd:long"&gt;45033&lt;/D&gt;&lt;D xsi:type="xsd:long"&gt;45030&lt;/D&gt;&lt;D xsi:type="xsd:long"&gt;45029&lt;/D&gt;&lt;D xsi:type="xsd:long"&gt;45028&lt;/D&gt;&lt;D xsi:type="xsd:long"&gt;45027&lt;/D&gt;&lt;D xsi:type="xsd:long"&gt;45026&lt;/D&gt;&lt;D xsi:type="xsd:long"&gt;45022&lt;/D&gt;&lt;D xsi:type="xsd:long"&gt;45021&lt;/D&gt;&lt;D xsi:type="xsd:long"&gt;45020&lt;/D&gt;&lt;D xsi:type="xsd:long"&gt;45019&lt;/D&gt;&lt;D xsi:type="xsd:long"&gt;45016&lt;/D&gt;&lt;D xsi:type="xsd:long"&gt;45015&lt;/D&gt;&lt;D xsi:type="xsd:long"&gt;45014&lt;/D&gt;&lt;D xsi:type="xsd:long"&gt;45013&lt;/D&gt;&lt;D xsi:type="xsd:long"&gt;45012&lt;/D&gt;&lt;D xsi:type="xsd:long"&gt;45009&lt;/D&gt;&lt;D xsi:type="xsd:long"&gt;45008&lt;/D&gt;&lt;D xsi:type="xsd:long"&gt;45007&lt;/D&gt;&lt;D xsi:type="xsd:long"&gt;45006&lt;/D&gt;&lt;D xsi:type="xsd:long"&gt;45005&lt;/D&gt;&lt;D xsi:type="xsd:long"&gt;45002&lt;/D&gt;&lt;D xsi:type="xsd:long"&gt;45001&lt;/D&gt;&lt;D xsi:type="xsd:long"&gt;45000&lt;/D&gt;&lt;D xsi:type="xsd:long"&gt;44999&lt;/D&gt;&lt;D xsi:type="xsd:long"&gt;44998&lt;/D&gt;&lt;D xsi:type="xsd:long"&gt;44995&lt;/D&gt;&lt;D xsi:type="xsd:long"&gt;44994&lt;/D&gt;&lt;D xsi:type="xsd:long"&gt;44993&lt;/D&gt;&lt;D xsi:type="xsd:long"&gt;44992&lt;/D&gt;&lt;D xsi:type="xsd:long"&gt;44991&lt;/D&gt;&lt;D xsi:type="xsd:long"&gt;44988&lt;/D&gt;&lt;D xsi:type="xsd:long"&gt;44987&lt;/D&gt;&lt;D xsi:type="xsd:long"&gt;44986&lt;/D&gt;&lt;D xsi:type="xsd:long"&gt;44985&lt;/D&gt;&lt;D xsi:type="xsd:long"&gt;44984&lt;/D&gt;&lt;D xsi:type="xsd:long"&gt;44981&lt;/D&gt;&lt;D xsi:type="xsd:long"&gt;44980&lt;/D&gt;&lt;D xsi:type="xsd:long"&gt;44979&lt;/D&gt;&lt;D xsi:type="xsd:long"&gt;44978&lt;/D&gt;&lt;D xsi:type="xsd:long"&gt;44974&lt;/D&gt;&lt;D xsi:type="xsd:long"&gt;44973&lt;/D&gt;&lt;D xsi:type="xsd:long"&gt;44972&lt;/D&gt;&lt;D xsi:type="xsd:long"&gt;44971&lt;/D&gt;&lt;D xsi:type="xsd:long"&gt;44970&lt;/D&gt;&lt;D xsi:type="xsd:long"&gt;44967&lt;/D&gt;&lt;D xsi:type="xsd:long"&gt;44966&lt;/D&gt;&lt;D xsi:type="xsd:long"&gt;44965&lt;/D&gt;&lt;D xsi:type="xsd:long"&gt;44964&lt;/D&gt;&lt;D xsi:type="xsd:long"&gt;44963&lt;/D&gt;&lt;D xsi:type="xsd:long"&gt;44960&lt;/D&gt;&lt;D xsi:type="xsd:long"&gt;44959&lt;/D&gt;&lt;D xsi:type="xsd:long"&gt;44958&lt;/D&gt;&lt;D xsi:type="xsd:long"&gt;44957&lt;/D&gt;&lt;D xsi:type="xsd:long"&gt;44956&lt;/D&gt;&lt;D xsi:type="xsd:long"&gt;44953&lt;/D&gt;&lt;D xsi:type="xsd:long"&gt;44952&lt;/D&gt;&lt;D xsi:type="xsd:long"&gt;44951&lt;/D&gt;&lt;D xsi:type="xsd:long"&gt;44950&lt;/D&gt;&lt;D xsi:type="xsd:long"&gt;44949&lt;/D&gt;&lt;D xsi:type="xsd:long"&gt;44946&lt;/D&gt;&lt;D xsi:type="xsd:long"&gt;44945&lt;/D&gt;&lt;D xsi:type="xsd:long"&gt;44944&lt;/D&gt;&lt;D xsi:type="xsd:long"&gt;44943&lt;/D&gt;&lt;D xsi:type="xsd:long"&gt;44939&lt;/D&gt;&lt;D xsi:type="xsd:long"&gt;44938&lt;/D&gt;&lt;D xsi:type="xsd:long"&gt;44937&lt;/D&gt;&lt;D xsi:type="xsd:long"&gt;44936&lt;/D&gt;&lt;D xsi:type="xsd:long"&gt;44935&lt;/D&gt;&lt;D xsi:type="xsd:long"&gt;44932&lt;/D&gt;&lt;D xsi:type="xsd:long"&gt;44931&lt;/D&gt;&lt;D xsi:type="xsd:long"&gt;44930&lt;/D&gt;&lt;D xsi:type="xsd:long"&gt;44929&lt;/D&gt;&lt;D xsi:type="xsd:long"&gt;44925&lt;/D&gt;&lt;D xsi:type="xsd:long"&gt;44924&lt;/D&gt;&lt;D xsi:type="xsd:long"&gt;44923&lt;/D&gt;&lt;D xsi:type="xsd:long"&gt;44922&lt;/D&gt;&lt;D xsi:type="xsd:long"&gt;44918&lt;/D&gt;&lt;D xsi:type="xsd:long"&gt;44917&lt;/D&gt;&lt;D xsi:type="xsd:long"&gt;44916&lt;/D&gt;&lt;D xsi:type="xsd:long"&gt;44915&lt;/D&gt;&lt;D xsi:type="xsd:long"&gt;44914&lt;/D&gt;&lt;D xsi:type="xsd:long"&gt;44911&lt;/D&gt;&lt;D xsi:type="xsd:long"&gt;44910&lt;/D&gt;&lt;D xsi:type="xsd:long"&gt;44909&lt;/D&gt;&lt;D xsi:type="xsd:long"&gt;44908&lt;/D&gt;&lt;D xsi:type="xsd:long"&gt;44907&lt;/D&gt;&lt;D xsi:type="xsd:long"&gt;44904&lt;/D&gt;&lt;D xsi:type="xsd:long"&gt;44903&lt;/D&gt;&lt;D xsi:type="xsd:long"&gt;44902&lt;/D&gt;&lt;D xsi:type="xsd:long"&gt;44901&lt;/D&gt;&lt;D xsi:type="xsd:long"&gt;44900&lt;/D&gt;&lt;D xsi:type="xsd:long"&gt;44897&lt;/D&gt;&lt;D xsi:type="xsd:long"&gt;44896&lt;/D&gt;&lt;D xsi:type="xsd:long"&gt;44895&lt;/D&gt;&lt;D xsi:type="xsd:long"&gt;44894&lt;/D&gt;&lt;D xsi:type="xsd:long"&gt;44893&lt;/D&gt;&lt;D xsi:type="xsd:long"&gt;44890&lt;/D&gt;&lt;D xsi:type="xsd:long"&gt;44888&lt;/D&gt;&lt;D xsi:type="xsd:long"&gt;44887&lt;/D&gt;&lt;D xsi:type="xsd:long"&gt;44886&lt;/D&gt;&lt;D xsi:type="xsd:long"&gt;44883&lt;/D&gt;&lt;D xsi:type="xsd:long"&gt;44882&lt;/D&gt;&lt;D xsi:type="xsd:long"&gt;44881&lt;/D&gt;&lt;D xsi:type="xsd:long"&gt;44880&lt;/D&gt;&lt;D xsi:type="xsd:long"&gt;44879&lt;/D&gt;&lt;D xsi:type="xsd:long"&gt;44876&lt;/D&gt;&lt;D xsi:type="xsd:long"&gt;44875&lt;/D&gt;&lt;D xsi:type="xsd:long"&gt;44874&lt;/D&gt;&lt;D xsi:type="xsd:long"&gt;44873&lt;/D&gt;&lt;D xsi:type="xsd:long"&gt;44872&lt;/D&gt;&lt;D xsi:type="xsd:long"&gt;44869&lt;/D&gt;&lt;D xsi:type="xsd:long"&gt;44868&lt;/D&gt;&lt;D xsi:type="xsd:long"&gt;44867&lt;/D&gt;&lt;D xsi:type="xsd:long"&gt;44866&lt;/D&gt;&lt;D xsi:type="xsd:long"&gt;44865&lt;/D&gt;&lt;D xsi:type="xsd:long"&gt;44862&lt;/D&gt;&lt;D xsi:type="xsd:long"&gt;44861&lt;/D&gt;&lt;D xsi:type="xsd:long"&gt;44860&lt;/D&gt;&lt;D xsi:type="xsd:long"&gt;44859&lt;/D&gt;&lt;D xsi:type="xsd:long"&gt;44858&lt;/D&gt;&lt;D xsi:type="xsd:long"&gt;44855&lt;/D&gt;&lt;D xsi:type="xsd:long"&gt;44854&lt;/D&gt;&lt;D xsi:type="xsd:long"&gt;44853&lt;/D&gt;&lt;D xsi:type="xsd:long"&gt;44852&lt;/D&gt;&lt;D xsi:type="xsd:long"&gt;44851&lt;/D&gt;&lt;D xsi:type="xsd:long"&gt;44848&lt;/D&gt;&lt;D xsi:type="xsd:long"&gt;44847&lt;/D&gt;&lt;D xsi:type="xsd:long"&gt;44846&lt;/D&gt;&lt;D xsi:type="xsd:long"&gt;44845&lt;/D&gt;&lt;D xsi:type="xsd:long"&gt;44844&lt;/D&gt;&lt;D xsi:type="xsd:long"&gt;44841&lt;/D&gt;&lt;D xsi:type="xsd:long"&gt;44840&lt;/D&gt;&lt;D xsi:type="xsd:long"&gt;44839&lt;/D&gt;&lt;D xsi:type="xsd:long"&gt;44838&lt;/D&gt;&lt;D xsi:type="xsd:long"&gt;44837&lt;/D&gt;&lt;D xsi:type="xsd:long"&gt;44834&lt;/D&gt;&lt;D xsi:type="xsd:long"&gt;44833&lt;/D&gt;&lt;D xsi:type="xsd:long"&gt;44832&lt;/D&gt;&lt;D xsi:type="xsd:long"&gt;44831&lt;/D&gt;&lt;D xsi:type="xsd:long"&gt;44830&lt;/D&gt;&lt;D xsi:type="xsd:long"&gt;44827&lt;/D&gt;&lt;D xsi:type="xsd:long"&gt;44826&lt;/D&gt;&lt;D xsi:type="xsd:long"&gt;44825&lt;/D&gt;&lt;D xsi:type="xsd:long"&gt;44824&lt;/D&gt;&lt;D xsi:type="xsd:long"&gt;44823&lt;/D&gt;&lt;D xsi:type="xsd:long"&gt;44820&lt;/D&gt;&lt;D xsi:type="xsd:long"&gt;44819&lt;/D&gt;&lt;D xsi:type="xsd:long"&gt;44818&lt;/D&gt;&lt;D xsi:type="xsd:long"&gt;44817&lt;/D&gt;&lt;D xsi:type="xsd:long"&gt;44816&lt;/D&gt;&lt;D xsi:type="xsd:long"&gt;44813&lt;/D&gt;&lt;D xsi:type="xsd:long"&gt;44812&lt;/D&gt;&lt;D xsi:type="xsd:long"&gt;44811&lt;/D&gt;&lt;D xsi:type="xsd:long"&gt;44810&lt;/D&gt;&lt;D xsi:type="xsd:long"&gt;44806&lt;/D&gt;&lt;D xsi:type="xsd:long"&gt;44805&lt;/D&gt;&lt;D xsi:type="xsd:long"&gt;44804&lt;/D&gt;&lt;D xsi:type="xsd:long"&gt;44803&lt;/D&gt;&lt;D xsi:type="xsd:long"&gt;44802&lt;/D&gt;&lt;D xsi:type="xsd:long"&gt;44799&lt;/D&gt;&lt;D xsi:type="xsd:long"&gt;44798&lt;/D&gt;&lt;D xsi:type="xsd:long"&gt;44797&lt;/D&gt;&lt;D xsi:type="xsd:long"&gt;44796&lt;/D&gt;&lt;D xsi:type="xsd:long"&gt;44795&lt;/D&gt;&lt;D xsi:type="xsd:long"&gt;44792&lt;/D&gt;&lt;D xsi:type="xsd:long"&gt;44791&lt;/D&gt;&lt;D xsi:type="xsd:long"&gt;44790&lt;/D&gt;&lt;D xsi:type="xsd:long"&gt;44789&lt;/D&gt;&lt;D xsi:type="xsd:long"&gt;44788&lt;/D&gt;&lt;D xsi:type="xsd:long"&gt;44785&lt;/D&gt;&lt;D xsi:type="xsd:long"&gt;44784&lt;/D&gt;&lt;D xsi:type="xsd:long"&gt;44783&lt;/D&gt;&lt;D xsi:type="xsd:long"&gt;44782&lt;/D&gt;&lt;D xsi:type="xsd:long"&gt;44781&lt;/D&gt;&lt;D xsi:type="xsd:long"&gt;44778&lt;/D&gt;&lt;D xsi:type="xsd:long"&gt;44777&lt;/D&gt;&lt;D xsi:type="xsd:long"&gt;44776&lt;/D&gt;&lt;D xsi:type="xsd:long"&gt;44775&lt;/D&gt;&lt;D xsi:type="xsd:long"&gt;44774&lt;/D&gt;&lt;D xsi:type="xsd:long"&gt;44771&lt;/D&gt;&lt;D xsi:type="xsd:long"&gt;44770&lt;/D&gt;&lt;D xsi:type="xsd:long"&gt;44769&lt;/D&gt;&lt;D xsi:type="xsd:long"&gt;44768&lt;/D&gt;&lt;D xsi:type="xsd:long"&gt;44767&lt;/D&gt;&lt;D xsi:type="xsd:long"&gt;44764&lt;/D&gt;&lt;D xsi:type="xsd:long"&gt;44763&lt;/D&gt;&lt;D xsi:type="xsd:long"&gt;44762&lt;/D&gt;&lt;D xsi:type="xsd:long"&gt;44761&lt;/D&gt;&lt;D xsi:type</t>
        </r>
      </text>
    </comment>
    <comment ref="A10" authorId="0" shapeId="0">
      <text>
        <r>
          <rPr>
            <b/>
            <sz val="9"/>
            <color indexed="81"/>
            <rFont val="Tahoma"/>
            <family val="2"/>
          </rPr>
          <t>="xsd:long"&gt;44760&lt;/D&gt;&lt;D xsi:type="xsd:long"&gt;44757&lt;/D&gt;&lt;D xsi:type="xsd:long"&gt;44756&lt;/D&gt;&lt;D xsi:type="xsd:long"&gt;44755&lt;/D&gt;&lt;D xsi:type="xsd:long"&gt;44754&lt;/D&gt;&lt;D xsi:type="xsd:long"&gt;44753&lt;/D&gt;&lt;D xsi:type="xsd:long"&gt;44750&lt;/D&gt;&lt;D xsi:type="xsd:long"&gt;44749&lt;/D&gt;&lt;D xsi:type="xsd:long"&gt;44748&lt;/D&gt;&lt;D xsi:type="xsd:long"&gt;44747&lt;/D&gt;&lt;D xsi:type="xsd:long"&gt;44743&lt;/D&gt;&lt;D xsi:type="xsd:long"&gt;44742&lt;/D&gt;&lt;D xsi:type="xsd:long"&gt;44741&lt;/D&gt;&lt;D xsi:type="xsd:long"&gt;44740&lt;/D&gt;&lt;D xsi:type="xsd:long"&gt;44739&lt;/D&gt;&lt;D xsi:type="xsd:long"&gt;44736&lt;/D&gt;&lt;D xsi:type="xsd:long"&gt;44735&lt;/D&gt;&lt;D xsi:type="xsd:long"&gt;44734&lt;/D&gt;&lt;D xsi:type="xsd:long"&gt;44733&lt;/D&gt;&lt;D xsi:type="xsd:long"&gt;44729&lt;/D&gt;&lt;D xsi:type="xsd:long"&gt;44728&lt;/D&gt;&lt;D xsi:type="xsd:long"&gt;44727&lt;/D&gt;&lt;D xsi:type="xsd:long"&gt;44726&lt;/D&gt;&lt;D xsi:type="xsd:long"&gt;44725&lt;/D&gt;&lt;D xsi:type="xsd:long"&gt;44722&lt;/D&gt;&lt;D xsi:type="xsd:long"&gt;44721&lt;/D&gt;&lt;D xsi:type="xsd:long"&gt;44720&lt;/D&gt;&lt;D xsi:type="xsd:long"&gt;44719&lt;/D&gt;&lt;D xsi:type="xsd:long"&gt;44718&lt;/D&gt;&lt;D xsi:type="xsd:long"&gt;44715&lt;/D&gt;&lt;D xsi:type="xsd:long"&gt;44714&lt;/D&gt;&lt;D xsi:type="xsd:long"&gt;44713&lt;/D&gt;&lt;D xsi:type="xsd:long"&gt;44712&lt;/D&gt;&lt;D xsi:type="xsd:long"&gt;44708&lt;/D&gt;&lt;D xsi:type="xsd:long"&gt;44707&lt;/D&gt;&lt;D xsi:type="xsd:long"&gt;44706&lt;/D&gt;&lt;D xsi:type="xsd:long"&gt;44705&lt;/D&gt;&lt;D xsi:type="xsd:long"&gt;44704&lt;/D&gt;&lt;D xsi:type="xsd:long"&gt;44701&lt;/D&gt;&lt;D xsi:type="xsd:long"&gt;44700&lt;/D&gt;&lt;D xsi:type="xsd:long"&gt;44699&lt;/D&gt;&lt;D xsi:type="xsd:long"&gt;44698&lt;/D&gt;&lt;D xsi:type="xsd:long"&gt;44697&lt;/D&gt;&lt;D xsi:type="xsd:long"&gt;44694&lt;/D&gt;&lt;D xsi:type="xsd:long"&gt;44693&lt;/D&gt;&lt;D xsi:type="xsd:long"&gt;44692&lt;/D&gt;&lt;D xsi:type="xsd:long"&gt;44691&lt;/D&gt;&lt;D xsi:type="xsd:long"&gt;44690&lt;/D&gt;&lt;D xsi:type="xsd:long"&gt;44687&lt;/D&gt;&lt;D xsi:type="xsd:long"&gt;44686&lt;/D&gt;&lt;D xsi:type="xsd:long"&gt;44685&lt;/D&gt;&lt;D xsi:type="xsd:long"&gt;44684&lt;/D&gt;&lt;D xsi:type="xsd:long"&gt;44683&lt;/D&gt;&lt;D xsi:type="xsd:long"&gt;44680&lt;/D&gt;&lt;D xsi:type="xsd:long"&gt;44679&lt;/D&gt;&lt;D xsi:type="xsd:long"&gt;44678&lt;/D&gt;&lt;D xsi:type="xsd:long"&gt;44677&lt;/D&gt;&lt;D xsi:type="xsd:long"&gt;44676&lt;/D&gt;&lt;D xsi:type="xsd:long"&gt;44673&lt;/D&gt;&lt;D xsi:type="xsd:long"&gt;44672&lt;/D&gt;&lt;D xsi:type="xsd:long"&gt;44671&lt;/D&gt;&lt;D xsi:type="xsd:long"&gt;44670&lt;/D&gt;&lt;D xsi:type="xsd:long"&gt;44669&lt;/D&gt;&lt;D xsi:type="xsd:long"&gt;44665&lt;/D&gt;&lt;D xsi:type="xsd:long"&gt;44664&lt;/D&gt;&lt;D xsi:type="xsd:long"&gt;44663&lt;/D&gt;&lt;D xsi:type="xsd:long"&gt;44662&lt;/D&gt;&lt;D xsi:type="xsd:long"&gt;44659&lt;/D&gt;&lt;D xsi:type="xsd:long"&gt;44658&lt;/D&gt;&lt;D xsi:type="xsd:long"&gt;44657&lt;/D&gt;&lt;D xsi:type="xsd:long"&gt;44656&lt;/D&gt;&lt;D xsi:type="xsd:long"&gt;44655&lt;/D&gt;&lt;D xsi:type="xsd:long"&gt;44652&lt;/D&gt;&lt;D xsi:type="xsd:long"&gt;44651&lt;/D&gt;&lt;D xsi:type="xsd:long"&gt;44650&lt;/D&gt;&lt;D xsi:type="xsd:long"&gt;44649&lt;/D&gt;&lt;D xsi:type="xsd:long"&gt;44648&lt;/D&gt;&lt;D xsi:type="xsd:long"&gt;44645&lt;/D&gt;&lt;D xsi:type="xsd:long"&gt;44644&lt;/D&gt;&lt;D xsi:type="xsd:long"&gt;44643&lt;/D&gt;&lt;D xsi:type="xsd:long"&gt;44642&lt;/D&gt;&lt;D xsi:type="xsd:long"&gt;44641&lt;/D&gt;&lt;D xsi:type="xsd:long"&gt;44638&lt;/D&gt;&lt;D xsi:type="xsd:long"&gt;44637&lt;/D&gt;&lt;D xsi:type="xsd:long"&gt;44636&lt;/D&gt;&lt;D xsi:type="xsd:long"&gt;44635&lt;/D&gt;&lt;D xsi:type="xsd:long"&gt;44634&lt;/D&gt;&lt;D xsi:type="xsd:long"&gt;44631&lt;/D&gt;&lt;D xsi:type="xsd:long"&gt;44630&lt;/D&gt;&lt;D xsi:type="xsd:long"&gt;44629&lt;/D&gt;&lt;D xsi:type="xsd:long"&gt;44628&lt;/D&gt;&lt;D xsi:type="xsd:long"&gt;44627&lt;/D&gt;&lt;D xsi:type="xsd:long"&gt;44624&lt;/D&gt;&lt;D xsi:type="xsd:long"&gt;44623&lt;/D&gt;&lt;D xsi:type="xsd:long"&gt;44622&lt;/D&gt;&lt;D xsi:type="xsd:long"&gt;44621&lt;/D&gt;&lt;D xsi:type="xsd:long"&gt;44620&lt;/D&gt;&lt;D xsi:type="xsd:long"&gt;44617&lt;/D&gt;&lt;D xsi:type="xsd:long"&gt;44616&lt;/D&gt;&lt;D xsi:type="xsd:long"&gt;44615&lt;/D&gt;&lt;D xsi:type="xsd:long"&gt;44614&lt;/D&gt;&lt;D xsi:type="xsd:long"&gt;44610&lt;/D&gt;&lt;D xsi:type="xsd:long"&gt;44609&lt;/D&gt;&lt;D xsi:type="xsd:long"&gt;44608&lt;/D&gt;&lt;D xsi:type="xsd:long"&gt;44607&lt;/D&gt;&lt;D xsi:type="xsd:long"&gt;44606&lt;/D&gt;&lt;D xsi:type="xsd:long"&gt;44603&lt;/D&gt;&lt;D xsi:type="xsd:long"&gt;44602&lt;/D&gt;&lt;D xsi:type="xsd:long"&gt;44601&lt;/D&gt;&lt;D xsi:type="xsd:long"&gt;44600&lt;/D&gt;&lt;D xsi:type="xsd:long"&gt;44599&lt;/D&gt;&lt;D xsi:type="xsd:long"&gt;44596&lt;/D&gt;&lt;D xsi:type="xsd:long"&gt;44595&lt;/D&gt;&lt;D xsi:type="xsd:long"&gt;44594&lt;/D&gt;&lt;D xsi:type="xsd:long"&gt;44593&lt;/D&gt;&lt;D xsi:type="xsd:long"&gt;44592&lt;/D&gt;&lt;D xsi:type="xsd:long"&gt;44589&lt;/D&gt;&lt;D xsi:type="xsd:long"&gt;44588&lt;/D&gt;&lt;D xsi:type="xsd:long"&gt;44587&lt;/D&gt;&lt;D xsi:type="xsd:long"&gt;44586&lt;/D&gt;&lt;D xsi:type="xsd:long"&gt;44585&lt;/D&gt;&lt;D xsi:type="xsd:long"&gt;44582&lt;/D&gt;&lt;D xsi:type="xsd:long"&gt;44581&lt;/D&gt;&lt;D xsi:type="xsd:long"&gt;44580&lt;/D&gt;&lt;D xsi:type="xsd:long"&gt;44579&lt;/D&gt;&lt;D xsi:type="xsd:long"&gt;44575&lt;/D&gt;&lt;D xsi:type="xsd:long"&gt;44574&lt;/D&gt;&lt;D xsi:type="xsd:long"&gt;44573&lt;/D&gt;&lt;D xsi:type="xsd:long"&gt;44572&lt;/D&gt;&lt;D xsi:type="xsd:long"&gt;44571&lt;/D&gt;&lt;D xsi:type="xsd:long"&gt;44568&lt;/D&gt;&lt;D xsi:type="xsd:long"&gt;44567&lt;/D&gt;&lt;D xsi:type="xsd:long"&gt;44566&lt;/D&gt;&lt;D xsi:type="xsd:long"&gt;44565&lt;/D&gt;&lt;D xsi:type="xsd:long"&gt;44564&lt;/D&gt;&lt;D xsi:type="xsd:long"&gt;44561&lt;/D&gt;&lt;D xsi:type="xsd:long"&gt;44560&lt;/D&gt;&lt;D xsi:type="xsd:long"&gt;44559&lt;/D&gt;&lt;D xsi:type="xsd:long"&gt;44558&lt;/D&gt;&lt;D xsi:type="xsd:long"&gt;44557&lt;/D&gt;&lt;D xsi:type="xsd:long"&gt;44553&lt;/D&gt;&lt;D xsi:type="xsd:long"&gt;44552&lt;/D&gt;&lt;D xsi:type="xsd:long"&gt;44551&lt;/D&gt;&lt;D xsi:type="xsd:long"&gt;44550&lt;/D&gt;&lt;D xsi:type="xsd:long"&gt;44547&lt;/D&gt;&lt;D xsi:type="xsd:long"&gt;44546&lt;/D&gt;&lt;D xsi:type="xsd:long"&gt;44545&lt;/D&gt;&lt;D xsi:type="xsd:long"&gt;44544&lt;/D&gt;&lt;D xsi:type="xsd:long"&gt;44543&lt;/D&gt;&lt;D xsi:type="xsd:long"&gt;44540&lt;/D&gt;&lt;D xsi:type="xsd:long"&gt;44539&lt;/D&gt;&lt;D xsi:type="xsd:long"&gt;44538&lt;/D&gt;&lt;D xsi:type="xsd:long"&gt;44537&lt;/D&gt;&lt;D xsi:type="xsd:long"&gt;44536&lt;/D&gt;&lt;D xsi:type="xsd:long"&gt;44533&lt;/D&gt;&lt;D xsi:type="xsd:long"&gt;44532&lt;/D&gt;&lt;D xsi:type="xsd:long"&gt;44531&lt;/D&gt;&lt;D xsi:type="xsd:long"&gt;44530&lt;/D&gt;&lt;D xsi:type="xsd:long"&gt;44529&lt;/D&gt;&lt;D xsi:type="xsd:long"&gt;44526&lt;/D&gt;&lt;D xsi:type="xsd:long"&gt;44524&lt;/D&gt;&lt;D xsi:type="xsd:long"&gt;44523&lt;/D&gt;&lt;D xsi:type="xsd:long"&gt;44522&lt;/D&gt;&lt;D xsi:type="xsd:long"&gt;44519&lt;/D&gt;&lt;D xsi:type="xsd:long"&gt;44518&lt;/D&gt;&lt;D xsi:type="xsd:long"&gt;44517&lt;/D&gt;&lt;D xsi:type="xsd:long"&gt;44516&lt;/D&gt;&lt;D xsi:type="xsd:long"&gt;44515&lt;/D&gt;&lt;D xsi:type="xsd:long"&gt;44512&lt;/D&gt;&lt;D xsi:type="xsd:long"&gt;44511&lt;/D&gt;&lt;D xsi:type="xsd:long"&gt;44510&lt;/D&gt;&lt;D xsi:type="xsd:long"&gt;44509&lt;/D&gt;&lt;D xsi:type="xsd:long"&gt;44508&lt;/D&gt;&lt;D xsi:type="xsd:long"&gt;44505&lt;/D&gt;&lt;D xsi:type="xsd:long"&gt;44504&lt;/D&gt;&lt;D xsi:type="xsd:long"&gt;44503&lt;/D&gt;&lt;D xsi:type="xsd:long"&gt;44502&lt;/D&gt;&lt;D xsi:type="xsd:long"&gt;44501&lt;/D&gt;&lt;D xsi:type="xsd:long"&gt;44498&lt;/D&gt;&lt;D xsi:type="xsd:long"&gt;44497&lt;/D&gt;&lt;D xsi:type="xsd:long"&gt;44496&lt;/D&gt;&lt;D xsi:type="xsd:long"&gt;44495&lt;/D&gt;&lt;D xsi:type="xsd:long"&gt;44494&lt;/D&gt;&lt;D xsi:type="xsd:long"&gt;44491&lt;/D&gt;&lt;D xsi:type="xsd:long"&gt;44490&lt;/D&gt;&lt;D xsi:type="xsd:long"&gt;44489&lt;/D&gt;&lt;D xsi:type="xsd:long"&gt;44488&lt;/D&gt;&lt;D xsi:type="xsd:long"&gt;44487&lt;/D&gt;&lt;D xsi:type="xsd:long"&gt;44484&lt;/D&gt;&lt;D xsi:type="xsd:long"&gt;44483&lt;/D&gt;&lt;D xsi:type="xsd:long"&gt;44482&lt;/D&gt;&lt;D xsi:type="xsd:long"&gt;44481&lt;/D&gt;&lt;D xsi:type="xsd:long"&gt;44480&lt;/D&gt;&lt;D xsi:type="xsd:long"&gt;44477&lt;/D&gt;&lt;D xsi:type="xsd:long"&gt;44476&lt;/D&gt;&lt;D xsi:type="xsd:long"&gt;44475&lt;/D&gt;&lt;D xsi:type="xsd:long"&gt;44474&lt;/D&gt;&lt;D xsi:type="xsd:long"&gt;44473&lt;/D&gt;&lt;D xsi:type="xsd:long"&gt;44470&lt;/D&gt;&lt;D xsi:type="xsd:long"&gt;44469&lt;/D&gt;&lt;D xsi:type="xsd:long"&gt;44468&lt;/D&gt;&lt;D xsi:type="xsd:long"&gt;44467&lt;/D&gt;&lt;D xsi:type="xsd:long"&gt;44466&lt;/D&gt;&lt;D xsi:type="xsd:long"&gt;44463&lt;/D&gt;&lt;D xsi:type="xsd:long"&gt;44462&lt;/D&gt;&lt;D xsi:type="xsd:long"&gt;44461&lt;/D&gt;&lt;D xsi:type="xsd:long"&gt;44460&lt;/D&gt;&lt;D xsi:type="xsd:long"&gt;44459&lt;/D&gt;&lt;D xsi:type="xsd:long"&gt;44456&lt;/D&gt;&lt;D xsi:type="xsd:long"&gt;44455&lt;/D&gt;&lt;D xsi:type="xsd:long"&gt;44454&lt;/D&gt;&lt;D xsi:type="xsd:long"&gt;44453&lt;/D&gt;&lt;D xsi:type="xsd:long"&gt;44452&lt;/D&gt;&lt;D xsi:type="xsd:long"&gt;44449&lt;/D&gt;&lt;D xsi:type="xsd:long"&gt;44448&lt;/D&gt;&lt;D xsi:type="xsd:long"&gt;44447&lt;/D&gt;&lt;D xsi:type="xsd:long"&gt;44446&lt;/D&gt;&lt;D xsi:type="xsd:long"&gt;44442&lt;/D&gt;&lt;D xsi:type="xsd:long"&gt;44441&lt;/D&gt;&lt;D xsi:type="xsd:long"&gt;44440&lt;/D&gt;&lt;D xsi:type="xsd:long"&gt;44439&lt;/D&gt;&lt;D xsi:type="xsd:long"&gt;44438&lt;/D&gt;&lt;D xsi:type="xsd:long"&gt;44435&lt;/D&gt;&lt;D xsi:type="xsd:long"&gt;44434&lt;/D&gt;&lt;D xsi:type="xsd:long"&gt;44433&lt;/D&gt;&lt;D xsi:type="xsd:long"&gt;44432&lt;/D&gt;&lt;D xsi:type="xsd:long"&gt;44431&lt;/D&gt;&lt;D xsi:type="xsd:long"&gt;44428&lt;/D&gt;&lt;D xsi:type="xsd:long"&gt;44427&lt;/D&gt;&lt;D xsi:type="xsd:long"&gt;44426&lt;/D&gt;&lt;D xsi:type="xsd:long"&gt;44425&lt;/D&gt;&lt;D xsi:type="xsd:long"&gt;44424&lt;/D&gt;&lt;D xsi:type="xsd:long"&gt;44421&lt;/D&gt;&lt;D xsi:type="xsd:long"&gt;44420&lt;/D&gt;&lt;D xsi:type="xsd:long"&gt;44419&lt;/D&gt;&lt;D xsi:type="xsd:long"&gt;44418&lt;/D&gt;&lt;D xsi:type="xsd:long"&gt;44417&lt;/D&gt;&lt;D xsi:type="xsd:long"&gt;44414&lt;/D&gt;&lt;D xsi:type="xsd:long"&gt;44413&lt;/D&gt;&lt;D xsi:type="xsd:long"&gt;44412&lt;/D&gt;&lt;D xsi:type="xsd:long"&gt;44411&lt;/D&gt;&lt;D xsi:type="xsd:long"&gt;44410&lt;/D&gt;&lt;D xsi:type="xsd:long"&gt;44407&lt;/D&gt;&lt;D xsi:type="xsd:long"&gt;44406&lt;/D&gt;&lt;D xsi:type="xsd:long"&gt;44405&lt;/D&gt;&lt;D xsi:type="xsd:long"&gt;44404&lt;/D&gt;&lt;D xsi:type="xsd:long"&gt;44403&lt;/D&gt;&lt;D xsi:type="xsd:long"&gt;44400&lt;/D&gt;&lt;D xsi:type="xsd:long"&gt;44399&lt;/D&gt;&lt;D xsi:type="xsd:long"&gt;44398&lt;/D&gt;&lt;D xsi:type="xsd:long"&gt;44397&lt;/D&gt;&lt;D xsi:type="xsd:long"&gt;44396&lt;/D&gt;&lt;D xsi:type="xsd:long"&gt;44393&lt;/D&gt;&lt;D xsi:type="xsd:long"&gt;44392&lt;/D&gt;&lt;D xsi:type="xsd:long"&gt;44391&lt;/D&gt;&lt;D xsi:type="xsd:long"&gt;44390&lt;/D&gt;&lt;D xsi:type="xsd:long"&gt;44389&lt;/D&gt;&lt;D xsi:type="xsd:long"&gt;44386&lt;/D&gt;&lt;D xsi:type="xsd:long"&gt;44385&lt;/D&gt;&lt;D xsi:type="xsd:long"&gt;44384&lt;/D&gt;&lt;D xsi:type="xsd:long"&gt;44383&lt;/D&gt;&lt;D xsi:type="xsd:long"&gt;44379&lt;/D&gt;&lt;D xsi:type="xsd:long"&gt;44378&lt;/D&gt;&lt;D xsi:type="xsd:long"&gt;44377&lt;/D&gt;&lt;D xsi:type="xsd:long"&gt;44376&lt;/D&gt;&lt;D xsi:type="xsd:long"&gt;44375&lt;/D&gt;&lt;D xsi:type="xsd:long"&gt;44372&lt;/D&gt;&lt;D xsi:type="xsd:long"&gt;44371&lt;/D&gt;&lt;D xsi:type="xsd:long"&gt;44370&lt;/D&gt;&lt;D xsi:type="xsd:long"&gt;44369&lt;/D&gt;&lt;D xsi:type="xsd:long"&gt;44368&lt;/D&gt;&lt;D xsi:type="xsd:long"&gt;44365&lt;/D&gt;&lt;D xsi:type="xsd:long"&gt;44364&lt;/D&gt;&lt;D xsi:type="xsd:long"&gt;44363&lt;/D&gt;&lt;D xsi:type="xsd:long"&gt;44362&lt;/D&gt;&lt;D xsi:type="xsd:long"&gt;44361&lt;/D&gt;&lt;D xsi:type="xsd:long"&gt;44358&lt;/D&gt;&lt;D xsi:type="xsd:long"&gt;44357&lt;/D&gt;&lt;D xsi:type="xsd:long"&gt;44356&lt;/D&gt;&lt;D xsi:type="xsd:long"&gt;44355&lt;/D&gt;&lt;D xsi:type="xsd:long"&gt;44354&lt;/D&gt;&lt;D xsi:type="xsd:long"&gt;44351&lt;/D&gt;&lt;D xsi:type="xsd:long"&gt;44350&lt;/D&gt;&lt;D xsi:type="xsd:long"&gt;44349&lt;/D&gt;&lt;D xsi:type="xsd:long"&gt;44348&lt;/D&gt;&lt;D xsi:type="xsd:long"&gt;44344&lt;/D&gt;&lt;D xsi:type="xsd:long"&gt;44343&lt;/D&gt;&lt;D xsi:type="xsd:long"&gt;44342&lt;/D&gt;&lt;D xsi:type="xsd:long"&gt;44341&lt;/D&gt;&lt;D xsi:type="xsd:long"&gt;44340&lt;/D&gt;&lt;D xsi:type="xsd:long"&gt;44337&lt;/D&gt;&lt;D xsi:type="xsd:long"&gt;44336&lt;/D&gt;&lt;D xsi:type="xsd:long"&gt;44335&lt;/D&gt;&lt;D xsi:type="xsd:long"&gt;44334&lt;/D&gt;&lt;D xsi:type="xsd:long"&gt;44333&lt;/D&gt;&lt;D xsi:type="xsd:long"&gt;44330&lt;/D&gt;&lt;D xsi:type="xsd:long"&gt;44329&lt;/D&gt;&lt;D xsi:type="xsd:long"&gt;44328&lt;/D&gt;&lt;D xsi:type="xsd:long"&gt;44327&lt;/D&gt;&lt;D xsi:type="xsd:long"&gt;44326&lt;/D&gt;&lt;D xsi:type="xsd:long"&gt;44323&lt;/D&gt;&lt;D xsi:type="xsd:long"&gt;44322&lt;/D&gt;&lt;D xsi:type="xsd:long"&gt;44321&lt;/D&gt;&lt;D xsi:type="xsd:long"&gt;44320&lt;/D&gt;&lt;D xsi:type="xsd:long"&gt;44319&lt;/D&gt;&lt;D xsi:type="xsd:long"&gt;44316&lt;/D&gt;&lt;D xsi:type="xsd:long"&gt;44315&lt;/D&gt;&lt;D xsi:type="xsd:long"&gt;44314&lt;/D&gt;&lt;D xsi:type="xsd:long"&gt;44313&lt;/D&gt;&lt;D xsi:type="xsd:long"&gt;44312&lt;/D&gt;&lt;D xsi:type="xsd:long"&gt;44309&lt;/D&gt;&lt;D xsi:type="xsd:long"&gt;44308&lt;/D&gt;&lt;D xsi:type="xsd:long"&gt;44307&lt;/D&gt;&lt;D xsi:type="xsd:long"&gt;44306&lt;/D&gt;&lt;D xsi:type="xsd:long"&gt;44305&lt;/D&gt;&lt;D xsi:type="xsd:long"&gt;44302&lt;/D&gt;&lt;D xsi:type="xsd:long"&gt;44301&lt;/D&gt;&lt;D xsi:type="xsd:long"&gt;44300&lt;/D&gt;&lt;D xsi:type="xsd:long"&gt;44299&lt;/D&gt;&lt;D xsi:type="xsd:long"&gt;44298&lt;/D&gt;&lt;D xsi:type="xsd:long"&gt;44295&lt;/D&gt;&lt;D xsi:type="xsd:long"&gt;44294&lt;/D&gt;&lt;D xsi:type="xsd:long"&gt;44293&lt;/D&gt;&lt;D xsi:type="xsd:long"&gt;44292&lt;/D&gt;&lt;D xsi:type="xsd:long"&gt;44291&lt;/D&gt;&lt;D xsi:type="xsd:long"&gt;44287&lt;/D&gt;&lt;D xsi:type="xsd:long"&gt;44286&lt;/D&gt;&lt;D xsi:type="xsd:long"&gt;44285&lt;/D&gt;&lt;D xsi:type="xsd:long"&gt;44284&lt;/D&gt;&lt;D xsi:type="xsd:long"&gt;44281&lt;/D&gt;&lt;D xsi:type="xsd:long"&gt;44280&lt;/D&gt;&lt;D xsi:type="xsd:long"&gt;44279&lt;/D&gt;&lt;D xsi:type="xsd:long"&gt;44278&lt;/D&gt;&lt;D xsi:type="xsd:long"&gt;44277&lt;/D&gt;&lt;D xsi:type="xsd:long"&gt;44274&lt;/D&gt;&lt;D xsi:type="xsd:long"&gt;44273&lt;/D&gt;&lt;D xsi:type="xsd:long"&gt;44272&lt;/D&gt;&lt;D xsi:type="xsd:long"&gt;44271&lt;/D&gt;&lt;D xsi:type="xsd:long"&gt;44270&lt;/D&gt;&lt;D xsi:type="xsd:long"&gt;44267&lt;/D&gt;&lt;D xsi:type="xsd:long"&gt;44266&lt;/D&gt;&lt;D xsi:type="xsd:long"&gt;44265&lt;/D&gt;&lt;D xsi:type="xsd:long"&gt;44264&lt;/D&gt;&lt;D xsi:type="xsd:long"&gt;44263&lt;/D&gt;&lt;D xsi:type="xsd:long"&gt;44260&lt;/D&gt;&lt;D xsi:type="xsd:long"&gt;44259&lt;/D&gt;&lt;D xsi:type="xsd:long"&gt;44258&lt;/D&gt;&lt;D xsi:type="xsd:long"&gt;44257&lt;/D&gt;&lt;D xsi:type="xsd:long"&gt;44256&lt;/D&gt;&lt;D xsi:type="xsd:long"&gt;44253&lt;/D&gt;&lt;D xsi:type="xsd:long"&gt;44252&lt;/D&gt;&lt;D xsi:type="xsd:long"&gt;44251&lt;/D&gt;&lt;D xsi:type="xsd:long"&gt;44250&lt;/D&gt;&lt;D xsi:type="xsd:long"&gt;44249&lt;/D&gt;&lt;D xsi:type="xsd:long"&gt;44246&lt;/D&gt;&lt;D xsi:type="xsd:long"&gt;44245&lt;/D&gt;&lt;D xsi:type="xsd:long"&gt;44244&lt;/D&gt;&lt;D xsi:type="xsd:long"&gt;44243&lt;/D&gt;&lt;D xsi:type="xsd:long"&gt;44239&lt;/D&gt;&lt;D xsi:type="xsd:long"&gt;44238&lt;/D&gt;&lt;D xsi:type="xsd:long"&gt;44237&lt;/D&gt;&lt;D xsi:type="xsd:long"&gt;44236&lt;/D&gt;&lt;D xsi:type="xsd:long"&gt;44235&lt;/D&gt;&lt;D xsi:type="xsd:long"&gt;44232&lt;/D&gt;&lt;D xsi:type="xsd:long"&gt;44231&lt;/D&gt;&lt;D xsi:type="xsd:long"&gt;44230&lt;/D&gt;&lt;D xsi:type="xsd:long"&gt;44229&lt;/D&gt;&lt;D xsi:type="xsd:long"&gt;44228&lt;/D&gt;&lt;D xsi:type="xsd:long"&gt;44225&lt;/D&gt;&lt;D xsi:type="xsd:long"&gt;44224&lt;/D&gt;&lt;D xsi:type="xsd:long"&gt;44223&lt;/D&gt;&lt;D xsi:type="xsd:long"&gt;44222&lt;/D&gt;&lt;D xsi:type="xsd:long"&gt;44221&lt;/D&gt;&lt;D xsi:type="xsd:long"&gt;44218&lt;/D&gt;&lt;D xsi:type="xsd:long"&gt;44217&lt;/D&gt;&lt;D xsi:type="xsd:long"&gt;44216&lt;/D&gt;&lt;D xsi:type="xsd:long"&gt;44215&lt;/D&gt;&lt;D xsi:type="xsd:long"&gt;44211&lt;/D&gt;&lt;D xsi:type="xsd:long"&gt;44210&lt;/D&gt;&lt;D xsi:type="xsd:long"&gt;44209&lt;/D&gt;&lt;D xsi:type="xsd:long"&gt;44208&lt;/D&gt;&lt;D xsi:type="xsd:long"&gt;44207&lt;/D&gt;&lt;D xsi:type="xsd:long"&gt;44204&lt;/D&gt;&lt;D xsi:type="xsd:long"&gt;44203&lt;/D&gt;&lt;D xsi:type="xsd:long"&gt;44202&lt;/D&gt;&lt;D xsi:type="xsd:long"&gt;44201&lt;/D&gt;&lt;D xsi:type="xsd:long"&gt;44200&lt;/D&gt;&lt;D xsi:type="xsd:long"&gt;44196&lt;/D&gt;&lt;D xsi:type="xsd:long"&gt;44195&lt;/D&gt;&lt;D xsi:type="xsd:long"&gt;44194&lt;/D&gt;&lt;D xsi:type="xsd:long"&gt;44193&lt;/D&gt;&lt;D xsi:type="xsd:long"&gt;44189&lt;/D&gt;&lt;D xsi:type="xsd:long"&gt;44188&lt;/D&gt;&lt;D xsi:type="xsd:long"&gt;44187&lt;/D&gt;&lt;D xsi:type="xsd:long"&gt;44186&lt;/D&gt;&lt;D xsi:type="xsd:long"&gt;44183&lt;/D&gt;&lt;D xsi:type="xsd:long"&gt;44182&lt;/D&gt;&lt;D xsi:type="xsd:long"&gt;44181&lt;/D&gt;&lt;D xsi:type="xsd:long"&gt;44180&lt;/D&gt;&lt;D xsi:type="xsd:long"&gt;44179&lt;/D&gt;&lt;D xsi:type="xsd:long"&gt;44176&lt;/D&gt;&lt;D xsi:type="xsd:long"&gt;44175&lt;/D&gt;&lt;D xsi:type="xsd:long"&gt;44174&lt;/D&gt;&lt;D xsi:type="xsd:long"&gt;44173&lt;/D&gt;&lt;D xsi:type="xsd:long"&gt;44172&lt;/D&gt;&lt;D xsi:type="xsd:long"&gt;44169&lt;/D&gt;&lt;D xsi:type="xsd:long"&gt;44168&lt;/D&gt;&lt;D xsi:type="xsd:long"&gt;44167&lt;/D&gt;&lt;D xsi:type="xsd:long"&gt;44166&lt;/D&gt;&lt;D xsi:type="xsd:long"&gt;44165&lt;/D&gt;&lt;D xsi:type="xsd:long"&gt;44162&lt;/D&gt;&lt;D xsi:type="xsd:long"&gt;44160&lt;/D&gt;&lt;D xsi:type="xsd:long"&gt;44159&lt;/D&gt;&lt;D xsi:type="xsd:long"&gt;44158&lt;/D&gt;&lt;D xsi:type="xsd:long"&gt;44155&lt;/D&gt;&lt;D xsi:type="xsd:long"&gt;44154&lt;/D&gt;&lt;D xsi:type="xsd:long"&gt;44153&lt;/D&gt;&lt;D xsi:type="xsd:long"&gt;44152&lt;/D&gt;&lt;D xsi:type="xsd:long"&gt;44151&lt;/D&gt;&lt;D xsi:type="xsd:long"&gt;44148&lt;/D&gt;&lt;D xsi:type="xsd:long"&gt;44147&lt;/D&gt;&lt;D xsi:type="xsd:long"&gt;44146&lt;/D&gt;&lt;D xsi:type="xsd:long"&gt;44145&lt;/D&gt;&lt;D xsi:type="xsd:long"&gt;44144&lt;/D&gt;&lt;D xsi:type="xsd:long"&gt;44141&lt;/D&gt;&lt;D xsi:type="xsd:long"&gt;44140&lt;/D&gt;&lt;D xsi:type="xsd:long"&gt;44139&lt;/D&gt;&lt;D xsi:type="xsd:long"&gt;44138&lt;/D&gt;&lt;D xsi:type="xsd:long"&gt;44137&lt;/D&gt;&lt;D xsi:type="xsd:long"&gt;44134&lt;/D&gt;&lt;D xsi:type="xsd:long"&gt;44133&lt;/D&gt;&lt;D xsi:type="xsd:long"&gt;44132&lt;/D&gt;&lt;D xsi:type="xsd:long"&gt;44131&lt;/D&gt;&lt;D xsi:type="xsd:long"&gt;44130&lt;/D&gt;&lt;D xsi:type="xsd:long"&gt;44127&lt;/D&gt;&lt;D xsi:type="xsd:long"&gt;44126&lt;/D&gt;&lt;D xsi:type="xsd:long"&gt;44125&lt;/D&gt;&lt;D xsi:type="xsd:long"&gt;44124&lt;/D&gt;&lt;D xsi:type="xsd:long"&gt;44123&lt;/D&gt;&lt;D xsi:type="xsd:long"&gt;44120&lt;/D&gt;&lt;D xsi:type="xsd:long"&gt;44119&lt;/D&gt;&lt;D xsi:type="xsd:long"&gt;44118&lt;/D&gt;&lt;D xsi:type="xsd:long"&gt;44117&lt;/D&gt;&lt;D xsi:type="xsd:long"&gt;44116&lt;/D&gt;&lt;D xsi:type="xsd:long"&gt;44113&lt;/D&gt;&lt;D xsi:type="xsd:long"&gt;44112&lt;/D&gt;&lt;D xsi:type="xsd:long"&gt;44111&lt;/D&gt;&lt;D xsi:type="xsd:long"&gt;44110&lt;/D&gt;&lt;D xsi:type="xsd:long"&gt;44109&lt;/D&gt;&lt;D xsi:type="xsd:long"&gt;44106&lt;/D&gt;&lt;D xsi:type="xsd:long"&gt;44105&lt;/D&gt;&lt;D xsi:type="xsd:long"&gt;44104&lt;/D&gt;&lt;D xsi:type="xsd:long"&gt;44103&lt;/D&gt;&lt;D xsi:type="xsd:long"&gt;44102&lt;/D&gt;&lt;D xsi:type="xsd:long"&gt;44099&lt;/D&gt;&lt;D xsi:type="xsd:long"&gt;44098&lt;/D&gt;&lt;D xsi:type="xsd:long"&gt;44097&lt;/D&gt;&lt;D xsi:type="xsd:long"&gt;44096&lt;/D&gt;&lt;D xsi:type="xsd:long"&gt;44095&lt;/D&gt;&lt;D xsi:type="xsd:long"&gt;44092&lt;/D&gt;&lt;D xsi:type="xsd:long"&gt;44091&lt;/D&gt;&lt;D xsi:type="xsd:long"&gt;44090&lt;/D&gt;&lt;D xsi:type="xsd:long"&gt;44089&lt;/D&gt;&lt;D xsi:type="xsd:long"&gt;44088&lt;/D&gt;&lt;D xsi:type="xsd:long"&gt;44085&lt;/D&gt;&lt;D xsi:type="xsd:long"&gt;44084&lt;/D&gt;&lt;D xsi:type="xsd:long"&gt;44083&lt;/D&gt;&lt;D xsi:type="xsd:long"&gt;44082&lt;/D&gt;&lt;D xsi:type="xsd:long"&gt;44078&lt;/D&gt;&lt;D xsi:type="xsd:long"&gt;44077&lt;/D&gt;&lt;D xsi:type="xsd:long"&gt;44076&lt;/D&gt;&lt;D xsi:type="xsd:long"&gt;44075&lt;/D&gt;&lt;D xsi:type="xsd:long"&gt;44074&lt;/D&gt;&lt;D xsi:type="xsd:long"&gt;44071&lt;/D&gt;&lt;D xsi:type="xsd:long"&gt;44070&lt;/D&gt;&lt;D xsi:type="xsd:long"&gt;44069&lt;/D&gt;&lt;D xsi:type="xsd:long"&gt;44068&lt;/D&gt;&lt;D xsi:type="xsd:long"&gt;44067&lt;/D&gt;&lt;D xsi:type="xsd:long"&gt;44064&lt;/D&gt;&lt;D xsi:type="xsd:long"&gt;44063&lt;/D&gt;&lt;D xsi:type="xsd:long"&gt;44062&lt;/D&gt;&lt;D xsi:type="xsd:long"&gt;44061&lt;/D&gt;&lt;D xsi:type="xsd:long"&gt;44060&lt;/D&gt;&lt;D xsi:type="xsd:long"&gt;44057&lt;/D&gt;&lt;D xsi:type="xsd:long"&gt;44056&lt;/D&gt;&lt;D xsi:type="xsd:long"&gt;44055&lt;/D&gt;&lt;D xsi:type="xsd:long"&gt;44054&lt;/D&gt;&lt;D xsi:type="xsd:long"&gt;44053&lt;/D&gt;&lt;D xsi:type="xsd:long"&gt;44050&lt;/D&gt;&lt;D xsi:type="xsd:long"&gt;44049&lt;/D&gt;&lt;D xsi:type="xsd:long"&gt;44048&lt;/D&gt;&lt;D xsi:type="xsd:long"&gt;44047&lt;/D&gt;&lt;D xsi:type="xsd:long"&gt;44046&lt;/D&gt;&lt;D xsi:type="xsd:long"&gt;44043&lt;/D&gt;&lt;D xsi:type="xsd:long"&gt;44042&lt;/D&gt;&lt;D xsi:type="xsd:long"&gt;44041&lt;/D&gt;&lt;D xsi:type="xsd:long"&gt;44040&lt;/D&gt;&lt;D xsi:type="xsd:long"&gt;44039&lt;/D&gt;&lt;D xsi:type="xsd:long"&gt;44036&lt;/D&gt;&lt;D xsi:type="xsd:long"&gt;44035&lt;/D&gt;&lt;D xsi:type="xsd:long"&gt;44034&lt;/D&gt;&lt;D xsi:type="xsd:long"&gt;44033&lt;/D&gt;&lt;D xsi:type="xsd:long"&gt;44032&lt;/D&gt;&lt;D xsi:type="xsd:long"&gt;44029&lt;/D&gt;&lt;D xsi:type="xsd:long"&gt;44028&lt;/D&gt;&lt;D xsi:type="xsd:long"&gt;44027&lt;/D&gt;&lt;D xsi:type="xsd:long"&gt;44026&lt;/D&gt;&lt;D xsi:type="xsd:long"&gt;44025&lt;/D&gt;&lt;D xsi:type="xsd:long"&gt;44022&lt;/D&gt;&lt;D xsi:type="xsd:long"&gt;44021&lt;/D&gt;&lt;D xsi:type="xsd:long"&gt;44020&lt;/D&gt;&lt;D xsi:type="xsd:long"&gt;44019&lt;/D&gt;&lt;D xsi:type="xsd:long"&gt;44018&lt;/D&gt;&lt;D xsi:type="xsd:long"&gt;44014&lt;/D&gt;&lt;D xsi:type="xsd:long"&gt;44013&lt;/D&gt;&lt;D xsi:type="xsd:long"&gt;44012&lt;/D&gt;&lt;D xsi:type="xsd:long"&gt;44011&lt;/D&gt;&lt;D xsi:type="xsd:long"&gt;44008&lt;/D&gt;&lt;D xsi:type="xsd:long"&gt;44007&lt;/D&gt;&lt;D xsi:type="xsd:long"&gt;44006&lt;/D&gt;&lt;D xsi:type="xsd:long"&gt;44005&lt;/D&gt;&lt;D xsi:type="xsd:long"&gt;44004&lt;/D&gt;&lt;D xsi:type="xsd:long"&gt;44001&lt;/D&gt;&lt;D xsi:type="xsd:long"&gt;44000&lt;/D&gt;&lt;D xsi:type="xsd:long"&gt;43999&lt;/D&gt;&lt;D xsi:type="xsd:long"&gt;43998&lt;/D&gt;&lt;D xsi:type="xsd:long"&gt;43997&lt;/D&gt;&lt;D xsi:type="xsd:long"&gt;43994&lt;/D&gt;&lt;D xsi:type="xsd:long"&gt;43993&lt;/D&gt;&lt;D xsi:type="xsd:long"&gt;43992&lt;/D&gt;&lt;D xsi:type="xsd:long"&gt;43991&lt;/D&gt;&lt;D xsi:type="xsd:long"&gt;43990&lt;/D&gt;&lt;D xsi:type="xsd:long"&gt;43987&lt;/D&gt;&lt;D xsi:type="xsd:long"&gt;43986&lt;/D&gt;&lt;D xsi:type="xsd:long"&gt;43985&lt;/D&gt;&lt;D xsi:type="xsd:long"&gt;43984&lt;/D&gt;&lt;D xsi:type="xsd:long"&gt;43983&lt;/D&gt;&lt;D xsi:type="xsd:long"&gt;43980&lt;/D&gt;&lt;D xsi:type="xsd:long"&gt;43979&lt;/D&gt;&lt;D xsi:type="xsd:long"&gt;43978&lt;/D&gt;&lt;D xsi:type="xsd:long"&gt;43977&lt;/D&gt;&lt;D xsi:type="xsd:long"&gt;43973&lt;/D&gt;&lt;D xsi:type="xsd:long"&gt;43972&lt;/D&gt;&lt;D xsi:type="xsd:long"&gt;43971&lt;/D&gt;&lt;D xsi:type="xsd:long"&gt;43970&lt;/D&gt;&lt;D xsi:type="xsd:long"&gt;43969&lt;/D&gt;&lt;D xsi:type="xsd:long"&gt;43966&lt;/D&gt;&lt;D xsi:type="xsd:long"&gt;43965&lt;/D&gt;&lt;D xsi:type="xsd:long"&gt;43964&lt;/D&gt;&lt;D xsi:type="xsd:long"&gt;43963&lt;/D&gt;&lt;D xsi:type="xsd:long"&gt;43962&lt;/D&gt;&lt;D xsi:type="xsd:long"&gt;43959&lt;/D&gt;&lt;D xsi:type="xsd:long"&gt;43958&lt;/D&gt;&lt;D xsi:type="xsd:long"&gt;43957&lt;/D&gt;&lt;D xsi:type="xsd:long"&gt;43956&lt;/D&gt;&lt;D xsi:type="xsd:long"&gt;43955&lt;/D&gt;&lt;D xsi:type="xsd:long"&gt;43952&lt;/D&gt;&lt;D xsi:type="xsd:long"&gt;43951&lt;/D&gt;&lt;D xsi:type="xsd:long"&gt;43950&lt;/D&gt;&lt;D xsi:type="xsd:long"&gt;43949&lt;/D&gt;&lt;D xsi:type="xsd:long"&gt;43948&lt;/D&gt;&lt;D xsi:type="xsd:long"&gt;43945&lt;/D&gt;&lt;D xsi:type="xsd:long"&gt;43944&lt;/D&gt;&lt;D xsi:type="xsd:long"&gt;43943&lt;/D&gt;&lt;D xsi:type="xsd:long"&gt;43942&lt;/D&gt;&lt;D xsi:type="xsd:long"&gt;43941&lt;/D&gt;&lt;D xsi:type="xsd:long"&gt;43938&lt;/D&gt;&lt;D xsi:type="xsd:long"&gt;43937&lt;/D&gt;&lt;D xsi:type="xsd:long"&gt;43936&lt;/D&gt;&lt;D xsi:type="xsd:long"&gt;43935&lt;/D&gt;&lt;D xsi:type="xsd:long"&gt;43934&lt;/D&gt;&lt;D xsi:type="xsd:long"&gt;43930&lt;/D&gt;&lt;D xsi:type="xsd:long"&gt;43929&lt;/D&gt;&lt;D xsi:type="xsd:long"&gt;43928&lt;/D&gt;&lt;D xsi:type="xsd:long"&gt;43927&lt;/D&gt;&lt;D xsi:type="xsd:long"&gt;43924&lt;/D&gt;&lt;D xsi:type="xsd:long"&gt;43923&lt;/D&gt;&lt;D xsi:type="xsd:long"&gt;43922&lt;/D&gt;&lt;D xsi:type="xsd:long"&gt;43921&lt;/D&gt;&lt;D xsi:type="xsd:long"&gt;43920&lt;/D&gt;&lt;D xsi:type="xsd:long"&gt;43917&lt;/D&gt;&lt;D xsi:type="xsd:long"&gt;43916&lt;/D&gt;&lt;D xsi:type="xsd:long"&gt;43915&lt;/D&gt;&lt;D xsi:type="xsd:long"&gt;43914&lt;/D&gt;&lt;D xsi:type="xsd:long"&gt;43913&lt;/D&gt;&lt;D xsi:type="xsd:long"&gt;43910&lt;/D&gt;&lt;D xsi:type="xsd:long"&gt;43909&lt;/D&gt;&lt;D xsi:type="xsd:long"&gt;43908&lt;/D&gt;&lt;D xsi:type="xsd:long"&gt;43907&lt;/D&gt;&lt;D xsi:type="xsd:long"&gt;43906&lt;/D&gt;&lt;D xsi:type="xsd:long"&gt;43903&lt;/D&gt;&lt;D xsi:type="xsd:long"&gt;43902&lt;/D&gt;&lt;D xsi:type="xsd:long"&gt;43901&lt;/D&gt;&lt;D xsi:type="xsd:long"&gt;43900&lt;/D&gt;&lt;D xsi:type="xsd:long"&gt;43899&lt;/D&gt;&lt;D xsi:type="xsd:long"&gt;43896&lt;/D&gt;&lt;D xsi:type="xsd:long"&gt;43895&lt;/D&gt;&lt;D xsi:type="xsd:long"&gt;43894&lt;/D&gt;&lt;D xsi:type="xsd:long"&gt;43893&lt;/D&gt;&lt;D xsi:type="xsd:long"&gt;43892&lt;/D&gt;&lt;D xsi:type="xsd:long"&gt;43889&lt;/D&gt;&lt;D xsi:type="xsd:long"&gt;43888&lt;/D&gt;&lt;D xsi:type="xsd:long"&gt;43887&lt;/D&gt;&lt;D xsi:type="xsd:long"&gt;43886&lt;/D&gt;&lt;D xsi:type="xsd:long"&gt;43885&lt;/D&gt;&lt;D xsi:type="xsd:long"&gt;43882&lt;/D&gt;&lt;D xsi:type="xsd:long"&gt;43881&lt;/D&gt;&lt;D xsi:type="xsd:long"&gt;43880&lt;/D&gt;&lt;D xsi:type="xsd:long"&gt;43879&lt;/D&gt;&lt;D xsi:type="xsd:long"&gt;43875&lt;/D&gt;&lt;D xsi:type="xsd:long"&gt;43874&lt;/D&gt;&lt;D xsi:type="xsd:long"&gt;43873&lt;/D&gt;&lt;D xsi:type="xsd:long"&gt;43872&lt;/D&gt;&lt;D xsi:type="xsd:long"&gt;43871&lt;/D&gt;&lt;D xsi:type="xsd:long"&gt;43868&lt;/D&gt;&lt;D xsi:type="xsd:long"&gt;43867&lt;/D&gt;&lt;D xsi:type="xsd:long"&gt;43866&lt;/D&gt;&lt;D xsi:type="xsd:long"&gt;43865&lt;/D&gt;&lt;D xsi:type="xsd:long"&gt;43864&lt;/D&gt;&lt;D xsi:type="xsd:long"&gt;43861&lt;/D&gt;&lt;D xsi:type="xsd:long"&gt;43860&lt;/D&gt;&lt;D xsi:type="xsd:long"&gt;43859&lt;/D&gt;&lt;D xsi:type="xsd:long"&gt;43858&lt;/D&gt;&lt;D xsi:type="xsd:long"&gt;43857&lt;/D&gt;&lt;D xsi:type="xsd:long"&gt;43854&lt;/D&gt;&lt;D xsi:type="xsd:long"&gt;43853&lt;/D&gt;&lt;D xsi:type="xsd:long"&gt;43852&lt;/D&gt;&lt;D xsi:type="xsd:long"&gt;43851&lt;/D&gt;&lt;D xsi:type="xsd:long"&gt;43847&lt;/D&gt;&lt;D xsi:type="xsd:long"&gt;43846&lt;/D&gt;&lt;D xsi:type="xsd:long"&gt;43845&lt;/D&gt;&lt;D xsi:type="xsd:long"&gt;43844&lt;/D&gt;&lt;D xsi:type="xsd:long"&gt;43843&lt;/D&gt;&lt;D xsi:type="xsd:long"&gt;43840&lt;/D&gt;&lt;D xsi:type="xsd:long"&gt;43839&lt;/D&gt;&lt;D xsi:type="xsd:long"&gt;43838&lt;/D&gt;&lt;D xsi:type="xsd:long"&gt;43837&lt;/D&gt;&lt;D xsi:type="xsd:long"&gt;43836&lt;/D&gt;&lt;D xsi:type="xsd:long"&gt;43833&lt;/D&gt;&lt;D xsi:type="xsd:long"&gt;43832&lt;/D&gt;&lt;D xsi:type="xsd:long"&gt;43830&lt;/D&gt;&lt;D xsi:type="xsd:long"&gt;43829&lt;/D&gt;&lt;D xsi:type="xsd:long"&gt;43826&lt;/D&gt;&lt;D xsi:type="xsd:long"&gt;43825&lt;/D&gt;&lt;D xsi:type="xsd:long"&gt;43823&lt;/D&gt;&lt;D xsi:type="xsd:long"&gt;43822&lt;/D&gt;&lt;D xsi:type="xsd:long"&gt;43819&lt;/D&gt;&lt;D xsi:type="xsd:long"&gt;43818&lt;/D&gt;&lt;D xsi:type="xsd:long"&gt;43817&lt;/D&gt;&lt;D xsi:type="xsd:long"&gt;43816&lt;/D&gt;&lt;D xsi:type="xsd:long"&gt;43815&lt;/D&gt;&lt;D xsi:type="xsd:long"&gt;43812&lt;/D&gt;&lt;D xsi:type="xsd:long"&gt;43811&lt;/D&gt;&lt;D xsi:type="xsd:long"&gt;43810&lt;/D&gt;&lt;D xsi:type="xsd:long"&gt;43809&lt;/D&gt;&lt;D xsi:type="xsd:long"&gt;43808&lt;/D&gt;&lt;D xsi:type="xsd:long"&gt;43805&lt;/D&gt;&lt;D xsi:type="xsd:long"&gt;43804&lt;/D&gt;&lt;D xsi:type="xsd:long"&gt;43803&lt;/D&gt;&lt;D xsi:type="xsd:long"&gt;43802&lt;/D&gt;&lt;D xsi:type="xsd:long"&gt;43801&lt;/D&gt;&lt;D xsi:type="xsd:long"&gt;43798&lt;/D&gt;&lt;D xsi:type="xsd:long"&gt;43796&lt;/D&gt;&lt;D xsi:type="xsd:long"&gt;43795&lt;/D&gt;&lt;D xsi:type="xsd:long"&gt;43794&lt;/D&gt;&lt;D xsi:type="xsd:long"&gt;43791&lt;/D&gt;&lt;D xsi:type="xsd:long"&gt;43790&lt;/D&gt;&lt;D xsi:type="xsd:long"&gt;43789&lt;/D&gt;&lt;D xsi:type="xsd:long"&gt;43788&lt;/D&gt;&lt;D xsi:type="xsd:long"&gt;43787&lt;/D&gt;&lt;D xsi:type="xsd:long"&gt;43784&lt;/D&gt;&lt;D xsi:type="xsd:long"&gt;43783&lt;/D&gt;&lt;D xsi:type="xsd:long"&gt;43782&lt;/D&gt;&lt;D xsi:type="xsd:long"&gt;43781&lt;/D&gt;&lt;D xsi:type="xsd:long"&gt;43780&lt;/D&gt;&lt;D xsi:type="xsd:long"&gt;43777&lt;/D&gt;&lt;D xsi:type="xsd:long"&gt;43776&lt;/D&gt;&lt;D xsi:type="xsd:long"&gt;43775&lt;/D&gt;&lt;D xsi:type="xsd:long"&gt;43774&lt;/D&gt;&lt;D xsi:type="xsd:long"&gt;43773&lt;/D&gt;&lt;D xsi:type="xsd:long"&gt;43770&lt;/D&gt;&lt;D xsi:type="xsd:long"&gt;43769&lt;/D&gt;&lt;D xsi:type="xsd:long"&gt;43768&lt;/D&gt;&lt;D xsi:type="xsd:long"&gt;43767&lt;/D&gt;&lt;D xsi:type="xsd:long"&gt;43766&lt;/D&gt;&lt;D xsi:type="xsd:long"&gt;43763&lt;/D&gt;&lt;D xsi:type="xsd:long"&gt;43762&lt;/D&gt;&lt;D xsi:type="xsd:long"&gt;43761&lt;/D&gt;&lt;D xsi:type="xsd:long"&gt;43760&lt;/D&gt;&lt;D xsi:type="xsd:long"&gt;43759&lt;/D&gt;&lt;D xsi:type="xsd:long"&gt;43756&lt;/D&gt;&lt;D xsi:type="xsd:long"&gt;43755&lt;/D&gt;&lt;D xsi:type="xsd:long"&gt;43754&lt;/D&gt;&lt;D xsi:type="xsd:long"&gt;43753&lt;/D&gt;&lt;D xsi:type="xsd:long"&gt;43752&lt;/D&gt;&lt;D xsi:type="xsd:long"&gt;43749&lt;/D&gt;&lt;D xsi:type="xsd:long"&gt;43748&lt;/D&gt;&lt;D xsi:type="xsd:long"&gt;43747&lt;/D&gt;&lt;D xsi:type="xsd:long"&gt;43746&lt;/D&gt;&lt;D xsi:type="xsd:long"&gt;43745&lt;/D&gt;&lt;D xsi:type="xsd:long"&gt;43742&lt;/D&gt;&lt;D xsi:type="xsd:long"&gt;43741&lt;/D&gt;&lt;D xsi:type="xsd:long"&gt;43740&lt;/D&gt;&lt;D xsi:type="xsd:long"&gt;43739&lt;/D&gt;&lt;D xsi:type="xsd:long"&gt;43738&lt;/D&gt;&lt;D xsi:type="xsd:long"&gt;43735&lt;/D&gt;&lt;D xsi:type="xsd:long"&gt;43734&lt;/D&gt;&lt;D xsi:type="xsd:long"&gt;43733&lt;/D&gt;&lt;D xsi:type="xsd:long"&gt;43732&lt;/D&gt;&lt;D xsi:type="xsd:long"&gt;43731&lt;/D&gt;&lt;D xsi:type="xsd:long"&gt;43728&lt;/D&gt;&lt;D xsi:type="xsd:long"&gt;43727&lt;/D&gt;&lt;D xsi:type="xsd:long"&gt;43726&lt;/D&gt;&lt;D xsi:type="xsd:long"&gt;43725&lt;/D&gt;&lt;D xsi:type="xsd:long"&gt;43724&lt;/D&gt;&lt;D xsi:type="xsd:long"&gt;43721&lt;/D&gt;&lt;D xsi:type="xsd:long"&gt;43720&lt;/D&gt;&lt;D xsi:type="xsd:long"&gt;43719&lt;/D&gt;&lt;D xsi:type="xsd:long"&gt;43718&lt;/D&gt;&lt;D xsi:type="xsd:long"&gt;43717&lt;/D&gt;&lt;D xsi:type="xsd:long"&gt;43714&lt;/D&gt;&lt;D xsi:type="xsd:long"&gt;43713&lt;/D&gt;&lt;D xsi:type="xsd:long"&gt;43712&lt;/D&gt;&lt;D xsi:type="xsd:long"&gt;43711&lt;/D&gt;&lt;D xsi:type="xsd:long"&gt;43707&lt;/D&gt;&lt;D xsi:type="xsd:long"&gt;43706&lt;/D&gt;&lt;D xsi:type="xsd:long"&gt;43705&lt;/D&gt;&lt;D xsi:type="xsd:long"&gt;43704&lt;/D&gt;&lt;D xsi:type="xsd:long"&gt;43703&lt;/D&gt;&lt;D xsi:type="xsd:long"&gt;43700&lt;/D&gt;&lt;D xsi:type="xsd:long"&gt;43699&lt;/D&gt;&lt;D xsi:type="xsd:long"&gt;43698&lt;/D&gt;&lt;D xsi:type="xsd:long"&gt;43697&lt;/D&gt;&lt;D xsi:type="xsd:long"&gt;43696&lt;/D&gt;&lt;D xsi:type="xsd:long"&gt;43693&lt;/D&gt;&lt;D xsi:type="xsd:long"&gt;43692&lt;/D&gt;&lt;D xsi:type="xsd:long"&gt;43691&lt;/D&gt;&lt;D xsi:type="xsd:long"&gt;43690&lt;/D&gt;&lt;D xsi:type="xsd:long"&gt;43689&lt;/D&gt;&lt;D xsi:type="xsd:long"&gt;43686&lt;/D&gt;&lt;D xsi:type="xsd:long"&gt;43685&lt;/D&gt;&lt;D xsi:type="xsd:long"&gt;43684&lt;/D&gt;&lt;D xsi:type="xsd:long"&gt;43683&lt;/D&gt;&lt;D xsi:type="xsd:long"&gt;43682&lt;/D&gt;&lt;D xsi:type="xsd:long"&gt;43679&lt;/D&gt;&lt;D xsi:type="xsd:long"&gt;43678&lt;/D&gt;&lt;D xsi:type="xsd:long"&gt;43677&lt;/D&gt;&lt;D xsi:type="xsd:long"&gt;43676&lt;/D&gt;&lt;D xsi:type="xsd:long"&gt;43675&lt;/D&gt;&lt;D xsi:type="xsd:long"&gt;43672&lt;/D&gt;&lt;D xsi:type="xsd:long"&gt;43671&lt;/D&gt;&lt;D xsi:type="xsd:long"&gt;43670&lt;/D&gt;&lt;D xsi:type="xsd:long"&gt;43669&lt;/D&gt;&lt;D xsi:type="xsd:long"&gt;43668&lt;/D&gt;&lt;D xsi:type="xsd:long"&gt;43665&lt;/D&gt;&lt;D xsi:type="xsd:long"&gt;43664&lt;/D&gt;&lt;D xsi:type="xsd:long"&gt;43663&lt;/D&gt;&lt;D xsi:type="xsd:long"&gt;43662&lt;/D&gt;&lt;D xsi:type="xsd:long"&gt;43661&lt;/D&gt;&lt;D xsi:type="xsd:long"&gt;43658&lt;/D&gt;&lt;D xsi:type="xsd:long"&gt;43657&lt;/D&gt;&lt;D xsi:type="xsd:long"&gt;43656&lt;/D&gt;&lt;D xsi:type="xsd:long"&gt;43655&lt;/D&gt;&lt;D xsi:type="xsd:long"&gt;43654&lt;/D&gt;&lt;D xsi:type="xsd:long"&gt;43651&lt;/D&gt;&lt;D xsi:type="xsd:long"&gt;43649&lt;/D&gt;&lt;D xsi:type="xsd:long"&gt;43648&lt;/D&gt;&lt;D xsi:type="xsd:long"&gt;43647&lt;/D&gt;&lt;D xsi:type="xsd:long"&gt;43644&lt;/D&gt;&lt;D xsi:type="xsd:long"&gt;43643&lt;/D&gt;&lt;D xsi:type="xsd:long"&gt;43642&lt;/D&gt;&lt;D xsi:type="xsd:long"&gt;43641&lt;/D&gt;&lt;D xsi:type="xsd:long"&gt;43640&lt;/D&gt;&lt;D xsi:type="xsd:long"&gt;43637&lt;/D&gt;&lt;D xsi:type="xsd:long"&gt;43636&lt;/D&gt;&lt;D xsi:type="xsd:long"&gt;43635&lt;/D&gt;&lt;D xsi:type="xsd:long"&gt;43634&lt;/D&gt;&lt;D xsi:type="xsd:long"&gt;43633&lt;/D&gt;&lt;D xsi:type="xsd:long"&gt;43630&lt;/D&gt;&lt;D xsi:type="xsd:long"&gt;43629&lt;/D&gt;&lt;D xsi:type="xsd:long"&gt;43628&lt;/D&gt;&lt;D xsi:type="xsd:long"&gt;43627&lt;/D&gt;&lt;D xsi:type="xsd:long"&gt;43626&lt;/D&gt;&lt;D xsi:type="xsd:long"&gt;43623&lt;/D&gt;&lt;D xsi:type="xsd:long"&gt;43622&lt;/D&gt;&lt;D xsi:type="xsd:long"&gt;43621&lt;/D&gt;&lt;D xsi:type="xsd:long"&gt;43620&lt;/D&gt;&lt;D xsi:type="xsd:long"&gt;43619&lt;/D&gt;&lt;D xsi:type="xsd:long"&gt;43616&lt;/D&gt;&lt;D xsi:type="xsd:long"&gt;43615&lt;/D&gt;&lt;D xsi:type="xsd:long"&gt;43614&lt;/D&gt;&lt;D xsi:type="xsd:long"&gt;43613&lt;/D&gt;&lt;D xsi:type="xsd:long"&gt;43609&lt;/D&gt;&lt;D xsi:type="xsd:long"&gt;43608&lt;/D&gt;&lt;D xsi:type="xsd:long"&gt;43607&lt;/D&gt;&lt;D xsi:type="xsd:long"&gt;43606&lt;/D&gt;&lt;D xsi:type="xsd:long"&gt;43605&lt;/D&gt;&lt;D xsi:type="xsd:long"&gt;43602&lt;/D&gt;&lt;D xsi:type="xsd:long"&gt;43601&lt;/D&gt;&lt;D xsi:type="xsd:long"&gt;43600&lt;/D&gt;&lt;D xsi:type="xsd:long"&gt;43599&lt;/D&gt;&lt;D xsi:type="xsd:long"&gt;43598&lt;/D&gt;&lt;D xsi:type="xsd:long"&gt;43595&lt;/D&gt;&lt;D xsi:type="xsd:long"&gt;43594&lt;/D&gt;&lt;D xsi:type="xsd:long"&gt;43593&lt;/D&gt;&lt;D xsi:type="xsd:long"&gt;43592&lt;/D&gt;&lt;D xsi:type="xsd:long"&gt;43591&lt;/D&gt;&lt;D xsi:type="xsd:long"&gt;43588&lt;/D&gt;&lt;D xsi:type="xsd:long"&gt;43587&lt;/D&gt;&lt;D xsi:type="xsd:long"&gt;43586&lt;/D&gt;&lt;D xsi:type="xsd:long"&gt;43585&lt;/D&gt;&lt;D xsi:type="xsd:long"&gt;43584&lt;/D&gt;&lt;D xsi:type="xsd:long"&gt;43581&lt;/D&gt;&lt;D xsi:type="xsd:long"&gt;43580&lt;/D&gt;&lt;D xsi:type="xsd:long"&gt;43579&lt;/D&gt;&lt;D xsi:type="xsd:long"&gt;43578&lt;/D&gt;&lt;D xsi:type="xsd:long"&gt;43577&lt;/D&gt;&lt;D xsi:type="xsd:long"&gt;43573&lt;/D&gt;&lt;D xsi:type="xsd:long"&gt;43572&lt;/D&gt;&lt;D xsi:type="xsd:long"&gt;43571&lt;/D&gt;&lt;D xsi:type="xsd:long"&gt;43570&lt;/D&gt;&lt;D xsi:type="xsd:long"&gt;43567&lt;/D&gt;&lt;D xsi:type="xsd:long"&gt;43566&lt;/D&gt;&lt;D xsi:type="xsd:long"&gt;43565&lt;/D&gt;&lt;D xsi:type="xsd:long"&gt;43564&lt;/D&gt;&lt;D xsi:type="xsd:long"&gt;43563&lt;/D&gt;&lt;D xsi:type="xsd:long"&gt;43560&lt;/D&gt;&lt;D xsi:type="xsd:long"&gt;43559&lt;/D&gt;&lt;D xsi:type="xsd:long"&gt;43558&lt;/D&gt;&lt;D xsi:type="xsd:long"&gt;43557&lt;/D&gt;&lt;D xsi:type="xsd:long"&gt;43556&lt;/D&gt;&lt;D xsi:type="xsd:long"&gt;43553&lt;/D&gt;&lt;D xsi:type="xsd:long"&gt;43552&lt;/D&gt;&lt;D xsi:type="xsd:long"&gt;43551&lt;/D&gt;&lt;D xsi:type="xsd:long"&gt;43550&lt;/D&gt;&lt;D xsi:type="xsd:long"&gt;43549&lt;/D&gt;&lt;D xsi:type="xsd:long"&gt;43546&lt;/D&gt;&lt;D xsi:type="xsd:long"&gt;43545&lt;/D&gt;&lt;D xsi:type="xsd:long"&gt;43544&lt;/D&gt;&lt;D xsi:type="xsd:long"&gt;43543&lt;/D&gt;&lt;D xsi:type="xsd:long"&gt;43542&lt;/D&gt;&lt;D xsi:type="xsd:long"&gt;43539&lt;/D&gt;&lt;D xsi:type="xsd:long"&gt;43538&lt;/D&gt;&lt;D xsi:type="xsd:long"&gt;43537&lt;/D&gt;&lt;D xsi:type="xsd:long"&gt;43536&lt;/D&gt;&lt;D xsi:type="xsd:long"&gt;43535&lt;/D&gt;&lt;D xsi:type="xsd:long"&gt;43532&lt;/D&gt;&lt;D xsi:type="xsd:long"&gt;43531&lt;/D&gt;&lt;D xsi:type="xsd:long"&gt;43530&lt;/D&gt;&lt;D xsi:type="xsd:long"&gt;43529&lt;/D&gt;&lt;D xsi:type="xsd:long"&gt;43528&lt;/D&gt;&lt;D xsi:type="xsd:long"&gt;43525&lt;/D&gt;&lt;D xsi:type="xsd:long"&gt;43524&lt;/D&gt;&lt;D xsi:type="xsd:long"&gt;43523&lt;/D&gt;&lt;D xsi:type="xsd:long"&gt;43522&lt;/D&gt;&lt;D xsi:type="xsd:long"&gt;43521&lt;/D&gt;&lt;D xsi:type="xsd:long"&gt;43518&lt;/D&gt;&lt;D xsi:type="xsd:long"&gt;43517&lt;/D&gt;&lt;D xsi:type="xsd:long"&gt;43516&lt;/D&gt;&lt;D xsi:type="xsd:long"&gt;43515&lt;/D&gt;&lt;D xsi:type="xsd:long"&gt;43511&lt;/D&gt;&lt;D xsi:type="xsd:long"&gt;43510&lt;/D&gt;&lt;D xsi:type="xsd:long"&gt;43509&lt;/D&gt;&lt;D xsi:type="xsd:long"&gt;43508&lt;/D&gt;&lt;D xsi:type="xsd:long"&gt;43507&lt;/D&gt;&lt;D xsi:type="xsd:long"&gt;43504&lt;/D&gt;&lt;D xsi:type="xsd:long"&gt;43503&lt;/D&gt;&lt;D xsi:type="xsd:long"&gt;43502&lt;/D&gt;&lt;D xsi:type="xsd:long"&gt;43501&lt;/D&gt;&lt;D xsi:type="xsd:long"&gt;43500&lt;/D&gt;&lt;D xsi:type="xsd:long"&gt;43497&lt;/D&gt;&lt;D xsi:type="xsd:long"&gt;43496&lt;/D&gt;&lt;D xsi:type="xsd:long"&gt;43495&lt;/D&gt;&lt;D xsi:type="xsd:long"&gt;43494&lt;/D&gt;&lt;D xsi:type="xsd:long"&gt;43493&lt;/D&gt;&lt;D xsi:type="xsd:long"&gt;43490&lt;/D&gt;&lt;D xsi:type="xsd:long"&gt;43489&lt;/D&gt;&lt;D xsi:type="xsd:long"&gt;43488&lt;/D&gt;&lt;D xsi:type="xsd:long"&gt;43487&lt;/D&gt;&lt;D xsi:type="xsd:long"&gt;43483&lt;/D&gt;&lt;D xsi:type="xsd:long"&gt;43482&lt;/D&gt;&lt;D xsi:type="xsd:long"&gt;43481&lt;/D&gt;&lt;D xsi:type="xsd:long"&gt;43480&lt;/D&gt;&lt;D xsi:type="xsd:long"&gt;43479&lt;/D&gt;&lt;D xsi:type="xsd:long"&gt;43476&lt;/D&gt;&lt;D xsi:type="xsd:long"&gt;43475&lt;/D&gt;&lt;D xsi:type="xsd:long"&gt;43474&lt;/D&gt;&lt;D xsi:type="xsd:long"&gt;43473&lt;/D&gt;&lt;D xsi:type="xsd:long"&gt;43472&lt;/D&gt;&lt;D xsi:type="xsd:long"&gt;43469&lt;/D&gt;&lt;D xsi:type="xsd:long"&gt;43468&lt;/D&gt;&lt;D xsi:type="xsd:long"&gt;43467&lt;/D&gt;&lt;D xsi:type="xsd:long"&gt;43465&lt;/D&gt;&lt;D xsi:type="xsd:long"&gt;43462&lt;/D&gt;&lt;D xsi:type="xsd:long"&gt;43461&lt;/D&gt;&lt;D xsi:type="xsd:long"&gt;43460&lt;/D&gt;&lt;D xsi:type="xsd:long"&gt;43458&lt;/D&gt;&lt;D xsi:type="xsd:long"&gt;43455&lt;/D&gt;&lt;D xsi:type="xsd:long"&gt;43454&lt;/D&gt;&lt;D xsi:type="xsd:long"&gt;43453&lt;/D&gt;&lt;D xsi:type="xsd:long"&gt;43452&lt;/D&gt;&lt;D xsi:type="xsd:long"&gt;43451&lt;/D&gt;&lt;D xsi:type="xsd:long"&gt;43448&lt;/D&gt;&lt;D xsi:type="xsd:long"&gt;43447&lt;/D&gt;&lt;D xsi:type="xsd:long"&gt;43446&lt;/D&gt;&lt;D xsi:type="xsd:long"&gt;43445&lt;/D&gt;&lt;D xsi:type="xsd:long"&gt;43444&lt;/D&gt;&lt;D xsi:type="xsd:long"&gt;43441&lt;/D&gt;&lt;D xsi:type="xsd:long"&gt;43440&lt;/D&gt;&lt;D xsi:type="xsd:long"&gt;43438&lt;/D&gt;&lt;D xsi:type="xsd:long"&gt;43437&lt;/D&gt;&lt;D xsi:type="xsd:long"&gt;43434&lt;/D&gt;&lt;D xsi:type="xsd:long"&gt;43433&lt;/D&gt;&lt;D xsi:type="xsd:long"&gt;43432&lt;/D&gt;&lt;D xsi:type="xsd:long"&gt;43431&lt;/D&gt;&lt;D xsi:type="xsd:long"&gt;43430&lt;/D&gt;&lt;D xsi:type="xsd:long"&gt;43427&lt;/D&gt;&lt;D xsi:type="xsd:long"&gt;43425&lt;/D&gt;&lt;D xsi:type="xsd:long"&gt;43424&lt;/D&gt;&lt;D xsi:type="xsd:long"&gt;43423&lt;/D&gt;&lt;D xsi:type="xsd:long"&gt;43420&lt;/D&gt;&lt;D xsi:type="xsd:long"&gt;43419&lt;/D&gt;&lt;D xsi:type="xsd:long"&gt;43418&lt;/D&gt;&lt;D xsi:type="xsd:long"&gt;43417&lt;/D&gt;&lt;D xsi:type="xsd:long"&gt;43416&lt;/D&gt;&lt;D xsi:type="xsd:long"&gt;43413&lt;/D&gt;&lt;D xsi:type="xsd:long"&gt;43412&lt;/D&gt;&lt;D xsi:type="xsd:long"&gt;43411&lt;/D&gt;&lt;D xsi:type="xsd:long"&gt;43410&lt;/D&gt;&lt;D xsi:type="xsd:long"&gt;43409&lt;/D&gt;&lt;D xsi:type="xsd:long"&gt;43406&lt;/D&gt;&lt;D xsi:type="xsd:long"&gt;43405&lt;/D&gt;&lt;D xsi:type="xsd:long"&gt;43404&lt;/D&gt;&lt;D xsi:type="xsd:long"&gt;43403&lt;/D&gt;&lt;D xsi:type="xsd:long"&gt;43402&lt;/D&gt;&lt;D xsi:type="xsd:long"&gt;43399&lt;/D&gt;&lt;D xsi:type="xsd:long"&gt;43398&lt;/D&gt;&lt;D xsi:type="xsd:long"&gt;43397&lt;/D&gt;&lt;D xsi:type="xsd:long"&gt;43396&lt;/D&gt;&lt;D xsi:type="xsd:long"&gt;43395&lt;/D&gt;&lt;D xsi:type="xsd:long"&gt;43392&lt;/D&gt;&lt;D xsi:type="xsd:long"&gt;43391&lt;/D&gt;&lt;D xsi:type="xsd:long"&gt;43390&lt;/D&gt;&lt;D xsi:type="xsd:long"&gt;43389&lt;/D&gt;&lt;D xsi:type="xsd:long"&gt;43388&lt;/D&gt;&lt;D xsi:type="xsd:long"&gt;43385&lt;/D&gt;&lt;D xsi:type="xsd:long"&gt;43384&lt;/D&gt;&lt;D xsi:type="xsd:long"&gt;43383&lt;/D&gt;&lt;D xsi:type="xsd:long"&gt;43382&lt;/D&gt;&lt;D xsi:type="xsd:long"&gt;43381&lt;/D&gt;&lt;D xsi:type="xsd:long"&gt;43378&lt;/D&gt;&lt;D xsi:type="xsd:long"&gt;43377&lt;/D&gt;&lt;D xsi:type="xsd:long"&gt;43376&lt;/D&gt;&lt;D xsi:type="xsd:long"&gt;43375&lt;/D&gt;&lt;D xsi:type="xsd:long"&gt;43374&lt;/D&gt;&lt;D xsi:type="xsd:long"&gt;43371&lt;/D&gt;&lt;D xsi:type="xsd:long"&gt;43370&lt;/D&gt;&lt;D xsi:type="xsd:long"&gt;43369&lt;/D&gt;&lt;D xsi:type="xsd:long"&gt;43368&lt;/D&gt;&lt;D xsi:type="xsd:long"&gt;43367&lt;/D&gt;&lt;D xsi:type="xsd:long"&gt;43364&lt;/D&gt;&lt;D xsi:type="xsd:long"&gt;43363&lt;/D&gt;&lt;D xsi:type="xsd:long"&gt;43362&lt;/D&gt;&lt;D xsi:type="xsd:long"&gt;43361&lt;/D&gt;&lt;D xsi:type="xsd:long"&gt;43360&lt;/D&gt;&lt;D xsi:type="xsd:long"&gt;43357&lt;/D&gt;&lt;D xsi:type="xsd:long"&gt;43356&lt;/D&gt;&lt;D xsi:type="xsd:long"&gt;43355&lt;/D&gt;&lt;D xsi:type="xsd:long"&gt;43354&lt;/D&gt;&lt;D xsi:type="xsd:long"&gt;43353&lt;/D&gt;&lt;D xsi:type="xsd:long"&gt;43350&lt;/D&gt;&lt;D xsi:type="xsd:long"&gt;43349&lt;/D&gt;&lt;D xsi:type="xsd:long"&gt;43348&lt;/D&gt;&lt;D xsi:type="xsd:long"&gt;43347&lt;/D&gt;&lt;D xsi:type="xsd:long"&gt;43343&lt;/D&gt;&lt;D xsi:type="xsd:long"&gt;43342&lt;/D&gt;&lt;D xsi:type="xsd:long"&gt;43341&lt;/D&gt;&lt;D xsi:type="xsd:long"&gt;43340&lt;/D&gt;&lt;D xsi:type="xsd:long"&gt;43339&lt;/D&gt;&lt;D xsi:type="xsd:long"&gt;43336&lt;/D&gt;&lt;D xsi:type="xsd:long"&gt;43335&lt;/D&gt;&lt;D xsi:type="xsd:long"&gt;43334&lt;/D&gt;&lt;D xsi:type="xsd:long"&gt;43333&lt;/D&gt;&lt;D xsi:type="xsd:long"&gt;43332&lt;/D&gt;&lt;D xsi:type="xsd:long"&gt;43329&lt;/D&gt;&lt;D xsi:type="xsd:long"&gt;43328&lt;/D&gt;&lt;D xsi:type="xsd:long"&gt;43327&lt;/D&gt;&lt;D xsi:type="xsd:long"&gt;43326&lt;/D&gt;&lt;D xsi:type="xsd:long"&gt;43325&lt;/D&gt;&lt;D xsi:type="xsd:long"&gt;43322&lt;/D&gt;&lt;D xsi:type="xsd:long"&gt;43321&lt;/D&gt;&lt;D xsi:type="xsd:long"&gt;43320&lt;/D&gt;&lt;D xsi:type="xsd:long"&gt;43319&lt;/D&gt;&lt;D xsi:type="xsd:long"&gt;43318&lt;/D&gt;&lt;D xsi:type="xsd:long"&gt;43315&lt;/D&gt;&lt;D xsi:type="xsd:long"&gt;43314&lt;/D&gt;&lt;D xsi:type="xsd:long"&gt;43313&lt;/D&gt;&lt;D xsi:type="xsd:long"&gt;43312&lt;/D&gt;&lt;D xsi:type="xsd:long"&gt;43311&lt;/D&gt;&lt;D xsi:type="xsd:long"&gt;43308&lt;/D&gt;&lt;D xsi:type="xsd:long"&gt;43307&lt;/D&gt;&lt;D xsi:type="xsd:long"&gt;43306&lt;/D&gt;&lt;D xsi:type="xsd:long"&gt;43305&lt;/D&gt;&lt;D xsi:type="xsd:long"&gt;43304&lt;/D&gt;&lt;D xsi:type="xsd:long"&gt;43301&lt;/D&gt;&lt;D xsi:type="xsd:long"&gt;43300&lt;/D&gt;&lt;D xsi:type="xsd:long"&gt;43299&lt;/D&gt;&lt;D xsi:type="xsd:long"&gt;43298&lt;/D&gt;&lt;D xsi:type="xsd:long"&gt;43297&lt;/D&gt;&lt;D xsi:type="xsd:long"&gt;43294&lt;/D&gt;&lt;D xsi:type="xsd:long"&gt;43293&lt;/D&gt;&lt;D xsi:type="xsd:long"&gt;43292&lt;/D&gt;&lt;D xsi:type="xsd:long"&gt;43291&lt;/D&gt;&lt;D xsi:type="xsd:long"&gt;43290&lt;/D&gt;&lt;D xsi:type="xsd:long"&gt;43287&lt;/D&gt;&lt;D xsi:type="xsd:long"&gt;43286&lt;/D&gt;&lt;D xsi:type="xsd:long"&gt;43284&lt;/D&gt;&lt;D xsi:type="xsd:long"&gt;43283&lt;/D&gt;&lt;D xsi:type="xsd:long"&gt;43280&lt;/D&gt;&lt;D xsi:type="xsd:long"&gt;43279&lt;/D&gt;&lt;D xsi:type="xsd:long"&gt;43278&lt;/D&gt;&lt;D xsi:type="xsd:long"&gt;43277&lt;/D&gt;&lt;D xsi:type="xsd:long"&gt;43276&lt;/D&gt;&lt;D xsi:type="xsd:long"&gt;43273&lt;/D&gt;&lt;D xsi:ty</t>
        </r>
      </text>
    </comment>
    <comment ref="A11" authorId="0" shapeId="0">
      <text>
        <r>
          <rPr>
            <b/>
            <sz val="9"/>
            <color indexed="81"/>
            <rFont val="Tahoma"/>
            <family val="2"/>
          </rPr>
          <t>pe="xsd:long"&gt;43272&lt;/D&gt;&lt;D xsi:type="xsd:long"&gt;43271&lt;/D&gt;&lt;D xsi:type="xsd:long"&gt;43270&lt;/D&gt;&lt;D xsi:type="xsd:long"&gt;43269&lt;/D&gt;&lt;D xsi:type="xsd:long"&gt;43266&lt;/D&gt;&lt;D xsi:type="xsd:long"&gt;43265&lt;/D&gt;&lt;D xsi:type="xsd:long"&gt;43264&lt;/D&gt;&lt;D xsi:type="xsd:long"&gt;43263&lt;/D&gt;&lt;D xsi:type="xsd:long"&gt;43262&lt;/D&gt;&lt;D xsi:type="xsd:long"&gt;43259&lt;/D&gt;&lt;D xsi:type="xsd:long"&gt;43258&lt;/D&gt;&lt;D xsi:type="xsd:long"&gt;43257&lt;/D&gt;&lt;D xsi:type="xsd:long"&gt;43256&lt;/D&gt;&lt;D xsi:type="xsd:long"&gt;43255&lt;/D&gt;&lt;D xsi:type="xsd:long"&gt;43252&lt;/D&gt;&lt;D xsi:type="xsd:long"&gt;43251&lt;/D&gt;&lt;D xsi:type="xsd:long"&gt;43250&lt;/D&gt;&lt;D xsi:type="xsd:long"&gt;43249&lt;/D&gt;&lt;D xsi:type="xsd:long"&gt;43245&lt;/D&gt;&lt;D xsi:type="xsd:long"&gt;43244&lt;/D&gt;&lt;D xsi:type="xsd:long"&gt;43243&lt;/D&gt;&lt;D xsi:type="xsd:long"&gt;43242&lt;/D&gt;&lt;D xsi:type="xsd:long"&gt;43241&lt;/D&gt;&lt;D xsi:type="xsd:long"&gt;43238&lt;/D&gt;&lt;D xsi:type="xsd:long"&gt;43237&lt;/D&gt;&lt;D xsi:type="xsd:long"&gt;43236&lt;/D&gt;&lt;D xsi:type="xsd:long"&gt;43235&lt;/D&gt;&lt;D xsi:type="xsd:long"&gt;43234&lt;/D&gt;&lt;D xsi:type="xsd:long"&gt;43231&lt;/D&gt;&lt;D xsi:type="xsd:long"&gt;43230&lt;/D&gt;&lt;D xsi:type="xsd:long"&gt;43229&lt;/D&gt;&lt;D xsi:type="xsd:long"&gt;43228&lt;/D&gt;&lt;D xsi:type="xsd:long"&gt;43227&lt;/D&gt;&lt;D xsi:type="xsd:long"&gt;43224&lt;/D&gt;&lt;D xsi:type="xsd:long"&gt;43223&lt;/D&gt;&lt;D xsi:type="xsd:long"&gt;43222&lt;/D&gt;&lt;D xsi:type="xsd:long"&gt;43221&lt;/D&gt;&lt;D xsi:type="xsd:long"&gt;43220&lt;/D&gt;&lt;D xsi:type="xsd:long"&gt;43217&lt;/D&gt;&lt;D xsi:type="xsd:long"&gt;43216&lt;/D&gt;&lt;D xsi:type="xsd:long"&gt;43215&lt;/D&gt;&lt;D xsi:type="xsd:long"&gt;43214&lt;/D&gt;&lt;D xsi:type="xsd:long"&gt;43213&lt;/D&gt;&lt;D xsi:type="xsd:long"&gt;43210&lt;/D&gt;&lt;D xsi:type="xsd:long"&gt;43209&lt;/D&gt;&lt;D xsi:type="xsd:long"&gt;43208&lt;/D&gt;&lt;D xsi:type="xsd:long"&gt;43207&lt;/D&gt;&lt;D xsi:type="xsd:long"&gt;43206&lt;/D&gt;&lt;D xsi:type="xsd:long"&gt;43203&lt;/D&gt;&lt;D xsi:type="xsd:long"&gt;43202&lt;/D&gt;&lt;D xsi:type="xsd:long"&gt;43201&lt;/D&gt;&lt;D xsi:type="xsd:long"&gt;43200&lt;/D&gt;&lt;D xsi:type="xsd:long"&gt;43199&lt;/D&gt;&lt;D xsi:type="xsd:long"&gt;43196&lt;/D&gt;&lt;D xsi:type="xsd:long"&gt;43195&lt;/D&gt;&lt;D xsi:type="xsd:long"&gt;43194&lt;/D&gt;&lt;D xsi:type="xsd:long"&gt;43193&lt;/D&gt;&lt;D xsi:type="xsd:long"&gt;43192&lt;/D&gt;&lt;D xsi:type="xsd:long"&gt;43188&lt;/D&gt;&lt;D xsi:type="xsd:long"&gt;43187&lt;/D&gt;&lt;D xsi:type="xsd:long"&gt;43186&lt;/D&gt;&lt;D xsi:type="xsd:long"&gt;43185&lt;/D&gt;&lt;D xsi:type="xsd:long"&gt;43182&lt;/D&gt;&lt;D xsi:type="xsd:long"&gt;43181&lt;/D&gt;&lt;D xsi:type="xsd:long"&gt;43180&lt;/D&gt;&lt;D xsi:type="xsd:long"&gt;43179&lt;/D&gt;&lt;D xsi:type="xsd:long"&gt;43178&lt;/D&gt;&lt;D xsi:type="xsd:long"&gt;43175&lt;/D&gt;&lt;D xsi:type="xsd:long"&gt;43174&lt;/D&gt;&lt;D xsi:type="xsd:long"&gt;43173&lt;/D&gt;&lt;D xsi:type="xsd:long"&gt;43172&lt;/D&gt;&lt;D xsi:type="xsd:long"&gt;43171&lt;/D&gt;&lt;D xsi:type="xsd:long"&gt;43168&lt;/D&gt;&lt;D xsi:type="xsd:long"&gt;43167&lt;/D&gt;&lt;D xsi:type="xsd:long"&gt;43166&lt;/D&gt;&lt;D xsi:type="xsd:long"&gt;43165&lt;/D&gt;&lt;D xsi:type="xsd:long"&gt;43164&lt;/D&gt;&lt;D xsi:type="xsd:long"&gt;43161&lt;/D&gt;&lt;D xsi:type="xsd:long"&gt;43160&lt;/D&gt;&lt;D xsi:type="xsd:long"&gt;43159&lt;/D&gt;&lt;D xsi:type="xsd:long"&gt;43158&lt;/D&gt;&lt;D xsi:type="xsd:long"&gt;43157&lt;/D&gt;&lt;D xsi:type="xsd:long"&gt;43154&lt;/D&gt;&lt;D xsi:type="xsd:long"&gt;43153&lt;/D&gt;&lt;D xsi:type="xsd:long"&gt;43152&lt;/D&gt;&lt;D xsi:type="xsd:long"&gt;43151&lt;/D&gt;&lt;D xsi:type="xsd:long"&gt;43147&lt;/D&gt;&lt;D xsi:type="xsd:long"&gt;43146&lt;/D&gt;&lt;D xsi:type="xsd:long"&gt;43145&lt;/D&gt;&lt;D xsi:type="xsd:long"&gt;43144&lt;/D&gt;&lt;D xsi:type="xsd:long"&gt;43143&lt;/D&gt;&lt;D xsi:type="xsd:long"&gt;43140&lt;/D&gt;&lt;D xsi:type="xsd:long"&gt;43139&lt;/D&gt;&lt;D xsi:type="xsd:long"&gt;43138&lt;/D&gt;&lt;D xsi:type="xsd:long"&gt;43137&lt;/D&gt;&lt;D xsi:type="xsd:long"&gt;43136&lt;/D&gt;&lt;D xsi:type="xsd:long"&gt;43133&lt;/D&gt;&lt;D xsi:type="xsd:long"&gt;43132&lt;/D&gt;&lt;D xsi:type="xsd:long"&gt;43131&lt;/D&gt;&lt;D xsi:type="xsd:long"&gt;43130&lt;/D&gt;&lt;D xsi:type="xsd:long"&gt;43129&lt;/D&gt;&lt;D xsi:type="xsd:long"&gt;43126&lt;/D&gt;&lt;D xsi:type="xsd:long"&gt;43125&lt;/D&gt;&lt;D xsi:type="xsd:long"&gt;43124&lt;/D&gt;&lt;D xsi:type="xsd:long"&gt;43123&lt;/D&gt;&lt;D xsi:type="xsd:long"&gt;43122&lt;/D&gt;&lt;D xsi:type="xsd:long"&gt;43119&lt;/D&gt;&lt;D xsi:type="xsd:long"&gt;43118&lt;/D&gt;&lt;D xsi:type="xsd:long"&gt;43117&lt;/D&gt;&lt;D xsi:type="xsd:long"&gt;43116&lt;/D&gt;&lt;D xsi:type="xsd:long"&gt;43112&lt;/D&gt;&lt;D xsi:type="xsd:long"&gt;43111&lt;/D&gt;&lt;D xsi:type="xsd:long"&gt;43110&lt;/D&gt;&lt;D xsi:type="xsd:long"&gt;43109&lt;/D&gt;&lt;D xsi:type="xsd:long"&gt;43108&lt;/D&gt;&lt;D xsi:type="xsd:long"&gt;43105&lt;/D&gt;&lt;D xsi:type="xsd:long"&gt;43104&lt;/D&gt;&lt;D xsi:type="xsd:long"&gt;43103&lt;/D&gt;&lt;D xsi:type="xsd:long"&gt;43102&lt;/D&gt;&lt;D xsi:type="xsd:long"&gt;43098&lt;/D&gt;&lt;D xsi:type="xsd:long"&gt;43097&lt;/D&gt;&lt;D xsi:type="xsd:long"&gt;43096&lt;/D&gt;&lt;D xsi:type="xsd:long"&gt;43095&lt;/D&gt;&lt;D xsi:type="xsd:long"&gt;43091&lt;/D&gt;&lt;D xsi:type="xsd:long"&gt;43090&lt;/D&gt;&lt;D xsi:type="xsd:long"&gt;43089&lt;/D&gt;&lt;D xsi:type="xsd:long"&gt;43088&lt;/D&gt;&lt;D xsi:type="xsd:long"&gt;43087&lt;/D&gt;&lt;D xsi:type="xsd:long"&gt;43084&lt;/D&gt;&lt;D xsi:type="xsd:long"&gt;43083&lt;/D&gt;&lt;D xsi:type="xsd:long"&gt;43082&lt;/D&gt;&lt;D xsi:type="xsd:long"&gt;43081&lt;/D&gt;&lt;D xsi:type="xsd:long"&gt;43080&lt;/D&gt;&lt;D xsi:type="xsd:long"&gt;43077&lt;/D&gt;&lt;D xsi:type="xsd:long"&gt;43076&lt;/D&gt;&lt;D xsi:type="xsd:long"&gt;43075&lt;/D&gt;&lt;D xsi:type="xsd:long"&gt;43074&lt;/D&gt;&lt;D xsi:type="xsd:long"&gt;43073&lt;/D&gt;&lt;D xsi:type="xsd:long"&gt;43070&lt;/D&gt;&lt;D xsi:type="xsd:long"&gt;43069&lt;/D&gt;&lt;D xsi:type="xsd:long"&gt;43068&lt;/D&gt;&lt;D xsi:type="xsd:long"&gt;43067&lt;/D&gt;&lt;D xsi:type="xsd:long"&gt;43066&lt;/D&gt;&lt;D xsi:type="xsd:long"&gt;43063&lt;/D&gt;&lt;D xsi:type="xsd:long"&gt;43061&lt;/D&gt;&lt;D xsi:type="xsd:long"&gt;43060&lt;/D&gt;&lt;D xsi:type="xsd:long"&gt;43059&lt;/D&gt;&lt;D xsi:type="xsd:long"&gt;43056&lt;/D&gt;&lt;D xsi:type="xsd:long"&gt;43055&lt;/D&gt;&lt;D xsi:type="xsd:long"&gt;43054&lt;/D&gt;&lt;D xsi:type="xsd:long"&gt;43053&lt;/D&gt;&lt;D xsi:type="xsd:long"&gt;43052&lt;/D&gt;&lt;D xsi:type="xsd:long"&gt;43049&lt;/D&gt;&lt;D xsi:type="xsd:long"&gt;43048&lt;/D&gt;&lt;D xsi:type="xsd:long"&gt;43047&lt;/D&gt;&lt;D xsi:type="xsd:long"&gt;43046&lt;/D&gt;&lt;D xsi:type="xsd:long"&gt;43045&lt;/D&gt;&lt;D xsi:type="xsd:long"&gt;43042&lt;/D&gt;&lt;D xsi:type="xsd:long"&gt;43041&lt;/D&gt;&lt;D xsi:type="xsd:long"&gt;43040&lt;/D&gt;&lt;D xsi:type="xsd:long"&gt;43039&lt;/D&gt;&lt;D xsi:type="xsd:long"&gt;43038&lt;/D&gt;&lt;D xsi:type="xsd:long"&gt;43035&lt;/D&gt;&lt;D xsi:type="xsd:long"&gt;43034&lt;/D&gt;&lt;D xsi:type="xsd:long"&gt;43033&lt;/D&gt;&lt;D xsi:type="xsd:long"&gt;43032&lt;/D&gt;&lt;D xsi:type="xsd:long"&gt;43031&lt;/D&gt;&lt;D xsi:type="xsd:long"&gt;43028&lt;/D&gt;&lt;D xsi:type="xsd:long"&gt;43027&lt;/D&gt;&lt;D xsi:type="xsd:long"&gt;43026&lt;/D&gt;&lt;D xsi:type="xsd:long"&gt;43025&lt;/D&gt;&lt;D xsi:type="xsd:long"&gt;43024&lt;/D&gt;&lt;D xsi:type="xsd:long"&gt;43021&lt;/D&gt;&lt;D xsi:type="xsd:long"&gt;43020&lt;/D&gt;&lt;D xsi:type="xsd:long"&gt;43019&lt;/D&gt;&lt;D xsi:type="xsd:long"&gt;43018&lt;/D&gt;&lt;D xsi:type="xsd:long"&gt;43017&lt;/D&gt;&lt;D xsi:type="xsd:long"&gt;43014&lt;/D&gt;&lt;D xsi:type="xsd:long"&gt;43013&lt;/D&gt;&lt;D xsi:type="xsd:long"&gt;43012&lt;/D&gt;&lt;D xsi:type="xsd:long"&gt;43011&lt;/D&gt;&lt;D xsi:type="xsd:long"&gt;43010&lt;/D&gt;&lt;D xsi:type="xsd:long"&gt;43007&lt;/D&gt;&lt;D xsi:type="xsd:long"&gt;43006&lt;/D&gt;&lt;D xsi:type="xsd:long"&gt;43005&lt;/D&gt;&lt;D xsi:type="xsd:long"&gt;43004&lt;/D&gt;&lt;D xsi:type="xsd:long"&gt;43003&lt;/D&gt;&lt;D xsi:type="xsd:long"&gt;43000&lt;/D&gt;&lt;D xsi:type="xsd:long"&gt;42999&lt;/D&gt;&lt;D xsi:type="xsd:long"&gt;42998&lt;/D&gt;&lt;D xsi:type="xsd:long"&gt;42997&lt;/D&gt;&lt;D xsi:type="xsd:long"&gt;42996&lt;/D&gt;&lt;D xsi:type="xsd:long"&gt;42993&lt;/D&gt;&lt;D xsi:type="xsd:long"&gt;42992&lt;/D&gt;&lt;D xsi:type="xsd:long"&gt;42991&lt;/D&gt;&lt;D xsi:type="xsd:long"&gt;42990&lt;/D&gt;&lt;D xsi:type="xsd:long"&gt;42989&lt;/D&gt;&lt;D xsi:type="xsd:long"&gt;42986&lt;/D&gt;&lt;D xsi:type="xsd:long"&gt;42985&lt;/D&gt;&lt;D xsi:type="xsd:long"&gt;42984&lt;/D&gt;&lt;D xsi:type="xsd:long"&gt;42983&lt;/D&gt;&lt;D xsi:type="xsd:long"&gt;42979&lt;/D&gt;&lt;D xsi:type="xsd:long"&gt;42978&lt;/D&gt;&lt;D xsi:type="xsd:long"&gt;42977&lt;/D&gt;&lt;D xsi:type="xsd:long"&gt;42976&lt;/D&gt;&lt;D xsi:type="xsd:long"&gt;42975&lt;/D&gt;&lt;D xsi:type="xsd:long"&gt;42972&lt;/D&gt;&lt;D xsi:type="xsd:long"&gt;42971&lt;/D&gt;&lt;D xsi:type="xsd:long"&gt;42970&lt;/D&gt;&lt;D xsi:type="xsd:long"&gt;42969&lt;/D&gt;&lt;D xsi:type="xsd:long"&gt;42968&lt;/D&gt;&lt;D xsi:type="xsd:long"&gt;42965&lt;/D&gt;&lt;D xsi:type="xsd:long"&gt;42964&lt;/D&gt;&lt;D xsi:type="xsd:long"&gt;42963&lt;/D&gt;&lt;D xsi:type="xsd:long"&gt;42962&lt;/D&gt;&lt;D xsi:type="xsd:long"&gt;42961&lt;/D&gt;&lt;D xsi:type="xsd:long"&gt;42958&lt;/D&gt;&lt;D xsi:type="xsd:long"&gt;42957&lt;/D&gt;&lt;D xsi:type="xsd:long"&gt;42956&lt;/D&gt;&lt;D xsi:type="xsd:long"&gt;42955&lt;/D&gt;&lt;D xsi:type="xsd:long"&gt;42954&lt;/D&gt;&lt;D xsi:type="xsd:long"&gt;42951&lt;/D&gt;&lt;D xsi:type="xsd:long"&gt;42950&lt;/D&gt;&lt;D xsi:type="xsd:long"&gt;42949&lt;/D&gt;&lt;D xsi:type="xsd:long"&gt;42948&lt;/D&gt;&lt;D xsi:type="xsd:long"&gt;42947&lt;/D&gt;&lt;D xsi:type="xsd:long"&gt;42944&lt;/D&gt;&lt;D xsi:type="xsd:long"&gt;42943&lt;/D&gt;&lt;D xsi:type="xsd:long"&gt;42942&lt;/D&gt;&lt;D xsi:type="xsd:long"&gt;42941&lt;/D&gt;&lt;D xsi:type="xsd:long"&gt;42940&lt;/D&gt;&lt;D xsi:type="xsd:long"&gt;42937&lt;/D&gt;&lt;D xsi:type="xsd:long"&gt;42936&lt;/D&gt;&lt;D xsi:type="xsd:long"&gt;42935&lt;/D&gt;&lt;D xsi:type="xsd:long"&gt;42934&lt;/D&gt;&lt;D xsi:type="xsd:long"&gt;42933&lt;/D&gt;&lt;D xsi:type="xsd:long"&gt;42930&lt;/D&gt;&lt;D xsi:type="xsd:long"&gt;42929&lt;/D&gt;&lt;D xsi:type="xsd:long"&gt;42928&lt;/D&gt;&lt;D xsi:type="xsd:long"&gt;42927&lt;/D&gt;&lt;D xsi:type="xsd:long"&gt;42926&lt;/D&gt;&lt;D xsi:type="xsd:long"&gt;42923&lt;/D&gt;&lt;D xsi:type="xsd:long"&gt;42922&lt;/D&gt;&lt;D xsi:type="xsd:long"&gt;42921&lt;/D&gt;&lt;D xsi:type="xsd:long"&gt;42919&lt;/D&gt;&lt;D xsi:type="xsd:long"&gt;42916&lt;/D&gt;&lt;D xsi:type="xsd:long"&gt;42915&lt;/D&gt;&lt;D xsi:type="xsd:long"&gt;42914&lt;/D&gt;&lt;D xsi:type="xsd:long"&gt;42913&lt;/D&gt;&lt;D xsi:type="xsd:long"&gt;42912&lt;/D&gt;&lt;D xsi:type="xsd:long"&gt;42909&lt;/D&gt;&lt;D xsi:type="xsd:long"&gt;42908&lt;/D&gt;&lt;D xsi:type="xsd:long"&gt;42907&lt;/D&gt;&lt;D xsi:type="xsd:long"&gt;42906&lt;/D&gt;&lt;D xsi:type="xsd:long"&gt;42905&lt;/D&gt;&lt;D xsi:type="xsd:long"&gt;42902&lt;/D&gt;&lt;D xsi:type="xsd:long"&gt;42901&lt;/D&gt;&lt;D xsi:type="xsd:long"&gt;42900&lt;/D&gt;&lt;D xsi:type="xsd:long"&gt;42899&lt;/D&gt;&lt;D xsi:type="xsd:long"&gt;42898&lt;/D&gt;&lt;D xsi:type="xsd:long"&gt;42895&lt;/D&gt;&lt;D xsi:type="xsd:long"&gt;42894&lt;/D&gt;&lt;D xsi:type="xsd:long"&gt;42893&lt;/D&gt;&lt;D xsi:type="xsd:long"&gt;42892&lt;/D&gt;&lt;D xsi:type="xsd:long"&gt;42891&lt;/D&gt;&lt;D xsi:type="xsd:long"&gt;42888&lt;/D&gt;&lt;D xsi:type="xsd:long"&gt;42887&lt;/D&gt;&lt;D xsi:type="xsd:long"&gt;42886&lt;/D&gt;&lt;D xsi:type="xsd:long"&gt;42885&lt;/D&gt;&lt;D xsi:type="xsd:long"&gt;42881&lt;/D&gt;&lt;D xsi:type="xsd:long"&gt;42880&lt;/D&gt;&lt;D xsi:type="xsd:long"&gt;42879&lt;/D&gt;&lt;D xsi:type="xsd:long"&gt;42878&lt;/D&gt;&lt;D xsi:type="xsd:long"&gt;42877&lt;/D&gt;&lt;D xsi:type="xsd:long"&gt;42874&lt;/D&gt;&lt;D xsi:type="xsd:long"&gt;42873&lt;/D&gt;&lt;D xsi:type="xsd:long"&gt;42872&lt;/D&gt;&lt;D xsi:type="xsd:long"&gt;42871&lt;/D&gt;&lt;D xsi:type="xsd:long"&gt;42870&lt;/D&gt;&lt;D xsi:type="xsd:long"&gt;42867&lt;/D&gt;&lt;D xsi:type="xsd:long"&gt;42866&lt;/D&gt;&lt;D xsi:type="xsd:long"&gt;42865&lt;/D&gt;&lt;D xsi:type="xsd:long"&gt;42864&lt;/D&gt;&lt;D xsi:type="xsd:long"&gt;42863&lt;/D&gt;&lt;D xsi:type="xsd:long"&gt;42860&lt;/D&gt;&lt;D xsi:type="xsd:long"&gt;42859&lt;/D&gt;&lt;D xsi:type="xsd:long"&gt;42858&lt;/D&gt;&lt;D xsi:type="xsd:long"&gt;42857&lt;/D&gt;&lt;D xsi:type="xsd:long"&gt;42856&lt;/D&gt;&lt;D xsi:type="xsd:long"&gt;42853&lt;/D&gt;&lt;D xsi:type="xsd:long"&gt;42852&lt;/D&gt;&lt;D xsi:type="xsd:long"&gt;42851&lt;/D&gt;&lt;D xsi:type="xsd:long"&gt;42850&lt;/D&gt;&lt;D xsi:type="xsd:long"&gt;42849&lt;/D&gt;&lt;D xsi:type="xsd:long"&gt;42846&lt;/D&gt;&lt;D xsi:type="xsd:long"&gt;42845&lt;/D&gt;&lt;D xsi:type="xsd:long"&gt;42844&lt;/D&gt;&lt;D xsi:type="xsd:long"&gt;42843&lt;/D&gt;&lt;D xsi:type="xsd:long"&gt;42842&lt;/D&gt;&lt;D xsi:type="xsd:long"&gt;42838&lt;/D&gt;&lt;D xsi:type="xsd:long"&gt;42837&lt;/D&gt;&lt;D xsi:type="xsd:long"&gt;42836&lt;/D&gt;&lt;D xsi:type="xsd:long"&gt;42835&lt;/D&gt;&lt;D xsi:type="xsd:long"&gt;42832&lt;/D&gt;&lt;D xsi:type="xsd:long"&gt;42831&lt;/D&gt;&lt;D xsi:type="xsd:long"&gt;42830&lt;/D&gt;&lt;D xsi:type="xsd:long"&gt;42829&lt;/D&gt;&lt;D xsi:type="xsd:long"&gt;42828&lt;/D&gt;&lt;D xsi:type="xsd:long"&gt;42825&lt;/D&gt;&lt;D xsi:type="xsd:long"&gt;42824&lt;/D&gt;&lt;D xsi:type="xsd:long"&gt;42823&lt;/D&gt;&lt;D xsi:type="xsd:long"&gt;42822&lt;/D&gt;&lt;D xsi:type="xsd:long"&gt;42821&lt;/D&gt;&lt;D xsi:type="xsd:long"&gt;42818&lt;/D&gt;&lt;D xsi:type="xsd:long"&gt;42817&lt;/D&gt;&lt;D xsi:type="xsd:long"&gt;42816&lt;/D&gt;&lt;D xsi:type="xsd:long"&gt;42815&lt;/D&gt;&lt;D xsi:type="xsd:long"&gt;42814&lt;/D&gt;&lt;D xsi:type="xsd:long"&gt;42811&lt;/D&gt;&lt;D xsi:type="xsd:long"&gt;42810&lt;/D&gt;&lt;D xsi:type="xsd:long"&gt;42809&lt;/D&gt;&lt;D xsi:type="xsd:long"&gt;42808&lt;/D&gt;&lt;D xsi:type="xsd:long"&gt;42807&lt;/D&gt;&lt;D xsi:type="xsd:long"&gt;42804&lt;/D&gt;&lt;D xsi:type="xsd:long"&gt;42803&lt;/D&gt;&lt;D xsi:type="xsd:long"&gt;42802&lt;/D&gt;&lt;D xsi:type="xsd:long"&gt;42801&lt;/D&gt;&lt;D xsi:type="xsd:long"&gt;42800&lt;/D&gt;&lt;D xsi:type="xsd:long"&gt;42797&lt;/D&gt;&lt;D xsi:type="xsd:long"&gt;42796&lt;/D&gt;&lt;D xsi:type="xsd:long"&gt;42795&lt;/D&gt;&lt;D xsi:type="xsd:long"&gt;42794&lt;/D&gt;&lt;D xsi:type="xsd:long"&gt;42793&lt;/D&gt;&lt;D xsi:type="xsd:long"&gt;42790&lt;/D&gt;&lt;D xsi:type="xsd:long"&gt;42789&lt;/D&gt;&lt;D xsi:type="xsd:long"&gt;42788&lt;/D&gt;&lt;D xsi:type="xsd:long"&gt;42787&lt;/D&gt;&lt;D xsi:type="xsd:long"&gt;42783&lt;/D&gt;&lt;D xsi:type="xsd:long"&gt;42782&lt;/D&gt;&lt;D xsi:type="xsd:long"&gt;42781&lt;/D&gt;&lt;D xsi:type="xsd:long"&gt;42780&lt;/D&gt;&lt;D xsi:type="xsd:long"&gt;42779&lt;/D&gt;&lt;D xsi:type="xsd:long"&gt;42776&lt;/D&gt;&lt;D xsi:type="xsd:long"&gt;42775&lt;/D&gt;&lt;D xsi:type="xsd:long"&gt;42774&lt;/D&gt;&lt;D xsi:type="xsd:long"&gt;42773&lt;/D&gt;&lt;D xsi:type="xsd:long"&gt;42772&lt;/D&gt;&lt;D xsi:type="xsd:long"&gt;42769&lt;/D&gt;&lt;D xsi:type="xsd:long"&gt;42768&lt;/D&gt;&lt;D xsi:type="xsd:long"&gt;42767&lt;/D&gt;&lt;D xsi:type="xsd:long"&gt;42766&lt;/D&gt;&lt;D xsi:type="xsd:long"&gt;42765&lt;/D&gt;&lt;D xsi:type="xsd:long"&gt;42762&lt;/D&gt;&lt;D xsi:type="xsd:long"&gt;42761&lt;/D&gt;&lt;D xsi:type="xsd:long"&gt;42760&lt;/D&gt;&lt;D xsi:type="xsd:long"&gt;42759&lt;/D&gt;&lt;D xsi:type="xsd:long"&gt;42758&lt;/D&gt;&lt;D xsi:type="xsd:long"&gt;42755&lt;/D&gt;&lt;D xsi:type="xsd:long"&gt;42754&lt;/D&gt;&lt;D xsi:type="xsd:long"&gt;42753&lt;/D&gt;&lt;D xsi:type="xsd:long"&gt;42752&lt;/D&gt;&lt;D xsi:type="xsd:long"&gt;42748&lt;/D&gt;&lt;D xsi:type="xsd:long"&gt;42747&lt;/D&gt;&lt;D xsi:type="xsd:long"&gt;42746&lt;/D&gt;&lt;D xsi:type="xsd:long"&gt;42745&lt;/D&gt;&lt;D xsi:type="xsd:long"&gt;42744&lt;/D&gt;&lt;D xsi:type="xsd:long"&gt;42741&lt;/D&gt;&lt;D xsi:type="xsd:long"&gt;42740&lt;/D&gt;&lt;D xsi:type="xsd:long"&gt;42739&lt;/D&gt;&lt;D xsi:type="xsd:long"&gt;42738&lt;/D&gt;&lt;D xsi:type="xsd:long"&gt;42734&lt;/D&gt;&lt;D xsi:type="xsd:long"&gt;42733&lt;/D&gt;&lt;D xsi:type="xsd:long"&gt;42732&lt;/D&gt;&lt;D xsi:type="xsd:long"&gt;42731&lt;/D&gt;&lt;D xsi:type="xsd:long"&gt;42727&lt;/D&gt;&lt;D xsi:type="xsd:long"&gt;42726&lt;/D&gt;&lt;D xsi:type="xsd:long"&gt;42725&lt;/D&gt;&lt;D xsi:type="xsd:long"&gt;42724&lt;/D&gt;&lt;D xsi:type="xsd:long"&gt;42723&lt;/D&gt;&lt;D xsi:type="xsd:long"&gt;42720&lt;/D&gt;&lt;D xsi:type="xsd:long"&gt;42719&lt;/D&gt;&lt;D xsi:type="xsd:long"&gt;42718&lt;/D&gt;&lt;D xsi:type="xsd:long"&gt;42717&lt;/D&gt;&lt;D xsi:type="xsd:long"&gt;42716&lt;/D&gt;&lt;D xsi:type="xsd:long"&gt;42713&lt;/D&gt;&lt;D xsi:type="xsd:long"&gt;42712&lt;/D&gt;&lt;D xsi:type="xsd:long"&gt;42711&lt;/D&gt;&lt;D xsi:type="xsd:long"&gt;42710&lt;/D&gt;&lt;D xsi:type="xsd:long"&gt;42709&lt;/D&gt;&lt;D xsi:type="xsd:long"&gt;42706&lt;/D&gt;&lt;D xsi:type="xsd:long"&gt;42705&lt;/D&gt;&lt;D xsi:type="xsd:long"&gt;42704&lt;/D&gt;&lt;D xsi:type="xsd:long"&gt;42703&lt;/D&gt;&lt;D xsi:type="xsd:long"&gt;42702&lt;/D&gt;&lt;D xsi:type="xsd:long"&gt;42699&lt;/D&gt;&lt;D xsi:type="xsd:long"&gt;42697&lt;/D&gt;&lt;D xsi:type="xsd:long"&gt;42696&lt;/D&gt;&lt;D xsi:type="xsd:long"&gt;42695&lt;/D&gt;&lt;D xsi:type="xsd:long"&gt;42692&lt;/D&gt;&lt;D xsi:type="xsd:long"&gt;42691&lt;/D&gt;&lt;D xsi:type="xsd:long"&gt;42690&lt;/D&gt;&lt;D xsi:type="xsd:long"&gt;42689&lt;/D&gt;&lt;D xsi:type="xsd:long"&gt;42688&lt;/D&gt;&lt;D xsi:type="xsd:long"&gt;42685&lt;/D&gt;&lt;D xsi:type="xsd:long"&gt;42684&lt;/D&gt;&lt;D xsi:type="xsd:long"&gt;42683&lt;/D&gt;&lt;D xsi:type="xsd:long"&gt;42682&lt;/D&gt;&lt;D xsi:type="xsd:long"&gt;42681&lt;/D&gt;&lt;D xsi:type="xsd:long"&gt;42678&lt;/D&gt;&lt;D xsi:type="xsd:long"&gt;42677&lt;/D&gt;&lt;D xsi:type="xsd:long"&gt;42676&lt;/D&gt;&lt;D xsi:type="xsd:long"&gt;42675&lt;/D&gt;&lt;D xsi:type="xsd:long"&gt;42674&lt;/D&gt;&lt;D xsi:type="xsd:long"&gt;42671&lt;/D&gt;&lt;D xsi:type="xsd:long"&gt;42670&lt;/D&gt;&lt;D xsi:type="xsd:long"&gt;42669&lt;/D&gt;&lt;D xsi:type="xsd:long"&gt;42668&lt;/D&gt;&lt;D xsi:type="xsd:long"&gt;42667&lt;/D&gt;&lt;D xsi:type="xsd:long"&gt;42664&lt;/D&gt;&lt;D xsi:type="xsd:long"&gt;42663&lt;/D&gt;&lt;D xsi:type="xsd:long"&gt;42662&lt;/D&gt;&lt;D xsi:type="xsd:long"&gt;42661&lt;/D&gt;&lt;D xsi:type="xsd:long"&gt;42660&lt;/D&gt;&lt;D xsi:type="xsd:long"&gt;42657&lt;/D&gt;&lt;D xsi:type="xsd:long"&gt;42656&lt;/D&gt;&lt;D xsi:type="xsd:long"&gt;42655&lt;/D&gt;&lt;D xsi:type="xsd:long"&gt;42654&lt;/D&gt;&lt;D xsi:type="xsd:long"&gt;42653&lt;/D&gt;&lt;D xsi:type="xsd:long"&gt;42650&lt;/D&gt;&lt;D xsi:type="xsd:long"&gt;42649&lt;/D&gt;&lt;D xsi:type="xsd:long"&gt;42648&lt;/D&gt;&lt;D xsi:type="xsd:long"&gt;42647&lt;/D&gt;&lt;D xsi:type="xsd:long"&gt;42646&lt;/D&gt;&lt;D xsi:type="xsd:long"&gt;42643&lt;/D&gt;&lt;D xsi:type="xsd:long"&gt;42642&lt;/D&gt;&lt;D xsi:type="xsd:long"&gt;42641&lt;/D&gt;&lt;D xsi:type="xsd:long"&gt;42640&lt;/D&gt;&lt;D xsi:type="xsd:long"&gt;42639&lt;/D&gt;&lt;D xsi:type="xsd:long"&gt;42636&lt;/D&gt;&lt;D xsi:type="xsd:long"&gt;42635&lt;/D&gt;&lt;D xsi:type="xsd:long"&gt;42634&lt;/D&gt;&lt;D xsi:type="xsd:long"&gt;42633&lt;/D&gt;&lt;D xsi:type="xsd:long"&gt;42632&lt;/D&gt;&lt;D xsi:type="xsd:long"&gt;42629&lt;/D&gt;&lt;D xsi:type="xsd:long"&gt;42628&lt;/D&gt;&lt;D xsi:type="xsd:long"&gt;42627&lt;/D&gt;&lt;D xsi:type="xsd:long"&gt;42626&lt;/D&gt;&lt;D xsi:type="xsd:long"&gt;42625&lt;/D&gt;&lt;D xsi:type="xsd:long"&gt;42622&lt;/D&gt;&lt;D xsi:type="xsd:long"&gt;42621&lt;/D&gt;&lt;D xsi:type="xsd:long"&gt;42620&lt;/D&gt;&lt;D xsi:type="xsd:long"&gt;42619&lt;/D&gt;&lt;D xsi:type="xsd:long"&gt;42615&lt;/D&gt;&lt;D xsi:type="xsd:long"&gt;42614&lt;/D&gt;&lt;D xsi:type="xsd:long"&gt;42613&lt;/D&gt;&lt;D xsi:type="xsd:long"&gt;42612&lt;/D&gt;&lt;D xsi:type="xsd:long"&gt;42611&lt;/D&gt;&lt;D xsi:type="xsd:long"&gt;42608&lt;/D&gt;&lt;D xsi:type="xsd:long"&gt;42607&lt;/D&gt;&lt;D xsi:type="xsd:long"&gt;42606&lt;/D&gt;&lt;D xsi:type="xsd:long"&gt;42605&lt;/D&gt;&lt;D xsi:type="xsd:long"&gt;42604&lt;/D&gt;&lt;D xsi:type="xsd:long"&gt;42601&lt;/D&gt;&lt;D xsi:type="xsd:long"&gt;42600&lt;/D&gt;&lt;D xsi:type="xsd:long"&gt;42599&lt;/D&gt;&lt;D xsi:type="xsd:long"&gt;42598&lt;/D&gt;&lt;D xsi:type="xsd:long"&gt;42597&lt;/D&gt;&lt;D xsi:type="xsd:long"&gt;42594&lt;/D&gt;&lt;D xsi:type="xsd:long"&gt;42593&lt;/D&gt;&lt;D xsi:type="xsd:long"&gt;42592&lt;/D&gt;&lt;D xsi:type="xsd:long"&gt;42591&lt;/D&gt;&lt;D xsi:type="xsd:long"&gt;42590&lt;/D&gt;&lt;D xsi:type="xsd:long"&gt;42587&lt;/D&gt;&lt;D xsi:type="xsd:long"&gt;42586&lt;/D&gt;&lt;D xsi:type="xsd:long"&gt;42585&lt;/D&gt;&lt;D xsi:type="xsd:long"&gt;42584&lt;/D&gt;&lt;D xsi:type="xsd:long"&gt;42583&lt;/D&gt;&lt;D xsi:type="xsd:long"&gt;42580&lt;/D&gt;&lt;D xsi:type="xsd:long"&gt;42579&lt;/D&gt;&lt;D xsi:type="xsd:long"&gt;42578&lt;/D&gt;&lt;D xsi:type="xsd:long"&gt;42577&lt;/D&gt;&lt;D xsi:type="xsd:long"&gt;42576&lt;/D&gt;&lt;D xsi:type="xsd:long"&gt;42573&lt;/D&gt;&lt;D xsi:type="xsd:long"&gt;42572&lt;/D&gt;&lt;D xsi:type="xsd:long"&gt;42571&lt;/D&gt;&lt;D xsi:type="xsd:long"&gt;42570&lt;/D&gt;&lt;D xsi:type="xsd:long"&gt;42569&lt;/D&gt;&lt;D xsi:type="xsd:long"&gt;42566&lt;/D&gt;&lt;D xsi:type="xsd:long"&gt;42565&lt;/D&gt;&lt;D xsi:type="xsd:long"&gt;42564&lt;/D&gt;&lt;D xsi:type="xsd:long"&gt;42563&lt;/D&gt;&lt;D xsi:type="xsd:long"&gt;42562&lt;/D&gt;&lt;D xsi:type="xsd:long"&gt;42559&lt;/D&gt;&lt;D xsi:type="xsd:long"&gt;42558&lt;/D&gt;&lt;D xsi:type="xsd:long"&gt;42557&lt;/D&gt;&lt;D xsi:type="xsd:long"&gt;42556&lt;/D&gt;&lt;D xsi:type="xsd:long"&gt;42552&lt;/D&gt;&lt;D xsi:type="xsd:long"&gt;42551&lt;/D&gt;&lt;D xsi:type="xsd:long"&gt;42550&lt;/D&gt;&lt;D xsi:type="xsd:long"&gt;42549&lt;/D&gt;&lt;D xsi:type="xsd:long"&gt;42548&lt;/D&gt;&lt;D xsi:type="xsd:long"&gt;42545&lt;/D&gt;&lt;D xsi:type="xsd:long"&gt;42544&lt;/D&gt;&lt;D xsi:type="xsd:long"&gt;42543&lt;/D&gt;&lt;D xsi:type="xsd:long"&gt;42542&lt;/D&gt;&lt;D xsi:type="xsd:long"&gt;42541&lt;/D&gt;&lt;D xsi:type="xsd:long"&gt;42538&lt;/D&gt;&lt;D xsi:type="xsd:long"&gt;42537&lt;/D&gt;&lt;D xsi:type="xsd:long"&gt;42536&lt;/D&gt;&lt;D xsi:type="xsd:long"&gt;42535&lt;/D&gt;&lt;D xsi:type="xsd:long"&gt;42534&lt;/D&gt;&lt;D xsi:type="xsd:long"&gt;42531&lt;/D&gt;&lt;D xsi:type="xsd:long"&gt;42530&lt;/D&gt;&lt;D xsi:type="xsd:long"&gt;42529&lt;/D&gt;&lt;D xsi:type="xsd:long"&gt;42528&lt;/D&gt;&lt;D xsi:type="xsd:long"&gt;42527&lt;/D&gt;&lt;D xsi:type="xsd:long"&gt;42524&lt;/D&gt;&lt;D xsi:type="xsd:long"&gt;42523&lt;/D&gt;&lt;D xsi:type="xsd:long"&gt;42522&lt;/D&gt;&lt;D xsi:type="xsd:long"&gt;42521&lt;/D&gt;&lt;D xsi:type="xsd:long"&gt;42517&lt;/D&gt;&lt;D xsi:type="xsd:long"&gt;42516&lt;/D&gt;&lt;D xsi:type="xsd:long"&gt;42515&lt;/D&gt;&lt;D xsi:type="xsd:long"&gt;42514&lt;/D&gt;&lt;D xsi:type="xsd:long"&gt;42513&lt;/D&gt;&lt;D xsi:type="xsd:long"&gt;42510&lt;/D&gt;&lt;D xsi:type="xsd:long"&gt;42509&lt;/D&gt;&lt;D xsi:type="xsd:long"&gt;42508&lt;/D&gt;&lt;D xsi:type="xsd:long"&gt;42507&lt;/D&gt;&lt;D xsi:type="xsd:long"&gt;42506&lt;/D&gt;&lt;D xsi:type="xsd:long"&gt;42503&lt;/D&gt;&lt;D xsi:type="xsd:long"&gt;42502&lt;/D&gt;&lt;D xsi:type="xsd:long"&gt;42501&lt;/D&gt;&lt;D xsi:type="xsd:long"&gt;42500&lt;/D&gt;&lt;D xsi:type="xsd:long"&gt;42499&lt;/D&gt;&lt;D xsi:type="xsd:long"&gt;42496&lt;/D&gt;&lt;D xsi:type="xsd:long"&gt;42495&lt;/D&gt;&lt;D xsi:type="xsd:long"&gt;42494&lt;/D&gt;&lt;D xsi:type="xsd:long"&gt;42493&lt;/D&gt;&lt;D xsi:type="xsd:long"&gt;42492&lt;/D&gt;&lt;D xsi:type="xsd:long"&gt;42489&lt;/D&gt;&lt;D xsi:type="xsd:long"&gt;42488&lt;/D&gt;&lt;D xsi:type="xsd:long"&gt;42487&lt;/D&gt;&lt;D xsi:type="xsd:long"&gt;42486&lt;/D&gt;&lt;D xsi:type="xsd:long"&gt;42485&lt;/D&gt;&lt;D xsi:type="xsd:long"&gt;42482&lt;/D&gt;&lt;D xsi:type="xsd:long"&gt;42481&lt;/D&gt;&lt;D xsi:type="xsd:long"&gt;42480&lt;/D&gt;&lt;D xsi:type="xsd:long"&gt;42479&lt;/D&gt;&lt;D xsi:type="xsd:long"&gt;42478&lt;/D&gt;&lt;D xsi:type="xsd:long"&gt;42475&lt;/D&gt;&lt;D xsi:type="xsd:long"&gt;42474&lt;/D&gt;&lt;D xsi:type="xsd:long"&gt;42473&lt;/D&gt;&lt;D xsi:type="xsd:long"&gt;42472&lt;/D&gt;&lt;D xsi:type="xsd:long"&gt;42471&lt;/D&gt;&lt;D xsi:type="xsd:long"&gt;42468&lt;/D&gt;&lt;D xsi:type="xsd:long"&gt;42467&lt;/D&gt;&lt;D xsi:type="xsd:long"&gt;42466&lt;/D&gt;&lt;D xsi:type="xsd:long"&gt;42465&lt;/D&gt;&lt;D xsi:type="xsd:long"&gt;42464&lt;/D&gt;&lt;D xsi:type="xsd:long"&gt;42461&lt;/D&gt;&lt;D xsi:type="xsd:long"&gt;42460&lt;/D&gt;&lt;D xsi:type="xsd:long"&gt;42459&lt;/D&gt;&lt;D xsi:type="xsd:long"&gt;42458&lt;/D&gt;&lt;D xsi:type="xsd:long"&gt;42457&lt;/D&gt;&lt;D xsi:type="xsd:long"&gt;42453&lt;/D&gt;&lt;D xsi:type="xsd:long"&gt;42452&lt;/D&gt;&lt;D xsi:type="xsd:long"&gt;42451&lt;/D&gt;&lt;D xsi:type="xsd:long"&gt;42450&lt;/D&gt;&lt;D xsi:type="xsd:long"&gt;42447&lt;/D&gt;&lt;D xsi:type="xsd:long"&gt;42446&lt;/D&gt;&lt;D xsi:type="xsd:long"&gt;42445&lt;/D&gt;&lt;D xsi:type="xsd:long"&gt;42444&lt;/D&gt;&lt;D xsi:type="xsd:long"&gt;42443&lt;/D&gt;&lt;D xsi:type="xsd:long"&gt;42440&lt;/D&gt;&lt;D xsi:type="xsd:long"&gt;42439&lt;/D&gt;&lt;D xsi:type="xsd:long"&gt;42438&lt;/D&gt;&lt;D xsi:type="xsd:long"&gt;42437&lt;/D&gt;&lt;D xsi:type="xsd:long"&gt;42436&lt;/D&gt;&lt;D xsi:type="xsd:long"&gt;42433&lt;/D&gt;&lt;D xsi:type="xsd:long"&gt;42432&lt;/D&gt;&lt;D xsi:type="xsd:long"&gt;42431&lt;/D&gt;&lt;D xsi:type="xsd:long"&gt;42430&lt;/D&gt;&lt;D xsi:type="xsd:long"&gt;42429&lt;/D&gt;&lt;D xsi:type="xsd:long"&gt;42426&lt;/D&gt;&lt;D xsi:type="xsd:long"&gt;42425&lt;/D&gt;&lt;D xsi:type="xsd:long"&gt;42424&lt;/D&gt;&lt;D xsi:type="xsd:long"&gt;42423&lt;/D&gt;&lt;D xsi:type="xsd:long"&gt;42422&lt;/D&gt;&lt;D xsi:type="xsd:long"&gt;42419&lt;/D&gt;&lt;D xsi:type="xsd:long"&gt;42418&lt;/D&gt;&lt;D xsi:type="xsd:long"&gt;42417&lt;/D&gt;&lt;D xsi:type="xsd:long"&gt;42416&lt;/D&gt;&lt;D xsi:type="xsd:long"&gt;42412&lt;/D&gt;&lt;D xsi:type="xsd:long"&gt;42411&lt;/D&gt;&lt;D xsi:type="xsd:long"&gt;42410&lt;/D&gt;&lt;D xsi:type="xsd:long"&gt;42409&lt;/D&gt;&lt;D xsi:type="xsd:long"&gt;42408&lt;/D&gt;&lt;D xsi:type="xsd:long"&gt;42405&lt;/D&gt;&lt;D xsi:type="xsd:long"&gt;42404&lt;/D&gt;&lt;D xsi:type="xsd:long"&gt;42403&lt;/D&gt;&lt;D xsi:type="xsd:long"&gt;42402&lt;/D&gt;&lt;D xsi:type="xsd:long"&gt;42401&lt;/D&gt;&lt;D xsi:type="xsd:long"&gt;42398&lt;/D&gt;&lt;D xsi:type="xsd:long"&gt;42397&lt;/D&gt;&lt;D xsi:type="xsd:long"&gt;42396&lt;/D&gt;&lt;D xsi:type="xsd:long"&gt;42395&lt;/D&gt;&lt;D xsi:type="xsd:long"&gt;42394&lt;/D&gt;&lt;D xsi:type="xsd:long"&gt;42391&lt;/D&gt;&lt;D xsi:type="xsd:long"&gt;42390&lt;/D&gt;&lt;D xsi:type="xsd:long"&gt;42389&lt;/D&gt;&lt;D xsi:type="xsd:long"&gt;42388&lt;/D&gt;&lt;D xsi:type="xsd:long"&gt;42384&lt;/D&gt;&lt;D xsi:type="xsd:long"&gt;42383&lt;/D&gt;&lt;D xsi:type="xsd:long"&gt;42382&lt;/D&gt;&lt;D xsi:type="xsd:long"&gt;42381&lt;/D&gt;&lt;D xsi:type="xsd:long"&gt;42380&lt;/D&gt;&lt;D xsi:type="xsd:long"&gt;42377&lt;/D&gt;&lt;D xsi:type="xsd:long"&gt;42376&lt;/D&gt;&lt;D xsi:type="xsd:long"&gt;42375&lt;/D&gt;&lt;D xsi:type="xsd:long"&gt;42374&lt;/D&gt;&lt;D xsi:type="xsd:long"&gt;42373&lt;/D&gt;&lt;D xsi:type="xsd:long"&gt;42369&lt;/D&gt;&lt;D xsi:type="xsd:long"&gt;42368&lt;/D&gt;&lt;D xsi:type="xsd:long"&gt;42367&lt;/D&gt;&lt;D xsi:type="xsd:long"&gt;42366&lt;/D&gt;&lt;D xsi:type="xsd:long"&gt;42362&lt;/D&gt;&lt;D xsi:type="xsd:long"&gt;42361&lt;/D&gt;&lt;D xsi:type="xsd:long"&gt;42360&lt;/D&gt;&lt;D xsi:type="xsd:long"&gt;42359&lt;/D&gt;&lt;D xsi:type="xsd:long"&gt;42356&lt;/D&gt;&lt;D xsi:type="xsd:long"&gt;42355&lt;/D&gt;&lt;D xsi:type="xsd:long"&gt;42354&lt;/D&gt;&lt;D xsi:type="xsd:long"&gt;42353&lt;/D&gt;&lt;D xsi:type="xsd:long"&gt;42352&lt;/D&gt;&lt;D xsi:type="xsd:long"&gt;42349&lt;/D&gt;&lt;D xsi:type="xsd:long"&gt;42348&lt;/D&gt;&lt;D xsi:type="xsd:long"&gt;42347&lt;/D&gt;&lt;D xsi:type="xsd:long"&gt;42346&lt;/D&gt;&lt;D xsi:type="xsd:long"&gt;42345&lt;/D&gt;&lt;D xsi:type="xsd:long"&gt;42342&lt;/D&gt;&lt;D xsi:type="xsd:long"&gt;42341&lt;/D&gt;&lt;D xsi:type="xsd:long"&gt;42340&lt;/D&gt;&lt;D xsi:type="xsd:long"&gt;42339&lt;/D&gt;&lt;D xsi:type="xsd:long"&gt;42338&lt;/D&gt;&lt;D xsi:type="xsd:long"&gt;42335&lt;/D&gt;&lt;D xsi:type="xsd:long"&gt;42333&lt;/D&gt;&lt;D xsi:type="xsd:long"&gt;42332&lt;/D&gt;&lt;D xsi:type="xsd:long"&gt;42331&lt;/D&gt;&lt;D xsi:type="xsd:long"&gt;42328&lt;/D&gt;&lt;D xsi:type="xsd:long"&gt;42327&lt;/D&gt;&lt;D xsi:type="xsd:long"&gt;42326&lt;/D&gt;&lt;D xsi:type="xsd:long"&gt;42325&lt;/D&gt;&lt;D xsi:type="xsd:long"&gt;42324&lt;/D&gt;&lt;D xsi:type="xsd:long"&gt;42321&lt;/D&gt;&lt;D xsi:type="xsd:long"&gt;42320&lt;/D&gt;&lt;D xsi:type="xsd:long"&gt;42319&lt;/D&gt;&lt;D xsi:type="xsd:long"&gt;42318&lt;/D&gt;&lt;D xsi:type="xsd:long"&gt;42317&lt;/D&gt;&lt;D xsi:type="xsd:long"&gt;42314&lt;/D&gt;&lt;D xsi:type="xsd:long"&gt;42313&lt;/D&gt;&lt;D xsi:type="xsd:long"&gt;42312&lt;/D&gt;&lt;D xsi:type="xsd:long"&gt;42311&lt;/D&gt;&lt;D xsi:type="xsd:long"&gt;42310&lt;/D&gt;&lt;D xsi:type="xsd:long"&gt;42307&lt;/D&gt;&lt;D xsi:type="xsd:long"&gt;42306&lt;/D&gt;&lt;D xsi:type="xsd:long"&gt;42305&lt;/D&gt;&lt;D xsi:type="xsd:long"&gt;42304&lt;/D&gt;&lt;D xsi:type="xsd:long"&gt;42303&lt;/D&gt;&lt;D xsi:type="xsd:long"&gt;42300&lt;/D&gt;&lt;D xsi:type="xsd:long"&gt;42299&lt;/D&gt;&lt;D xsi:type="xsd:long"&gt;42298&lt;/D&gt;&lt;D xsi:type="xsd:long"&gt;42297&lt;/D&gt;&lt;D xsi:type="xsd:long"&gt;42296&lt;/D&gt;&lt;D xsi:type="xsd:long"&gt;42293&lt;/D&gt;&lt;D xsi:type="xsd:long"&gt;42292&lt;/D&gt;&lt;D xsi:type="xsd:long"&gt;42291&lt;/D&gt;&lt;D xsi:type="xsd:long"&gt;42290&lt;/D&gt;&lt;D xsi:type="xsd:long"&gt;42289&lt;/D&gt;&lt;D xsi:type="xsd:long"&gt;42286&lt;/D&gt;&lt;D xsi:type="xsd:long"&gt;42285&lt;/D&gt;&lt;D xsi:type="xsd:long"&gt;42284&lt;/D&gt;&lt;D xsi:type="xsd:long"&gt;42283&lt;/D&gt;&lt;D xsi:type="xsd:long"&gt;42282&lt;/D&gt;&lt;D xsi:type="xsd:long"&gt;42279&lt;/D&gt;&lt;D xsi:type="xsd:long"&gt;42278&lt;/D&gt;&lt;D xsi:type="xsd:long"&gt;42277&lt;/D&gt;&lt;D xsi:type="xsd:long"&gt;42276&lt;/D&gt;&lt;D xsi:type="xsd:long"&gt;42275&lt;/D&gt;&lt;D xsi:type="xsd:long"&gt;42272&lt;/D&gt;&lt;D xsi:type="xsd:long"&gt;42271&lt;/D&gt;&lt;D xsi:type="xsd:long"&gt;42270&lt;/D&gt;&lt;D xsi:type="xsd:long"&gt;42269&lt;/D&gt;&lt;D xsi:type="xsd:long"&gt;42268&lt;/D&gt;&lt;D xsi:type="xsd:long"&gt;42265&lt;/D&gt;&lt;D xsi:type="xsd:long"&gt;42264&lt;/D&gt;&lt;D xsi:type="xsd:long"&gt;42263&lt;/D&gt;&lt;D xsi:type="xsd:long"&gt;42262&lt;/D&gt;&lt;D xsi:type="xsd:long"&gt;42261&lt;/D&gt;&lt;D xsi:type="xsd:long"&gt;42258&lt;/D&gt;&lt;D xsi:type="xsd:long"&gt;42257&lt;/D&gt;&lt;D xsi:type="xsd:long"&gt;42256&lt;/D&gt;&lt;D xsi:type="xsd:long"&gt;42255&lt;/D&gt;&lt;D xsi:type="xsd:long"&gt;42251&lt;/D&gt;&lt;D xsi:type="xsd:long"&gt;42250&lt;/D&gt;&lt;D xsi:type="xsd:long"&gt;42249&lt;/D&gt;&lt;D xsi:type="xsd:long"&gt;42248&lt;/D&gt;&lt;D xsi:type="xsd:long"&gt;42247&lt;/D&gt;&lt;D xsi:type="xsd:long"&gt;42244&lt;/D&gt;&lt;D xsi:type="xsd:long"&gt;42243&lt;/D&gt;&lt;D xsi:type="xsd:long"&gt;42242&lt;/D&gt;&lt;D xsi:type="xsd:long"&gt;42241&lt;/D&gt;&lt;D xsi:type="xsd:long"&gt;42240&lt;/D&gt;&lt;D xsi:type="xsd:long"&gt;42237&lt;/D&gt;&lt;D xsi:type="xsd:long"&gt;42236&lt;/D&gt;&lt;D xsi:type="xsd:long"&gt;42235&lt;/D&gt;&lt;D xsi:type="xsd:long"&gt;42234&lt;/D&gt;&lt;D xsi:type="xsd:long"&gt;42233&lt;/D&gt;&lt;D xsi:type="xsd:long"&gt;42230&lt;/D&gt;&lt;D xsi:type="xsd:long"&gt;42229&lt;/D&gt;&lt;D xsi:type="xsd:long"&gt;42228&lt;/D&gt;&lt;D xsi:type="xsd:long"&gt;42227&lt;/D&gt;&lt;D xsi:type="xsd:long"&gt;42226&lt;/D&gt;&lt;D xsi:type="xsd:long"&gt;42223&lt;/D&gt;&lt;D xsi:type="xsd:long"&gt;42222&lt;/D&gt;&lt;D xsi:type="xsd:long"&gt;42221&lt;/D&gt;&lt;D xsi:type="xsd:long"&gt;42220&lt;/D&gt;&lt;D xsi:type="xsd:long"&gt;42219&lt;/D&gt;&lt;D xsi:type="xsd:long"&gt;42216&lt;/D&gt;&lt;D xsi:type="xsd:long"&gt;42215&lt;/D&gt;&lt;D xsi:type="xsd:long"&gt;42214&lt;/D&gt;&lt;D xsi:type="xsd:long"&gt;42213&lt;/D&gt;&lt;D xsi:type="xsd:long"&gt;42212&lt;/D&gt;&lt;D xsi:type="xsd:long"&gt;42209&lt;/D&gt;&lt;D xsi:type="xsd:long"&gt;42208&lt;/D&gt;&lt;D xsi:type="xsd:long"&gt;42207&lt;/D&gt;&lt;D xsi:type="xsd:long"&gt;42206&lt;/D&gt;&lt;D xsi:type="xsd:long"&gt;42205&lt;/D&gt;&lt;D xsi:type="xsd:long"&gt;42202&lt;/D&gt;&lt;D xsi:type="xsd:long"&gt;42201&lt;/D&gt;&lt;D xsi:type="xsd:long"&gt;42200&lt;/D&gt;&lt;D xsi:type="xsd:long"&gt;42199&lt;/D&gt;&lt;D xsi:type="xsd:long"&gt;42198&lt;/D&gt;&lt;D xsi:type="xsd:long"&gt;42195&lt;/D&gt;&lt;D xsi:type="xsd:long"&gt;42194&lt;/D&gt;&lt;D xsi:type="xsd:long"&gt;42193&lt;/D&gt;&lt;D xsi:type="xsd:long"&gt;42192&lt;/D&gt;&lt;D xsi:type="xsd:long"&gt;42191&lt;/D&gt;&lt;D xsi:type="xsd:long"&gt;42187&lt;/D&gt;&lt;D xsi:type="xsd:long"&gt;42186&lt;/D&gt;&lt;D xsi:type="xsd:long"&gt;42185&lt;/D&gt;&lt;D xsi:type="xsd:long"&gt;42184&lt;/D&gt;&lt;D xsi:type="xsd:long"&gt;42181&lt;/D&gt;&lt;D xsi:type="xsd:long"&gt;42180&lt;/D&gt;&lt;D xsi:type="xsd:long"&gt;42179&lt;/D&gt;&lt;D xsi:type="xsd:long"&gt;42178&lt;/D&gt;&lt;D xsi:type="xsd:long"&gt;42177&lt;/D&gt;&lt;D xsi:type="xsd:long"&gt;42174&lt;/D&gt;&lt;D xsi:type="xsd:long"&gt;42173&lt;/D&gt;&lt;D xsi:type="xsd:long"&gt;42172&lt;/D&gt;&lt;D xsi:type="xsd:long"&gt;42171&lt;/D&gt;&lt;D xsi:type="xsd:long"&gt;42170&lt;/D&gt;&lt;D xsi:type="xsd:long"&gt;42167&lt;/D&gt;&lt;D xsi:type="xsd:long"&gt;42166&lt;/D&gt;&lt;D xsi:type="xsd:long"&gt;42165&lt;/D&gt;&lt;D xsi:type="xsd:long"&gt;42164&lt;/D&gt;&lt;D xsi:type="xsd:long"&gt;42163&lt;/D&gt;&lt;D xsi:type="xsd:long"&gt;42160&lt;/D&gt;&lt;D xsi:type="xsd:long"&gt;42159&lt;/D&gt;&lt;D xsi:type="xsd:long"&gt;42158&lt;/D&gt;&lt;D xsi:type="xsd:long"&gt;42157&lt;/D&gt;&lt;D xsi:type="xsd:long"&gt;42156&lt;/D&gt;&lt;D xsi:type="xsd:long"&gt;42153&lt;/D&gt;&lt;D xsi:type="xsd:long"&gt;42152&lt;/D&gt;&lt;D xsi:type="xsd:long"&gt;42151&lt;/D&gt;&lt;D xsi:type="xsd:long"&gt;42150&lt;/D&gt;&lt;D xsi:type="xsd:long"&gt;42146&lt;/D&gt;&lt;D xsi:type="xsd:long"&gt;42145&lt;/D&gt;&lt;D xsi:type="xsd:long"&gt;42144&lt;/D&gt;&lt;D xsi:type="xsd:long"&gt;42143&lt;/D&gt;&lt;D xsi:type="xsd:long"&gt;42142&lt;/D&gt;&lt;D xsi:type="xsd:long"&gt;42139&lt;/D&gt;&lt;D xsi:type="xsd:long"&gt;42138&lt;/D&gt;&lt;D xsi:type="xsd:long"&gt;42137&lt;/D&gt;&lt;D xsi:type="xsd:long"&gt;42136&lt;/D&gt;&lt;D xsi:type="xsd:long"&gt;42135&lt;/D&gt;&lt;D xsi:type="xsd:long"&gt;42132&lt;/D&gt;&lt;D xsi:type="xsd:long"&gt;42131&lt;/D&gt;&lt;D xsi:type="xsd:long"&gt;42130&lt;/D&gt;&lt;D xsi:type="xsd:long"&gt;42129&lt;/D&gt;&lt;D xsi:type="xsd:long"&gt;42128&lt;/D&gt;&lt;D xsi:type="xsd:long"&gt;42125&lt;/D&gt;&lt;D xsi:type="xsd:long"&gt;42124&lt;/D&gt;&lt;D xsi:type="xsd:long"&gt;42123&lt;/D&gt;&lt;D xsi:type="xsd:long"&gt;42122&lt;/D&gt;&lt;D xsi:type="xsd:long"&gt;42121&lt;/D&gt;&lt;D xsi:type="xsd:long"&gt;42118&lt;/D&gt;&lt;D xsi:type="xsd:long"&gt;42117&lt;/D&gt;&lt;D xsi:type="xsd:long"&gt;42116&lt;/D&gt;&lt;D xsi:type="xsd:long"&gt;42115&lt;/D&gt;&lt;D xsi:type="xsd:long"&gt;42114&lt;/D&gt;&lt;D xsi:type="xsd:long"&gt;42111&lt;/D&gt;&lt;D xsi:type="xsd:long"&gt;42110&lt;/D&gt;&lt;D xsi:type="xsd:long"&gt;42109&lt;/D&gt;&lt;D xsi:type="xsd:long"&gt;42108&lt;/D&gt;&lt;D xsi:type="xsd:long"&gt;42107&lt;/D&gt;&lt;D xsi:type="xsd:long"&gt;42104&lt;/D&gt;&lt;D xsi:type="xsd:long"&gt;42103&lt;/D&gt;&lt;D xsi:type="xsd:long"&gt;42102&lt;/D&gt;&lt;D xsi:type="xsd:long"&gt;42101&lt;/D&gt;&lt;D xsi:type="xsd:long"&gt;42100&lt;/D&gt;&lt;D xsi:type="xsd:long"&gt;42096&lt;/D&gt;&lt;D xsi:type="xsd:long"&gt;42095&lt;/D&gt;&lt;D xsi:type="xsd:long"&gt;42094&lt;/D&gt;&lt;D xsi:type="xsd:long"&gt;42093&lt;/D&gt;&lt;D xsi:type="xsd:long"&gt;42090&lt;/D&gt;&lt;D xsi:type="xsd:long"&gt;42089&lt;/D&gt;&lt;D xsi:type="xsd:long"&gt;42088&lt;/D&gt;&lt;D xsi:type="xsd:long"&gt;42087&lt;/D&gt;&lt;D xsi:type="xsd:long"&gt;42086&lt;/D&gt;&lt;D xsi:type="xsd:long"&gt;42083&lt;/D&gt;&lt;D xsi:type="xsd:long"&gt;42082&lt;/D&gt;&lt;D xsi:type="xsd:long"&gt;42081&lt;/D&gt;&lt;D xsi:type="xsd:long"&gt;42080&lt;/D&gt;&lt;D xsi:type="xsd:long"&gt;42079&lt;/D&gt;&lt;D xsi:type="xsd:long"&gt;42076&lt;/D&gt;&lt;D xsi:type="xsd:long"&gt;42075&lt;/D&gt;&lt;D xsi:type="xsd:long"&gt;42074&lt;/D&gt;&lt;D xsi:type="xsd:long"&gt;42073&lt;/D&gt;&lt;D xsi:type="xsd:long"&gt;42072&lt;/D&gt;&lt;D xsi:type="xsd:long"&gt;42069&lt;/D&gt;&lt;D xsi:type="xsd:long"&gt;42068&lt;/D&gt;&lt;D xsi:type="xsd:long"&gt;42067&lt;/D&gt;&lt;D xsi:type="xsd:long"&gt;42066&lt;/D&gt;&lt;D xsi:type="xsd:long"&gt;42065&lt;/D&gt;&lt;D xsi:type="xsd:long"&gt;42062&lt;/D&gt;&lt;D xsi:type="xsd:long"&gt;42061&lt;/D&gt;&lt;D xsi:type="xsd:long"&gt;42060&lt;/D&gt;&lt;D xsi:type="xsd:long"&gt;42059&lt;/D&gt;&lt;D xsi:type="xsd:long"&gt;42058&lt;/D&gt;&lt;D xsi:type="xsd:long"&gt;42055&lt;/D&gt;&lt;D xsi:type="xsd:long"&gt;42054&lt;/D&gt;&lt;D xsi:type="xsd:long"&gt;42053&lt;/D&gt;&lt;D xsi:type="xsd:long"&gt;42052&lt;/D&gt;&lt;D xsi:type="xsd:long"&gt;42048&lt;/D&gt;&lt;D xsi:type="xsd:long"&gt;42047&lt;/D&gt;&lt;D xsi:type="xsd:long"&gt;42046&lt;/D&gt;&lt;D xsi:type="xsd:long"&gt;42045&lt;/D&gt;&lt;D xsi:type="xsd:long"&gt;42044&lt;/D&gt;&lt;D xsi:type="xsd:long"&gt;42041&lt;/D&gt;&lt;D xsi:type="xsd:long"&gt;42040&lt;/D&gt;&lt;D xsi:type="xsd:long"&gt;42039&lt;/D&gt;&lt;D xsi:type="xsd:long"&gt;42038&lt;/D&gt;&lt;D xsi:type="xsd:long"&gt;42037&lt;/D&gt;&lt;D xsi:type="xsd:long"&gt;42034&lt;/D&gt;&lt;D xsi:type="xsd:long"&gt;42033&lt;/D&gt;&lt;D xsi:type="xsd:long"&gt;42032&lt;/D&gt;&lt;D xsi:type="xsd:long"&gt;42031&lt;/D&gt;&lt;D xsi:type="xsd:long"&gt;42030&lt;/D&gt;&lt;D xsi:type="xsd:long"&gt;42027&lt;/D&gt;&lt;D xsi:type="xsd:long"&gt;42026&lt;/D&gt;&lt;D xsi:type="xsd:long"&gt;42025&lt;/D&gt;&lt;D xsi:type="xsd:long"&gt;42024&lt;/D&gt;&lt;D xsi:type="xsd:long"&gt;42020&lt;/D&gt;&lt;D xsi:type="xsd:long"&gt;42019&lt;/D&gt;&lt;D xsi:type="xsd:long"&gt;42018&lt;/D&gt;&lt;D xsi:type="xsd:long"&gt;42017&lt;/D&gt;&lt;D xsi:type="xsd:long"&gt;42016&lt;/D&gt;&lt;D xsi:type="xsd:long"&gt;42013&lt;/D&gt;&lt;D xsi:type="xsd:long"&gt;42012&lt;/D&gt;&lt;D xsi:type="xsd:long"&gt;42011&lt;/D&gt;&lt;D xsi:type="xsd:long"&gt;42010&lt;/D&gt;&lt;D xsi:type="xsd:long"&gt;42009&lt;/D&gt;&lt;D xsi:type="xsd:long"&gt;42006&lt;/D&gt;&lt;D xsi:type="xsd:long"&gt;42004&lt;/D&gt;&lt;D xsi:type="xsd:long"&gt;42003&lt;/D&gt;&lt;D xsi:type="xsd:long"&gt;42002&lt;/D&gt;&lt;D xsi:type="xsd:long"&gt;41999&lt;/D&gt;&lt;D xsi:type="xsd:long"&gt;41997&lt;/D&gt;&lt;D xsi:type="xsd:long"&gt;41996&lt;/D&gt;&lt;D xsi:type="xsd:long"&gt;41995&lt;/D&gt;&lt;D xsi:type="xsd:long"&gt;41992&lt;/D&gt;&lt;D xsi:type="xsd:long"&gt;41991&lt;/D&gt;&lt;D xsi:type="xsd:long"&gt;41990&lt;/D&gt;&lt;D xsi:type="xsd:long"&gt;41989&lt;/D&gt;&lt;D xsi:type="xsd:long"&gt;41988&lt;/D&gt;&lt;D xsi:type="xsd:long"&gt;41985&lt;/D&gt;&lt;D xsi:type="xsd:long"&gt;41984&lt;/D&gt;&lt;D xsi:type="xsd:long"&gt;41983&lt;/D&gt;&lt;D xsi:type="xsd:long"&gt;41982&lt;/D&gt;&lt;D xsi:type="xsd:long"&gt;41981&lt;/D&gt;&lt;D xsi:type="xsd:long"&gt;41978&lt;/D&gt;&lt;D xsi:type="xsd:long"&gt;41977&lt;/D&gt;&lt;D xsi:type="xsd:long"&gt;41976&lt;/D&gt;&lt;D xsi:type="xsd:long"&gt;41975&lt;/D&gt;&lt;D xsi:type="xsd:long"&gt;41974&lt;/D&gt;&lt;D xsi:type="xsd:long"&gt;41971&lt;/D&gt;&lt;D xsi:type="xsd:long"&gt;41969&lt;/D&gt;&lt;D xsi:type="xsd:long"&gt;41968&lt;/D&gt;&lt;D xsi:type="xsd:long"&gt;41967&lt;/D&gt;&lt;D xsi:type="xsd:long"&gt;41964&lt;/D&gt;&lt;D xsi:type="xsd:long"&gt;41963&lt;/D&gt;&lt;D xsi:type="xsd:long"&gt;41962&lt;/D&gt;&lt;D xsi:type="xsd:long"&gt;41961&lt;/D&gt;&lt;D xsi:type="xsd:long"&gt;41960&lt;/D&gt;&lt;D xsi:type="xsd:long"&gt;41957&lt;/D&gt;&lt;D xsi:type="xsd:long"&gt;41956&lt;/D&gt;&lt;D xsi:type="xsd:long"&gt;41955&lt;/D&gt;&lt;D xsi:type="xsd:long"&gt;41954&lt;/D&gt;&lt;D xsi:type="xsd:long"&gt;41953&lt;/D&gt;&lt;D xsi:type="xsd:long"&gt;41950&lt;/D&gt;&lt;D xsi:type="xsd:long"&gt;41949&lt;/D&gt;&lt;D xsi:type="xsd:long"&gt;41948&lt;/D&gt;&lt;D xsi:type="xsd:long"&gt;41947&lt;/D&gt;&lt;D xsi:type="xsd:long"&gt;41946&lt;/D&gt;&lt;D xsi:type="xsd:long"&gt;41943&lt;/D&gt;&lt;D xsi:type="xsd:long"&gt;41942&lt;/D&gt;&lt;D xsi:type="xsd:long"&gt;41941&lt;/D&gt;&lt;D xsi:type="xsd:long"&gt;41940&lt;/D&gt;&lt;D xsi:type="xsd:long"&gt;41939&lt;/D&gt;&lt;D xsi:type="xsd:long"&gt;41936&lt;/D&gt;&lt;D xsi:type="xsd:long"&gt;41935&lt;/D&gt;&lt;D xsi:type="xsd:long"&gt;41934&lt;/D&gt;&lt;D xsi:type="xsd:long"&gt;41933&lt;/D&gt;&lt;D xsi:type="xsd:long"&gt;41932&lt;/D&gt;&lt;D xsi:type="xsd:long"&gt;41929&lt;/D&gt;&lt;D xsi:type="xsd:long"&gt;41928&lt;/D&gt;&lt;D xsi:type="xsd:long"&gt;41927&lt;/D&gt;&lt;D xsi:type="xsd:long"&gt;41926&lt;/D&gt;&lt;D xsi:type="xsd:long"&gt;41925&lt;/D&gt;&lt;D xsi:type="xsd:long"&gt;41922&lt;/D&gt;&lt;D xsi:type="xsd:long"&gt;41921&lt;/D&gt;&lt;D xsi:type="xsd:long"&gt;41920&lt;/D&gt;&lt;D xsi:type="xsd:long"&gt;41919&lt;/D&gt;&lt;D xsi:type="xsd:long"&gt;41918&lt;/D&gt;&lt;D xsi:type="xsd:long"&gt;41915&lt;/D&gt;&lt;D xsi:type="xsd:long"&gt;41914&lt;/D&gt;&lt;D xsi:type="xsd:long"&gt;41913&lt;/D&gt;&lt;D xsi:type="xsd:long"&gt;41912&lt;/D&gt;&lt;D xsi:type="xsd:long"&gt;41911&lt;/D&gt;&lt;D xsi:type="xsd:long"&gt;41908&lt;/D&gt;&lt;D xsi:type="xsd:long"&gt;41907&lt;/D&gt;&lt;D xsi:type="xsd:long"&gt;41906&lt;/D&gt;&lt;D xsi:type="xsd:long"&gt;41905&lt;/D&gt;&lt;D xsi:type="xsd:long"&gt;41904&lt;/D&gt;&lt;D xsi:type="xsd:long"&gt;41901&lt;/D&gt;&lt;D xsi:type="xsd:long"&gt;41900&lt;/D&gt;&lt;D xsi:type="xsd:long"&gt;41899&lt;/D&gt;&lt;D xsi:type="xsd:long"&gt;41898&lt;/D&gt;&lt;D xsi:type="xsd:long"&gt;41897&lt;/D&gt;&lt;D xsi:type="xsd:long"&gt;41894&lt;/D&gt;&lt;D xsi:type="xsd:long"&gt;41893&lt;/D&gt;&lt;D xsi:type="xsd:long"&gt;41892&lt;/D&gt;&lt;D xsi:type="xsd:long"&gt;41891&lt;/D&gt;&lt;D xsi:type="xsd:long"&gt;41890&lt;/D&gt;&lt;D xsi:type="xsd:long"&gt;41887&lt;/D&gt;&lt;D xsi:type="xsd:long"&gt;41886&lt;/D&gt;&lt;D xsi:type="xsd:long"&gt;41885&lt;/D&gt;&lt;D xsi:type="xsd:long"&gt;41884&lt;/D&gt;&lt;D xsi:type="xsd:long"&gt;41880&lt;/D&gt;&lt;D xsi:type="xsd:long"&gt;41879&lt;/D&gt;&lt;D xsi:type="xsd:long"&gt;41878&lt;/D&gt;&lt;D xsi:type="xsd:long"&gt;41877&lt;/D&gt;&lt;D xsi:type="xsd:long"&gt;41876&lt;/D&gt;&lt;D xsi:type="xsd:long"&gt;41873&lt;/D&gt;&lt;D xsi:type="xsd:long"&gt;41872&lt;/D&gt;&lt;D xsi:type="xsd:long"&gt;41871&lt;/D&gt;&lt;D xsi:type="xsd:long"&gt;41870&lt;/D&gt;&lt;D xsi:type="xsd:long"&gt;41869&lt;/D&gt;&lt;D xsi:type="xsd:long"&gt;41866&lt;/D&gt;&lt;D xsi:type="xsd:long"&gt;41865&lt;/D&gt;&lt;D xsi:type="xsd:long"&gt;41864&lt;/D&gt;&lt;D xsi:type="xsd:long"&gt;41863&lt;/D&gt;&lt;D xsi:type="xsd:long"&gt;41862&lt;/D&gt;&lt;D xsi:type="xsd:long"&gt;41859&lt;/D&gt;&lt;D xsi:type="xsd:long"&gt;41858&lt;/D&gt;&lt;D xsi:type="xsd:long"&gt;41857&lt;/D&gt;&lt;D xsi:type="xsd:long"&gt;41856&lt;/D&gt;&lt;D xsi:type="xsd:long"&gt;41855&lt;/D&gt;&lt;D xsi:type="xsd:long"&gt;41852&lt;/D&gt;&lt;D xsi:type="xsd:long"&gt;41851&lt;/D&gt;&lt;D xsi:type="xsd:long"&gt;41850&lt;/D&gt;&lt;D xsi:type="xsd:long"&gt;41849&lt;/D&gt;&lt;D xsi:type="xsd:long"&gt;41848&lt;/D&gt;&lt;D xsi:type="xsd:long"&gt;41845&lt;/D&gt;&lt;D xsi:type="xsd:long"&gt;41844&lt;/D&gt;&lt;D xsi:type="xsd:long"&gt;41843&lt;/D&gt;&lt;D xsi:type="xsd:long"&gt;41842&lt;/D&gt;&lt;D xsi:type="xsd:long"&gt;41841&lt;/D&gt;&lt;D xsi:type="xsd:long"&gt;41838&lt;/D&gt;&lt;D xsi:type="xsd:long"&gt;41837&lt;/D&gt;&lt;D xsi:type="xsd:long"&gt;41836&lt;/D&gt;&lt;D xsi:type="xsd:long"&gt;41835&lt;/D&gt;&lt;D xsi:type="xsd:long"&gt;41834&lt;/D&gt;&lt;D xsi:type="xsd:long"&gt;41831&lt;/D&gt;&lt;D xsi:type="xsd:long"&gt;41830&lt;/D&gt;&lt;D xsi:type="xsd:long"&gt;41829&lt;/D&gt;&lt;D xsi:type="xsd:long"&gt;41828&lt;/D&gt;&lt;D xsi:type="xsd:long"&gt;41827&lt;/D&gt;&lt;D xsi:type="xsd:long"&gt;41823&lt;/D&gt;&lt;D xsi:type="xsd:long"&gt;41822&lt;/D&gt;&lt;D xsi:type="xsd:long"&gt;41821&lt;/D&gt;&lt;D xsi:type="xsd:long"&gt;41820&lt;/D&gt;&lt;D xsi:type="xsd:long"&gt;41817&lt;/D&gt;&lt;D xsi:type="xsd:long"&gt;41816&lt;/D&gt;&lt;D xsi:type="xsd:long"&gt;41815&lt;/D&gt;&lt;D xsi:type="xsd:long"&gt;41814&lt;/D&gt;&lt;D xsi:type="xsd:long"&gt;41813&lt;/D&gt;&lt;D xsi:type="xsd:long"&gt;41810&lt;/D&gt;&lt;D xsi:type="xsd:long"&gt;41809&lt;/D&gt;&lt;D xsi:type="xsd:long"&gt;41808&lt;/D&gt;&lt;D xsi:type="xsd:long"&gt;41807&lt;/D&gt;&lt;D xsi:type="xsd:long"&gt;41806&lt;/D&gt;&lt;D xsi:type="xsd:long"&gt;41803&lt;/D&gt;&lt;D xsi:type="xsd:long"&gt;41802&lt;/D&gt;&lt;D xsi:type="xsd:long"&gt;41801&lt;/D&gt;&lt;D xsi:type="xsd:long"&gt;41800&lt;/D&gt;&lt;D xsi:type="xsd:long"&gt;41799&lt;/D&gt;&lt;D xsi:type="xsd:long"&gt;41796&lt;/D&gt;&lt;D xsi:type="xsd:long"&gt;41795&lt;/D&gt;&lt;D xsi:type="xsd:long"&gt;41794&lt;/D&gt;&lt;D xsi:type="xsd:long"&gt;41793&lt;/D&gt;&lt;D xsi:type="xsd:long"&gt;41792&lt;/D&gt;&lt;D xsi:type="xsd:long"&gt;41789&lt;/D&gt;&lt;D xsi:</t>
        </r>
      </text>
    </comment>
    <comment ref="A12" authorId="0" shapeId="0">
      <text>
        <r>
          <rPr>
            <b/>
            <sz val="9"/>
            <color indexed="81"/>
            <rFont val="Tahoma"/>
            <family val="2"/>
          </rPr>
          <t>type="xsd:long"&gt;41788&lt;/D&gt;&lt;D xsi:type="xsd:long"&gt;41787&lt;/D&gt;&lt;D xsi:type="xsd:long"&gt;41786&lt;/D&gt;&lt;D xsi:type="xsd:long"&gt;41782&lt;/D&gt;&lt;D xsi:type="xsd:long"&gt;41781&lt;/D&gt;&lt;D xsi:type="xsd:long"&gt;41780&lt;/D&gt;&lt;D xsi:type="xsd:long"&gt;41779&lt;/D&gt;&lt;D xsi:type="xsd:long"&gt;41778&lt;/D&gt;&lt;D xsi:type="xsd:long"&gt;41775&lt;/D&gt;&lt;D xsi:type="xsd:long"&gt;41774&lt;/D&gt;&lt;D xsi:type="xsd:long"&gt;41773&lt;/D&gt;&lt;D xsi:type="xsd:long"&gt;41772&lt;/D&gt;&lt;D xsi:type="xsd:long"&gt;41771&lt;/D&gt;&lt;D xsi:type="xsd:long"&gt;41768&lt;/D&gt;&lt;D xsi:type="xsd:long"&gt;41767&lt;/D&gt;&lt;D xsi:type="xsd:long"&gt;41766&lt;/D&gt;&lt;D xsi:type="xsd:long"&gt;41765&lt;/D&gt;&lt;D xsi:type="xsd:long"&gt;41764&lt;/D&gt;&lt;D xsi:type="xsd:long"&gt;41761&lt;/D&gt;&lt;D xsi:type="xsd:long"&gt;41760&lt;/D&gt;&lt;D xsi:type="xsd:long"&gt;41759&lt;/D&gt;&lt;D xsi:type="xsd:long"&gt;41758&lt;/D&gt;&lt;D xsi:type="xsd:long"&gt;41757&lt;/D&gt;&lt;D xsi:type="xsd:long"&gt;41754&lt;/D&gt;&lt;D xsi:type="xsd:long"&gt;41753&lt;/D&gt;&lt;D xsi:type="xsd:long"&gt;41752&lt;/D&gt;&lt;D xsi:type="xsd:long"&gt;41751&lt;/D&gt;&lt;D xsi:type="xsd:long"&gt;41750&lt;/D&gt;&lt;D xsi:type="xsd:long"&gt;41746&lt;/D&gt;&lt;D xsi:type="xsd:long"&gt;41745&lt;/D&gt;&lt;D xsi:type="xsd:long"&gt;41744&lt;/D&gt;&lt;D xsi:type="xsd:long"&gt;41743&lt;/D&gt;&lt;D xsi:type="xsd:long"&gt;41740&lt;/D&gt;&lt;D xsi:type="xsd:long"&gt;41739&lt;/D&gt;&lt;D xsi:type="xsd:long"&gt;41738&lt;/D&gt;&lt;D xsi:type="xsd:long"&gt;41737&lt;/D&gt;&lt;D xsi:type="xsd:long"&gt;41736&lt;/D&gt;&lt;D xsi:type="xsd:long"&gt;41733&lt;/D&gt;&lt;D xsi:type="xsd:long"&gt;41732&lt;/D&gt;&lt;D xsi:type="xsd:long"&gt;41731&lt;/D&gt;&lt;D xsi:type="xsd:long"&gt;41730&lt;/D&gt;&lt;D xsi:type="xsd:long"&gt;41729&lt;/D&gt;&lt;D xsi:type="xsd:long"&gt;41726&lt;/D&gt;&lt;D xsi:type="xsd:long"&gt;41725&lt;/D&gt;&lt;D xsi:type="xsd:long"&gt;41724&lt;/D&gt;&lt;D xsi:type="xsd:long"&gt;41723&lt;/D&gt;&lt;D xsi:type="xsd:long"&gt;41722&lt;/D&gt;&lt;D xsi:type="xsd:long"&gt;41719&lt;/D&gt;&lt;D xsi:type="xsd:long"&gt;41718&lt;/D&gt;&lt;D xsi:type="xsd:long"&gt;41717&lt;/D&gt;&lt;D xsi:type="xsd:long"&gt;41716&lt;/D&gt;&lt;D xsi:type="xsd:long"&gt;41715&lt;/D&gt;&lt;D xsi:type="xsd:long"&gt;41712&lt;/D&gt;&lt;D xsi:type="xsd:long"&gt;41711&lt;/D&gt;&lt;D xsi:type="xsd:long"&gt;41710&lt;/D&gt;&lt;D xsi:type="xsd:long"&gt;41709&lt;/D&gt;&lt;D xsi:type="xsd:long"&gt;41708&lt;/D&gt;&lt;D xsi:type="xsd:long"&gt;41705&lt;/D&gt;&lt;D xsi:type="xsd:long"&gt;41704&lt;/D&gt;&lt;D xsi:type="xsd:long"&gt;41703&lt;/D&gt;&lt;D xsi:type="xsd:long"&gt;41702&lt;/D&gt;&lt;D xsi:type="xsd:long"&gt;41701&lt;/D&gt;&lt;D xsi:type="xsd:long"&gt;41698&lt;/D&gt;&lt;D xsi:type="xsd:long"&gt;41697&lt;/D&gt;&lt;D xsi:type="xsd:long"&gt;41696&lt;/D&gt;&lt;D xsi:type="xsd:long"&gt;41695&lt;/D&gt;&lt;D xsi:type="xsd:long"&gt;41694&lt;/D&gt;&lt;D xsi:type="xsd:long"&gt;41691&lt;/D&gt;&lt;D xsi:type="xsd:long"&gt;41690&lt;/D&gt;&lt;D xsi:type="xsd:long"&gt;41689&lt;/D&gt;&lt;D xsi:type="xsd:long"&gt;41688&lt;/D&gt;&lt;D xsi:type="xsd:long"&gt;41684&lt;/D&gt;&lt;D xsi:type="xsd:long"&gt;41683&lt;/D&gt;&lt;D xsi:type="xsd:long"&gt;41682&lt;/D&gt;&lt;D xsi:type="xsd:long"&gt;41681&lt;/D&gt;&lt;D xsi:type="xsd:long"&gt;41680&lt;/D&gt;&lt;D xsi:type="xsd:long"&gt;41677&lt;/D&gt;&lt;D xsi:type="xsd:long"&gt;41676&lt;/D&gt;&lt;D xsi:type="xsd:long"&gt;41675&lt;/D&gt;&lt;D xsi:type="xsd:long"&gt;41674&lt;/D&gt;&lt;D xsi:type="xsd:long"&gt;41673&lt;/D&gt;&lt;D xsi:type="xsd:long"&gt;41670&lt;/D&gt;&lt;D xsi:type="xsd:long"&gt;41669&lt;/D&gt;&lt;D xsi:type="xsd:long"&gt;41668&lt;/D&gt;&lt;D xsi:type="xsd:long"&gt;41667&lt;/D&gt;&lt;D xsi:type="xsd:long"&gt;41666&lt;/D&gt;&lt;D xsi:type="xsd:long"&gt;41663&lt;/D&gt;&lt;D xsi:type="xsd:long"&gt;41662&lt;/D&gt;&lt;D xsi:type="xsd:long"&gt;41661&lt;/D&gt;&lt;D xsi:type="xsd:long"&gt;41660&lt;/D&gt;&lt;D xsi:type="xsd:long"&gt;41656&lt;/D&gt;&lt;D xsi:type="xsd:long"&gt;41655&lt;/D&gt;&lt;D xsi:type="xsd:long"&gt;41654&lt;/D&gt;&lt;D xsi:type="xsd:long"&gt;41653&lt;/D&gt;&lt;D xsi:type="xsd:long"&gt;41652&lt;/D&gt;&lt;D xsi:type="xsd:long"&gt;41649&lt;/D&gt;&lt;D xsi:type="xsd:long"&gt;41648&lt;/D&gt;&lt;D xsi:type="xsd:long"&gt;41647&lt;/D&gt;&lt;D xsi:type="xsd:long"&gt;41646&lt;/D&gt;&lt;D xsi:type="xsd:long"&gt;41645&lt;/D&gt;&lt;D xsi:type="xsd:long"&gt;41642&lt;/D&gt;&lt;D xsi:type="xsd:long"&gt;41641&lt;/D&gt;&lt;D xsi:type="xsd:long"&gt;41639&lt;/D&gt;&lt;D xsi:type="xsd:long"&gt;41638&lt;/D&gt;&lt;D xsi:type="xsd:long"&gt;41635&lt;/D&gt;&lt;D xsi:type="xsd:long"&gt;41634&lt;/D&gt;&lt;D xsi:type="xsd:long"&gt;41632&lt;/D&gt;&lt;D xsi:type="xsd:long"&gt;41631&lt;/D&gt;&lt;D xsi:type="xsd:long"&gt;41628&lt;/D&gt;&lt;D xsi:type="xsd:long"&gt;41627&lt;/D&gt;&lt;D xsi:type="xsd:long"&gt;41626&lt;/D&gt;&lt;D xsi:type="xsd:long"&gt;41625&lt;/D&gt;&lt;D xsi:type="xsd:long"&gt;41624&lt;/D&gt;&lt;D xsi:type="xsd:long"&gt;41621&lt;/D&gt;&lt;D xsi:type="xsd:long"&gt;41620&lt;/D&gt;&lt;D xsi:type="xsd:long"&gt;41619&lt;/D&gt;&lt;D xsi:type="xsd:long"&gt;41618&lt;/D&gt;&lt;D xsi:type="xsd:long"&gt;41617&lt;/D&gt;&lt;D xsi:type="xsd:long"&gt;41614&lt;/D&gt;&lt;D xsi:type="xsd:long"&gt;41613&lt;/D&gt;&lt;D xsi:type="xsd:long"&gt;41612&lt;/D&gt;&lt;D xsi:type="xsd:long"&gt;41611&lt;/D&gt;&lt;D xsi:type="xsd:long"&gt;41610&lt;/D&gt;&lt;D xsi:type="xsd:long"&gt;41607&lt;/D&gt;&lt;D xsi:type="xsd:long"&gt;41605&lt;/D&gt;&lt;D xsi:type="xsd:long"&gt;41604&lt;/D&gt;&lt;D xsi:type="xsd:long"&gt;41603&lt;/D&gt;&lt;D xsi:type="xsd:long"&gt;41600&lt;/D&gt;&lt;D xsi:type="xsd:long"&gt;41599&lt;/D&gt;&lt;D xsi:type="xsd:long"&gt;41598&lt;/D&gt;&lt;D xsi:type="xsd:long"&gt;41597&lt;/D&gt;&lt;D xsi:type="xsd:long"&gt;41596&lt;/D&gt;&lt;D xsi:type="xsd:long"&gt;41593&lt;/D&gt;&lt;D xsi:type="xsd:long"&gt;41592&lt;/D&gt;&lt;D xsi:type="xsd:long"&gt;41591&lt;/D&gt;&lt;D xsi:type="xsd:long"&gt;41590&lt;/D&gt;&lt;D xsi:type="xsd:long"&gt;41589&lt;/D&gt;&lt;D xsi:type="xsd:long"&gt;41586&lt;/D&gt;&lt;D xsi:type="xsd:long"&gt;41585&lt;/D&gt;&lt;D xsi:type="xsd:long"&gt;41584&lt;/D&gt;&lt;D xsi:type="xsd:long"&gt;41583&lt;/D&gt;&lt;D xsi:type="xsd:long"&gt;41582&lt;/D&gt;&lt;D xsi:type="xsd:long"&gt;41579&lt;/D&gt;&lt;D xsi:type="xsd:long"&gt;41578&lt;/D&gt;&lt;D xsi:type="xsd:long"&gt;41577&lt;/D&gt;&lt;D xsi:type="xsd:long"&gt;41576&lt;/D&gt;&lt;D xsi:type="xsd:long"&gt;41575&lt;/D&gt;&lt;D xsi:type="xsd:long"&gt;41572&lt;/D&gt;&lt;D xsi:type="xsd:long"&gt;41571&lt;/D&gt;&lt;D xsi:type="xsd:long"&gt;41570&lt;/D&gt;&lt;D xsi:type="xsd:long"&gt;41569&lt;/D&gt;&lt;D xsi:type="xsd:long"&gt;41568&lt;/D&gt;&lt;D xsi:type="xsd:long"&gt;41565&lt;/D&gt;&lt;D xsi:type="xsd:long"&gt;41564&lt;/D&gt;&lt;D xsi:type="xsd:long"&gt;41563&lt;/D&gt;&lt;D xsi:type="xsd:long"&gt;41562&lt;/D&gt;&lt;D xsi:type="xsd:long"&gt;41561&lt;/D&gt;&lt;D xsi:type="xsd:long"&gt;41558&lt;/D&gt;&lt;D xsi:type="xsd:long"&gt;41557&lt;/D&gt;&lt;D xsi:type="xsd:long"&gt;41556&lt;/D&gt;&lt;D xsi:type="xsd:long"&gt;41555&lt;/D&gt;&lt;D xsi:type="xsd:long"&gt;41554&lt;/D&gt;&lt;D xsi:type="xsd:long"&gt;41551&lt;/D&gt;&lt;D xsi:type="xsd:long"&gt;41550&lt;/D&gt;&lt;D xsi:type="xsd:long"&gt;41549&lt;/D&gt;&lt;D xsi:type="xsd:long"&gt;41548&lt;/D&gt;&lt;D xsi:type="xsd:long"&gt;41547&lt;/D&gt;&lt;D xsi:type="xsd:long"&gt;41544&lt;/D&gt;&lt;D xsi:type="xsd:long"&gt;41543&lt;/D&gt;&lt;D xsi:type="xsd:long"&gt;41542&lt;/D&gt;&lt;D xsi:type="xsd:long"&gt;41541&lt;/D&gt;&lt;D xsi:type="xsd:long"&gt;41540&lt;/D&gt;&lt;D xsi:type="xsd:long"&gt;41537&lt;/D&gt;&lt;D xsi:type="xsd:long"&gt;41536&lt;/D&gt;&lt;D xsi:type="xsd:long"&gt;41535&lt;/D&gt;&lt;D xsi:type="xsd:long"&gt;41534&lt;/D&gt;&lt;D xsi:type="xsd:long"&gt;41533&lt;/D&gt;&lt;D xsi:type="xsd:long"&gt;41530&lt;/D&gt;&lt;D xsi:type="xsd:long"&gt;41529&lt;/D&gt;&lt;D xsi:type="xsd:long"&gt;41528&lt;/D&gt;&lt;D xsi:type="xsd:long"&gt;41527&lt;/D&gt;&lt;D xsi:type="xsd:long"&gt;41526&lt;/D&gt;&lt;D xsi:type="xsd:long"&gt;41523&lt;/D&gt;&lt;D xsi:type="xsd:long"&gt;41522&lt;/D&gt;&lt;D xsi:type="xsd:long"&gt;41521&lt;/D&gt;&lt;D xsi:type="xsd:long"&gt;41520&lt;/D&gt;&lt;D xsi:type="xsd:long"&gt;41516&lt;/D&gt;&lt;D xsi:type="xsd:long"&gt;41515&lt;/D&gt;&lt;D xsi:type="xsd:long"&gt;41514&lt;/D&gt;&lt;D xsi:type="xsd:long"&gt;41513&lt;/D&gt;&lt;D xsi:type="xsd:long"&gt;41512&lt;/D&gt;&lt;D xsi:type="xsd:long"&gt;41509&lt;/D&gt;&lt;D xsi:type="xsd:long"&gt;41508&lt;/D&gt;&lt;D xsi:type="xsd:long"&gt;41507&lt;/D&gt;&lt;D xsi:type="xsd:long"&gt;41506&lt;/D&gt;&lt;D xsi:type="xsd:long"&gt;41505&lt;/D&gt;&lt;D xsi:type="xsd:long"&gt;41502&lt;/D&gt;&lt;D xsi:type="xsd:long"&gt;41501&lt;/D&gt;&lt;D xsi:type="xsd:long"&gt;41500&lt;/D&gt;&lt;D xsi:type="xsd:long"&gt;41499&lt;/D&gt;&lt;D xsi:type="xsd:long"&gt;41498&lt;/D&gt;&lt;D xsi:type="xsd:long"&gt;41495&lt;/D&gt;&lt;D xsi:type="xsd:long"&gt;41494&lt;/D&gt;&lt;D xsi:type="xsd:long"&gt;41493&lt;/D&gt;&lt;D xsi:type="xsd:long"&gt;41492&lt;/D&gt;&lt;D xsi:type="xsd:long"&gt;41491&lt;/D&gt;&lt;D xsi:type="xsd:long"&gt;41488&lt;/D&gt;&lt;D xsi:type="xsd:long"&gt;41487&lt;/D&gt;&lt;D xsi:type="xsd:long"&gt;41486&lt;/D&gt;&lt;D xsi:type="xsd:long"&gt;41485&lt;/D&gt;&lt;D xsi:type="xsd:long"&gt;41484&lt;/D&gt;&lt;D xsi:type="xsd:long"&gt;41481&lt;/D&gt;&lt;D xsi:type="xsd:long"&gt;41480&lt;/D&gt;&lt;D xsi:type="xsd:long"&gt;41479&lt;/D&gt;&lt;D xsi:type="xsd:long"&gt;41478&lt;/D&gt;&lt;D xsi:type="xsd:long"&gt;41477&lt;/D&gt;&lt;D xsi:type="xsd:long"&gt;41474&lt;/D&gt;&lt;D xsi:type="xsd:long"&gt;41473&lt;/D&gt;&lt;D xsi:type="xsd:long"&gt;41472&lt;/D&gt;&lt;D xsi:type="xsd:long"&gt;41471&lt;/D&gt;&lt;D xsi:type="xsd:long"&gt;41470&lt;/D&gt;&lt;D xsi:type="xsd:long"&gt;41467&lt;/D&gt;&lt;D xsi:type="xsd:long"&gt;41466&lt;/D&gt;&lt;D xsi:type="xsd:long"&gt;41465&lt;/D&gt;&lt;D xsi:type="xsd:long"&gt;41464&lt;/D&gt;&lt;D xsi:type="xsd:long"&gt;41463&lt;/D&gt;&lt;D xsi:type="xsd:long"&gt;41460&lt;/D&gt;&lt;D xsi:type="xsd:long"&gt;41458&lt;/D&gt;&lt;D xsi:type="xsd:long"&gt;41457&lt;/D&gt;&lt;D xsi:type="xsd:long"&gt;41456&lt;/D&gt;&lt;D xsi:type="xsd:long"&gt;41453&lt;/D&gt;&lt;D xsi:type="xsd:long"&gt;41452&lt;/D&gt;&lt;D xsi:type="xsd:long"&gt;41451&lt;/D&gt;&lt;D xsi:type="xsd:long"&gt;41450&lt;/D&gt;&lt;D xsi:type="xsd:long"&gt;41449&lt;/D&gt;&lt;D xsi:type="xsd:long"&gt;41446&lt;/D&gt;&lt;D xsi:type="xsd:long"&gt;41445&lt;/D&gt;&lt;D xsi:type="xsd:long"&gt;41444&lt;/D&gt;&lt;D xsi:type="xsd:long"&gt;41443&lt;/D&gt;&lt;D xsi:type="xsd:long"&gt;41442&lt;/D&gt;&lt;D xsi:type="xsd:long"&gt;41439&lt;/D&gt;&lt;D xsi:type="xsd:long"&gt;41438&lt;/D&gt;&lt;D xsi:type="xsd:long"&gt;41437&lt;/D&gt;&lt;D xsi:type="xsd:long"&gt;41436&lt;/D&gt;&lt;D xsi:type="xsd:long"&gt;41435&lt;/D&gt;&lt;D xsi:type="xsd:long"&gt;41432&lt;/D&gt;&lt;D xsi:type="xsd:long"&gt;41431&lt;/D&gt;&lt;D xsi:type="xsd:long"&gt;41430&lt;/D&gt;&lt;D xsi:type="xsd:long"&gt;41429&lt;/D&gt;&lt;D xsi:type="xsd:long"&gt;41428&lt;/D&gt;&lt;D xsi:type="xsd:long"&gt;41425&lt;/D&gt;&lt;D xsi:type="xsd:long"&gt;41424&lt;/D&gt;&lt;D xsi:type="xsd:long"&gt;41423&lt;/D&gt;&lt;D xsi:type="xsd:long"&gt;41422&lt;/D&gt;&lt;D xsi:type="xsd:long"&gt;41418&lt;/D&gt;&lt;D xsi:type="xsd:long"&gt;41417&lt;/D&gt;&lt;D xsi:type="xsd:long"&gt;41416&lt;/D&gt;&lt;D xsi:type="xsd:long"&gt;41415&lt;/D&gt;&lt;D xsi:type="xsd:long"&gt;41414&lt;/D&gt;&lt;D xsi:type="xsd:long"&gt;41411&lt;/D&gt;&lt;D xsi:type="xsd:long"&gt;41410&lt;/D&gt;&lt;D xsi:type="xsd:long"&gt;41409&lt;/D&gt;&lt;D xsi:type="xsd:long"&gt;41408&lt;/D&gt;&lt;D xsi:type="xsd:long"&gt;41407&lt;/D&gt;&lt;D xsi:type="xsd:long"&gt;41404&lt;/D&gt;&lt;D xsi:type="xsd:long"&gt;41403&lt;/D&gt;&lt;D xsi:type="xsd:long"&gt;41402&lt;/D&gt;&lt;D xsi:type="xsd:long"&gt;41401&lt;/D&gt;&lt;D xsi:type="xsd:long"&gt;41400&lt;/D&gt;&lt;D xsi:type="xsd:long"&gt;41397&lt;/D&gt;&lt;D xsi:type="xsd:long"&gt;41396&lt;/D&gt;&lt;D xsi:type="xsd:long"&gt;41395&lt;/D&gt;&lt;D xsi:type="xsd:long"&gt;41394&lt;/D&gt;&lt;D xsi:type="xsd:long"&gt;41393&lt;/D&gt;&lt;D xsi:type="xsd:long"&gt;41390&lt;/D&gt;&lt;D xsi:type="xsd:long"&gt;41389&lt;/D&gt;&lt;D xsi:type="xsd:long"&gt;41388&lt;/D&gt;&lt;D xsi:type="xsd:long"&gt;41387&lt;/D&gt;&lt;D xsi:type="xsd:long"&gt;41386&lt;/D&gt;&lt;D xsi:type="xsd:long"&gt;41383&lt;/D&gt;&lt;D xsi:type="xsd:long"&gt;41382&lt;/D&gt;&lt;D xsi:type="xsd:long"&gt;41381&lt;/D&gt;&lt;D xsi:type="xsd:long"&gt;41380&lt;/D&gt;&lt;D xsi:type="xsd:long"&gt;41379&lt;/D&gt;&lt;D xsi:type="xsd:long"&gt;41376&lt;/D&gt;&lt;D xsi:type="xsd:long"&gt;41375&lt;/D&gt;&lt;D xsi:type="xsd:long"&gt;41374&lt;/D&gt;&lt;D xsi:type="xsd:long"&gt;41373&lt;/D&gt;&lt;D xsi:type="xsd:long"&gt;41372&lt;/D&gt;&lt;D xsi:type="xsd:long"&gt;41369&lt;/D&gt;&lt;D xsi:type="xsd:long"&gt;41368&lt;/D&gt;&lt;D xsi:type="xsd:long"&gt;41367&lt;/D&gt;&lt;D xsi:type="xsd:long"&gt;41366&lt;/D&gt;&lt;D xsi:type="xsd:long"&gt;41365&lt;/D&gt;&lt;D xsi:type="xsd:long"&gt;41361&lt;/D&gt;&lt;D xsi:type="xsd:long"&gt;41360&lt;/D&gt;&lt;D xsi:type="xsd:long"&gt;41359&lt;/D&gt;&lt;D xsi:type="xsd:long"&gt;41358&lt;/D&gt;&lt;D xsi:type="xsd:long"&gt;41355&lt;/D&gt;&lt;D xsi:type="xsd:long"&gt;41354&lt;/D&gt;&lt;D xsi:type="xsd:long"&gt;41353&lt;/D&gt;&lt;D xsi:type="xsd:long"&gt;41352&lt;/D&gt;&lt;D xsi:type="xsd:long"&gt;41351&lt;/D&gt;&lt;D xsi:type="xsd:long"&gt;41348&lt;/D&gt;&lt;D xsi:type="xsd:long"&gt;41347&lt;/D&gt;&lt;D xsi:type="xsd:long"&gt;41346&lt;/D&gt;&lt;D xsi:type="xsd:long"&gt;41345&lt;/D&gt;&lt;D xsi:type="xsd:long"&gt;41344&lt;/D&gt;&lt;D xsi:type="xsd:long"&gt;41341&lt;/D&gt;&lt;D xsi:type="xsd:long"&gt;41340&lt;/D&gt;&lt;D xsi:type="xsd:long"&gt;41339&lt;/D&gt;&lt;D xsi:type="xsd:long"&gt;41338&lt;/D&gt;&lt;D xsi:type="xsd:long"&gt;41337&lt;/D&gt;&lt;D xsi:type="xsd:long"&gt;41334&lt;/D&gt;&lt;D xsi:type="xsd:long"&gt;41333&lt;/D&gt;&lt;D xsi:type="xsd:long"&gt;41332&lt;/D&gt;&lt;D xsi:type="xsd:long"&gt;41331&lt;/D&gt;&lt;D xsi:type="xsd:long"&gt;41330&lt;/D&gt;&lt;D xsi:type="xsd:long"&gt;41327&lt;/D&gt;&lt;D xsi:type="xsd:long"&gt;41326&lt;/D&gt;&lt;D xsi:type="xsd:long"&gt;41325&lt;/D&gt;&lt;D xsi:type="xsd:long"&gt;41324&lt;/D&gt;&lt;D xsi:type="xsd:long"&gt;41320&lt;/D&gt;&lt;D xsi:type="xsd:long"&gt;41319&lt;/D&gt;&lt;D xsi:type="xsd:long"&gt;41318&lt;/D&gt;&lt;D xsi:type="xsd:long"&gt;41317&lt;/D&gt;&lt;D xsi:type="xsd:long"&gt;41316&lt;/D&gt;&lt;D xsi:type="xsd:long"&gt;41313&lt;/D&gt;&lt;D xsi:type="xsd:long"&gt;41312&lt;/D&gt;&lt;D xsi:type="xsd:long"&gt;41311&lt;/D&gt;&lt;D xsi:type="xsd:long"&gt;41310&lt;/D&gt;&lt;D xsi:type="xsd:long"&gt;41309&lt;/D&gt;&lt;D xsi:type="xsd:long"&gt;41306&lt;/D&gt;&lt;D xsi:type="xsd:long"&gt;41305&lt;/D&gt;&lt;D xsi:type="xsd:long"&gt;41304&lt;/D&gt;&lt;D xsi:type="xsd:long"&gt;41303&lt;/D&gt;&lt;D xsi:type="xsd:long"&gt;41302&lt;/D&gt;&lt;D xsi:type="xsd:long"&gt;41299&lt;/D&gt;&lt;D xsi:type="xsd:long"&gt;41298&lt;/D&gt;&lt;D xsi:type="xsd:long"&gt;41297&lt;/D&gt;&lt;D xsi:type="xsd:long"&gt;41296&lt;/D&gt;&lt;D xsi:type="xsd:long"&gt;41292&lt;/D&gt;&lt;D xsi:type="xsd:long"&gt;41291&lt;/D&gt;&lt;D xsi:type="xsd:long"&gt;41290&lt;/D&gt;&lt;D xsi:type="xsd:long"&gt;41289&lt;/D&gt;&lt;D xsi:type="xsd:long"&gt;41288&lt;/D&gt;&lt;D xsi:type="xsd:long"&gt;41285&lt;/D&gt;&lt;D xsi:type="xsd:long"&gt;41284&lt;/D&gt;&lt;D xsi:type="xsd:long"&gt;41283&lt;/D&gt;&lt;D xsi:type="xsd:long"&gt;41282&lt;/D&gt;&lt;D xsi:type="xsd:long"&gt;41281&lt;/D&gt;&lt;D xsi:type="xsd:long"&gt;41278&lt;/D&gt;&lt;D xsi:type="xsd:long"&gt;41277&lt;/D&gt;&lt;D xsi:type="xsd:long"&gt;41276&lt;/D&gt;&lt;D xsi:type="xsd:long"&gt;41274&lt;/D&gt;&lt;D xsi:type="xsd:long"&gt;41271&lt;/D&gt;&lt;D xsi:type="xsd:long"&gt;41270&lt;/D&gt;&lt;D xsi:type="xsd:long"&gt;41269&lt;/D&gt;&lt;D xsi:type="xsd:long"&gt;41267&lt;/D&gt;&lt;D xsi:type="xsd:long"&gt;41264&lt;/D&gt;&lt;D xsi:type="xsd:long"&gt;41263&lt;/D&gt;&lt;D xsi:type="xsd:long"&gt;41262&lt;/D&gt;&lt;D xsi:type="xsd:long"&gt;41261&lt;/D&gt;&lt;D xsi:type="xsd:long"&gt;41260&lt;/D&gt;&lt;D xsi:type="xsd:long"&gt;41257&lt;/D&gt;&lt;D xsi:type="xsd:long"&gt;41256&lt;/D&gt;&lt;D xsi:type="xsd:long"&gt;41255&lt;/D&gt;&lt;D xsi:type="xsd:long"&gt;41254&lt;/D&gt;&lt;D xsi:type="xsd:long"&gt;41253&lt;/D&gt;&lt;D xsi:type="xsd:long"&gt;41250&lt;/D&gt;&lt;D xsi:type="xsd:long"&gt;41249&lt;/D&gt;&lt;D xsi:type="xsd:long"&gt;41248&lt;/D&gt;&lt;D xsi:type="xsd:long"&gt;41247&lt;/D&gt;&lt;D xsi:type="xsd:long"&gt;41246&lt;/D&gt;&lt;D xsi:type="xsd:long"&gt;41243&lt;/D&gt;&lt;D xsi:type="xsd:long"&gt;41242&lt;/D&gt;&lt;D xsi:type="xsd:long"&gt;41241&lt;/D&gt;&lt;D xsi:type="xsd:long"&gt;41240&lt;/D&gt;&lt;D xsi:type="xsd:long"&gt;41239&lt;/D&gt;&lt;D xsi:type="xsd:long"&gt;41236&lt;/D&gt;&lt;D xsi:type="xsd:long"&gt;41234&lt;/D&gt;&lt;D xsi:type="xsd:long"&gt;41233&lt;/D&gt;&lt;D xsi:type="xsd:long"&gt;41232&lt;/D&gt;&lt;D xsi:type="xsd:long"&gt;41229&lt;/D&gt;&lt;D xsi:type="xsd:long"&gt;41228&lt;/D&gt;&lt;D xsi:type="xsd:long"&gt;41227&lt;/D&gt;&lt;D xsi:type="xsd:long"&gt;41226&lt;/D&gt;&lt;D xsi:type="xsd:long"&gt;41225&lt;/D&gt;&lt;D xsi:type="xsd:long"&gt;41222&lt;/D&gt;&lt;D xsi:type="xsd:long"&gt;41221&lt;/D&gt;&lt;D xsi:type="xsd:long"&gt;41220&lt;/D&gt;&lt;D xsi:type="xsd:long"&gt;41219&lt;/D&gt;&lt;D xsi:type="xsd:long"&gt;41218&lt;/D&gt;&lt;D xsi:type="xsd:long"&gt;41215&lt;/D&gt;&lt;D xsi:type="xsd:long"&gt;41214&lt;/D&gt;&lt;D xsi:type="xsd:long"&gt;41213&lt;/D&gt;&lt;D xsi:type="xsd:long"&gt;41208&lt;/D&gt;&lt;D xsi:type="xsd:long"&gt;41207&lt;/D&gt;&lt;D xsi:type="xsd:long"&gt;41206&lt;/D&gt;&lt;D xsi:type="xsd:long"&gt;41205&lt;/D&gt;&lt;D xsi:type="xsd:long"&gt;41204&lt;/D&gt;&lt;D xsi:type="xsd:long"&gt;41201&lt;/D&gt;&lt;D xsi:type="xsd:long"&gt;41200&lt;/D&gt;&lt;D xsi:type="xsd:long"&gt;41199&lt;/D&gt;&lt;D xsi:type="xsd:long"&gt;41198&lt;/D&gt;&lt;D xsi:type="xsd:long"&gt;41197&lt;/D&gt;&lt;D xsi:type="xsd:long"&gt;41194&lt;/D&gt;&lt;D xsi:type="xsd:long"&gt;41193&lt;/D&gt;&lt;D xsi:type="xsd:long"&gt;41192&lt;/D&gt;&lt;D xsi:type="xsd:long"&gt;41191&lt;/D&gt;&lt;D xsi:type="xsd:long"&gt;41190&lt;/D&gt;&lt;D xsi:type="xsd:long"&gt;41187&lt;/D&gt;&lt;D xsi:type="xsd:long"&gt;41186&lt;/D&gt;&lt;D xsi:type="xsd:long"&gt;41185&lt;/D&gt;&lt;D xsi:type="xsd:long"&gt;41184&lt;/D&gt;&lt;D xsi:type="xsd:long"&gt;41183&lt;/D&gt;&lt;D xsi:type="xsd:long"&gt;41180&lt;/D&gt;&lt;D xsi:type="xsd:long"&gt;41179&lt;/D&gt;&lt;D xsi:type="xsd:long"&gt;41178&lt;/D&gt;&lt;D xsi:type="xsd:long"&gt;41177&lt;/D&gt;&lt;D xsi:type="xsd:long"&gt;41176&lt;/D&gt;&lt;D xsi:type="xsd:long"&gt;41173&lt;/D&gt;&lt;D xsi:type="xsd:long"&gt;41172&lt;/D&gt;&lt;D xsi:type="xsd:long"&gt;41171&lt;/D&gt;&lt;D xsi:type="xsd:long"&gt;41170&lt;/D&gt;&lt;D xsi:type="xsd:long"&gt;41169&lt;/D&gt;&lt;D xsi:type="xsd:long"&gt;41166&lt;/D&gt;&lt;D xsi:type="xsd:long"&gt;41165&lt;/D&gt;&lt;D xsi:type="xsd:long"&gt;41164&lt;/D&gt;&lt;D xsi:type="xsd:long"&gt;41163&lt;/D&gt;&lt;D xsi:type="xsd:long"&gt;41162&lt;/D&gt;&lt;D xsi:type="xsd:long"&gt;41159&lt;/D&gt;&lt;D xsi:type="xsd:long"&gt;41158&lt;/D&gt;&lt;D xsi:type="xsd:long"&gt;41157&lt;/D&gt;&lt;D xsi:type="xsd:long"&gt;41156&lt;/D&gt;&lt;D xsi:type="xsd:long"&gt;41152&lt;/D&gt;&lt;D xsi:type="xsd:long"&gt;41151&lt;/D&gt;&lt;D xsi:type="xsd:long"&gt;41150&lt;/D&gt;&lt;D xsi:type="xsd:long"&gt;41149&lt;/D&gt;&lt;D xsi:type="xsd:long"&gt;41148&lt;/D&gt;&lt;D xsi:type="xsd:long"&gt;41145&lt;/D&gt;&lt;D xsi:type="xsd:long"&gt;41144&lt;/D&gt;&lt;D xsi:type="xsd:long"&gt;41143&lt;/D&gt;&lt;D xsi:type="xsd:long"&gt;41142&lt;/D&gt;&lt;D xsi:type="xsd:long"&gt;41141&lt;/D&gt;&lt;D xsi:type="xsd:long"&gt;41138&lt;/D&gt;&lt;D xsi:type="xsd:long"&gt;41137&lt;/D&gt;&lt;D xsi:type="xsd:long"&gt;41136&lt;/D&gt;&lt;D xsi:type="xsd:long"&gt;41135&lt;/D&gt;&lt;D xsi:type="xsd:long"&gt;41134&lt;/D&gt;&lt;D xsi:type="xsd:long"&gt;41131&lt;/D&gt;&lt;D xsi:type="xsd:long"&gt;41130&lt;/D&gt;&lt;D xsi:type="xsd:long"&gt;41129&lt;/D&gt;&lt;D xsi:type="xsd:long"&gt;41128&lt;/D&gt;&lt;D xsi:type="xsd:long"&gt;41127&lt;/D&gt;&lt;D xsi:type="xsd:long"&gt;41124&lt;/D&gt;&lt;D xsi:type="xsd:long"&gt;41123&lt;/D&gt;&lt;D xsi:type="xsd:long"&gt;41122&lt;/D&gt;&lt;D xsi:type="xsd:long"&gt;41121&lt;/D&gt;&lt;D xsi:type="xsd:long"&gt;41120&lt;/D&gt;&lt;D xsi:type="xsd:long"&gt;41117&lt;/D&gt;&lt;D xsi:type="xsd:long"&gt;41116&lt;/D&gt;&lt;D xsi:type="xsd:long"&gt;41115&lt;/D&gt;&lt;D xsi:type="xsd:long"&gt;41114&lt;/D&gt;&lt;D xsi:type="xsd:long"&gt;41113&lt;/D&gt;&lt;D xsi:type="xsd:long"&gt;41110&lt;/D&gt;&lt;D xsi:type="xsd:long"&gt;41109&lt;/D&gt;&lt;D xsi:type="xsd:long"&gt;41108&lt;/D&gt;&lt;D xsi:type="xsd:long"&gt;41107&lt;/D&gt;&lt;D xsi:type="xsd:long"&gt;41106&lt;/D&gt;&lt;D xsi:type="xsd:long"&gt;41103&lt;/D&gt;&lt;D xsi:type="xsd:long"&gt;41102&lt;/D&gt;&lt;D xsi:type="xsd:long"&gt;41101&lt;/D&gt;&lt;D xsi:type="xsd:long"&gt;41100&lt;/D&gt;&lt;D xsi:type="xsd:long"&gt;41099&lt;/D&gt;&lt;D xsi:type="xsd:long"&gt;41096&lt;/D&gt;&lt;D xsi:type="xsd:long"&gt;41095&lt;/D&gt;&lt;D xsi:type="xsd:long"&gt;41093&lt;/D&gt;&lt;D xsi:type="xsd:long"&gt;41092&lt;/D&gt;&lt;D xsi:type="xsd:long"&gt;41089&lt;/D&gt;&lt;D xsi:type="xsd:long"&gt;41088&lt;/D&gt;&lt;D xsi:type="xsd:long"&gt;41087&lt;/D&gt;&lt;D xsi:type="xsd:long"&gt;41086&lt;/D&gt;&lt;D xsi:type="xsd:long"&gt;41085&lt;/D&gt;&lt;D xsi:type="xsd:long"&gt;41082&lt;/D&gt;&lt;D xsi:type="xsd:long"&gt;41081&lt;/D&gt;&lt;D xsi:type="xsd:long"&gt;41080&lt;/D&gt;&lt;D xsi:type="xsd:long"&gt;41079&lt;/D&gt;&lt;D xsi:type="xsd:long"&gt;41078&lt;/D&gt;&lt;D xsi:type="xsd:long"&gt;41075&lt;/D&gt;&lt;D xsi:type="xsd:long"&gt;41074&lt;/D&gt;&lt;D xsi:type="xsd:long"&gt;41073&lt;/D&gt;&lt;D xsi:type="xsd:long"&gt;41072&lt;/D&gt;&lt;D xsi:type="xsd:long"&gt;41071&lt;/D&gt;&lt;D xsi:type="xsd:long"&gt;41068&lt;/D&gt;&lt;D xsi:type="xsd:long"&gt;41067&lt;/D&gt;&lt;D xsi:type="xsd:long"&gt;41066&lt;/D&gt;&lt;D xsi:type="xsd:long"&gt;41065&lt;/D&gt;&lt;D xsi:type="xsd:long"&gt;41064&lt;/D&gt;&lt;D xsi:type="xsd:long"&gt;41061&lt;/D&gt;&lt;D xsi:type="xsd:long"&gt;41060&lt;/D&gt;&lt;D xsi:type="xsd:long"&gt;41059&lt;/D&gt;&lt;D xsi:type="xsd:long"&gt;41058&lt;/D&gt;&lt;D xsi:type="xsd:long"&gt;41054&lt;/D&gt;&lt;D xsi:type="xsd:long"&gt;41053&lt;/D&gt;&lt;D xsi:type="xsd:long"&gt;41052&lt;/D&gt;&lt;D xsi:type="xsd:long"&gt;41051&lt;/D&gt;&lt;D xsi:type="xsd:long"&gt;41050&lt;/D&gt;&lt;D xsi:type="xsd:long"&gt;41047&lt;/D&gt;&lt;D xsi:type="xsd:long"&gt;41046&lt;/D&gt;&lt;D xsi:type="xsd:long"&gt;41045&lt;/D&gt;&lt;D xsi:type="xsd:long"&gt;41044&lt;/D&gt;&lt;D xsi:type="xsd:long"&gt;41043&lt;/D&gt;&lt;D xsi:type="xsd:long"&gt;41040&lt;/D&gt;&lt;D xsi:type="xsd:long"&gt;41039&lt;/D&gt;&lt;D xsi:type="xsd:long"&gt;41038&lt;/D&gt;&lt;D xsi:type="xsd:long"&gt;41037&lt;/D&gt;&lt;D xsi:type="xsd:long"&gt;41036&lt;/D&gt;&lt;D xsi:type="xsd:long"&gt;41033&lt;/D&gt;&lt;D xsi:type="xsd:long"&gt;41032&lt;/D&gt;&lt;D xsi:type="xsd:long"&gt;41031&lt;/D&gt;&lt;D xsi:type="xsd:long"&gt;41030&lt;/D&gt;&lt;D xsi:type="xsd:long"&gt;41029&lt;/D&gt;&lt;D xsi:type="xsd:long"&gt;41026&lt;/D&gt;&lt;D xsi:type="xsd:long"&gt;41025&lt;/D&gt;&lt;D xsi:type="xsd:long"&gt;41024&lt;/D&gt;&lt;D xsi:type="xsd:long"&gt;41023&lt;/D&gt;&lt;D xsi:type="xsd:long"&gt;41022&lt;/D&gt;&lt;D xsi:type="xsd:long"&gt;41019&lt;/D&gt;&lt;D xsi:type="xsd:long"&gt;41018&lt;/D&gt;&lt;D xsi:type="xsd:long"&gt;41017&lt;/D&gt;&lt;D xsi:type="xsd:long"&gt;41016&lt;/D&gt;&lt;D xsi:type="xsd:long"&gt;41015&lt;/D&gt;&lt;D xsi:type="xsd:long"&gt;41012&lt;/D&gt;&lt;D xsi:type="xsd:long"&gt;41011&lt;/D&gt;&lt;D xsi:type="xsd:long"&gt;41010&lt;/D&gt;&lt;D xsi:type="xsd:long"&gt;41009&lt;/D&gt;&lt;D xsi:type="xsd:long"&gt;41008&lt;/D&gt;&lt;D xsi:type="xsd:long"&gt;41004&lt;/D&gt;&lt;D xsi:type="xsd:long"&gt;41003&lt;/D&gt;&lt;D xsi:type="xsd:long"&gt;41002&lt;/D&gt;&lt;D xsi:type="xsd:long"&gt;41001&lt;/D&gt;&lt;D xsi:type="xsd:long"&gt;40998&lt;/D&gt;&lt;D xsi:type="xsd:long"&gt;40997&lt;/D&gt;&lt;D xsi:type="xsd:long"&gt;40996&lt;/D&gt;&lt;D xsi:type="xsd:long"&gt;40995&lt;/D&gt;&lt;D xsi:type="xsd:long"&gt;40994&lt;/D&gt;&lt;D xsi:type="xsd:long"&gt;40991&lt;/D&gt;&lt;D xsi:type="xsd:long"&gt;40990&lt;/D&gt;&lt;D xsi:type="xsd:long"&gt;40989&lt;/D&gt;&lt;D xsi:type="xsd:long"&gt;40988&lt;/D&gt;&lt;D xsi:type="xsd:long"&gt;40987&lt;/D&gt;&lt;D xsi:type="xsd:long"&gt;40984&lt;/D&gt;&lt;D xsi:type="xsd:long"&gt;40983&lt;/D&gt;&lt;D xsi:type="xsd:long"&gt;40982&lt;/D&gt;&lt;D xsi:type="xsd:long"&gt;40981&lt;/D&gt;&lt;D xsi:type="xsd:long"&gt;40980&lt;/D&gt;&lt;D xsi:type="xsd:long"&gt;40977&lt;/D&gt;&lt;D xsi:type="xsd:long"&gt;40976&lt;/D&gt;&lt;D xsi:type="xsd:long"&gt;40975&lt;/D&gt;&lt;D xsi:type="xsd:long"&gt;40974&lt;/D&gt;&lt;D xsi:type="xsd:long"&gt;40973&lt;/D&gt;&lt;D xsi:type="xsd:long"&gt;40970&lt;/D&gt;&lt;D xsi:type="xsd:long"&gt;40969&lt;/D&gt;&lt;D xsi:type="xsd:long"&gt;40968&lt;/D&gt;&lt;D xsi:type="xsd:long"&gt;40967&lt;/D&gt;&lt;D xsi:type="xsd:long"&gt;40966&lt;/D&gt;&lt;D xsi:type="xsd:long"&gt;40963&lt;/D&gt;&lt;D xsi:type="xsd:long"&gt;40962&lt;/D&gt;&lt;D xsi:type="xsd:long"&gt;40961&lt;/D&gt;&lt;D xsi:type="xsd:long"&gt;40960&lt;/D&gt;&lt;D xsi:type="xsd:long"&gt;40956&lt;/D&gt;&lt;D xsi:type="xsd:long"&gt;40955&lt;/D&gt;&lt;D xsi:type="xsd:long"&gt;40954&lt;/D&gt;&lt;D xsi:type="xsd:long"&gt;40953&lt;/D&gt;&lt;D xsi:type="xsd:long"&gt;40952&lt;/D&gt;&lt;D xsi:type="xsd:long"&gt;40949&lt;/D&gt;&lt;D xsi:type="xsd:long"&gt;40948&lt;/D&gt;&lt;D xsi:type="xsd:long"&gt;40947&lt;/D&gt;&lt;D xsi:type="xsd:long"&gt;40946&lt;/D&gt;&lt;D xsi:type="xsd:long"&gt;40945&lt;/D&gt;&lt;D xsi:type="xsd:long"&gt;40942&lt;/D&gt;&lt;D xsi:type="xsd:long"&gt;40941&lt;/D&gt;&lt;D xsi:type="xsd:long"&gt;40940&lt;/D&gt;&lt;D xsi:type="xsd:long"&gt;40939&lt;/D&gt;&lt;D xsi:type="xsd:long"&gt;40938&lt;/D&gt;&lt;D xsi:type="xsd:long"&gt;40935&lt;/D&gt;&lt;D xsi:type="xsd:long"&gt;40934&lt;/D&gt;&lt;D xsi:type="xsd:long"&gt;40933&lt;/D&gt;&lt;D xsi:type="xsd:long"&gt;40932&lt;/D&gt;&lt;D xsi:type="xsd:long"&gt;40931&lt;/D&gt;&lt;D xsi:type="xsd:long"&gt;40928&lt;/D&gt;&lt;D xsi:type="xsd:long"&gt;40927&lt;/D&gt;&lt;D xsi:type="xsd:long"&gt;40926&lt;/D&gt;&lt;D xsi:type="xsd:long"&gt;40925&lt;/D&gt;&lt;D xsi:type="xsd:long"&gt;40921&lt;/D&gt;&lt;D xsi:type="xsd:long"&gt;40920&lt;/D&gt;&lt;D xsi:type="xsd:long"&gt;40919&lt;/D&gt;&lt;D xsi:type="xsd:long"&gt;40918&lt;/D&gt;&lt;D xsi:type="xsd:long"&gt;40917&lt;/D&gt;&lt;D xsi:type="xsd:long"&gt;40914&lt;/D&gt;&lt;D xsi:type="xsd:long"&gt;40913&lt;/D&gt;&lt;D xsi:type="xsd:long"&gt;40912&lt;/D&gt;&lt;D xsi:type="xsd:long"&gt;40911&lt;/D&gt;&lt;D xsi:type="xsd:long"&gt;40907&lt;/D&gt;&lt;D xsi:type="xsd:long"&gt;40906&lt;/D&gt;&lt;D xsi:type="xsd:long"&gt;40905&lt;/D&gt;&lt;D xsi:type="xsd:long"&gt;40904&lt;/D&gt;&lt;D xsi:type="xsd:long"&gt;40900&lt;/D&gt;&lt;D xsi:type="xsd:long"&gt;40899&lt;/D&gt;&lt;D xsi:type="xsd:long"&gt;40898&lt;/D&gt;&lt;D xsi:type="xsd:long"&gt;40897&lt;/D&gt;&lt;D xsi:type="xsd:long"&gt;40896&lt;/D&gt;&lt;D xsi:type="xsd:long"&gt;40893&lt;/D&gt;&lt;D xsi:type="xsd:long"&gt;40892&lt;/D&gt;&lt;D xsi:type="xsd:long"&gt;40891&lt;/D&gt;&lt;D xsi:type="xsd:long"&gt;40890&lt;/D&gt;&lt;D xsi:type="xsd:long"&gt;40889&lt;/D&gt;&lt;D xsi:type="xsd:long"&gt;40886&lt;/D&gt;&lt;D xsi:type="xsd:long"&gt;40885&lt;/D&gt;&lt;D xsi:type="xsd:long"&gt;40884&lt;/D&gt;&lt;D xsi:type="xsd:long"&gt;40883&lt;/D&gt;&lt;D xsi:type="xsd:long"&gt;40882&lt;/D&gt;&lt;D xsi:type="xsd:long"&gt;40879&lt;/D&gt;&lt;D xsi:type="xsd:long"&gt;40878&lt;/D&gt;&lt;D xsi:type="xsd:long"&gt;40877&lt;/D&gt;&lt;D xsi:type="xsd:long"&gt;40876&lt;/D&gt;&lt;D xsi:type="xsd:long"&gt;40875&lt;/D&gt;&lt;D xsi:type="xsd:long"&gt;40872&lt;/D&gt;&lt;D xsi:type="xsd:long"&gt;40870&lt;/D&gt;&lt;D xsi:type="xsd:long"&gt;40869&lt;/D&gt;&lt;D xsi:type="xsd:long"&gt;40868&lt;/D&gt;&lt;D xsi:type="xsd:long"&gt;40865&lt;/D&gt;&lt;D xsi:type="xsd:long"&gt;40864&lt;/D&gt;&lt;D xsi:type="xsd:long"&gt;40863&lt;/D&gt;&lt;D xsi:type="xsd:long"&gt;40862&lt;/D&gt;&lt;D xsi:type="xsd:long"&gt;40861&lt;/D&gt;&lt;D xsi:type="xsd:long"&gt;40858&lt;/D&gt;&lt;D xsi:type="xsd:long"&gt;40857&lt;/D&gt;&lt;D xsi:type="xsd:long"&gt;40856&lt;/D&gt;&lt;D xsi:type="xsd:long"&gt;40855&lt;/D&gt;&lt;D xsi:type="xsd:long"&gt;40854&lt;/D&gt;&lt;D xsi:type="xsd:long"&gt;40851&lt;/D&gt;&lt;D xsi:type="xsd:long"&gt;40850&lt;/D&gt;&lt;D xsi:type="xsd:long"&gt;40849&lt;/D&gt;&lt;D xsi:type="xsd:long"&gt;40848&lt;/D&gt;&lt;D xsi:type="xsd:long"&gt;40847&lt;/D&gt;&lt;D xsi:type="xsd:long"&gt;40844&lt;/D&gt;&lt;D xsi:type="xsd:long"&gt;40843&lt;/D&gt;&lt;D xsi:type="xsd:long"&gt;40842&lt;/D&gt;&lt;D xsi:type="xsd:long"&gt;40841&lt;/D&gt;&lt;D xsi:type="xsd:long"&gt;40840&lt;/D&gt;&lt;D xsi:type="xsd:long"&gt;40837&lt;/D&gt;&lt;D xsi:type="xsd:long"&gt;40836&lt;/D&gt;&lt;D xsi:type="xsd:long"&gt;40835&lt;/D&gt;&lt;D xsi:type="xsd:long"&gt;40834&lt;/D&gt;&lt;D xsi:type="xsd:long"&gt;40833&lt;/D&gt;&lt;D xsi:type="xsd:long"&gt;40830&lt;/D&gt;&lt;D xsi:type="xsd:long"&gt;40829&lt;/D&gt;&lt;D xsi:type="xsd:long"&gt;40828&lt;/D&gt;&lt;D xsi:type="xsd:long"&gt;40827&lt;/D&gt;&lt;D xsi:type="xsd:long"&gt;40826&lt;/D&gt;&lt;D xsi:type="xsd:long"&gt;40823&lt;/D&gt;&lt;D xsi:type="xsd:long"&gt;40822&lt;/D&gt;&lt;D xsi:type="xsd:long"&gt;40821&lt;/D&gt;&lt;D xsi:type="xsd:long"&gt;40820&lt;/D&gt;&lt;D xsi:type="xsd:long"&gt;40819&lt;/D&gt;&lt;D xsi:type="xsd:long"&gt;40816&lt;/D&gt;&lt;D xsi:type="xsd:long"&gt;40815&lt;/D&gt;&lt;D xsi:type="xsd:long"&gt;40814&lt;/D&gt;&lt;D xsi:type="xsd:long"&gt;40813&lt;/D&gt;&lt;D xsi:type="xsd:long"&gt;40812&lt;/D&gt;&lt;D xsi:type="xsd:long"&gt;40809&lt;/D&gt;&lt;D xsi:type="xsd:long"&gt;40808&lt;/D&gt;&lt;D xsi:type="xsd:long"&gt;40807&lt;/D&gt;&lt;D xsi:type="xsd:long"&gt;40806&lt;/D&gt;&lt;D xsi:type="xsd:long"&gt;40805&lt;/D&gt;&lt;D xsi:type="xsd:long"&gt;40802&lt;/D&gt;&lt;D xsi:type="xsd:long"&gt;40801&lt;/D&gt;&lt;D xsi:type="xsd:long"&gt;40800&lt;/D&gt;&lt;D xsi:type="xsd:long"&gt;40799&lt;/D&gt;&lt;D xsi:type="xsd:long"&gt;40798&lt;/D&gt;&lt;D xsi:type="xsd:long"&gt;40795&lt;/D&gt;&lt;D xsi:type="xsd:long"&gt;40794&lt;/D&gt;&lt;D xsi:type="xsd:long"&gt;40793&lt;/D&gt;&lt;D xsi:type="xsd:long"&gt;40792&lt;/D&gt;&lt;D xsi:type="xsd:long"&gt;40788&lt;/D&gt;&lt;D xsi:type="xsd:long"&gt;40787&lt;/D&gt;&lt;D xsi:type="xsd:long"&gt;40786&lt;/D&gt;&lt;D xsi:type="xsd:long"&gt;40785&lt;/D&gt;&lt;D xsi:type="xsd:long"&gt;40784&lt;/D&gt;&lt;D xsi:type="xsd:long"&gt;40781&lt;/D&gt;&lt;D xsi:type="xsd:long"&gt;40780&lt;/D&gt;&lt;D xsi:type="xsd:long"&gt;40779&lt;/D&gt;&lt;D xsi:type="xsd:long"&gt;40778&lt;/D&gt;&lt;D xsi:type="xsd:long"&gt;40777&lt;/D&gt;&lt;D xsi:type="xsd:long"&gt;40774&lt;/D&gt;&lt;D xsi:type="xsd:long"&gt;40773&lt;/D&gt;&lt;D xsi:type="xsd:long"&gt;40772&lt;/D&gt;&lt;D xsi:type="xsd:long"&gt;40771&lt;/D&gt;&lt;D xsi:type="xsd:long"&gt;40770&lt;/D&gt;&lt;D xsi:type="xsd:long"&gt;40767&lt;/D&gt;&lt;D xsi:type="xsd:long"&gt;40766&lt;/D&gt;&lt;D xsi:type="xsd:long"&gt;40765&lt;/D&gt;&lt;D xsi:type="xsd:long"&gt;40764&lt;/D&gt;&lt;D xsi:type="xsd:long"&gt;40763&lt;/D&gt;&lt;D xsi:type="xsd:long"&gt;40760&lt;/D&gt;&lt;D xsi:type="xsd:long"&gt;40759&lt;/D&gt;&lt;D xsi:type="xsd:long"&gt;40758&lt;/D&gt;&lt;D xsi:type="xsd:long"&gt;40757&lt;/D&gt;&lt;D xsi:type="xsd:long"&gt;40756&lt;/D&gt;&lt;D xsi:type="xsd:long"&gt;40753&lt;/D&gt;&lt;D xsi:type="xsd:long"&gt;40752&lt;/D&gt;&lt;D xsi:type="xsd:long"&gt;40751&lt;/D&gt;&lt;D xsi:type="xsd:long"&gt;40750&lt;/D&gt;&lt;D xsi:type="xsd:long"&gt;40749&lt;/D&gt;&lt;D xsi:type="xsd:long"&gt;40746&lt;/D&gt;&lt;D xsi:type="xsd:long"&gt;40745&lt;/D&gt;&lt;D xsi:type="xsd:long"&gt;40744&lt;/D&gt;&lt;D xsi:type="xsd:long"&gt;40743&lt;/D&gt;&lt;D xsi:type="xsd:long"&gt;40742&lt;/D&gt;&lt;D xsi:type="xsd:long"&gt;40739&lt;/D&gt;&lt;D xsi:type="xsd:long"&gt;40738&lt;/D&gt;&lt;D xsi:type="xsd:long"&gt;40737&lt;/D&gt;&lt;D xsi:type="xsd:long"&gt;40736&lt;/D&gt;&lt;D xsi:type="xsd:long"&gt;40735&lt;/D&gt;&lt;D xsi:type="xsd:long"&gt;40732&lt;/D&gt;&lt;D xsi:type="xsd:long"&gt;40731&lt;/D&gt;&lt;D xsi:type="xsd:long"&gt;40730&lt;/D&gt;&lt;D xsi:type="xsd:long"&gt;40729&lt;/D&gt;&lt;D xsi:type="xsd:long"&gt;40725&lt;/D&gt;&lt;D xsi:type="xsd:long"&gt;40724&lt;/D&gt;&lt;D xsi:type="xsd:long"&gt;40723&lt;/D&gt;&lt;D xsi:type="xsd:long"&gt;40722&lt;/D&gt;&lt;D xsi:type="xsd:long"&gt;40721&lt;/D&gt;&lt;D xsi:type="xsd:long"&gt;40718&lt;/D&gt;&lt;D xsi:type="xsd:long"&gt;40717&lt;/D&gt;&lt;D xsi:type="xsd:long"&gt;40716&lt;/D&gt;&lt;D xsi:type="xsd:long"&gt;40715&lt;/D&gt;&lt;D xsi:type="xsd:long"&gt;40714&lt;/D&gt;&lt;D xsi:type="xsd:long"&gt;40711&lt;/D&gt;&lt;D xsi:type="xsd:long"&gt;40710&lt;/D&gt;&lt;D xsi:type="xsd:long"&gt;40709&lt;/D&gt;&lt;D xsi:type="xsd:long"&gt;40708&lt;/D&gt;&lt;D xsi:type="xsd:long"&gt;40707&lt;/D&gt;&lt;D xsi:type="xsd:long"&gt;40704&lt;/D&gt;&lt;D xsi:type="xsd:long"&gt;40703&lt;/D&gt;&lt;D xsi:type="xsd:long"&gt;40702&lt;/D&gt;&lt;D xsi:type="xsd:long"&gt;40701&lt;/D&gt;&lt;D xsi:type="xsd:long"&gt;40700&lt;/D&gt;&lt;D xsi:type="xsd:long"&gt;40697&lt;/D&gt;&lt;D xsi:type="xsd:long"&gt;40696&lt;/D&gt;&lt;D xsi:type="xsd:long"&gt;40695&lt;/D&gt;&lt;D xsi:type="xsd:long"&gt;40694&lt;/D&gt;&lt;D xsi:type="xsd:long"&gt;40690&lt;/D&gt;&lt;D xsi:type="xsd:long"&gt;40689&lt;/D&gt;&lt;D xsi:type="xsd:long"&gt;40688&lt;/D&gt;&lt;D xsi:type="xsd:long"&gt;40687&lt;/D&gt;&lt;D xsi:type="xsd:long"&gt;40686&lt;/D&gt;&lt;D xsi:type="xsd:long"&gt;40683&lt;/D&gt;&lt;D xsi:type="xsd:long"&gt;40682&lt;/D&gt;&lt;D xsi:type="xsd:long"&gt;40681&lt;/D&gt;&lt;D xsi:type="xsd:long"&gt;40680&lt;/D&gt;&lt;D xsi:type="xsd:long"&gt;40679&lt;/D&gt;&lt;D xsi:type="xsd:long"&gt;40676&lt;/D&gt;&lt;D xsi:type="xsd:long"&gt;40675&lt;/D&gt;&lt;D xsi:type="xsd:long"&gt;40674&lt;/D&gt;&lt;D xsi:type="xsd:long"&gt;40673&lt;/D&gt;&lt;D xsi:type="xsd:long"&gt;40672&lt;/D&gt;&lt;D xsi:type="xsd:long"&gt;40669&lt;/D&gt;&lt;D xsi:type="xsd:long"&gt;40668&lt;/D&gt;&lt;D xsi:type="xsd:long"&gt;40667&lt;/D&gt;&lt;D xsi:type="xsd:long"&gt;40666&lt;/D&gt;&lt;D xsi:type="xsd:long"&gt;40665&lt;/D&gt;&lt;D xsi:type="xsd:long"&gt;40662&lt;/D&gt;&lt;D xsi:type="xsd:long"&gt;40661&lt;/D&gt;&lt;D xsi:type="xsd:long"&gt;40660&lt;/D&gt;&lt;D xsi:type="xsd:long"&gt;40659&lt;/D&gt;&lt;D xsi:type="xsd:long"&gt;40658&lt;/D&gt;&lt;D xsi:type="xsd:long"&gt;40654&lt;/D&gt;&lt;D xsi:type="xsd:long"&gt;40653&lt;/D&gt;&lt;D xsi:type="xsd:long"&gt;40652&lt;/D&gt;&lt;D xsi:type="xsd:long"&gt;40651&lt;/D&gt;&lt;D xsi:type="xsd:long"&gt;40648&lt;/D&gt;&lt;D xsi:type="xsd:long"&gt;40647&lt;/D&gt;&lt;D xsi:type="xsd:long"&gt;40646&lt;/D&gt;&lt;D xsi:type="xsd:long"&gt;40645&lt;/D&gt;&lt;D xsi:type="xsd:long"&gt;40644&lt;/D&gt;&lt;D xsi:type="xsd:long"&gt;40641&lt;/D&gt;&lt;D xsi:type="xsd:long"&gt;40640&lt;/D&gt;&lt;D xsi:type="xsd:long"&gt;40639&lt;/D&gt;&lt;D xsi:type="xsd:long"&gt;40638&lt;/D&gt;&lt;D xsi:type="xsd:long"&gt;40637&lt;/D&gt;&lt;D xsi:type="xsd:long"&gt;40634&lt;/D&gt;&lt;D xsi:type="xsd:long"&gt;40633&lt;/D&gt;&lt;D xsi:type="xsd:long"&gt;40632&lt;/D&gt;&lt;D xsi:type="xsd:long"&gt;40631&lt;/D&gt;&lt;D xsi:type="xsd:long"&gt;40630&lt;/D&gt;&lt;D xsi:type="xsd:long"&gt;40627&lt;/D&gt;&lt;D xsi:type="xsd:long"&gt;40626&lt;/D&gt;&lt;D xsi:type="xsd:long"&gt;40625&lt;/D&gt;&lt;D xsi:type="xsd:long"&gt;40624&lt;/D&gt;&lt;D xsi:type="xsd:long"&gt;40623&lt;/D&gt;&lt;D xsi:type="xsd:long"&gt;40620&lt;/D&gt;&lt;D xsi:type="xsd:long"&gt;40619&lt;/D&gt;&lt;D xsi:type="xsd:long"&gt;40618&lt;/D&gt;&lt;D xsi:type="xsd:long"&gt;40617&lt;/D&gt;&lt;D xsi:type="xsd:long"&gt;40616&lt;/D&gt;&lt;D xsi:type="xsd:long"&gt;40613&lt;/D&gt;&lt;D xsi:type="xsd:long"&gt;40612&lt;/D&gt;&lt;D xsi:type="xsd:long"&gt;40611&lt;/D&gt;&lt;D xsi:type="xsd:long"&gt;40610&lt;/D&gt;&lt;D xsi:type="xsd:long"&gt;40609&lt;/D&gt;&lt;D xsi:type="xsd:long"&gt;40606&lt;/D&gt;&lt;D xsi:type="xsd:long"&gt;40605&lt;/D&gt;&lt;D xsi:type="xsd:long"&gt;40604&lt;/D&gt;&lt;D xsi:type="xsd:long"&gt;40603&lt;/D&gt;&lt;D xsi:type="xsd:long"&gt;40602&lt;/D&gt;&lt;D xsi:type="xsd:long"&gt;40599&lt;/D&gt;&lt;D xsi:type="xsd:long"&gt;40598&lt;/D&gt;&lt;D xsi:type="xsd:long"&gt;40597&lt;/D&gt;&lt;D xsi:type="xsd:long"&gt;40596&lt;/D&gt;&lt;D xsi:type="xsd:long"&gt;40592&lt;/D&gt;&lt;D xsi:type="xsd:long"&gt;40591&lt;/D&gt;&lt;D xsi:type="xsd:long"&gt;40590&lt;/D&gt;&lt;D xsi:type="xsd:long"&gt;40589&lt;/D&gt;&lt;D xsi:type="xsd:long"&gt;40588&lt;/D&gt;&lt;D xsi:type="xsd:long"&gt;40585&lt;/D&gt;&lt;D xsi:type="xsd:long"&gt;40584&lt;/D&gt;&lt;D xsi:type="xsd:long"&gt;40583&lt;/D&gt;&lt;D xsi:type="xsd:long"&gt;40582&lt;/D&gt;&lt;D xsi:type="xsd:long"&gt;40581&lt;/D&gt;&lt;D xsi:type="xsd:long"&gt;40578&lt;/D&gt;&lt;D xsi:type="xsd:long"&gt;40577&lt;/D&gt;&lt;D xsi:type="xsd:long"&gt;40576&lt;/D&gt;&lt;D xsi:type="xsd:long"&gt;40575&lt;/D&gt;&lt;D xsi:type="xsd:long"&gt;40574&lt;/D&gt;&lt;D xsi:type="xsd:long"&gt;40571&lt;/D&gt;&lt;D xsi:type="xsd:long"&gt;40570&lt;/D&gt;&lt;D xsi:type="xsd:long"&gt;40569&lt;/D&gt;&lt;D xsi:type="xsd:long"&gt;40568&lt;/D&gt;&lt;D xsi:type="xsd:long"&gt;40567&lt;/D&gt;&lt;D xsi:type="xsd:long"&gt;40564&lt;/D&gt;&lt;D xsi:type="xsd:long"&gt;40563&lt;/D&gt;&lt;D xsi:type="xsd:long"&gt;40562&lt;/D&gt;&lt;D xsi:type="xsd:long"&gt;40561&lt;/D&gt;&lt;D xsi:type="xsd:long"&gt;40557&lt;/D&gt;&lt;D xsi:type="xsd:long"&gt;40556&lt;/D&gt;&lt;D xsi:type="xsd:long"&gt;40555&lt;/D&gt;&lt;D xsi:type="xsd:long"&gt;40554&lt;/D&gt;&lt;D xsi:type="xsd:long"&gt;40553&lt;/D&gt;&lt;D xsi:type="xsd:long"&gt;40550&lt;/D&gt;&lt;D xsi:type="xsd:long"&gt;40549&lt;/D&gt;&lt;D xsi:type="xsd:long"&gt;40548&lt;/D&gt;&lt;D xsi:type="xsd:long"&gt;40547&lt;/D&gt;&lt;D xsi:type="xsd:long"&gt;40546&lt;/D&gt;&lt;D xsi:type="xsd:long"&gt;40543&lt;/D&gt;&lt;D xsi:type="xsd:long"&gt;40542&lt;/D&gt;&lt;D xsi:type="xsd:long"&gt;40541&lt;/D&gt;&lt;D xsi:type="xsd:long"&gt;40540&lt;/D&gt;&lt;D xsi:type="xsd:long"&gt;40539&lt;/D&gt;&lt;D xsi:type="xsd:long"&gt;40535&lt;/D&gt;&lt;D xsi:type="xsd:long"&gt;40534&lt;/D&gt;&lt;D xsi:type="xsd:long"&gt;40533&lt;/D&gt;&lt;D xsi:type="xsd:long"&gt;40532&lt;/D&gt;&lt;D xsi:type="xsd:long"&gt;40529&lt;/D&gt;&lt;D xsi:type="xsd:long"&gt;40528&lt;/D&gt;&lt;D xsi:type="xsd:long"&gt;40527&lt;/D&gt;&lt;D xsi:type="xsd:long"&gt;40526&lt;/D&gt;&lt;D xsi:type="xsd:long"&gt;40525&lt;/D&gt;&lt;D xsi:type="xsd:long"&gt;40522&lt;/D&gt;&lt;D xsi:type="xsd:long"&gt;40521&lt;/D&gt;&lt;D xsi:type="xsd:long"&gt;40520&lt;/D&gt;&lt;D xsi:type="xsd:long"&gt;40519&lt;/D&gt;&lt;D xsi:type="xsd:long"&gt;40518&lt;/D&gt;&lt;D xsi:type="xsd:long"&gt;40515&lt;/D&gt;&lt;D xsi:type="xsd:long"&gt;40514&lt;/D&gt;&lt;D xsi:type="xsd:long"&gt;40513&lt;/D&gt;&lt;D xsi:type="xsd:long"&gt;40512&lt;/D&gt;&lt;D xsi:type="xsd:long"&gt;40511&lt;/D&gt;&lt;D xsi:type="xsd:long"&gt;40508&lt;/D&gt;&lt;D xsi:type="xsd:long"&gt;40506&lt;/D&gt;&lt;D xsi:type="xsd:long"&gt;40505&lt;/D&gt;&lt;D xsi:type="xsd:long"&gt;40504&lt;/D&gt;&lt;D xsi:type="xsd:long"&gt;40501&lt;/D&gt;&lt;D xsi:type="xsd:long"&gt;40500&lt;/D&gt;&lt;D xsi:type="xsd:long"&gt;40499&lt;/D&gt;&lt;D xsi:type="xsd:long"&gt;40498&lt;/D&gt;&lt;D xsi:type="xsd:long"&gt;40497&lt;/D&gt;&lt;D xsi:type="xsd:long"&gt;40494&lt;/D&gt;&lt;D xsi:type="xsd:long"&gt;40493&lt;/D&gt;&lt;D xsi:type="xsd:long"&gt;40492&lt;/D&gt;&lt;D xsi:type="xsd:long"&gt;40491&lt;/D&gt;&lt;D xsi:type="xsd:long"&gt;40490&lt;/D&gt;&lt;D xsi:type="xsd:long"&gt;40487&lt;/D&gt;&lt;D xsi:type="xsd:long"&gt;40486&lt;/D&gt;&lt;D xsi:type="xsd:long"&gt;40485&lt;/D&gt;&lt;D xsi:type="xsd:long"&gt;40484&lt;/D&gt;&lt;D xsi:type="xsd:long"&gt;40483&lt;/D&gt;&lt;D xsi:type="xsd:long"&gt;40480&lt;/D&gt;&lt;D xsi:type="xsd:long"&gt;40479&lt;/D&gt;&lt;D xsi:type="xsd:long"&gt;40478&lt;/D&gt;&lt;D xsi:type="xsd:long"&gt;40477&lt;/D&gt;&lt;D xsi:type="xsd:long"&gt;40476&lt;/D&gt;&lt;D xsi:type="xsd:long"&gt;40473&lt;/D&gt;&lt;D xsi:type="xsd:long"&gt;40472&lt;/D&gt;&lt;D xsi:type="xsd:long"&gt;40471&lt;/D&gt;&lt;D xsi:type="xsd:long"&gt;40470&lt;/D&gt;&lt;D xsi:type="xsd:long"&gt;40469&lt;/D&gt;&lt;D xsi:type="xsd:long"&gt;40466&lt;/D&gt;&lt;D xsi:type="xsd:long"&gt;40465&lt;/D&gt;&lt;D xsi:type="xsd:long"&gt;40464&lt;/D&gt;&lt;D xsi:type="xsd:long"&gt;40463&lt;/D&gt;&lt;D xsi:type="xsd:long"&gt;40462&lt;/D&gt;&lt;D xsi:type="xsd:long"&gt;40459&lt;/D&gt;&lt;D xsi:type="xsd:long"&gt;40458&lt;/D&gt;&lt;D xsi:type="xsd:long"&gt;40457&lt;/D&gt;&lt;D xsi:type="xsd:long"&gt;40456&lt;/D&gt;&lt;D xsi:type="xsd:long"&gt;40455&lt;/D&gt;&lt;D xsi:type="xsd:long"&gt;40452&lt;/D&gt;&lt;D xsi:type="xsd:long"&gt;40451&lt;/D&gt;&lt;D xsi:type="xsd:long"&gt;40450&lt;/D&gt;&lt;D xsi:type="xsd:long"&gt;40449&lt;/D&gt;&lt;D xsi:type="xsd:long"&gt;40448&lt;/D&gt;&lt;D xsi:type="xsd:long"&gt;40445&lt;/D&gt;&lt;D xsi:type="xsd:long"&gt;40444&lt;/D&gt;&lt;D xsi:type="xsd:long"&gt;40443&lt;/D&gt;&lt;D xsi:type="xsd:long"&gt;40442&lt;/D&gt;&lt;D xsi:type="xsd:long"&gt;40441&lt;/D&gt;&lt;D xsi:type="xsd:long"&gt;40438&lt;/D&gt;&lt;D xsi:type="xsd:long"&gt;40437&lt;/D&gt;&lt;D xsi:type="xsd:long"&gt;40436&lt;/D&gt;&lt;D xsi:type="xsd:long"&gt;40435&lt;/D&gt;&lt;D xsi:type="xsd:long"&gt;40434&lt;/D&gt;&lt;D xsi:type="xsd:long"&gt;40431&lt;/D&gt;&lt;D xsi:type="xsd:long"&gt;40430&lt;/D&gt;&lt;D xsi:type="xsd:long"&gt;40429&lt;/D&gt;&lt;D xsi:type="xsd:long"&gt;40428&lt;/D&gt;&lt;D xsi:type="xsd:long"&gt;40424&lt;/D&gt;&lt;D xsi:type="xsd:long"&gt;40423&lt;/D&gt;&lt;D xsi:type="xsd:long"&gt;40422&lt;/D&gt;&lt;D xsi:type="xsd:long"&gt;40421&lt;/D&gt;&lt;D xsi:type="xsd:long"&gt;40420&lt;/D&gt;&lt;D xsi:type="xsd:long"&gt;40417&lt;/D&gt;&lt;D xsi:type="xsd:long"&gt;40416&lt;/D&gt;&lt;D xsi:type="xsd:long"&gt;40415&lt;/D&gt;&lt;D xsi:type="xsd:long"&gt;40414&lt;/D&gt;&lt;D xsi:type="xsd:long"&gt;40413&lt;/D&gt;&lt;D xsi:type="xsd:long"&gt;40410&lt;/D&gt;&lt;D xsi:type="xsd:long"&gt;40409&lt;/D&gt;&lt;D xsi:type="xsd:long"&gt;40408&lt;/D&gt;&lt;D xsi:type="xsd:long"&gt;40407&lt;/D&gt;&lt;D xsi:type="xsd:long"&gt;40406&lt;/D&gt;&lt;D xsi:type="xsd:long"&gt;40403&lt;/D&gt;&lt;D xsi:type="xsd:long"&gt;40402&lt;/D&gt;&lt;D xsi:type="xsd:long"&gt;40401&lt;/D&gt;&lt;D xsi:type="xsd:long"&gt;40400&lt;/D&gt;&lt;D xsi:type="xsd:long"&gt;40399&lt;/D&gt;&lt;D xsi:type="xsd:long"&gt;40396&lt;/D&gt;&lt;D xsi:type="xsd:long"&gt;40395&lt;/D&gt;&lt;D xsi:type="xsd:long"&gt;40394&lt;/D&gt;&lt;D xsi:type="xsd:long"&gt;40393&lt;/D&gt;&lt;D xsi:type="xsd:long"&gt;40392&lt;/D&gt;&lt;D xsi:type="xsd:long"&gt;40389&lt;/D&gt;&lt;D xsi:type="xsd:long"&gt;40388&lt;/D&gt;&lt;D xsi:type="xsd:long"&gt;40387&lt;/D&gt;&lt;D xsi:type="xsd:long"&gt;40386&lt;/D&gt;&lt;D xsi:type="xsd:long"&gt;40385&lt;/D&gt;&lt;D xsi:type="xsd:long"&gt;40382&lt;/D&gt;&lt;D xsi:type="xsd:long"&gt;40381&lt;/D&gt;&lt;D xsi:type="xsd:long"&gt;40380&lt;/D&gt;&lt;D xsi:type="xsd:long"&gt;40379&lt;/D&gt;&lt;D xsi:type="xsd:long"&gt;40378&lt;/D&gt;&lt;D xsi:type="xsd:long"&gt;40375&lt;/D&gt;&lt;D xsi:type="xsd:long"&gt;40374&lt;/D&gt;&lt;D xsi:type="xsd:long"&gt;40373&lt;/D&gt;&lt;D xsi:type="xsd:long"&gt;40372&lt;/D&gt;&lt;D xsi:type="xsd:long"&gt;40371&lt;/D&gt;&lt;D xsi:type="xsd:long"&gt;40368&lt;/D&gt;&lt;D xsi:type="xsd:long"&gt;40367&lt;/D&gt;&lt;D xsi:type="xsd:long"&gt;40366&lt;/D&gt;&lt;D xsi:type="xsd:long"&gt;40365&lt;/D&gt;&lt;D xsi:type="xsd:long"&gt;40361&lt;/D&gt;&lt;D xsi:type="xsd:long"&gt;40360&lt;/D&gt;&lt;D xsi:type="xsd:long"&gt;40359&lt;/D&gt;&lt;D xsi:type="xsd:long"&gt;40358&lt;/D&gt;&lt;D xsi:type="xsd:long"&gt;40357&lt;/D&gt;&lt;D xsi:type="xsd:long"&gt;40354&lt;/D&gt;&lt;D xsi:type="xsd:long"&gt;40353&lt;/D&gt;&lt;D xsi:type="xsd:long"&gt;40352&lt;/D&gt;&lt;D xsi:type="xsd:long"&gt;40351&lt;/D&gt;&lt;D xsi:type="xsd:long"&gt;40350&lt;/D&gt;&lt;D xsi:type="xsd:long"&gt;40347&lt;/D&gt;&lt;D xsi:type="xsd:long"&gt;40346&lt;/D&gt;&lt;D xsi:type="xsd:long"&gt;40345&lt;/D&gt;&lt;D xsi:type="xsd:long"&gt;40344&lt;/D&gt;&lt;D xsi:type="xsd:long"&gt;40343&lt;/D&gt;&lt;D xsi:type="xsd:long"&gt;40340&lt;/D&gt;&lt;D xsi:type="xsd:long"&gt;40339&lt;/D&gt;&lt;D xsi:type="xsd:long"&gt;40338&lt;/D&gt;&lt;D xsi:type="xsd:long"&gt;40337&lt;/D&gt;&lt;D xsi:type="xsd:long"&gt;40336&lt;/D&gt;&lt;D xsi:type="xsd:long"&gt;40333&lt;/D&gt;&lt;D xsi:type="xsd:long"&gt;40332&lt;/D&gt;&lt;D xsi:type="xsd:long"&gt;40331&lt;/D&gt;&lt;D xsi:type="xsd:long"&gt;40330&lt;/D&gt;&lt;D xsi:type="xsd:long"&gt;40326&lt;/D&gt;&lt;D xsi:type="xsd:long"&gt;40325&lt;/D&gt;&lt;D xsi:type="xsd:long"&gt;40324&lt;/D&gt;&lt;D xsi:type="xsd:long"&gt;40323&lt;/D&gt;&lt;D xsi:type="xsd:long"&gt;40322&lt;/D&gt;&lt;D xsi:type="xsd:long"&gt;40319&lt;/D&gt;&lt;D xsi:type="xsd:long"&gt;40318&lt;/D&gt;&lt;D xsi:type="xsd:long"&gt;40317&lt;/D&gt;&lt;D xsi:type="xsd:long"&gt;40316&lt;/D&gt;&lt;D xsi:type="xsd:long"&gt;40315&lt;/D&gt;&lt;D xsi:type="xsd:long"&gt;40312&lt;/D&gt;&lt;D xsi:type="xsd:long"&gt;40311&lt;/D&gt;&lt;D xsi:type="xsd:long"&gt;40310&lt;/D&gt;&lt;D xsi:type="xsd:long"&gt;40309&lt;/D&gt;&lt;D xsi:type="xsd:long"&gt;40308&lt;/D&gt;&lt;D xsi:type="xsd:long"&gt;40305&lt;/D&gt;&lt;D xsi:type="xsd:long"&gt;40304&lt;/D&gt;&lt;D xsi:type="xsd:long"&gt;40303&lt;/D&gt;&lt;D xs</t>
        </r>
      </text>
    </comment>
    <comment ref="A13" authorId="0" shapeId="0">
      <text>
        <r>
          <rPr>
            <b/>
            <sz val="9"/>
            <color indexed="81"/>
            <rFont val="Tahoma"/>
            <family val="2"/>
          </rPr>
          <t xml:space="preserve">i:type="xsd:long"&gt;40302&lt;/D&gt;&lt;D xsi:type="xsd:long"&gt;40301&lt;/D&gt;&lt;D xsi:type="xsd:long"&gt;40298&lt;/D&gt;&lt;D xsi:type="xsd:long"&gt;40297&lt;/D&gt;&lt;D xsi:type="xsd:long"&gt;40296&lt;/D&gt;&lt;D xsi:type="xsd:long"&gt;40295&lt;/D&gt;&lt;D xsi:type="xsd:long"&gt;40294&lt;/D&gt;&lt;D xsi:type="xsd:long"&gt;40291&lt;/D&gt;&lt;D xsi:type="xsd:long"&gt;40290&lt;/D&gt;&lt;D xsi:type="xsd:long"&gt;40289&lt;/D&gt;&lt;D xsi:type="xsd:long"&gt;40288&lt;/D&gt;&lt;D xsi:type="xsd:long"&gt;40287&lt;/D&gt;&lt;D xsi:type="xsd:long"&gt;40284&lt;/D&gt;&lt;D xsi:type="xsd:long"&gt;40283&lt;/D&gt;&lt;D xsi:type="xsd:long"&gt;40282&lt;/D&gt;&lt;D xsi:type="xsd:long"&gt;40281&lt;/D&gt;&lt;D xsi:type="xsd:long"&gt;40280&lt;/D&gt;&lt;D xsi:type="xsd:long"&gt;40277&lt;/D&gt;&lt;D xsi:type="xsd:long"&gt;40276&lt;/D&gt;&lt;D xsi:type="xsd:long"&gt;40275&lt;/D&gt;&lt;D xsi:type="xsd:long"&gt;40274&lt;/D&gt;&lt;D xsi:type="xsd:long"&gt;40273&lt;/D&gt;&lt;D xsi:type="xsd:long"&gt;40269&lt;/D&gt;&lt;D xsi:type="xsd:long"&gt;40268&lt;/D&gt;&lt;D xsi:type="xsd:long"&gt;40267&lt;/D&gt;&lt;D xsi:type="xsd:long"&gt;40266&lt;/D&gt;&lt;D xsi:type="xsd:long"&gt;40263&lt;/D&gt;&lt;D xsi:type="xsd:long"&gt;40262&lt;/D&gt;&lt;D xsi:type="xsd:long"&gt;40261&lt;/D&gt;&lt;D xsi:type="xsd:long"&gt;40260&lt;/D&gt;&lt;D xsi:type="xsd:long"&gt;40259&lt;/D&gt;&lt;D xsi:type="xsd:long"&gt;40256&lt;/D&gt;&lt;D xsi:type="xsd:long"&gt;40255&lt;/D&gt;&lt;D xsi:type="xsd:long"&gt;40254&lt;/D&gt;&lt;D xsi:type="xsd:long"&gt;40253&lt;/D&gt;&lt;D xsi:type="xsd:long"&gt;40252&lt;/D&gt;&lt;D xsi:type="xsd:long"&gt;40249&lt;/D&gt;&lt;D xsi:type="xsd:long"&gt;40248&lt;/D&gt;&lt;D xsi:type="xsd:long"&gt;40247&lt;/D&gt;&lt;D xsi:type="xsd:long"&gt;40246&lt;/D&gt;&lt;D xsi:type="xsd:long"&gt;40245&lt;/D&gt;&lt;D xsi:type="xsd:long"&gt;40242&lt;/D&gt;&lt;D xsi:type="xsd:long"&gt;40241&lt;/D&gt;&lt;D xsi:type="xsd:long"&gt;40240&lt;/D&gt;&lt;D xsi:type="xsd:long"&gt;40239&lt;/D&gt;&lt;D xsi:type="xsd:long"&gt;40238&lt;/D&gt;&lt;D xsi:type="xsd:long"&gt;40235&lt;/D&gt;&lt;D xsi:type="xsd:long"&gt;40234&lt;/D&gt;&lt;D xsi:type="xsd:long"&gt;40233&lt;/D&gt;&lt;D xsi:type="xsd:long"&gt;40232&lt;/D&gt;&lt;D xsi:type="xsd:long"&gt;40231&lt;/D&gt;&lt;D xsi:type="xsd:long"&gt;40228&lt;/D&gt;&lt;D xsi:type="xsd:long"&gt;40227&lt;/D&gt;&lt;D xsi:type="xsd:long"&gt;40226&lt;/D&gt;&lt;D xsi:type="xsd:long"&gt;40225&lt;/D&gt;&lt;D xsi:type="xsd:long"&gt;40221&lt;/D&gt;&lt;D xsi:type="xsd:long"&gt;40220&lt;/D&gt;&lt;D xsi:type="xsd:long"&gt;40219&lt;/D&gt;&lt;D xsi:type="xsd:long"&gt;40218&lt;/D&gt;&lt;D xsi:type="xsd:long"&gt;40217&lt;/D&gt;&lt;D xsi:type="xsd:long"&gt;40214&lt;/D&gt;&lt;D xsi:type="xsd:long"&gt;40213&lt;/D&gt;&lt;D xsi:type="xsd:long"&gt;40212&lt;/D&gt;&lt;D xsi:type="xsd:long"&gt;40211&lt;/D&gt;&lt;D xsi:type="xsd:long"&gt;40210&lt;/D&gt;&lt;D xsi:type="xsd:long"&gt;40207&lt;/D&gt;&lt;D xsi:type="xsd:long"&gt;40206&lt;/D&gt;&lt;D xsi:type="xsd:long"&gt;40205&lt;/D&gt;&lt;D xsi:type="xsd:long"&gt;40204&lt;/D&gt;&lt;D xsi:type="xsd:long"&gt;40203&lt;/D&gt;&lt;D xsi:type="xsd:long"&gt;40200&lt;/D&gt;&lt;D xsi:type="xsd:long"&gt;40199&lt;/D&gt;&lt;D xsi:type="xsd:long"&gt;40198&lt;/D&gt;&lt;D xsi:type="xsd:long"&gt;40197&lt;/D&gt;&lt;D xsi:type="xsd:long"&gt;40193&lt;/D&gt;&lt;D xsi:type="xsd:long"&gt;40192&lt;/D&gt;&lt;D xsi:type="xsd:long"&gt;40191&lt;/D&gt;&lt;D xsi:type="xsd:long"&gt;40190&lt;/D&gt;&lt;D xsi:type="xsd:long"&gt;40189&lt;/D&gt;&lt;D xsi:type="xsd:long"&gt;40186&lt;/D&gt;&lt;D xsi:type="xsd:long"&gt;40185&lt;/D&gt;&lt;D xsi:type="xsd:long"&gt;40184&lt;/D&gt;&lt;D xsi:type="xsd:long"&gt;40183&lt;/D&gt;&lt;D xsi:type="xsd:long"&gt;40182&lt;/D&gt;&lt;D xsi:type="xsd:long"&gt;40178&lt;/D&gt;&lt;D xsi:type="xsd:long"&gt;40177&lt;/D&gt;&lt;D xsi:type="xsd:long"&gt;40176&lt;/D&gt;&lt;D xsi:type="xsd:long"&gt;40175&lt;/D&gt;&lt;D xsi:type="xsd:long"&gt;40171&lt;/D&gt;&lt;D xsi:type="xsd:long"&gt;40170&lt;/D&gt;&lt;D xsi:type="xsd:long"&gt;40169&lt;/D&gt;&lt;D xsi:type="xsd:long"&gt;40168&lt;/D&gt;&lt;D xsi:type="xsd:long"&gt;40165&lt;/D&gt;&lt;D xsi:type="xsd:long"&gt;40164&lt;/D&gt;&lt;D xsi:type="xsd:long"&gt;40163&lt;/D&gt;&lt;D xsi:type="xsd:long"&gt;40162&lt;/D&gt;&lt;D xsi:type="xsd:long"&gt;40161&lt;/D&gt;&lt;D xsi:type="xsd:long"&gt;40158&lt;/D&gt;&lt;D xsi:type="xsd:long"&gt;40157&lt;/D&gt;&lt;D xsi:type="xsd:long"&gt;40156&lt;/D&gt;&lt;D xsi:type="xsd:long"&gt;40155&lt;/D&gt;&lt;D xsi:type="xsd:long"&gt;40154&lt;/D&gt;&lt;D xsi:type="xsd:long"&gt;40151&lt;/D&gt;&lt;D xsi:type="xsd:long"&gt;40150&lt;/D&gt;&lt;D xsi:type="xsd:long"&gt;40149&lt;/D&gt;&lt;D xsi:type="xsd:long"&gt;40148&lt;/D&gt;&lt;D xsi:type="xsd:long"&gt;40147&lt;/D&gt;&lt;D xsi:type="xsd:long"&gt;40144&lt;/D&gt;&lt;D xsi:type="xsd:long"&gt;40142&lt;/D&gt;&lt;D xsi:type="xsd:long"&gt;40141&lt;/D&gt;&lt;D xsi:type="xsd:long"&gt;40140&lt;/D&gt;&lt;D xsi:type="xsd:long"&gt;40137&lt;/D&gt;&lt;D xsi:type="xsd:long"&gt;40136&lt;/D&gt;&lt;D xsi:type="xsd:long"&gt;40135&lt;/D&gt;&lt;D xsi:type="xsd:long"&gt;40134&lt;/D&gt;&lt;D xsi:type="xsd:long"&gt;40133&lt;/D&gt;&lt;D xsi:type="xsd:long"&gt;40130&lt;/D&gt;&lt;D xsi:type="xsd:long"&gt;40129&lt;/D&gt;&lt;D xsi:type="xsd:long"&gt;40128&lt;/D&gt;&lt;D xsi:type="xsd:long"&gt;40127&lt;/D&gt;&lt;D xsi:type="xsd:long"&gt;40126&lt;/D&gt;&lt;D xsi:type="xsd:long"&gt;40123&lt;/D&gt;&lt;D xsi:type="xsd:long"&gt;40122&lt;/D&gt;&lt;D xsi:type="xsd:long"&gt;40121&lt;/D&gt;&lt;D xsi:type="xsd:long"&gt;40120&lt;/D&gt;&lt;D xsi:type="xsd:long"&gt;40119&lt;/D&gt;&lt;D xsi:type="xsd:long"&gt;40116&lt;/D&gt;&lt;D xsi:type="xsd:long"&gt;40115&lt;/D&gt;&lt;D xsi:type="xsd:long"&gt;40114&lt;/D&gt;&lt;D xsi:type="xsd:long"&gt;40113&lt;/D&gt;&lt;D xsi:type="xsd:long"&gt;40112&lt;/D&gt;&lt;D xsi:type="xsd:long"&gt;40109&lt;/D&gt;&lt;D xsi:type="xsd:long"&gt;40108&lt;/D&gt;&lt;D xsi:type="xsd:long"&gt;40107&lt;/D&gt;&lt;D xsi:type="xsd:long"&gt;40106&lt;/D&gt;&lt;D xsi:type="xsd:long"&gt;40105&lt;/D&gt;&lt;D xsi:type="xsd:long"&gt;40102&lt;/D&gt;&lt;D xsi:type="xsd:long"&gt;40101&lt;/D&gt;&lt;D xsi:type="xsd:long"&gt;40100&lt;/D&gt;&lt;D xsi:type="xsd:long"&gt;40099&lt;/D&gt;&lt;D xsi:type="xsd:long"&gt;40098&lt;/D&gt;&lt;D xsi:type="xsd:long"&gt;40095&lt;/D&gt;&lt;D xsi:type="xsd:long"&gt;40094&lt;/D&gt;&lt;D xsi:type="xsd:long"&gt;40093&lt;/D&gt;&lt;D xsi:type="xsd:long"&gt;40092&lt;/D&gt;&lt;D xsi:type="xsd:long"&gt;40091&lt;/D&gt;&lt;D xsi:type="xsd:long"&gt;40088&lt;/D&gt;&lt;D xsi:type="xsd:long"&gt;40087&lt;/D&gt;&lt;D xsi:type="xsd:long"&gt;40086&lt;/D&gt;&lt;D xsi:type="xsd:long"&gt;40085&lt;/D&gt;&lt;D xsi:type="xsd:long"&gt;40084&lt;/D&gt;&lt;D xsi:type="xsd:long"&gt;40081&lt;/D&gt;&lt;D xsi:type="xsd:long"&gt;40080&lt;/D&gt;&lt;D xsi:type="xsd:long"&gt;40079&lt;/D&gt;&lt;D xsi:type="xsd:long"&gt;40078&lt;/D&gt;&lt;D xsi:type="xsd:long"&gt;40077&lt;/D&gt;&lt;D xsi:type="xsd:long"&gt;40074&lt;/D&gt;&lt;D xsi:type="xsd:long"&gt;40073&lt;/D&gt;&lt;D xsi:type="xsd:long"&gt;40072&lt;/D&gt;&lt;D xsi:type="xsd:long"&gt;40071&lt;/D&gt;&lt;D xsi:type="xsd:long"&gt;40070&lt;/D&gt;&lt;D xsi:type="xsd:long"&gt;40067&lt;/D&gt;&lt;D xsi:type="xsd:long"&gt;40066&lt;/D&gt;&lt;D xsi:type="xsd:long"&gt;40065&lt;/D&gt;&lt;D xsi:type="xsd:long"&gt;40064&lt;/D&gt;&lt;D xsi:type="xsd:long"&gt;40060&lt;/D&gt;&lt;D xsi:type="xsd:long"&gt;40059&lt;/D&gt;&lt;D xsi:type="xsd:long"&gt;40058&lt;/D&gt;&lt;D xsi:type="xsd:long"&gt;40057&lt;/D&gt;&lt;D xsi:type="xsd:long"&gt;40056&lt;/D&gt;&lt;D xsi:type="xsd:long"&gt;40053&lt;/D&gt;&lt;D xsi:type="xsd:long"&gt;40052&lt;/D&gt;&lt;D xsi:type="xsd:long"&gt;40051&lt;/D&gt;&lt;D xsi:type="xsd:long"&gt;40050&lt;/D&gt;&lt;D xsi:type="xsd:long"&gt;40049&lt;/D&gt;&lt;D xsi:type="xsd:long"&gt;40046&lt;/D&gt;&lt;D xsi:type="xsd:long"&gt;40045&lt;/D&gt;&lt;D xsi:type="xsd:long"&gt;40044&lt;/D&gt;&lt;D xsi:type="xsd:long"&gt;40043&lt;/D&gt;&lt;D xsi:type="xsd:long"&gt;40042&lt;/D&gt;&lt;D xsi:type="xsd:long"&gt;40039&lt;/D&gt;&lt;D xsi:type="xsd:long"&gt;40038&lt;/D&gt;&lt;D xsi:type="xsd:long"&gt;40037&lt;/D&gt;&lt;D xsi:type="xsd:long"&gt;40036&lt;/D&gt;&lt;D xsi:type="xsd:long"&gt;40035&lt;/D&gt;&lt;D xsi:type="xsd:long"&gt;40032&lt;/D&gt;&lt;D xsi:type="xsd:long"&gt;40031&lt;/D&gt;&lt;D xsi:type="xsd:long"&gt;40030&lt;/D&gt;&lt;D xsi:type="xsd:long"&gt;40029&lt;/D&gt;&lt;D xsi:type="xsd:long"&gt;40028&lt;/D&gt;&lt;D xsi:type="xsd:long"&gt;40025&lt;/D&gt;&lt;D xsi:type="xsd:long"&gt;40024&lt;/D&gt;&lt;D xsi:type="xsd:long"&gt;40023&lt;/D&gt;&lt;D xsi:type="xsd:long"&gt;40022&lt;/D&gt;&lt;D xsi:type="xsd:long"&gt;40021&lt;/D&gt;&lt;D xsi:type="xsd:long"&gt;40018&lt;/D&gt;&lt;D xsi:type="xsd:long"&gt;40017&lt;/D&gt;&lt;D xsi:type="xsd:long"&gt;40016&lt;/D&gt;&lt;D xsi:type="xsd:long"&gt;40015&lt;/D&gt;&lt;D xsi:type="xsd:long"&gt;40014&lt;/D&gt;&lt;D xsi:type="xsd:long"&gt;40011&lt;/D&gt;&lt;D xsi:type="xsd:long"&gt;40010&lt;/D&gt;&lt;D xsi:type="xsd:long"&gt;40009&lt;/D&gt;&lt;D xsi:type="xsd:long"&gt;40008&lt;/D&gt;&lt;D xsi:type="xsd:long"&gt;40007&lt;/D&gt;&lt;D xsi:type="xsd:long"&gt;40004&lt;/D&gt;&lt;D xsi:type="xsd:long"&gt;40003&lt;/D&gt;&lt;D xsi:type="xsd:long"&gt;40002&lt;/D&gt;&lt;D xsi:type="xsd:long"&gt;40001&lt;/D&gt;&lt;D xsi:type="xsd:long"&gt;40000&lt;/D&gt;&lt;D xsi:type="xsd:long"&gt;39996&lt;/D&gt;&lt;D xsi:type="xsd:long"&gt;39995&lt;/D&gt;&lt;D xsi:type="xsd:long"&gt;39994&lt;/D&gt;&lt;D xsi:type="xsd:long"&gt;39993&lt;/D&gt;&lt;D xsi:type="xsd:long"&gt;39990&lt;/D&gt;&lt;D xsi:type="xsd:long"&gt;39989&lt;/D&gt;&lt;D xsi:type="xsd:long"&gt;39988&lt;/D&gt;&lt;D xsi:type="xsd:long"&gt;39987&lt;/D&gt;&lt;D xsi:type="xsd:long"&gt;39986&lt;/D&gt;&lt;D xsi:type="xsd:long"&gt;39983&lt;/D&gt;&lt;D xsi:type="xsd:long"&gt;39982&lt;/D&gt;&lt;D xsi:type="xsd:long"&gt;39981&lt;/D&gt;&lt;D xsi:type="xsd:long"&gt;39980&lt;/D&gt;&lt;D xsi:type="xsd:long"&gt;39979&lt;/D&gt;&lt;D xsi:type="xsd:long"&gt;39976&lt;/D&gt;&lt;D xsi:type="xsd:long"&gt;39975&lt;/D&gt;&lt;D xsi:type="xsd:long"&gt;39974&lt;/D&gt;&lt;D xsi:type="xsd:long"&gt;39973&lt;/D&gt;&lt;D xsi:type="xsd:long"&gt;39972&lt;/D&gt;&lt;D xsi:type="xsd:long"&gt;39969&lt;/D&gt;&lt;D xsi:type="xsd:long"&gt;39968&lt;/D&gt;&lt;D xsi:type="xsd:long"&gt;39967&lt;/D&gt;&lt;D xsi:type="xsd:long"&gt;39966&lt;/D&gt;&lt;D xsi:type="xsd:long"&gt;39965&lt;/D&gt;&lt;D xsi:type="xsd:long"&gt;39962&lt;/D&gt;&lt;D xsi:type="xsd:long"&gt;39961&lt;/D&gt;&lt;D xsi:type="xsd:long"&gt;39960&lt;/D&gt;&lt;D xsi:type="xsd:long"&gt;39959&lt;/D&gt;&lt;D xsi:type="xsd:long"&gt;39955&lt;/D&gt;&lt;D xsi:type="xsd:long"&gt;39954&lt;/D&gt;&lt;D xsi:type="xsd:long"&gt;39953&lt;/D&gt;&lt;D xsi:type="xsd:long"&gt;39952&lt;/D&gt;&lt;D xsi:type="xsd:long"&gt;39951&lt;/D&gt;&lt;D xsi:type="xsd:long"&gt;39948&lt;/D&gt;&lt;D xsi:type="xsd:long"&gt;39947&lt;/D&gt;&lt;D xsi:type="xsd:long"&gt;39946&lt;/D&gt;&lt;D xsi:type="xsd:long"&gt;39945&lt;/D&gt;&lt;D xsi:type="xsd:long"&gt;39944&lt;/D&gt;&lt;D xsi:type="xsd:long"&gt;39941&lt;/D&gt;&lt;D xsi:type="xsd:long"&gt;39940&lt;/D&gt;&lt;D xsi:type="xsd:long"&gt;39939&lt;/D&gt;&lt;D xsi:type="xsd:long"&gt;39938&lt;/D&gt;&lt;D xsi:type="xsd:long"&gt;39937&lt;/D&gt;&lt;D xsi:type="xsd:long"&gt;39934&lt;/D&gt;&lt;D xsi:type="xsd:long"&gt;39933&lt;/D&gt;&lt;D xsi:type="xsd:long"&gt;39932&lt;/D&gt;&lt;D xsi:type="xsd:long"&gt;39931&lt;/D&gt;&lt;D xsi:type="xsd:long"&gt;39930&lt;/D&gt;&lt;D xsi:type="xsd:long"&gt;39927&lt;/D&gt;&lt;D xsi:type="xsd:long"&gt;39926&lt;/D&gt;&lt;D xsi:type="xsd:long"&gt;39925&lt;/D&gt;&lt;D xsi:type="xsd:long"&gt;39924&lt;/D&gt;&lt;D xsi:type="xsd:long"&gt;39923&lt;/D&gt;&lt;D xsi:type="xsd:long"&gt;39920&lt;/D&gt;&lt;D xsi:type="xsd:long"&gt;39919&lt;/D&gt;&lt;D xsi:type="xsd:long"&gt;39918&lt;/D&gt;&lt;D xsi:type="xsd:long"&gt;39917&lt;/D&gt;&lt;D xsi:type="xsd:long"&gt;39916&lt;/D&gt;&lt;D xsi:type="xsd:long"&gt;39912&lt;/D&gt;&lt;D xsi:type="xsd:long"&gt;39911&lt;/D&gt;&lt;D xsi:type="xsd:long"&gt;39910&lt;/D&gt;&lt;D xsi:type="xsd:long"&gt;39909&lt;/D&gt;&lt;D xsi:type="xsd:long"&gt;39906&lt;/D&gt;&lt;D xsi:type="xsd:long"&gt;39905&lt;/D&gt;&lt;D xsi:type="xsd:long"&gt;39904&lt;/D&gt;&lt;D xsi:type="xsd:long"&gt;39903&lt;/D&gt;&lt;D xsi:type="xsd:long"&gt;39902&lt;/D&gt;&lt;D xsi:type="xsd:long"&gt;39899&lt;/D&gt;&lt;D xsi:type="xsd:long"&gt;39898&lt;/D&gt;&lt;D xsi:type="xsd:long"&gt;39897&lt;/D&gt;&lt;D xsi:type="xsd:long"&gt;39896&lt;/D&gt;&lt;D xsi:type="xsd:long"&gt;39895&lt;/D&gt;&lt;D xsi:type="xsd:long"&gt;39892&lt;/D&gt;&lt;D xsi:type="xsd:long"&gt;39891&lt;/D&gt;&lt;D xsi:type="xsd:long"&gt;39890&lt;/D&gt;&lt;D xsi:type="xsd:long"&gt;39889&lt;/D&gt;&lt;D xsi:type="xsd:long"&gt;39888&lt;/D&gt;&lt;D xsi:type="xsd:long"&gt;39885&lt;/D&gt;&lt;D xsi:type="xsd:long"&gt;39884&lt;/D&gt;&lt;D xsi:type="xsd:long"&gt;39883&lt;/D&gt;&lt;D xsi:type="xsd:long"&gt;39882&lt;/D&gt;&lt;D xsi:type="xsd:long"&gt;39881&lt;/D&gt;&lt;D xsi:type="xsd:long"&gt;39878&lt;/D&gt;&lt;D xsi:type="xsd:long"&gt;39877&lt;/D&gt;&lt;D xsi:type="xsd:long"&gt;39876&lt;/D&gt;&lt;D xsi:type="xsd:long"&gt;39875&lt;/D&gt;&lt;D xsi:type="xsd:long"&gt;39874&lt;/D&gt;&lt;D xsi:type="xsd:long"&gt;39871&lt;/D&gt;&lt;D xsi:type="xsd:long"&gt;39870&lt;/D&gt;&lt;D xsi:type="xsd:long"&gt;39869&lt;/D&gt;&lt;D xsi:type="xsd:long"&gt;39868&lt;/D&gt;&lt;D xsi:type="xsd:long"&gt;39867&lt;/D&gt;&lt;D xsi:type="xsd:long"&gt;39864&lt;/D&gt;&lt;D xsi:type="xsd:long"&gt;39863&lt;/D&gt;&lt;D xsi:type="xsd:long"&gt;39862&lt;/D&gt;&lt;D xsi:type="xsd:long"&gt;39861&lt;/D&gt;&lt;D xsi:type="xsd:long"&gt;39857&lt;/D&gt;&lt;D xsi:type="xsd:long"&gt;39856&lt;/D&gt;&lt;D xsi:type="xsd:long"&gt;39855&lt;/D&gt;&lt;D xsi:type="xsd:long"&gt;39854&lt;/D&gt;&lt;D xsi:type="xsd:long"&gt;39853&lt;/D&gt;&lt;D xsi:type="xsd:long"&gt;39850&lt;/D&gt;&lt;D xsi:type="xsd:long"&gt;39849&lt;/D&gt;&lt;D xsi:type="xsd:long"&gt;39848&lt;/D&gt;&lt;D xsi:type="xsd:long"&gt;39847&lt;/D&gt;&lt;D xsi:type="xsd:long"&gt;39846&lt;/D&gt;&lt;D xsi:type="xsd:long"&gt;39843&lt;/D&gt;&lt;D xsi:type="xsd:long"&gt;39842&lt;/D&gt;&lt;D xsi:type="xsd:long"&gt;39841&lt;/D&gt;&lt;D xsi:type="xsd:long"&gt;39840&lt;/D&gt;&lt;D xsi:type="xsd:long"&gt;39839&lt;/D&gt;&lt;D xsi:type="xsd:long"&gt;39836&lt;/D&gt;&lt;D xsi:type="xsd:long"&gt;39835&lt;/D&gt;&lt;D xsi:type="xsd:long"&gt;39834&lt;/D&gt;&lt;D xsi:type="xsd:long"&gt;39833&lt;/D&gt;&lt;D xsi:type="xsd:long"&gt;39829&lt;/D&gt;&lt;D xsi:type="xsd:long"&gt;39828&lt;/D&gt;&lt;D xsi:type="xsd:long"&gt;39827&lt;/D&gt;&lt;D xsi:type="xsd:long"&gt;39826&lt;/D&gt;&lt;D xsi:type="xsd:long"&gt;39825&lt;/D&gt;&lt;D xsi:type="xsd:long"&gt;39822&lt;/D&gt;&lt;D xsi:type="xsd:long"&gt;39821&lt;/D&gt;&lt;D xsi:type="xsd:long"&gt;39820&lt;/D&gt;&lt;D xsi:type="xsd:long"&gt;39819&lt;/D&gt;&lt;D xsi:type="xsd:long"&gt;39818&lt;/D&gt;&lt;D xsi:type="xsd:long"&gt;39815&lt;/D&gt;&lt;D xsi:type="xsd:long"&gt;39813&lt;/D&gt;&lt;D xsi:type="xsd:long"&gt;39812&lt;/D&gt;&lt;D xsi:type="xsd:long"&gt;39811&lt;/D&gt;&lt;D xsi:type="xsd:long"&gt;39808&lt;/D&gt;&lt;D xsi:type="xsd:long"&gt;39806&lt;/D&gt;&lt;D xsi:type="xsd:long"&gt;39805&lt;/D&gt;&lt;D xsi:type="xsd:long"&gt;39804&lt;/D&gt;&lt;D xsi:type="xsd:long"&gt;39801&lt;/D&gt;&lt;D xsi:type="xsd:long"&gt;39800&lt;/D&gt;&lt;D xsi:type="xsd:long"&gt;39799&lt;/D&gt;&lt;D xsi:type="xsd:long"&gt;39798&lt;/D&gt;&lt;D xsi:type="xsd:long"&gt;39797&lt;/D&gt;&lt;D xsi:type="xsd:long"&gt;39794&lt;/D&gt;&lt;D xsi:type="xsd:long"&gt;39793&lt;/D&gt;&lt;D xsi:type="xsd:long"&gt;39792&lt;/D&gt;&lt;D xsi:type="xsd:long"&gt;39791&lt;/D&gt;&lt;D xsi:type="xsd:long"&gt;39790&lt;/D&gt;&lt;D xsi:type="xsd:long"&gt;39787&lt;/D&gt;&lt;D xsi:type="xsd:long"&gt;39786&lt;/D&gt;&lt;D xsi:type="xsd:long"&gt;39785&lt;/D&gt;&lt;D xsi:type="xsd:long"&gt;39784&lt;/D&gt;&lt;D xsi:type="xsd:long"&gt;39783&lt;/D&gt;&lt;D xsi:type="xsd:long"&gt;39780&lt;/D&gt;&lt;D xsi:type="xsd:long"&gt;39778&lt;/D&gt;&lt;D xsi:type="xsd:long"&gt;39777&lt;/D&gt;&lt;D xsi:type="xsd:long"&gt;39776&lt;/D&gt;&lt;D xsi:type="xsd:long"&gt;39773&lt;/D&gt;&lt;D xsi:type="xsd:long"&gt;39772&lt;/D&gt;&lt;D xsi:type="xsd:long"&gt;39771&lt;/D&gt;&lt;D xsi:type="xsd:long"&gt;39770&lt;/D&gt;&lt;D xsi:type="xsd:long"&gt;39769&lt;/D&gt;&lt;D xsi:type="xsd:long"&gt;39766&lt;/D&gt;&lt;D xsi:type="xsd:long"&gt;39765&lt;/D&gt;&lt;D xsi:type="xsd:long"&gt;39764&lt;/D&gt;&lt;D xsi:type="xsd:long"&gt;39763&lt;/D&gt;&lt;D xsi:type="xsd:long"&gt;39762&lt;/D&gt;&lt;D xsi:type="xsd:long"&gt;39759&lt;/D&gt;&lt;D xsi:type="xsd:long"&gt;39758&lt;/D&gt;&lt;D xsi:type="xsd:long"&gt;39757&lt;/D&gt;&lt;D xsi:type="xsd:long"&gt;39756&lt;/D&gt;&lt;D xsi:type="xsd:long"&gt;39755&lt;/D&gt;&lt;D xsi:type="xsd:long"&gt;39752&lt;/D&gt;&lt;D xsi:type="xsd:long"&gt;39751&lt;/D&gt;&lt;D xsi:type="xsd:long"&gt;39750&lt;/D&gt;&lt;D xsi:type="xsd:long"&gt;39749&lt;/D&gt;&lt;D xsi:type="xsd:long"&gt;39748&lt;/D&gt;&lt;D xsi:type="xsd:long"&gt;39745&lt;/D&gt;&lt;D xsi:type="xsd:long"&gt;39744&lt;/D&gt;&lt;D xsi:type="xsd:long"&gt;39743&lt;/D&gt;&lt;D xsi:type="xsd:long"&gt;39742&lt;/D&gt;&lt;D xsi:type="xsd:long"&gt;39741&lt;/D&gt;&lt;D xsi:type="xsd:long"&gt;39738&lt;/D&gt;&lt;D xsi:type="xsd:long"&gt;39737&lt;/D&gt;&lt;D xsi:type="xsd:long"&gt;39736&lt;/D&gt;&lt;D xsi:type="xsd:long"&gt;39735&lt;/D&gt;&lt;D xsi:type="xsd:long"&gt;39734&lt;/D&gt;&lt;D xsi:type="xsd:long"&gt;39731&lt;/D&gt;&lt;D xsi:type="xsd:long"&gt;39730&lt;/D&gt;&lt;D xsi:type="xsd:long"&gt;39729&lt;/D&gt;&lt;D xsi:type="xsd:long"&gt;39728&lt;/D&gt;&lt;D xsi:type="xsd:long"&gt;39727&lt;/D&gt;&lt;D xsi:type="xsd:long"&gt;39724&lt;/D&gt;&lt;D xsi:type="xsd:long"&gt;39723&lt;/D&gt;&lt;D xsi:type="xsd:long"&gt;39722&lt;/D&gt;&lt;D xsi:type="xsd:long"&gt;39721&lt;/D&gt;&lt;D xsi:type="xsd:long"&gt;39720&lt;/D&gt;&lt;D xsi:type="xsd:long"&gt;39717&lt;/D&gt;&lt;D xsi:type="xsd:long"&gt;39716&lt;/D&gt;&lt;D xsi:type="xsd:long"&gt;39715&lt;/D&gt;&lt;D xsi:type="xsd:long"&gt;39714&lt;/D&gt;&lt;D xsi:type="xsd:long"&gt;39713&lt;/D&gt;&lt;D xsi:type="xsd:long"&gt;39710&lt;/D&gt;&lt;D xsi:type="xsd:long"&gt;39709&lt;/D&gt;&lt;D xsi:type="xsd:long"&gt;39708&lt;/D&gt;&lt;D xsi:type="xsd:long"&gt;39707&lt;/D&gt;&lt;D xsi:type="xsd:long"&gt;39706&lt;/D&gt;&lt;D xsi:type="xsd:long"&gt;39703&lt;/D&gt;&lt;D xsi:type="xsd:long"&gt;39702&lt;/D&gt;&lt;D xsi:type="xsd:long"&gt;39701&lt;/D&gt;&lt;D xsi:type="xsd:long"&gt;39700&lt;/D&gt;&lt;D xsi:type="xsd:long"&gt;39699&lt;/D&gt;&lt;D xsi:type="xsd:long"&gt;39696&lt;/D&gt;&lt;D xsi:type="xsd:long"&gt;39695&lt;/D&gt;&lt;D xsi:type="xsd:long"&gt;39694&lt;/D&gt;&lt;D xsi:type="xsd:long"&gt;39693&lt;/D&gt;&lt;D xsi:type="xsd:long"&gt;39689&lt;/D&gt;&lt;D xsi:type="xsd:long"&gt;39688&lt;/D&gt;&lt;D xsi:type="xsd:long"&gt;39687&lt;/D&gt;&lt;D xsi:type="xsd:long"&gt;39686&lt;/D&gt;&lt;D xsi:type="xsd:long"&gt;39685&lt;/D&gt;&lt;D xsi:type="xsd:long"&gt;39682&lt;/D&gt;&lt;D xsi:type="xsd:long"&gt;39681&lt;/D&gt;&lt;D xsi:type="xsd:long"&gt;39680&lt;/D&gt;&lt;D xsi:type="xsd:long"&gt;39679&lt;/D&gt;&lt;D xsi:type="xsd:long"&gt;39678&lt;/D&gt;&lt;D xsi:type="xsd:long"&gt;39675&lt;/D&gt;&lt;D xsi:type="xsd:long"&gt;39674&lt;/D&gt;&lt;D xsi:type="xsd:long"&gt;39673&lt;/D&gt;&lt;D xsi:type="xsd:long"&gt;39672&lt;/D&gt;&lt;D xsi:type="xsd:long"&gt;39671&lt;/D&gt;&lt;D xsi:type="xsd:long"&gt;39668&lt;/D&gt;&lt;D xsi:type="xsd:long"&gt;39667&lt;/D&gt;&lt;D xsi:type="xsd:long"&gt;39666&lt;/D&gt;&lt;D xsi:type="xsd:long"&gt;39665&lt;/D&gt;&lt;D xsi:type="xsd:long"&gt;39664&lt;/D&gt;&lt;D xsi:type="xsd:long"&gt;39661&lt;/D&gt;&lt;D xsi:type="xsd:long"&gt;39660&lt;/D&gt;&lt;D xsi:type="xsd:long"&gt;39659&lt;/D&gt;&lt;D xsi:type="xsd:long"&gt;39658&lt;/D&gt;&lt;D xsi:type="xsd:long"&gt;39657&lt;/D&gt;&lt;D xsi:type="xsd:long"&gt;39654&lt;/D&gt;&lt;D xsi:type="xsd:long"&gt;39653&lt;/D&gt;&lt;D xsi:type="xsd:long"&gt;39652&lt;/D&gt;&lt;D xsi:type="xsd:long"&gt;39651&lt;/D&gt;&lt;D xsi:type="xsd:long"&gt;39650&lt;/D&gt;&lt;D xsi:type="xsd:long"&gt;39647&lt;/D&gt;&lt;D xsi:type="xsd:long"&gt;39646&lt;/D&gt;&lt;D xsi:type="xsd:long"&gt;39645&lt;/D&gt;&lt;D xsi:type="xsd:long"&gt;39644&lt;/D&gt;&lt;D xsi:type="xsd:long"&gt;39643&lt;/D&gt;&lt;D xsi:type="xsd:long"&gt;39640&lt;/D&gt;&lt;D xsi:type="xsd:long"&gt;39639&lt;/D&gt;&lt;D xsi:type="xsd:long"&gt;39638&lt;/D&gt;&lt;D xsi:type="xsd:long"&gt;39637&lt;/D&gt;&lt;D xsi:type="xsd:long"&gt;39636&lt;/D&gt;&lt;D xsi:type="xsd:long"&gt;39632&lt;/D&gt;&lt;D xsi:type="xsd:long"&gt;39631&lt;/D&gt;&lt;D xsi:type="xsd:long"&gt;39630&lt;/D&gt;&lt;D xsi:type="xsd:long"&gt;39629&lt;/D&gt;&lt;D xsi:type="xsd:long"&gt;39626&lt;/D&gt;&lt;D xsi:type="xsd:long"&gt;39625&lt;/D&gt;&lt;D xsi:type="xsd:long"&gt;39624&lt;/D&gt;&lt;D xsi:type="xsd:long"&gt;39623&lt;/D&gt;&lt;D xsi:type="xsd:long"&gt;39622&lt;/D&gt;&lt;D xsi:type="xsd:long"&gt;39619&lt;/D&gt;&lt;D xsi:type="xsd:long"&gt;39618&lt;/D&gt;&lt;D xsi:type="xsd:long"&gt;39617&lt;/D&gt;&lt;D xsi:type="xsd:long"&gt;39616&lt;/D&gt;&lt;D xsi:type="xsd:long"&gt;39615&lt;/D&gt;&lt;D xsi:type="xsd:long"&gt;39612&lt;/D&gt;&lt;D xsi:type="xsd:long"&gt;39611&lt;/D&gt;&lt;D xsi:type="xsd:long"&gt;39610&lt;/D&gt;&lt;D xsi:type="xsd:long"&gt;39609&lt;/D&gt;&lt;D xsi:type="xsd:long"&gt;39608&lt;/D&gt;&lt;D xsi:type="xsd:long"&gt;39605&lt;/D&gt;&lt;D xsi:type="xsd:long"&gt;39604&lt;/D&gt;&lt;D xsi:type="xsd:long"&gt;39603&lt;/D&gt;&lt;D xsi:type="xsd:long"&gt;39602&lt;/D&gt;&lt;D xsi:type="xsd:long"&gt;39601&lt;/D&gt;&lt;D xsi:type="xsd:long"&gt;39598&lt;/D&gt;&lt;D xsi:type="xsd:long"&gt;39597&lt;/D&gt;&lt;D xsi:type="xsd:long"&gt;39596&lt;/D&gt;&lt;D xsi:type="xsd:long"&gt;39595&lt;/D&gt;&lt;D xsi:type="xsd:long"&gt;39591&lt;/D&gt;&lt;D xsi:type="xsd:long"&gt;39590&lt;/D&gt;&lt;D xsi:type="xsd:long"&gt;39589&lt;/D&gt;&lt;D xsi:type="xsd:long"&gt;39588&lt;/D&gt;&lt;D xsi:type="xsd:long"&gt;39587&lt;/D&gt;&lt;D xsi:type="xsd:long"&gt;39584&lt;/D&gt;&lt;D xsi:type="xsd:long"&gt;39583&lt;/D&gt;&lt;D xsi:type="xsd:long"&gt;39582&lt;/D&gt;&lt;D xsi:type="xsd:long"&gt;39581&lt;/D&gt;&lt;D xsi:type="xsd:long"&gt;39580&lt;/D&gt;&lt;D xsi:type="xsd:long"&gt;39577&lt;/D&gt;&lt;D xsi:type="xsd:long"&gt;39576&lt;/D&gt;&lt;D xsi:type="xsd:long"&gt;39575&lt;/D&gt;&lt;D xsi:type="xsd:long"&gt;39574&lt;/D&gt;&lt;D xsi:type="xsd:long"&gt;39573&lt;/D&gt;&lt;D xsi:type="xsd:long"&gt;39570&lt;/D&gt;&lt;D xsi:type="xsd:long"&gt;39569&lt;/D&gt;&lt;D xsi:type="xsd:long"&gt;39568&lt;/D&gt;&lt;D xsi:type="xsd:long"&gt;39567&lt;/D&gt;&lt;D xsi:type="xsd:long"&gt;39566&lt;/D&gt;&lt;D xsi:type="xsd:long"&gt;39563&lt;/D&gt;&lt;D xsi:type="xsd:long"&gt;39562&lt;/D&gt;&lt;D xsi:type="xsd:long"&gt;39561&lt;/D&gt;&lt;D xsi:type="xsd:long"&gt;39560&lt;/D&gt;&lt;D xsi:type="xsd:long"&gt;39559&lt;/D&gt;&lt;D xsi:type="xsd:long"&gt;39556&lt;/D&gt;&lt;D xsi:type="xsd:long"&gt;39555&lt;/D&gt;&lt;D xsi:type="xsd:long"&gt;39554&lt;/D&gt;&lt;D xsi:type="xsd:long"&gt;39553&lt;/D&gt;&lt;D xsi:type="xsd:long"&gt;39552&lt;/D&gt;&lt;D xsi:type="xsd:long"&gt;39549&lt;/D&gt;&lt;D xsi:type="xsd:long"&gt;39548&lt;/D&gt;&lt;D xsi:type="xsd:long"&gt;39547&lt;/D&gt;&lt;D xsi:type="xsd:long"&gt;39546&lt;/D&gt;&lt;D xsi:type="xsd:long"&gt;39545&lt;/D&gt;&lt;D xsi:type="xsd:long"&gt;39542&lt;/D&gt;&lt;D xsi:type="xsd:long"&gt;39541&lt;/D&gt;&lt;D xsi:type="xsd:long"&gt;39540&lt;/D&gt;&lt;D xsi:type="xsd:long"&gt;39539&lt;/D&gt;&lt;D xsi:type="xsd:long"&gt;39538&lt;/D&gt;&lt;D xsi:type="xsd:long"&gt;39535&lt;/D&gt;&lt;D xsi:type="xsd:long"&gt;39534&lt;/D&gt;&lt;D xsi:type="xsd:long"&gt;39533&lt;/D&gt;&lt;D xsi:type="xsd:long"&gt;39532&lt;/D&gt;&lt;D xsi:type="xsd:long"&gt;39531&lt;/D&gt;&lt;D xsi:type="xsd:long"&gt;39527&lt;/D&gt;&lt;D xsi:type="xsd:long"&gt;39526&lt;/D&gt;&lt;D xsi:type="xsd:long"&gt;39525&lt;/D&gt;&lt;D xsi:type="xsd:long"&gt;39524&lt;/D&gt;&lt;D xsi:type="xsd:long"&gt;39521&lt;/D&gt;&lt;D xsi:type="xsd:long"&gt;39520&lt;/D&gt;&lt;D xsi:type="xsd:long"&gt;39519&lt;/D&gt;&lt;D xsi:type="xsd:long"&gt;39518&lt;/D&gt;&lt;D xsi:type="xsd:long"&gt;39517&lt;/D&gt;&lt;D xsi:type="xsd:long"&gt;39514&lt;/D&gt;&lt;D xsi:type="xsd:long"&gt;39513&lt;/D&gt;&lt;D xsi:type="xsd:long"&gt;39512&lt;/D&gt;&lt;D xsi:type="xsd:long"&gt;39511&lt;/D&gt;&lt;D xsi:type="xsd:long"&gt;39510&lt;/D&gt;&lt;D xsi:type="xsd:long"&gt;39507&lt;/D&gt;&lt;D xsi:type="xsd:long"&gt;39506&lt;/D&gt;&lt;D xsi:type="xsd:long"&gt;39505&lt;/D&gt;&lt;D xsi:type="xsd:long"&gt;39504&lt;/D&gt;&lt;D xsi:type="xsd:long"&gt;39503&lt;/D&gt;&lt;D xsi:type="xsd:long"&gt;39500&lt;/D&gt;&lt;D xsi:type="xsd:long"&gt;39499&lt;/D&gt;&lt;D xsi:type="xsd:long"&gt;39498&lt;/D&gt;&lt;D xsi:type="xsd:long"&gt;39497&lt;/D&gt;&lt;D xsi:type="xsd:long"&gt;39493&lt;/D&gt;&lt;D xsi:type="xsd:long"&gt;39492&lt;/D&gt;&lt;D xsi:type="xsd:long"&gt;39491&lt;/D&gt;&lt;D xsi:type="xsd:long"&gt;39490&lt;/D&gt;&lt;D xsi:type="xsd:long"&gt;39489&lt;/D&gt;&lt;D xsi:type="xsd:long"&gt;39486&lt;/D&gt;&lt;D xsi:type="xsd:long"&gt;39485&lt;/D&gt;&lt;D xsi:type="xsd:long"&gt;39484&lt;/D&gt;&lt;D xsi:type="xsd:long"&gt;39483&lt;/D&gt;&lt;D xsi:type="xsd:long"&gt;39482&lt;/D&gt;&lt;D xsi:type="xsd:long"&gt;39479&lt;/D&gt;&lt;D xsi:type="xsd:long"&gt;39478&lt;/D&gt;&lt;D xsi:type="xsd:long"&gt;39477&lt;/D&gt;&lt;D xsi:type="xsd:long"&gt;39476&lt;/D&gt;&lt;D xsi:type="xsd:long"&gt;39475&lt;/D&gt;&lt;D xsi:type="xsd:long"&gt;39472&lt;/D&gt;&lt;D xsi:type="xsd:long"&gt;39471&lt;/D&gt;&lt;D xsi:type="xsd:long"&gt;39470&lt;/D&gt;&lt;D xsi:type="xsd:long"&gt;39469&lt;/D&gt;&lt;D xsi:type="xsd:long"&gt;39465&lt;/D&gt;&lt;D xsi:type="xsd:long"&gt;39464&lt;/D&gt;&lt;D xsi:type="xsd:long"&gt;39463&lt;/D&gt;&lt;D xsi:type="xsd:long"&gt;39462&lt;/D&gt;&lt;D xsi:type="xsd:long"&gt;39461&lt;/D&gt;&lt;D xsi:type="xsd:long"&gt;39458&lt;/D&gt;&lt;D xsi:type="xsd:long"&gt;39457&lt;/D&gt;&lt;D xsi:type="xsd:long"&gt;39456&lt;/D&gt;&lt;D xsi:type="xsd:long"&gt;39455&lt;/D&gt;&lt;D xsi:type="xsd:long"&gt;39454&lt;/D&gt;&lt;D xsi:type="xsd:long"&gt;39451&lt;/D&gt;&lt;D xsi:type="xsd:long"&gt;39450&lt;/D&gt;&lt;D xsi:type="xsd:long"&gt;39449&lt;/D&gt;&lt;D xsi:type="xsd:long"&gt;39447&lt;/D&gt;&lt;D xsi:type="xsd:long"&gt;39444&lt;/D&gt;&lt;D xsi:type="xsd:long"&gt;39443&lt;/D&gt;&lt;D xsi:type="xsd:long"&gt;39442&lt;/D&gt;&lt;D xsi:type="xsd:long"&gt;39440&lt;/D&gt;&lt;D xsi:type="xsd:long"&gt;39437&lt;/D&gt;&lt;D xsi:type="xsd:long"&gt;39436&lt;/D&gt;&lt;D xsi:type="xsd:long"&gt;39435&lt;/D&gt;&lt;D xsi:type="xsd:long"&gt;39434&lt;/D&gt;&lt;D xsi:type="xsd:long"&gt;39433&lt;/D&gt;&lt;D xsi:type="xsd:long"&gt;39430&lt;/D&gt;&lt;D xsi:type="xsd:long"&gt;39429&lt;/D&gt;&lt;D xsi:type="xsd:long"&gt;39428&lt;/D&gt;&lt;D xsi:type="xsd:long"&gt;39427&lt;/D&gt;&lt;D xsi:type="xsd:long"&gt;39426&lt;/D&gt;&lt;D xsi:type="xsd:long"&gt;39423&lt;/D&gt;&lt;D xsi:type="xsd:long"&gt;39422&lt;/D&gt;&lt;D xsi:type="xsd:long"&gt;39421&lt;/D&gt;&lt;D xsi:type="xsd:long"&gt;39420&lt;/D&gt;&lt;D xsi:type="xsd:long"&gt;39419&lt;/D&gt;&lt;D xsi:type="xsd:long"&gt;39416&lt;/D&gt;&lt;D xsi:type="xsd:long"&gt;39415&lt;/D&gt;&lt;D xsi:type="xsd:long"&gt;39414&lt;/D&gt;&lt;D xsi:type="xsd:long"&gt;39413&lt;/D&gt;&lt;D xsi:type="xsd:long"&gt;39412&lt;/D&gt;&lt;D xsi:type="xsd:long"&gt;39409&lt;/D&gt;&lt;D xsi:type="xsd:long"&gt;39407&lt;/D&gt;&lt;D xsi:type="xsd:long"&gt;39406&lt;/D&gt;&lt;D xsi:type="xsd:long"&gt;39405&lt;/D&gt;&lt;D xsi:type="xsd:long"&gt;39402&lt;/D&gt;&lt;D xsi:type="xsd:long"&gt;39401&lt;/D&gt;&lt;D xsi:type="xsd:long"&gt;39400&lt;/D&gt;&lt;D xsi:type="xsd:long"&gt;39399&lt;/D&gt;&lt;D xsi:type="xsd:long"&gt;39398&lt;/D&gt;&lt;D xsi:type="xsd:long"&gt;39395&lt;/D&gt;&lt;D xsi:type="xsd:long"&gt;39394&lt;/D&gt;&lt;D xsi:type="xsd:long"&gt;39393&lt;/D&gt;&lt;D xsi:type="xsd:long"&gt;39392&lt;/D&gt;&lt;D xsi:type="xsd:long"&gt;39391&lt;/D&gt;&lt;D xsi:type="xsd:long"&gt;39388&lt;/D&gt;&lt;D xsi:type="xsd:long"&gt;39387&lt;/D&gt;&lt;D xsi:type="xsd:long"&gt;39386&lt;/D&gt;&lt;D xsi:type="xsd:long"&gt;39385&lt;/D&gt;&lt;D xsi:type="xsd:long"&gt;39384&lt;/D&gt;&lt;D xsi:type="xsd:long"&gt;39381&lt;/D&gt;&lt;D xsi:type="xsd:long"&gt;39380&lt;/D&gt;&lt;D xsi:type="xsd:long"&gt;39379&lt;/D&gt;&lt;D xsi:type="xsd:long"&gt;39378&lt;/D&gt;&lt;D xsi:type="xsd:long"&gt;39377&lt;/D&gt;&lt;D xsi:type="xsd:long"&gt;39374&lt;/D&gt;&lt;D xsi:type="xsd:long"&gt;39373&lt;/D&gt;&lt;D xsi:type="xsd:long"&gt;39372&lt;/D&gt;&lt;D xsi:type="xsd:long"&gt;39371&lt;/D&gt;&lt;D xsi:type="xsd:long"&gt;39370&lt;/D&gt;&lt;D xsi:type="xsd:long"&gt;39367&lt;/D&gt;&lt;D xsi:type="xsd:long"&gt;39366&lt;/D&gt;&lt;D xsi:type="xsd:long"&gt;39365&lt;/D&gt;&lt;D xsi:type="xsd:long"&gt;39364&lt;/D&gt;&lt;D xsi:type="xsd:long"&gt;39363&lt;/D&gt;&lt;D xsi:type="xsd:long"&gt;39360&lt;/D&gt;&lt;D xsi:type="xsd:long"&gt;39359&lt;/D&gt;&lt;D xsi:type="xsd:long"&gt;39358&lt;/D&gt;&lt;D xsi:type="xsd:long"&gt;39357&lt;/D&gt;&lt;D xsi:type="xsd:long"&gt;39356&lt;/D&gt;&lt;D xsi:type="xsd:long"&gt;39353&lt;/D&gt;&lt;D xsi:type="xsd:long"&gt;39352&lt;/D&gt;&lt;D xsi:type="xsd:long"&gt;39351&lt;/D&gt;&lt;D xsi:type="xsd:long"&gt;39350&lt;/D&gt;&lt;D xsi:type="xsd:long"&gt;39349&lt;/D&gt;&lt;D xsi:type="xsd:long"&gt;39346&lt;/D&gt;&lt;D xsi:type="xsd:long"&gt;39345&lt;/D&gt;&lt;D xsi:type="xsd:long"&gt;39344&lt;/D&gt;&lt;D xsi:type="xsd:long"&gt;39343&lt;/D&gt;&lt;D xsi:type="xsd:long"&gt;39342&lt;/D&gt;&lt;D xsi:type="xsd:long"&gt;39339&lt;/D&gt;&lt;D xsi:type="xsd:long"&gt;39338&lt;/D&gt;&lt;D xsi:type="xsd:long"&gt;39337&lt;/D&gt;&lt;D xsi:type="xsd:long"&gt;39336&lt;/D&gt;&lt;D xsi:type="xsd:long"&gt;39335&lt;/D&gt;&lt;D xsi:type="xsd:long"&gt;39332&lt;/D&gt;&lt;D xsi:type="xsd:long"&gt;39331&lt;/D&gt;&lt;D xsi:type="xsd:long"&gt;39330&lt;/D&gt;&lt;D xsi:type="xsd:long"&gt;39329&lt;/D&gt;&lt;D xsi:type="xsd:long"&gt;39325&lt;/D&gt;&lt;D xsi:type="xsd:long"&gt;39324&lt;/D&gt;&lt;D xsi:type="xsd:long"&gt;39323&lt;/D&gt;&lt;D xsi:type="xsd:long"&gt;39322&lt;/D&gt;&lt;D xsi:type="xsd:long"&gt;39321&lt;/D&gt;&lt;D xsi:type="xsd:long"&gt;39318&lt;/D&gt;&lt;D xsi:type="xsd:long"&gt;39317&lt;/D&gt;&lt;D xsi:type="xsd:long"&gt;39316&lt;/D&gt;&lt;D xsi:type="xsd:long"&gt;39315&lt;/D&gt;&lt;D xsi:type="xsd:long"&gt;39314&lt;/D&gt;&lt;D xsi:type="xsd:long"&gt;39311&lt;/D&gt;&lt;D xsi:type="xsd:long"&gt;39310&lt;/D&gt;&lt;D xsi:type="xsd:long"&gt;39309&lt;/D&gt;&lt;D xsi:type="xsd:long"&gt;39308&lt;/D&gt;&lt;D xsi:type="xsd:long"&gt;39307&lt;/D&gt;&lt;D xsi:type="xsd:long"&gt;39304&lt;/D&gt;&lt;D xsi:type="xsd:long"&gt;39303&lt;/D&gt;&lt;D xsi:type="xsd:long"&gt;39302&lt;/D&gt;&lt;D xsi:type="xsd:long"&gt;39301&lt;/D&gt;&lt;D xsi:type="xsd:long"&gt;39300&lt;/D&gt;&lt;D xsi:type="xsd:long"&gt;39297&lt;/D&gt;&lt;D xsi:type="xsd:long"&gt;39296&lt;/D&gt;&lt;D xsi:type="xsd:long"&gt;39295&lt;/D&gt;&lt;D xsi:type="xsd:long"&gt;39294&lt;/D&gt;&lt;D xsi:type="xsd:long"&gt;39293&lt;/D&gt;&lt;D xsi:type="xsd:long"&gt;39290&lt;/D&gt;&lt;D xsi:type="xsd:long"&gt;39289&lt;/D&gt;&lt;D xsi:type="xsd:long"&gt;39288&lt;/D&gt;&lt;D xsi:type="xsd:long"&gt;39287&lt;/D&gt;&lt;D xsi:type="xsd:long"&gt;39286&lt;/D&gt;&lt;D xsi:type="xsd:long"&gt;39283&lt;/D&gt;&lt;D xsi:type="xsd:long"&gt;39282&lt;/D&gt;&lt;D xsi:type="xsd:long"&gt;39281&lt;/D&gt;&lt;D xsi:type="xsd:long"&gt;39280&lt;/D&gt;&lt;D xsi:type="xsd:long"&gt;39279&lt;/D&gt;&lt;D xsi:type="xsd:long"&gt;39276&lt;/D&gt;&lt;D xsi:type="xsd:long"&gt;39275&lt;/D&gt;&lt;D xsi:type="xsd:long"&gt;39274&lt;/D&gt;&lt;D xsi:type="xsd:long"&gt;39273&lt;/D&gt;&lt;D xsi:type="xsd:long"&gt;39272&lt;/D&gt;&lt;D xsi:type="xsd:long"&gt;39269&lt;/D&gt;&lt;D xsi:type="xsd:long"&gt;39268&lt;/D&gt;&lt;D xsi:type="xsd:long"&gt;39266&lt;/D&gt;&lt;D xsi:type="xsd:long"&gt;39265&lt;/D&gt;&lt;D xsi:type="xsd:long"&gt;39262&lt;/D&gt;&lt;D xsi:type="xsd:long"&gt;39261&lt;/D&gt;&lt;D xsi:type="xsd:long"&gt;39260&lt;/D&gt;&lt;D xsi:type="xsd:long"&gt;39259&lt;/D&gt;&lt;D xsi:type="xsd:long"&gt;39258&lt;/D&gt;&lt;D xsi:type="xsd:long"&gt;39255&lt;/D&gt;&lt;D xsi:type="xsd:long"&gt;39254&lt;/D&gt;&lt;D xsi:type="xsd:long"&gt;39253&lt;/D&gt;&lt;D xsi:type="xsd:long"&gt;39252&lt;/D&gt;&lt;D xsi:type="xsd:long"&gt;39251&lt;/D&gt;&lt;D xsi:type="xsd:long"&gt;39248&lt;/D&gt;&lt;D xsi:type="xsd:long"&gt;39247&lt;/D&gt;&lt;D xsi:type="xsd:long"&gt;39246&lt;/D&gt;&lt;D xsi:type="xsd:long"&gt;39245&lt;/D&gt;&lt;D xsi:type="xsd:long"&gt;39244&lt;/D&gt;&lt;D xsi:type="xsd:long"&gt;39241&lt;/D&gt;&lt;D xsi:type="xsd:long"&gt;39240&lt;/D&gt;&lt;D xsi:type="xsd:long"&gt;39239&lt;/D&gt;&lt;D xsi:type="xsd:long"&gt;39238&lt;/D&gt;&lt;D xsi:type="xsd:long"&gt;39237&lt;/D&gt;&lt;D xsi:type="xsd:long"&gt;39234&lt;/D&gt;&lt;D xsi:type="xsd:long"&gt;39233&lt;/D&gt;&lt;D xsi:type="xsd:long"&gt;39232&lt;/D&gt;&lt;D xsi:type="xsd:long"&gt;39231&lt;/D&gt;&lt;D xsi:type="xsd:long"&gt;39227&lt;/D&gt;&lt;D xsi:type="xsd:long"&gt;39226&lt;/D&gt;&lt;D xsi:type="xsd:long"&gt;39225&lt;/D&gt;&lt;D xsi:type="xsd:long"&gt;39224&lt;/D&gt;&lt;D xsi:type="xsd:long"&gt;39223&lt;/D&gt;&lt;D xsi:type="xsd:long"&gt;39220&lt;/D&gt;&lt;D xsi:type="xsd:long"&gt;39219&lt;/D&gt;&lt;D xsi:type="xsd:long"&gt;39218&lt;/D&gt;&lt;D xsi:type="xsd:long"&gt;39217&lt;/D&gt;&lt;D xsi:type="xsd:long"&gt;39216&lt;/D&gt;&lt;D xsi:type="xsd:long"&gt;39213&lt;/D&gt;&lt;D xsi:type="xsd:long"&gt;39212&lt;/D&gt;&lt;D xsi:type="xsd:long"&gt;39211&lt;/D&gt;&lt;D xsi:type="xsd:long"&gt;39210&lt;/D&gt;&lt;D xsi:type="xsd:long"&gt;39209&lt;/D&gt;&lt;D xsi:type="xsd:long"&gt;39206&lt;/D&gt;&lt;D xsi:type="xsd:long"&gt;39205&lt;/D&gt;&lt;D xsi:type="xsd:long"&gt;39204&lt;/D&gt;&lt;D xsi:type="xsd:long"&gt;39203&lt;/D&gt;&lt;D xsi:type="xsd:long"&gt;39202&lt;/D&gt;&lt;D xsi:type="xsd:long"&gt;39199&lt;/D&gt;&lt;D xsi:type="xsd:long"&gt;39198&lt;/D&gt;&lt;D xsi:type="xsd:long"&gt;39197&lt;/D&gt;&lt;D xsi:type="xsd:long"&gt;39196&lt;/D&gt;&lt;D xsi:type="xsd:long"&gt;39195&lt;/D&gt;&lt;D xsi:type="xsd:long"&gt;39192&lt;/D&gt;&lt;D xsi:type="xsd:long"&gt;39191&lt;/D&gt;&lt;D xsi:type="xsd:long"&gt;39190&lt;/D&gt;&lt;D xsi:type="xsd:long"&gt;39189&lt;/D&gt;&lt;D xsi:type="xsd:long"&gt;39188&lt;/D&gt;&lt;D xsi:type="xsd:long"&gt;39185&lt;/D&gt;&lt;D xsi:type="xsd:long"&gt;39184&lt;/D&gt;&lt;D xsi:type="xsd:long"&gt;39183&lt;/D&gt;&lt;D xsi:type="xsd:long"&gt;39182&lt;/D&gt;&lt;D xsi:type="xsd:long"&gt;39181&lt;/D&gt;&lt;D xsi:type="xsd:long"&gt;39177&lt;/D&gt;&lt;D xsi:type="xsd:long"&gt;39176&lt;/D&gt;&lt;D xsi:type="xsd:long"&gt;39175&lt;/D&gt;&lt;D xsi:type="xsd:long"&gt;39174&lt;/D&gt;&lt;D xsi:type="xsd:long"&gt;39171&lt;/D&gt;&lt;D xsi:type="xsd:long"&gt;39170&lt;/D&gt;&lt;D xsi:type="xsd:long"&gt;39169&lt;/D&gt;&lt;D xsi:type="xsd:long"&gt;39168&lt;/D&gt;&lt;D xsi:type="xsd:long"&gt;39167&lt;/D&gt;&lt;D xsi:type="xsd:long"&gt;39164&lt;/D&gt;&lt;D xsi:type="xsd:long"&gt;39163&lt;/D&gt;&lt;D xsi:type="xsd:long"&gt;39162&lt;/D&gt;&lt;D xsi:type="xsd:long"&gt;39161&lt;/D&gt;&lt;D xsi:type="xsd:long"&gt;39160&lt;/D&gt;&lt;D xsi:type="xsd:long"&gt;39157&lt;/D&gt;&lt;D xsi:type="xsd:long"&gt;39156&lt;/D&gt;&lt;D xsi:type="xsd:long"&gt;39155&lt;/D&gt;&lt;D xsi:type="xsd:long"&gt;39154&lt;/D&gt;&lt;D xsi:type="xsd:long"&gt;39153&lt;/D&gt;&lt;D xsi:type="xsd:long"&gt;39150&lt;/D&gt;&lt;D xsi:type="xsd:long"&gt;39149&lt;/D&gt;&lt;D xsi:type="xsd:long"&gt;39148&lt;/D&gt;&lt;D xsi:type="xsd:long"&gt;39147&lt;/D&gt;&lt;D xsi:type="xsd:long"&gt;39146&lt;/D&gt;&lt;D xsi:type="xsd:long"&gt;39143&lt;/D&gt;&lt;D xsi:type="xsd:long"&gt;39142&lt;/D&gt;&lt;D xsi:type="xsd:long"&gt;39141&lt;/D&gt;&lt;D xsi:type="xsd:long"&gt;39140&lt;/D&gt;&lt;D xsi:type="xsd:long"&gt;39139&lt;/D&gt;&lt;D xsi:type="xsd:long"&gt;39136&lt;/D&gt;&lt;D xsi:type="xsd:long"&gt;39135&lt;/D&gt;&lt;D xsi:type="xsd:long"&gt;39134&lt;/D&gt;&lt;D xsi:type="xsd:long"&gt;39133&lt;/D&gt;&lt;D xsi:type="xsd:long"&gt;39129&lt;/D&gt;&lt;D xsi:type="xsd:long"&gt;39128&lt;/D&gt;&lt;D xsi:type="xsd:long"&gt;39127&lt;/D&gt;&lt;D xsi:type="xsd:long"&gt;39126&lt;/D&gt;&lt;D xsi:type="xsd:long"&gt;39125&lt;/D&gt;&lt;D xsi:type="xsd:long"&gt;39122&lt;/D&gt;&lt;D xsi:type="xsd:long"&gt;39121&lt;/D&gt;&lt;D xsi:type="xsd:long"&gt;39120&lt;/D&gt;&lt;D xsi:type="xsd:long"&gt;39119&lt;/D&gt;&lt;D xsi:type="xsd:long"&gt;39118&lt;/D&gt;&lt;D xsi:type="xsd:long"&gt;39115&lt;/D&gt;&lt;D xsi:type="xsd:long"&gt;39114&lt;/D&gt;&lt;D xsi:type="xsd:long"&gt;39113&lt;/D&gt;&lt;D xsi:type="xsd:long"&gt;39112&lt;/D&gt;&lt;D xsi:type="xsd:long"&gt;39111&lt;/D&gt;&lt;D xsi:type="xsd:long"&gt;39108&lt;/D&gt;&lt;D xsi:type="xsd:long"&gt;39107&lt;/D&gt;&lt;D xsi:type="xsd:long"&gt;39106&lt;/D&gt;&lt;D xsi:type="xsd:long"&gt;39105&lt;/D&gt;&lt;D xsi:type="xsd:long"&gt;39104&lt;/D&gt;&lt;D xsi:type="xsd:long"&gt;39101&lt;/D&gt;&lt;D xsi:type="xsd:long"&gt;39100&lt;/D&gt;&lt;D xsi:type="xsd:long"&gt;39099&lt;/D&gt;&lt;D xsi:type="xsd:long"&gt;39098&lt;/D&gt;&lt;D xsi:type="xsd:long"&gt;39094&lt;/D&gt;&lt;D xsi:type="xsd:long"&gt;39093&lt;/D&gt;&lt;D xsi:type="xsd:long"&gt;39092&lt;/D&gt;&lt;D xsi:type="xsd:long"&gt;39091&lt;/D&gt;&lt;D xsi:type="xsd:long"&gt;39090&lt;/D&gt;&lt;D xsi:type="xsd:long"&gt;39087&lt;/D&gt;&lt;D xsi:type="xsd:long"&gt;39086&lt;/D&gt;&lt;D xsi:type="xsd:long"&gt;39085&lt;/D&gt;&lt;D xsi:type="xsd:long"&gt;39080&lt;/D&gt;&lt;D xsi:type="xsd:long"&gt;39079&lt;/D&gt;&lt;D xsi:type="xsd:long"&gt;39078&lt;/D&gt;&lt;D xsi:type="xsd:long"&gt;39077&lt;/D&gt;&lt;D xsi:type="xsd:long"&gt;39073&lt;/D&gt;&lt;D xsi:type="xsd:long"&gt;39072&lt;/D&gt;&lt;D xsi:type="xsd:long"&gt;39071&lt;/D&gt;&lt;D xsi:type="xsd:long"&gt;39070&lt;/D&gt;&lt;D xsi:type="xsd:long"&gt;39069&lt;/D&gt;&lt;D xsi:type="xsd:long"&gt;39066&lt;/D&gt;&lt;D xsi:type="xsd:long"&gt;39065&lt;/D&gt;&lt;D xsi:type="xsd:long"&gt;39064&lt;/D&gt;&lt;D xsi:type="xsd:long"&gt;39063&lt;/D&gt;&lt;D xsi:type="xsd:long"&gt;39062&lt;/D&gt;&lt;D xsi:type="xsd:long"&gt;39059&lt;/D&gt;&lt;D xsi:type="xsd:long"&gt;39058&lt;/D&gt;&lt;D xsi:type="xsd:long"&gt;39057&lt;/D&gt;&lt;D xsi:type="xsd:long"&gt;39056&lt;/D&gt;&lt;D xsi:type="xsd:long"&gt;39055&lt;/D&gt;&lt;D xsi:type="xsd:long"&gt;39052&lt;/D&gt;&lt;D xsi:type="xsd:long"&gt;39051&lt;/D&gt;&lt;D xsi:type="xsd:long"&gt;39050&lt;/D&gt;&lt;D xsi:type="xsd:long"&gt;39049&lt;/D&gt;&lt;D xsi:type="xsd:long"&gt;39048&lt;/D&gt;&lt;D xsi:type="xsd:long"&gt;39045&lt;/D&gt;&lt;D xsi:type="xsd:long"&gt;39043&lt;/D&gt;&lt;D xsi:type="xsd:long"&gt;39042&lt;/D&gt;&lt;D xsi:type="xsd:long"&gt;39041&lt;/D&gt;&lt;D xsi:type="xsd:long"&gt;39038&lt;/D&gt;&lt;D xsi:type="xsd:long"&gt;39037&lt;/D&gt;&lt;D xsi:type="xsd:long"&gt;39036&lt;/D&gt;&lt;D xsi:type="xsd:long"&gt;39035&lt;/D&gt;&lt;D xsi:type="xsd:long"&gt;39034&lt;/D&gt;&lt;D xsi:type="xsd:long"&gt;39031&lt;/D&gt;&lt;D xsi:type="xsd:long"&gt;39030&lt;/D&gt;&lt;D xsi:type="xsd:long"&gt;39029&lt;/D&gt;&lt;D xsi:type="xsd:long"&gt;39028&lt;/D&gt;&lt;D xsi:type="xsd:long"&gt;39027&lt;/D&gt;&lt;D xsi:type="xsd:long"&gt;39024&lt;/D&gt;&lt;D xsi:type="xsd:long"&gt;39023&lt;/D&gt;&lt;D xsi:type="xsd:long"&gt;39022&lt;/D&gt;&lt;D xsi:type="xsd:long"&gt;39021&lt;/D&gt;&lt;D xsi:type="xsd:long"&gt;39020&lt;/D&gt;&lt;D xsi:type="xsd:long"&gt;39017&lt;/D&gt;&lt;D xsi:type="xsd:long"&gt;39016&lt;/D&gt;&lt;D xsi:type="xsd:long"&gt;39015&lt;/D&gt;&lt;D xsi:type="xsd:long"&gt;39014&lt;/D&gt;&lt;D xsi:type="xsd:long"&gt;39013&lt;/D&gt;&lt;D xsi:type="xsd:long"&gt;39010&lt;/D&gt;&lt;D xsi:type="xsd:long"&gt;39009&lt;/D&gt;&lt;D xsi:type="xsd:long"&gt;39008&lt;/D&gt;&lt;D xsi:type="xsd:long"&gt;39007&lt;/D&gt;&lt;D xsi:type="xsd:long"&gt;39006&lt;/D&gt;&lt;D xsi:type="xsd:long"&gt;39003&lt;/D&gt;&lt;D xsi:type="xsd:long"&gt;39002&lt;/D&gt;&lt;D xsi:type="xsd:long"&gt;39001&lt;/D&gt;&lt;D xsi:type="xsd:long"&gt;39000&lt;/D&gt;&lt;D xsi:type="xsd:long"&gt;38999&lt;/D&gt;&lt;D xsi:type="xsd:long"&gt;38996&lt;/D&gt;&lt;D xsi:type="xsd:long"&gt;38995&lt;/D&gt;&lt;D xsi:type="xsd:long"&gt;38994&lt;/D&gt;&lt;D xsi:type="xsd:long"&gt;38993&lt;/D&gt;&lt;D xsi:type="xsd:long"&gt;38992&lt;/D&gt;&lt;D xsi:type="xsd:long"&gt;38989&lt;/D&gt;&lt;D xsi:type="xsd:long"&gt;38988&lt;/D&gt;&lt;D xsi:type="xsd:long"&gt;38987&lt;/D&gt;&lt;D xsi:type="xsd:long"&gt;38986&lt;/D&gt;&lt;D xsi:type="xsd:long"&gt;38985&lt;/D&gt;&lt;D xsi:type="xsd:long"&gt;38982&lt;/D&gt;&lt;D xsi:type="xsd:long"&gt;38981&lt;/D&gt;&lt;D xsi:type="xsd:long"&gt;38980&lt;/D&gt;&lt;D xsi:type="xsd:long"&gt;38979&lt;/D&gt;&lt;D xsi:type="xsd:long"&gt;38978&lt;/D&gt;&lt;D xsi:type="xsd:long"&gt;38975&lt;/D&gt;&lt;D xsi:type="xsd:long"&gt;38974&lt;/D&gt;&lt;D xsi:type="xsd:long"&gt;38973&lt;/D&gt;&lt;D xsi:type="xsd:long"&gt;38972&lt;/D&gt;&lt;D xsi:type="xsd:long"&gt;38971&lt;/D&gt;&lt;D xsi:type="xsd:long"&gt;38968&lt;/D&gt;&lt;D xsi:type="xsd:long"&gt;38967&lt;/D&gt;&lt;D xsi:type="xsd:long"&gt;38966&lt;/D&gt;&lt;D xsi:type="xsd:long"&gt;38965&lt;/D&gt;&lt;D xsi:type="xsd:long"&gt;38961&lt;/D&gt;&lt;D xsi:type="xsd:long"&gt;38960&lt;/D&gt;&lt;D xsi:type="xsd:long"&gt;38959&lt;/D&gt;&lt;D xsi:type="xsd:long"&gt;38958&lt;/D&gt;&lt;D xsi:type="xsd:long"&gt;38957&lt;/D&gt;&lt;D xsi:type="xsd:long"&gt;38954&lt;/D&gt;&lt;D xsi:type="xsd:long"&gt;38953&lt;/D&gt;&lt;D xsi:type="xsd:long"&gt;38952&lt;/D&gt;&lt;D xsi:type="xsd:long"&gt;38951&lt;/D&gt;&lt;D xsi:type="xsd:long"&gt;38950&lt;/D&gt;&lt;D xsi:type="xsd:long"&gt;38947&lt;/D&gt;&lt;D xsi:type="xsd:long"&gt;38946&lt;/D&gt;&lt;D xsi:type="xsd:long"&gt;38945&lt;/D&gt;&lt;D xsi:type="xsd:long"&gt;38944&lt;/D&gt;&lt;D xsi:type="xsd:long"&gt;38943&lt;/D&gt;&lt;D xsi:type="xsd:long"&gt;38940&lt;/D&gt;&lt;D xsi:type="xsd:long"&gt;38939&lt;/D&gt;&lt;D xsi:type="xsd:long"&gt;38938&lt;/D&gt;&lt;D xsi:type="xsd:long"&gt;38937&lt;/D&gt;&lt;D xsi:type="xsd:long"&gt;38936&lt;/D&gt;&lt;D xsi:type="xsd:long"&gt;38933&lt;/D&gt;&lt;D xsi:type="xsd:long"&gt;38932&lt;/D&gt;&lt;D xsi:type="xsd:long"&gt;38931&lt;/D&gt;&lt;D xsi:type="xsd:long"&gt;38930&lt;/D&gt;&lt;D xsi:type="xsd:long"&gt;38929&lt;/D&gt;&lt;D xsi:type="xsd:long"&gt;38926&lt;/D&gt;&lt;D xsi:type="xsd:long"&gt;38925&lt;/D&gt;&lt;D xsi:type="xsd:long"&gt;38924&lt;/D&gt;&lt;D xsi:type="xsd:long"&gt;38923&lt;/D&gt;&lt;D xsi:type="xsd:long"&gt;38922&lt;/D&gt;&lt;D xsi:type="xsd:long"&gt;38919&lt;/D&gt;&lt;D xsi:type="xsd:long"&gt;38918&lt;/D&gt;&lt;D xsi:type="xsd:long"&gt;38917&lt;/D&gt;&lt;D xsi:type="xsd:long"&gt;38916&lt;/D&gt;&lt;D xsi:type="xsd:long"&gt;38915&lt;/D&gt;&lt;D xsi:type="xsd:long"&gt;38912&lt;/D&gt;&lt;D xsi:type="xsd:long"&gt;38911&lt;/D&gt;&lt;D xsi:type="xsd:long"&gt;38910&lt;/D&gt;&lt;D xsi:type="xsd:long"&gt;38909&lt;/D&gt;&lt;D xsi:type="xsd:long"&gt;38908&lt;/D&gt;&lt;D xsi:type="xsd:long"&gt;38905&lt;/D&gt;&lt;D xsi:type="xsd:long"&gt;38904&lt;/D&gt;&lt;D xsi:type="xsd:long"&gt;38903&lt;/D&gt;&lt;D xsi:type="xsd:long"&gt;38901&lt;/D&gt;&lt;D xsi:type="xsd:long"&gt;38898&lt;/D&gt;&lt;D xsi:type="xsd:long"&gt;38897&lt;/D&gt;&lt;D xsi:type="xsd:long"&gt;38896&lt;/D&gt;&lt;D xsi:type="xsd:long"&gt;38895&lt;/D&gt;&lt;D xsi:type="xsd:long"&gt;38894&lt;/D&gt;&lt;D xsi:type="xsd:long"&gt;38891&lt;/D&gt;&lt;D xsi:type="xsd:long"&gt;38890&lt;/D&gt;&lt;D xsi:type="xsd:long"&gt;38889&lt;/D&gt;&lt;D xsi:type="xsd:long"&gt;38888&lt;/D&gt;&lt;D xsi:type="xsd:long"&gt;38887&lt;/D&gt;&lt;D xsi:type="xsd:long"&gt;38884&lt;/D&gt;&lt;D xsi:type="xsd:long"&gt;38883&lt;/D&gt;&lt;D xsi:type="xsd:long"&gt;38882&lt;/D&gt;&lt;D xsi:type="xsd:long"&gt;38881&lt;/D&gt;&lt;D xsi:type="xsd:long"&gt;38880&lt;/D&gt;&lt;D xsi:type="xsd:long"&gt;38877&lt;/D&gt;&lt;D xsi:type="xsd:long"&gt;38876&lt;/D&gt;&lt;D xsi:type="xsd:long"&gt;38875&lt;/D&gt;&lt;D xsi:type="xsd:long"&gt;38874&lt;/D&gt;&lt;D xsi:type="xsd:long"&gt;38873&lt;/D&gt;&lt;D xsi:type="xsd:long"&gt;38870&lt;/D&gt;&lt;D xsi:type="xsd:long"&gt;38869&lt;/D&gt;&lt;D xsi:type="xsd:long"&gt;38868&lt;/D&gt;&lt;D xsi:type="xsd:long"&gt;38867&lt;/D&gt;&lt;D xsi:type="xsd:long"&gt;38863&lt;/D&gt;&lt;D xsi:type="xsd:long"&gt;38862&lt;/D&gt;&lt;D xsi:type="xsd:long"&gt;38861&lt;/D&gt;&lt;D xsi:type="xsd:long"&gt;38860&lt;/D&gt;&lt;D xsi:type="xsd:long"&gt;38859&lt;/D&gt;&lt;D xsi:type="xsd:long"&gt;38856&lt;/D&gt;&lt;D xsi:type="xsd:long"&gt;38855&lt;/D&gt;&lt;D xsi:type="xsd:long"&gt;38854&lt;/D&gt;&lt;D xsi:type="xsd:long"&gt;38853&lt;/D&gt;&lt;D xsi:type="xsd:long"&gt;38852&lt;/D&gt;&lt;D xsi:type="xsd:long"&gt;38849&lt;/D&gt;&lt;D xsi:type="xsd:long"&gt;38848&lt;/D&gt;&lt;D xsi:type="xsd:long"&gt;38847&lt;/D&gt;&lt;D xsi:type="xsd:long"&gt;38846&lt;/D&gt;&lt;D xsi:type="xsd:long"&gt;38845&lt;/D&gt;&lt;D xsi:type="xsd:long"&gt;38842&lt;/D&gt;&lt;D xsi:type="xsd:long"&gt;38841&lt;/D&gt;&lt;D xsi:type="xsd:long"&gt;38840&lt;/D&gt;&lt;D xsi:type="xsd:long"&gt;38839&lt;/D&gt;&lt;D xsi:type="xsd:long"&gt;38838&lt;/D&gt;&lt;D xsi:type="xsd:long"&gt;38835&lt;/D&gt;&lt;D xsi:type="xsd:long"&gt;38834&lt;/D&gt;&lt;D xsi:type="xsd:long"&gt;38833&lt;/D&gt;&lt;D xsi:type="xsd:long"&gt;38832&lt;/D&gt;&lt;D xsi:type="xsd:long"&gt;38831&lt;/D&gt;&lt;D xsi:type="xsd:long"&gt;38828&lt;/D&gt;&lt;D xsi:type="xsd:long"&gt;38827&lt;/D&gt;&lt;D xsi:type="xsd:long"&gt;38826&lt;/D&gt;&lt;D xsi:type="xsd:long"&gt;38825&lt;/D&gt;&lt;D xsi:type="xsd:long"&gt;38824&lt;/D&gt;&lt;D xsi:type="xsd:long"&gt;38820&lt;/D&gt;&lt;D xsi:type="xsd:long"&gt;38819&lt;/D&gt;&lt;D xsi:type="xsd:long"&gt;38818&lt;/D&gt;&lt;D xsi:type="xsd:long"&gt;38817&lt;/D&gt;&lt;D </t>
        </r>
      </text>
    </comment>
    <comment ref="A14" authorId="0" shapeId="0">
      <text>
        <r>
          <rPr>
            <b/>
            <sz val="9"/>
            <color indexed="81"/>
            <rFont val="Tahoma"/>
            <family val="2"/>
          </rPr>
          <t>xsi:type="xsd:long"&gt;38814&lt;/D&gt;&lt;D xsi:type="xsd:long"&gt;38813&lt;/D&gt;&lt;D xsi:type="xsd:long"&gt;38812&lt;/D&gt;&lt;D xsi:type="xsd:long"&gt;38811&lt;/D&gt;&lt;D xsi:type="xsd:long"&gt;38810&lt;/D&gt;&lt;D xsi:type="xsd:long"&gt;38807&lt;/D&gt;&lt;D xsi:type="xsd:long"&gt;38806&lt;/D&gt;&lt;D xsi:type="xsd:long"&gt;38805&lt;/D&gt;&lt;D xsi:type="xsd:long"&gt;38804&lt;/D&gt;&lt;D xsi:type="xsd:long"&gt;38803&lt;/D&gt;&lt;D xsi:type="xsd:long"&gt;38800&lt;/D&gt;&lt;D xsi:type="xsd:long"&gt;38799&lt;/D&gt;&lt;D xsi:type="xsd:long"&gt;38798&lt;/D&gt;&lt;D xsi:type="xsd:long"&gt;38797&lt;/D&gt;&lt;D xsi:type="xsd:long"&gt;38796&lt;/D&gt;&lt;D xsi:type="xsd:long"&gt;38793&lt;/D&gt;&lt;D xsi:type="xsd:long"&gt;38792&lt;/D&gt;&lt;D xsi:type="xsd:long"&gt;38791&lt;/D&gt;&lt;D xsi:type="xsd:long"&gt;38790&lt;/D&gt;&lt;D xsi:type="xsd:long"&gt;38789&lt;/D&gt;&lt;D xsi:type="xsd:long"&gt;38786&lt;/D&gt;&lt;D xsi:type="xsd:long"&gt;38785&lt;/D&gt;&lt;D xsi:type="xsd:long"&gt;38784&lt;/D&gt;&lt;D xsi:type="xsd:long"&gt;38783&lt;/D&gt;&lt;D xsi:type="xsd:long"&gt;38782&lt;/D&gt;&lt;D xsi:type="xsd:long"&gt;38779&lt;/D&gt;&lt;D xsi:type="xsd:long"&gt;38778&lt;/D&gt;&lt;D xsi:type="xsd:long"&gt;38777&lt;/D&gt;&lt;D xsi:type="xsd:long"&gt;38776&lt;/D&gt;&lt;D xsi:type="xsd:long"&gt;38775&lt;/D&gt;&lt;D xsi:type="xsd:long"&gt;38772&lt;/D&gt;&lt;D xsi:type="xsd:long"&gt;38771&lt;/D&gt;&lt;D xsi:type="xsd:long"&gt;38770&lt;/D&gt;&lt;D xsi:type="xsd:long"&gt;38769&lt;/D&gt;&lt;D xsi:type="xsd:long"&gt;38765&lt;/D&gt;&lt;D xsi:type="xsd:long"&gt;38764&lt;/D&gt;&lt;D xsi:type="xsd:long"&gt;38763&lt;/D&gt;&lt;D xsi:type="xsd:long"&gt;38762&lt;/D&gt;&lt;D xsi:type="xsd:long"&gt;38761&lt;/D&gt;&lt;D xsi:type="xsd:long"&gt;38758&lt;/D&gt;&lt;D xsi:type="xsd:long"&gt;38757&lt;/D&gt;&lt;D xsi:type="xsd:long"&gt;38756&lt;/D&gt;&lt;D xsi:type="xsd:long"&gt;38755&lt;/D&gt;&lt;D xsi:type="xsd:long"&gt;38754&lt;/D&gt;&lt;D xsi:type="xsd:long"&gt;38751&lt;/D&gt;&lt;D xsi:type="xsd:long"&gt;38750&lt;/D&gt;&lt;D xsi:type="xsd:long"&gt;38749&lt;/D&gt;&lt;D xsi:type="xsd:long"&gt;38748&lt;/D&gt;&lt;D xsi:type="xsd:long"&gt;38747&lt;/D&gt;&lt;D xsi:type="xsd:long"&gt;38744&lt;/D&gt;&lt;D xsi:type="xsd:long"&gt;38743&lt;/D&gt;&lt;D xsi:type="xsd:long"&gt;38742&lt;/D&gt;&lt;D xsi:type="xsd:long"&gt;38741&lt;/D&gt;&lt;D xsi:type="xsd:long"&gt;38740&lt;/D&gt;&lt;D xsi:type="xsd:long"&gt;38737&lt;/D&gt;&lt;D xsi:type="xsd:long"&gt;38736&lt;/D&gt;&lt;D xsi:type="xsd:long"&gt;38735&lt;/D&gt;&lt;D xsi:type="xsd:long"&gt;38734&lt;/D&gt;&lt;D xsi:type="xsd:long"&gt;38730&lt;/D&gt;&lt;D xsi:type="xsd:long"&gt;38729&lt;/D&gt;&lt;D xsi:type="xsd:long"&gt;38728&lt;/D&gt;&lt;D xsi:type="xsd:long"&gt;38727&lt;/D&gt;&lt;D xsi:type="xsd:long"&gt;38726&lt;/D&gt;&lt;D xsi:type="xsd:long"&gt;38723&lt;/D&gt;&lt;D xsi:type="xsd:long"&gt;38722&lt;/D&gt;&lt;D xsi:type="xsd:long"&gt;38721&lt;/D&gt;&lt;D xsi:type="xsd:long"&gt;38720&lt;/D&gt;&lt;D xsi:type="xsd:long"&gt;38716&lt;/D&gt;&lt;D xsi:type="xsd:long"&gt;38715&lt;/D&gt;&lt;D xsi:type="xsd:long"&gt;38714&lt;/D&gt;&lt;D xsi:type="xsd:long"&gt;38713&lt;/D&gt;&lt;D xsi:type="xsd:long"&gt;38709&lt;/D&gt;&lt;D xsi:type="xsd:long"&gt;38708&lt;/D&gt;&lt;D xsi:type="xsd:long"&gt;38707&lt;/D&gt;&lt;D xsi:type="xsd:long"&gt;38706&lt;/D&gt;&lt;D xsi:type="xsd:long"&gt;38705&lt;/D&gt;&lt;D xsi:type="xsd:long"&gt;38702&lt;/D&gt;&lt;D xsi:type="xsd:long"&gt;38701&lt;/D&gt;&lt;D xsi:type="xsd:long"&gt;38700&lt;/D&gt;&lt;D xsi:type="xsd:long"&gt;38699&lt;/D&gt;&lt;D xsi:type="xsd:long"&gt;38698&lt;/D&gt;&lt;D xsi:type="xsd:long"&gt;38695&lt;/D&gt;&lt;D xsi:type="xsd:long"&gt;38694&lt;/D&gt;&lt;D xsi:type="xsd:long"&gt;38693&lt;/D&gt;&lt;D xsi:type="xsd:long"&gt;38692&lt;/D&gt;&lt;D xsi:type="xsd:long"&gt;38691&lt;/D&gt;&lt;D xsi:type="xsd:long"&gt;38688&lt;/D&gt;&lt;D xsi:type="xsd:long"&gt;38687&lt;/D&gt;&lt;D xsi:type="xsd:long"&gt;38686&lt;/D&gt;&lt;D xsi:type="xsd:long"&gt;38685&lt;/D&gt;&lt;D xsi:type="xsd:long"&gt;38684&lt;/D&gt;&lt;D xsi:type="xsd:long"&gt;38681&lt;/D&gt;&lt;D xsi:type="xsd:long"&gt;38679&lt;/D&gt;&lt;D xsi:type="xsd:long"&gt;38678&lt;/D&gt;&lt;D xsi:type="xsd:long"&gt;38677&lt;/D&gt;&lt;D xsi:type="xsd:long"&gt;38674&lt;/D&gt;&lt;D xsi:type="xsd:long"&gt;38673&lt;/D&gt;&lt;D xsi:type="xsd:long"&gt;38672&lt;/D&gt;&lt;D xsi:type="xsd:long"&gt;38671&lt;/D&gt;&lt;D xsi:type="xsd:long"&gt;38670&lt;/D&gt;&lt;D xsi:type="xsd:long"&gt;38667&lt;/D&gt;&lt;D xsi:type="xsd:long"&gt;38666&lt;/D&gt;&lt;D xsi:type="xsd:long"&gt;38665&lt;/D&gt;&lt;D xsi:type="xsd:long"&gt;38664&lt;/D&gt;&lt;D xsi:type="xsd:long"&gt;38663&lt;/D&gt;&lt;D xsi:type="xsd:long"&gt;38660&lt;/D&gt;&lt;D xsi:type="xsd:long"&gt;38659&lt;/D&gt;&lt;D xsi:type="xsd:long"&gt;38658&lt;/D&gt;&lt;D xsi:type="xsd:long"&gt;38657&lt;/D&gt;&lt;D xsi:type="xsd:long"&gt;38656&lt;/D&gt;&lt;D xsi:type="xsd:long"&gt;38653&lt;/D&gt;&lt;D xsi:type="xsd:long"&gt;38652&lt;/D&gt;&lt;D xsi:type="xsd:long"&gt;38651&lt;/D&gt;&lt;D xsi:type="xsd:long"&gt;38650&lt;/D&gt;&lt;D xsi:type="xsd:long"&gt;38649&lt;/D&gt;&lt;D xsi:type="xsd:long"&gt;38646&lt;/D&gt;&lt;D xsi:type="xsd:long"&gt;38645&lt;/D&gt;&lt;D xsi:type="xsd:long"&gt;38644&lt;/D&gt;&lt;D xsi:type="xsd:long"&gt;38643&lt;/D&gt;&lt;D xsi:type="xsd:long"&gt;38642&lt;/D&gt;&lt;D xsi:type="xsd:long"&gt;38639&lt;/D&gt;&lt;D xsi:type="xsd:long"&gt;38638&lt;/D&gt;&lt;D xsi:type="xsd:long"&gt;38637&lt;/D&gt;&lt;D xsi:type="xsd:long"&gt;38636&lt;/D&gt;&lt;D xsi:type="xsd:long"&gt;38635&lt;/D&gt;&lt;D xsi:type="xsd:long"&gt;38632&lt;/D&gt;&lt;D xsi:type="xsd:long"&gt;38631&lt;/D&gt;&lt;D xsi:type="xsd:long"&gt;38630&lt;/D&gt;&lt;D xsi:type="xsd:long"&gt;38629&lt;/D&gt;&lt;D xsi:type="xsd:long"&gt;38628&lt;/D&gt;&lt;D xsi:type="xsd:long"&gt;38625&lt;/D&gt;&lt;D xsi:type="xsd:long"&gt;38624&lt;/D&gt;&lt;D xsi:type="xsd:long"&gt;38623&lt;/D&gt;&lt;D xsi:type="xsd:long"&gt;38622&lt;/D&gt;&lt;D xsi:type="xsd:long"&gt;38621&lt;/D&gt;&lt;D xsi:type="xsd:long"&gt;38618&lt;/D&gt;&lt;D xsi:type="xsd:long"&gt;38617&lt;/D&gt;&lt;D xsi:type="xsd:long"&gt;38616&lt;/D&gt;&lt;D xsi:type="xsd:long"&gt;38615&lt;/D&gt;&lt;D xsi:type="xsd:long"&gt;38614&lt;/D&gt;&lt;D xsi:type="xsd:long"&gt;38611&lt;/D&gt;&lt;D xsi:type="xsd:long"&gt;38610&lt;/D&gt;&lt;D xsi:type="xsd:long"&gt;38609&lt;/D&gt;&lt;D xsi:type="xsd:long"&gt;38608&lt;/D&gt;&lt;D xsi:type="xsd:long"&gt;38607&lt;/D&gt;&lt;D xsi:type="xsd:long"&gt;38604&lt;/D&gt;&lt;D xsi:type="xsd:long"&gt;38603&lt;/D&gt;&lt;D xsi:type="xsd:long"&gt;38602&lt;/D&gt;&lt;D xsi:type="xsd:long"&gt;38601&lt;/D&gt;&lt;D xsi:type="xsd:long"&gt;38597&lt;/D&gt;&lt;D xsi:type="xsd:long"&gt;38596&lt;/D&gt;&lt;D xsi:type="xsd:long"&gt;38595&lt;/D&gt;&lt;D xsi:type="xsd:long"&gt;38594&lt;/D&gt;&lt;D xsi:type="xsd:long"&gt;38593&lt;/D&gt;&lt;D xsi:type="xsd:long"&gt;38590&lt;/D&gt;&lt;D xsi:type="xsd:long"&gt;38589&lt;/D&gt;&lt;D xsi:type="xsd:long"&gt;38588&lt;/D&gt;&lt;D xsi:type="xsd:long"&gt;38587&lt;/D&gt;&lt;D xsi:type="xsd:long"&gt;38586&lt;/D&gt;&lt;D xsi:type="xsd:long"&gt;38583&lt;/D&gt;&lt;D xsi:type="xsd:long"&gt;38582&lt;/D&gt;&lt;D xsi:type="xsd:long"&gt;38581&lt;/D&gt;&lt;D xsi:type="xsd:long"&gt;38580&lt;/D&gt;&lt;D xsi:type="xsd:long"&gt;38579&lt;/D&gt;&lt;D xsi:type="xsd:long"&gt;38576&lt;/D&gt;&lt;D xsi:type="xsd:long"&gt;38575&lt;/D&gt;&lt;D xsi:type="xsd:long"&gt;38574&lt;/D&gt;&lt;D xsi:type="xsd:long"&gt;38573&lt;/D&gt;&lt;D xsi:type="xsd:long"&gt;38572&lt;/D&gt;&lt;D xsi:type="xsd:long"&gt;38569&lt;/D&gt;&lt;D xsi:type="xsd:long"&gt;38568&lt;/D&gt;&lt;D xsi:type="xsd:long"&gt;38567&lt;/D&gt;&lt;D xsi:type="xsd:long"&gt;38566&lt;/D&gt;&lt;D xsi:type="xsd:long"&gt;38565&lt;/D&gt;&lt;D xsi:type="xsd:long"&gt;38562&lt;/D&gt;&lt;D xsi:type="xsd:long"&gt;38561&lt;/D&gt;&lt;D xsi:type="xsd:long"&gt;38560&lt;/D&gt;&lt;D xsi:type="xsd:long"&gt;38559&lt;/D&gt;&lt;D xsi:type="xsd:long"&gt;38558&lt;/D&gt;&lt;D xsi:type="xsd:long"&gt;38555&lt;/D&gt;&lt;D xsi:type="xsd:long"&gt;38554&lt;/D&gt;&lt;D xsi:type="xsd:long"&gt;38553&lt;/D&gt;&lt;D xsi:type="xsd:long"&gt;38552&lt;/D&gt;&lt;D xsi:type="xsd:long"&gt;38551&lt;/D&gt;&lt;D xsi:type="xsd:long"&gt;38548&lt;/D&gt;&lt;D xsi:type="xsd:long"&gt;38547&lt;/D&gt;&lt;D xsi:type="xsd:long"&gt;38546&lt;/D&gt;&lt;D xsi:type="xsd:long"&gt;38545&lt;/D&gt;&lt;D xsi:type="xsd:long"&gt;38544&lt;/D&gt;&lt;D xsi:type="xsd:long"&gt;38541&lt;/D&gt;&lt;D xsi:type="xsd:long"&gt;38540&lt;/D&gt;&lt;D xsi:type="xsd:long"&gt;38539&lt;/D&gt;&lt;D xsi:type="xsd:long"&gt;38538&lt;/D&gt;&lt;D xsi:type="xsd:long"&gt;38534&lt;/D&gt;&lt;D xsi:type="xsd:long"&gt;38533&lt;/D&gt;&lt;D xsi:type="xsd:long"&gt;38532&lt;/D&gt;&lt;D xsi:type="xsd:long"&gt;38531&lt;/D&gt;&lt;D xsi:type="xsd:long"&gt;38530&lt;/D&gt;&lt;D xsi:type="xsd:long"&gt;38527&lt;/D&gt;&lt;D xsi:type="xsd:long"&gt;38526&lt;/D&gt;&lt;D xsi:type="xsd:long"&gt;38525&lt;/D&gt;&lt;D xsi:type="xsd:long"&gt;38524&lt;/D&gt;&lt;D xsi:type="xsd:long"&gt;38523&lt;/D&gt;&lt;D xsi:type="xsd:long"&gt;38520&lt;/D&gt;&lt;D xsi:type="xsd:long"&gt;38519&lt;/D&gt;&lt;D xsi:type="xsd:long"&gt;38518&lt;/D&gt;&lt;D xsi:type="xsd:long"&gt;38517&lt;/D&gt;&lt;D xsi:type="xsd:long"&gt;38516&lt;/D&gt;&lt;D xsi:type="xsd:long"&gt;38513&lt;/D&gt;&lt;D xsi:type="xsd:long"&gt;38512&lt;/D&gt;&lt;D xsi:type="xsd:long"&gt;38511&lt;/D&gt;&lt;D xsi:type="xsd:long"&gt;38510&lt;/D&gt;&lt;D xsi:type="xsd:long"&gt;38509&lt;/D&gt;&lt;D xsi:type="xsd:long"&gt;38506&lt;/D&gt;&lt;D xsi:type="xsd:long"&gt;38505&lt;/D&gt;&lt;D xsi:type="xsd:long"&gt;38504&lt;/D&gt;&lt;D xsi:type="xsd:long"&gt;38503&lt;/D&gt;&lt;D xsi:type="xsd:long"&gt;38499&lt;/D&gt;&lt;D xsi:type="xsd:long"&gt;38498&lt;/D&gt;&lt;D xsi:type="xsd:long"&gt;38497&lt;/D&gt;&lt;D xsi:type="xsd:long"&gt;38496&lt;/D&gt;&lt;D xsi:type="xsd:long"&gt;38495&lt;/D&gt;&lt;D xsi:type="xsd:long"&gt;38492&lt;/D&gt;&lt;D xsi:type="xsd:long"&gt;38491&lt;/D&gt;&lt;D xsi:type="xsd:long"&gt;38490&lt;/D&gt;&lt;D xsi:type="xsd:long"&gt;38489&lt;/D&gt;&lt;D xsi:type="xsd:long"&gt;38488&lt;/D&gt;&lt;D xsi:type="xsd:long"&gt;38485&lt;/D&gt;&lt;D xsi:type="xsd:long"&gt;38484&lt;/D&gt;&lt;D xsi:type="xsd:long"&gt;38483&lt;/D&gt;&lt;D xsi:type="xsd:long"&gt;38482&lt;/D&gt;&lt;D xsi:type="xsd:long"&gt;38481&lt;/D&gt;&lt;D xsi:type="xsd:long"&gt;38478&lt;/D&gt;&lt;D xsi:type="xsd:long"&gt;38477&lt;/D&gt;&lt;D xsi:type="xsd:long"&gt;38476&lt;/D&gt;&lt;D xsi:type="xsd:long"&gt;38475&lt;/D&gt;&lt;D xsi:type="xsd:long"&gt;38474&lt;/D&gt;&lt;D xsi:type="xsd:long"&gt;38471&lt;/D&gt;&lt;D xsi:type="xsd:long"&gt;38470&lt;/D&gt;&lt;D xsi:type="xsd:long"&gt;38469&lt;/D&gt;&lt;D xsi:type="xsd:long"&gt;38468&lt;/D&gt;&lt;D xsi:type="xsd:long"&gt;38467&lt;/D&gt;&lt;D xsi:type="xsd:long"&gt;38464&lt;/D&gt;&lt;D xsi:type="xsd:long"&gt;38463&lt;/D&gt;&lt;D xsi:type="xsd:long"&gt;38462&lt;/D&gt;&lt;D xsi:type="xsd:long"&gt;38461&lt;/D&gt;&lt;D xsi:type="xsd:long"&gt;38460&lt;/D&gt;&lt;D xsi:type="xsd:long"&gt;38457&lt;/D&gt;&lt;D xsi:type="xsd:long"&gt;38456&lt;/D&gt;&lt;D xsi:type="xsd:long"&gt;38455&lt;/D&gt;&lt;D xsi:type="xsd:long"&gt;38454&lt;/D&gt;&lt;D xsi:type="xsd:long"&gt;38453&lt;/D&gt;&lt;D xsi:type="xsd:long"&gt;38450&lt;/D&gt;&lt;D xsi:type="xsd:long"&gt;38449&lt;/D&gt;&lt;D xsi:type="xsd:long"&gt;38448&lt;/D&gt;&lt;D xsi:type="xsd:long"&gt;38447&lt;/D&gt;&lt;D xsi:type="xsd:long"&gt;38446&lt;/D&gt;&lt;D xsi:type="xsd:long"&gt;38443&lt;/D&gt;&lt;D xsi:type="xsd:long"&gt;38442&lt;/D&gt;&lt;D xsi:type="xsd:long"&gt;38441&lt;/D&gt;&lt;D xsi:type="xsd:long"&gt;38440&lt;/D&gt;&lt;D xsi:type="xsd:long"&gt;38439&lt;/D&gt;&lt;D xsi:type="xsd:long"&gt;38435&lt;/D&gt;&lt;D xsi:type="xsd:long"&gt;38434&lt;/D&gt;&lt;D xsi:type="xsd:long"&gt;38433&lt;/D&gt;&lt;D xsi:type="xsd:long"&gt;38432&lt;/D&gt;&lt;D xsi:type="xsd:long"&gt;38429&lt;/D&gt;&lt;D xsi:type="xsd:long"&gt;38428&lt;/D&gt;&lt;D xsi:type="xsd:long"&gt;38427&lt;/D&gt;&lt;D xsi:type="xsd:long"&gt;38426&lt;/D&gt;&lt;D xsi:type="xsd:long"&gt;38425&lt;/D&gt;&lt;D xsi:type="xsd:long"&gt;38422&lt;/D&gt;&lt;D xsi:type="xsd:long"&gt;38421&lt;/D&gt;&lt;D xsi:type="xsd:long"&gt;38420&lt;/D&gt;&lt;D xsi:type="xsd:long"&gt;38419&lt;/D&gt;&lt;D xsi:type="xsd:long"&gt;38418&lt;/D&gt;&lt;D xsi:type="xsd:long"&gt;38415&lt;/D&gt;&lt;D xsi:type="xsd:long"&gt;38414&lt;/D&gt;&lt;D xsi:type="xsd:long"&gt;38413&lt;/D&gt;&lt;D xsi:type="xsd:long"&gt;38412&lt;/D&gt;&lt;D xsi:type="xsd:long"&gt;38411&lt;/D&gt;&lt;D xsi:type="xsd:long"&gt;38408&lt;/D&gt;&lt;D xsi:type="xsd:long"&gt;38407&lt;/D&gt;&lt;D xsi:type="xsd:long"&gt;38406&lt;/D&gt;&lt;D xsi:type="xsd:long"&gt;38405&lt;/D&gt;&lt;D xsi:type="xsd:long"&gt;38401&lt;/D&gt;&lt;D xsi:type="xsd:long"&gt;38400&lt;/D&gt;&lt;D xsi:type="xsd:long"&gt;38399&lt;/D&gt;&lt;D xsi:type="xsd:long"&gt;38398&lt;/D&gt;&lt;D xsi:type="xsd:long"&gt;38397&lt;/D&gt;&lt;D xsi:type="xsd:long"&gt;38394&lt;/D&gt;&lt;D xsi:type="xsd:long"&gt;38393&lt;/D&gt;&lt;D xsi:type="xsd:long"&gt;38392&lt;/D&gt;&lt;D xsi:type="xsd:long"&gt;38391&lt;/D&gt;&lt;D xsi:type="xsd:long"&gt;38390&lt;/D&gt;&lt;D xsi:type="xsd:long"&gt;38387&lt;/D&gt;&lt;D xsi:type="xsd:long"&gt;38386&lt;/D&gt;&lt;D xsi:type="xsd:long"&gt;38385&lt;/D&gt;&lt;D xsi:type="xsd:long"&gt;38384&lt;/D&gt;&lt;D xsi:type="xsd:long"&gt;38383&lt;/D&gt;&lt;D xsi:type="xsd:long"&gt;38380&lt;/D&gt;&lt;D xsi:type="xsd:long"&gt;38379&lt;/D&gt;&lt;D xsi:type="xsd:long"&gt;38378&lt;/D&gt;&lt;D xsi:type="xsd:long"&gt;38377&lt;/D&gt;&lt;D xsi:type="xsd:long"&gt;38376&lt;/D&gt;&lt;D xsi:type="xsd:long"&gt;38373&lt;/D&gt;&lt;D xsi:type="xsd:long"&gt;38372&lt;/D&gt;&lt;D xsi:type="xsd:long"&gt;38371&lt;/D&gt;&lt;D xsi:type="xsd:long"&gt;38370&lt;/D&gt;&lt;D xsi:type="xsd:long"&gt;38366&lt;/D&gt;&lt;D xsi:type="xsd:long"&gt;38365&lt;/D&gt;&lt;D xsi:type="xsd:long"&gt;38364&lt;/D&gt;&lt;D xsi:type="xsd:long"&gt;38363&lt;/D&gt;&lt;D xsi:type="xsd:long"&gt;38362&lt;/D&gt;&lt;D xsi:type="xsd:long"&gt;38359&lt;/D&gt;&lt;D xsi:type="xsd:long"&gt;38358&lt;/D&gt;&lt;D xsi:type="xsd:long"&gt;38357&lt;/D&gt;&lt;D xsi:type="xsd:long"&gt;38356&lt;/D&gt;&lt;D xsi:type="xsd:long"&gt;38355&lt;/D&gt;&lt;D xsi:type="xsd:long"&gt;38352&lt;/D&gt;&lt;D xsi:type="xsd:long"&gt;38351&lt;/D&gt;&lt;D xsi:type="xsd:long"&gt;38350&lt;/D&gt;&lt;D xsi:type="xsd:long"&gt;38349&lt;/D&gt;&lt;D xsi:type="xsd:long"&gt;38348&lt;/D&gt;&lt;D xsi:type="xsd:long"&gt;38344&lt;/D&gt;&lt;D xsi:type="xsd:long"&gt;38343&lt;/D&gt;&lt;D xsi:type="xsd:long"&gt;38342&lt;/D&gt;&lt;D xsi:type="xsd:long"&gt;38341&lt;/D&gt;&lt;D xsi:type="xsd:long"&gt;38338&lt;/D&gt;&lt;D xsi:type="xsd:long"&gt;38337&lt;/D&gt;&lt;D xsi:type="xsd:long"&gt;38336&lt;/D&gt;&lt;D xsi:type="xsd:long"&gt;38335&lt;/D&gt;&lt;D xsi:type="xsd:long"&gt;38334&lt;/D&gt;&lt;D xsi:type="xsd:long"&gt;38331&lt;/D&gt;&lt;D xsi:type="xsd:long"&gt;38330&lt;/D&gt;&lt;D xsi:type="xsd:long"&gt;38329&lt;/D&gt;&lt;D xsi:type="xsd:long"&gt;38328&lt;/D&gt;&lt;D xsi:type="xsd:long"&gt;38327&lt;/D&gt;&lt;D xsi:type="xsd:long"&gt;38324&lt;/D&gt;&lt;D xsi:type="xsd:long"&gt;38323&lt;/D&gt;&lt;D xsi:type="xsd:long"&gt;38322&lt;/D&gt;&lt;D xsi:type="xsd:long"&gt;38321&lt;/D&gt;&lt;D xsi:type="xsd:long"&gt;38320&lt;/D&gt;&lt;D xsi:type="xsd:long"&gt;38317&lt;/D&gt;&lt;D xsi:type="xsd:long"&gt;38315&lt;/D&gt;&lt;D xsi:type="xsd:long"&gt;38314&lt;/D&gt;&lt;D xsi:type="xsd:long"&gt;38313&lt;/D&gt;&lt;D xsi:type="xsd:long"&gt;38310&lt;/D&gt;&lt;D xsi:type="xsd:long"&gt;38309&lt;/D&gt;&lt;D xsi:type="xsd:long"&gt;38308&lt;/D&gt;&lt;D xsi:type="xsd:long"&gt;38307&lt;/D&gt;&lt;D xsi:type="xsd:long"&gt;38306&lt;/D&gt;&lt;D xsi:type="xsd:long"&gt;38303&lt;/D&gt;&lt;D xsi:type="xsd:long"&gt;38302&lt;/D&gt;&lt;D xsi:type="xsd:long"&gt;38301&lt;/D&gt;&lt;D xsi:type="xsd:long"&gt;38300&lt;/D&gt;&lt;D xsi:type="xsd:long"&gt;38299&lt;/D&gt;&lt;D xsi:type="xsd:long"&gt;38296&lt;/D&gt;&lt;D xsi:type="xsd:long"&gt;38295&lt;/D&gt;&lt;D xsi:type="xsd:long"&gt;38294&lt;/D&gt;&lt;D xsi:type="xsd:long"&gt;38293&lt;/D&gt;&lt;D xsi:type="xsd:long"&gt;38292&lt;/D&gt;&lt;D xsi:type="xsd:long"&gt;38289&lt;/D&gt;&lt;D xsi:type="xsd:long"&gt;38288&lt;/D&gt;&lt;D xsi:type="xsd:long"&gt;38287&lt;/D&gt;&lt;D xsi:type="xsd:long"&gt;38286&lt;/D&gt;&lt;D xsi:type="xsd:long"&gt;38285&lt;/D&gt;&lt;D xsi:type="xsd:long"&gt;38282&lt;/D&gt;&lt;D xsi:type="xsd:long"&gt;38281&lt;/D&gt;&lt;D xsi:type="xsd:long"&gt;38280&lt;/D&gt;&lt;D xsi:type="xsd:long"&gt;38279&lt;/D&gt;&lt;D xsi:type="xsd:long"&gt;38278&lt;/D&gt;&lt;D xsi:type="xsd:long"&gt;38275&lt;/D&gt;&lt;D xsi:type="xsd:long"&gt;38274&lt;/D&gt;&lt;D xsi:type="xsd:long"&gt;38273&lt;/D&gt;&lt;D xsi:type="xsd:long"&gt;38272&lt;/D&gt;&lt;D xsi:type="xsd:long"&gt;38271&lt;/D&gt;&lt;D xsi:type="xsd:long"&gt;38268&lt;/D&gt;&lt;D xsi:type="xsd:long"&gt;38267&lt;/D&gt;&lt;D xsi:type="xsd:long"&gt;38266&lt;/D&gt;&lt;D xsi:type="xsd:long"&gt;38265&lt;/D&gt;&lt;D xsi:type="xsd:long"&gt;38264&lt;/D&gt;&lt;D xsi:type="xsd:long"&gt;38261&lt;/D&gt;&lt;D xsi:type="xsd:long"&gt;38260&lt;/D&gt;&lt;D xsi:type="xsd:long"&gt;38259&lt;/D&gt;&lt;D xsi:type="xsd:long"&gt;38258&lt;/D&gt;&lt;D xsi:type="xsd:long"&gt;38257&lt;/D&gt;&lt;D xsi:type="xsd:long"&gt;38254&lt;/D&gt;&lt;D xsi:type="xsd:long"&gt;38253&lt;/D&gt;&lt;D xsi:type="xsd:long"&gt;38252&lt;/D&gt;&lt;D xsi:type="xsd:long"&gt;38251&lt;/D&gt;&lt;D xsi:type="xsd:long"&gt;38250&lt;/D&gt;&lt;D xsi:type="xsd:long"&gt;38247&lt;/D&gt;&lt;D xsi:type="xsd:long"&gt;38246&lt;/D&gt;&lt;D xsi:type="xsd:long"&gt;38245&lt;/D&gt;&lt;D xsi:type="xsd:long"&gt;38244&lt;/D&gt;&lt;D xsi:type="xsd:long"&gt;38243&lt;/D&gt;&lt;D xsi:type="xsd:long"&gt;38240&lt;/D&gt;&lt;D xsi:type="xsd:long"&gt;38239&lt;/D&gt;&lt;D xsi:type="xsd:long"&gt;38238&lt;/D&gt;&lt;D xsi:type="xsd:long"&gt;38237&lt;/D&gt;&lt;D xsi:type="xsd:long"&gt;38233&lt;/D&gt;&lt;D xsi:type="xsd:long"&gt;38232&lt;/D&gt;&lt;D xsi:type="xsd:long"&gt;38231&lt;/D&gt;&lt;D xsi:type="xsd:long"&gt;38230&lt;/D&gt;&lt;D xsi:type="xsd:long"&gt;38229&lt;/D&gt;&lt;D xsi:type="xsd:long"&gt;38226&lt;/D&gt;&lt;D xsi:type="xsd:long"&gt;38225&lt;/D&gt;&lt;D xsi:type="xsd:long"&gt;38224&lt;/D&gt;&lt;D xsi:type="xsd:long"&gt;38223&lt;/D&gt;&lt;D xsi:type="xsd:long"&gt;38222&lt;/D&gt;&lt;D xsi:type="xsd:long"&gt;38219&lt;/D&gt;&lt;D xsi:type="xsd:long"&gt;38218&lt;/D&gt;&lt;D xsi:type="xsd:long"&gt;38217&lt;/D&gt;&lt;D xsi:type="xsd:long"&gt;38216&lt;/D&gt;&lt;D xsi:type="xsd:long"&gt;38215&lt;/D&gt;&lt;D xsi:type="xsd:long"&gt;38212&lt;/D&gt;&lt;D xsi:type="xsd:long"&gt;38211&lt;/D&gt;&lt;D xsi:type="xsd:long"&gt;38210&lt;/D&gt;&lt;D xsi:type="xsd:long"&gt;38209&lt;/D&gt;&lt;D xsi:type="xsd:long"&gt;38208&lt;/D&gt;&lt;D xsi:type="xsd:long"&gt;38205&lt;/D&gt;&lt;D xsi:type="xsd:long"&gt;38204&lt;/D&gt;&lt;D xsi:type="xsd:long"&gt;38203&lt;/D&gt;&lt;D xsi:type="xsd:long"&gt;38202&lt;/D&gt;&lt;D xsi:type="xsd:long"&gt;38201&lt;/D&gt;&lt;D xsi:type="xsd:long"&gt;38198&lt;/D&gt;&lt;D xsi:type="xsd:long"&gt;38197&lt;/D&gt;&lt;D xsi:type="xsd:long"&gt;38196&lt;/D&gt;&lt;D xsi:type="xsd:long"&gt;38195&lt;/D&gt;&lt;D xsi:type="xsd:long"&gt;38194&lt;/D&gt;&lt;D xsi:type="xsd:long"&gt;38191&lt;/D&gt;&lt;D xsi:type="xsd:long"&gt;38190&lt;/D&gt;&lt;D xsi:type="xsd:long"&gt;38189&lt;/D&gt;&lt;D xsi:type="xsd:long"&gt;38188&lt;/D&gt;&lt;D xsi:type="xsd:long"&gt;38187&lt;/D&gt;&lt;D xsi:type="xsd:long"&gt;38184&lt;/D&gt;&lt;D xsi:type="xsd:long"&gt;38183&lt;/D&gt;&lt;D xsi:type="xsd:long"&gt;38182&lt;/D&gt;&lt;D xsi:type="xsd:long"&gt;38181&lt;/D&gt;&lt;D xsi:type="xsd:long"&gt;38180&lt;/D&gt;&lt;D xsi:type="xsd:long"&gt;38177&lt;/D&gt;&lt;D xsi:type="xsd:long"&gt;38176&lt;/D&gt;&lt;D xsi:type="xsd:long"&gt;38175&lt;/D&gt;&lt;D xsi:type="xsd:long"&gt;38174&lt;/D&gt;&lt;D xsi:type="xsd:long"&gt;38170&lt;/D&gt;&lt;D xsi:type="xsd:long"&gt;38169&lt;/D&gt;&lt;D xsi:type="xsd:long"&gt;38168&lt;/D&gt;&lt;D xsi:type="xsd:long"&gt;38167&lt;/D&gt;&lt;D xsi:type="xsd:long"&gt;38166&lt;/D&gt;&lt;D xsi:type="xsd:long"&gt;38163&lt;/D&gt;&lt;D xsi:type="xsd:long"&gt;38162&lt;/D&gt;&lt;D xsi:type="xsd:long"&gt;38161&lt;/D&gt;&lt;D xsi:type="xsd:long"&gt;38160&lt;/D&gt;&lt;D xsi:type="xsd:long"&gt;38159&lt;/D&gt;&lt;D xsi:type="xsd:long"&gt;38156&lt;/D&gt;&lt;D xsi:type="xsd:long"&gt;38155&lt;/D&gt;&lt;D xsi:type="xsd:long"&gt;38154&lt;/D&gt;&lt;D xsi:type="xsd:long"&gt;38153&lt;/D&gt;&lt;D xsi:type="xsd:long"&gt;38152&lt;/D&gt;&lt;D xsi:type="xsd:long"&gt;38148&lt;/D&gt;&lt;D xsi:type="xsd:long"&gt;38147&lt;/D&gt;&lt;D xsi:type="xsd:long"&gt;38146&lt;/D&gt;&lt;D xsi:type="xsd:long"&gt;38145&lt;/D&gt;&lt;D xsi:type="xsd:long"&gt;38142&lt;/D&gt;&lt;D xsi:type="xsd:long"&gt;38141&lt;/D&gt;&lt;D xsi:type="xsd:long"&gt;38140&lt;/D&gt;&lt;D xsi:type="xsd:long"&gt;38139&lt;/D&gt;&lt;D xsi:type="xsd:long"&gt;38135&lt;/D&gt;&lt;D xsi:type="xsd:long"&gt;38134&lt;/D&gt;&lt;D xsi:type="xsd:long"&gt;38133&lt;/D&gt;&lt;D xsi:type="xsd:long"&gt;38132&lt;/D&gt;&lt;D xsi:type="xsd:long"&gt;38131&lt;/D&gt;&lt;D xsi:type="xsd:long"&gt;38128&lt;/D&gt;&lt;D xsi:type="xsd:long"&gt;38127&lt;/D&gt;&lt;D xsi:type="xsd:long"&gt;38126&lt;/D&gt;&lt;D xsi:type="xsd:long"&gt;38125&lt;/D&gt;&lt;D xsi:type="xsd:long"&gt;38124&lt;/D&gt;&lt;D xsi:type="xsd:long"&gt;38121&lt;/D&gt;&lt;D xsi:type="xsd:long"&gt;38120&lt;/D&gt;&lt;D xsi:type="xsd:long"&gt;38119&lt;/D&gt;&lt;D xsi:type="xsd:long"&gt;38118&lt;/D&gt;&lt;D xsi:type="xsd:long"&gt;38117&lt;/D&gt;&lt;D xsi:type="xsd:long"&gt;38114&lt;/D&gt;&lt;D xsi:type="xsd:long"&gt;38113&lt;/D&gt;&lt;D xsi:type="xsd:long"&gt;38112&lt;/D&gt;&lt;D xsi:type="xsd:long"&gt;38111&lt;/D&gt;&lt;D xsi:type="xsd:long"&gt;38110&lt;/D&gt;&lt;D xsi:type="xsd:long"&gt;38107&lt;/D&gt;&lt;D xsi:type="xsd:long"&gt;38106&lt;/D&gt;&lt;D xsi:type="xsd:long"&gt;38105&lt;/D&gt;&lt;D xsi:type="xsd:long"&gt;38104&lt;/D&gt;&lt;D xsi:type="xsd:long"&gt;38103&lt;/D&gt;&lt;D xsi:type="xsd:long"&gt;38100&lt;/D&gt;&lt;D xsi:type="xsd:long"&gt;38099&lt;/D&gt;&lt;D xsi:type="xsd:long"&gt;38098&lt;/D&gt;&lt;D xsi:type="xsd:long"&gt;38097&lt;/D&gt;&lt;D xsi:type="xsd:long"&gt;38096&lt;/D&gt;&lt;D xsi:type="xsd:long"&gt;38093&lt;/D&gt;&lt;D xsi:type="xsd:long"&gt;38092&lt;/D&gt;&lt;D xsi:type="xsd:long"&gt;38091&lt;/D&gt;&lt;D xsi:type="xsd:long"&gt;38090&lt;/D&gt;&lt;D xsi:type="xsd:long"&gt;38089&lt;/D&gt;&lt;D xsi:type="xsd:long"&gt;38085&lt;/D&gt;&lt;D xsi:type="xsd:long"&gt;38084&lt;/D&gt;&lt;D xsi:type="xsd:long"&gt;38083&lt;/D&gt;&lt;D xsi:type="xsd:long"&gt;38082&lt;/D&gt;&lt;D xsi:type="xsd:long"&gt;38079&lt;/D&gt;&lt;D xsi:type="xsd:long"&gt;38078&lt;/D&gt;&lt;D xsi:type="xsd:long"&gt;38077&lt;/D&gt;&lt;D xsi:type="xsd:long"&gt;38076&lt;/D&gt;&lt;D xsi:type="xsd:long"&gt;38075&lt;/D&gt;&lt;D xsi:type="xsd:long"&gt;38072&lt;/D&gt;&lt;D xsi:type="xsd:long"&gt;38071&lt;/D&gt;&lt;D xsi:type="xsd:long"&gt;38070&lt;/D&gt;&lt;D xsi:type="xsd:long"&gt;38069&lt;/D&gt;&lt;D xsi:type="xsd:long"&gt;38068&lt;/D&gt;&lt;D xsi:type="xsd:long"&gt;38065&lt;/D&gt;&lt;D xsi:type="xsd:long"&gt;38064&lt;/D&gt;&lt;D xsi:type="xsd:long"&gt;38063&lt;/D&gt;&lt;D xsi:type="xsd:long"&gt;38062&lt;/D&gt;&lt;D xsi:type="xsd:long"&gt;38061&lt;/D&gt;&lt;D xsi:type="xsd:long"&gt;38058&lt;/D&gt;&lt;D xsi:type="xsd:long"&gt;38057&lt;/D&gt;&lt;D xsi:type="xsd:long"&gt;38056&lt;/D&gt;&lt;D xsi:type="xsd:long"&gt;38055&lt;/D&gt;&lt;D xsi:type="xsd:long"&gt;38054&lt;/D&gt;&lt;D xsi:type="xsd:long"&gt;38051&lt;/D&gt;&lt;D xsi:type="xsd:long"&gt;38050&lt;/D&gt;&lt;D xsi:type="xsd:long"&gt;38049&lt;/D&gt;&lt;D xsi:type="xsd:long"&gt;38048&lt;/D&gt;&lt;D xsi:type="xsd:long"&gt;38047&lt;/D&gt;&lt;D xsi:type="xsd:long"&gt;38044&lt;/D&gt;&lt;D xsi:type="xsd:long"&gt;38043&lt;/D&gt;&lt;D xsi:type="xsd:long"&gt;38042&lt;/D&gt;&lt;D xsi:type="xsd:long"&gt;38041&lt;/D&gt;&lt;D xsi:type="xsd:long"&gt;38040&lt;/D&gt;&lt;D xsi:type="xsd:long"&gt;38037&lt;/D&gt;&lt;D xsi:type="xsd:long"&gt;38036&lt;/D&gt;&lt;D xsi:type="xsd:long"&gt;38035&lt;/D&gt;&lt;D xsi:type="xsd:long"&gt;38034&lt;/D&gt;&lt;D xsi:type="xsd:long"&gt;38030&lt;/D&gt;&lt;D xsi:type="xsd:long"&gt;38029&lt;/D&gt;&lt;D xsi:type="xsd:long"&gt;38028&lt;/D&gt;&lt;D xsi:type="xsd:long"&gt;38027&lt;/D&gt;&lt;D xsi:type="xsd:long"&gt;38026&lt;/D&gt;&lt;D xsi:type="xsd:long"&gt;38023&lt;/D&gt;&lt;D xsi:type="xsd:long"&gt;38022&lt;/D&gt;&lt;D xsi:type="xsd:long"&gt;38021&lt;/D&gt;&lt;D xsi:type="xsd:long"&gt;38020&lt;/D&gt;&lt;D xsi:type="xsd:long"&gt;38019&lt;/D&gt;&lt;D xsi:type="xsd:long"&gt;38016&lt;/D&gt;&lt;D xsi:type="xsd:long"&gt;38015&lt;/D&gt;&lt;D xsi:type="xsd:long"&gt;38014&lt;/D&gt;&lt;D xsi:type="xsd:long"&gt;38013&lt;/D&gt;&lt;D xsi:type="xsd:long"&gt;38012&lt;/D&gt;&lt;D xsi:type="xsd:long"&gt;38009&lt;/D&gt;&lt;D xsi:type="xsd:long"&gt;38008&lt;/D&gt;&lt;D xsi:type="xsd:long"&gt;38007&lt;/D&gt;&lt;D xsi:type="xsd:long"&gt;38006&lt;/D&gt;&lt;D xsi:type="xsd:long"&gt;38002&lt;/D&gt;&lt;D xsi:type="xsd:long"&gt;38001&lt;/D&gt;&lt;D xsi:type="xsd:long"&gt;38000&lt;/D&gt;&lt;D xsi:type="xsd:long"&gt;37999&lt;/D&gt;&lt;D xsi:type="xsd:long"&gt;37998&lt;/D&gt;&lt;D xsi:type="xsd:long"&gt;37995&lt;/D&gt;&lt;D xsi:type="xsd:long"&gt;37994&lt;/D&gt;&lt;D xsi:type="xsd:long"&gt;37993&lt;/D&gt;&lt;D xsi:type="xsd:long"&gt;37992&lt;/D&gt;&lt;D xsi:type="xsd:long"&gt;37991&lt;/D&gt;&lt;D xsi:type="xsd:long"&gt;37988&lt;/D&gt;&lt;D xsi:type="xsd:long"&gt;37986&lt;/D&gt;&lt;D xsi:type="xsd:long"&gt;37985&lt;/D&gt;&lt;D xsi:type="xsd:long"&gt;37984&lt;/D&gt;&lt;D xsi:type="xsd:long"&gt;37981&lt;/D&gt;&lt;D xsi:type="xsd:long"&gt;37979&lt;/D&gt;&lt;D xsi:type="xsd:long"&gt;37978&lt;/D&gt;&lt;D xsi:type="xsd:long"&gt;37977&lt;/D&gt;&lt;D xsi:type="xsd:long"&gt;37974&lt;/D&gt;&lt;D xsi:type="xsd:long"&gt;37973&lt;/D&gt;&lt;D xsi:type="xsd:long"&gt;37972&lt;/D&gt;&lt;D xsi:type="xsd:long"&gt;37971&lt;/D&gt;&lt;D xsi:type="xsd:long"&gt;37970&lt;/D&gt;&lt;D xsi:type="xsd:long"&gt;37967&lt;/D&gt;&lt;D xsi:type="xsd:long"&gt;37966&lt;/D&gt;&lt;D xsi:type="xsd:long"&gt;37965&lt;/D&gt;&lt;D xsi:type="xsd:long"&gt;37964&lt;/D&gt;&lt;D xsi:type="xsd:long"&gt;37963&lt;/D&gt;&lt;D xsi:type="xsd:long"&gt;37960&lt;/D&gt;&lt;D xsi:type="xsd:long"&gt;37959&lt;/D&gt;&lt;D xsi:type="xsd:long"&gt;37958&lt;/D&gt;&lt;D xsi:type="xsd:long"&gt;37957&lt;/D&gt;&lt;D xsi:type="xsd:long"&gt;37956&lt;/D&gt;&lt;D xsi:type="xsd:long"&gt;37953&lt;/D&gt;&lt;D xsi:type="xsd:long"&gt;37951&lt;/D&gt;&lt;D xsi:type="xsd:long"&gt;37950&lt;/D&gt;&lt;D xsi:type="xsd:long"&gt;37949&lt;/D&gt;&lt;D xsi:type="xsd:long"&gt;37946&lt;/D&gt;&lt;D xsi:type="xsd:long"&gt;37945&lt;/D&gt;&lt;D xsi:type="xsd:long"&gt;37944&lt;/D&gt;&lt;D xsi:type="xsd:long"&gt;37943&lt;/D&gt;&lt;D xsi:type="xsd:long"&gt;37942&lt;/D&gt;&lt;D xsi:type="xsd:long"&gt;37939&lt;/D&gt;&lt;D xsi:type="xsd:long"&gt;37938&lt;/D&gt;&lt;D xsi:type="xsd:long"&gt;37937&lt;/D&gt;&lt;D xsi:type="xsd:long"&gt;37936&lt;/D&gt;&lt;D xsi:type="xsd:long"&gt;37935&lt;/D&gt;&lt;D xsi:type="xsd:long"&gt;37932&lt;/D&gt;&lt;D xsi:type="xsd:long"&gt;37931&lt;/D&gt;&lt;D xsi:type="xsd:long"&gt;37930&lt;/D&gt;&lt;D xsi:type="xsd:long"&gt;37929&lt;/D&gt;&lt;D xsi:type="xsd:long"&gt;37928&lt;/D&gt;&lt;D xsi:type="xsd:long"&gt;37925&lt;/D&gt;&lt;D xsi:type="xsd:long"&gt;37924&lt;/D&gt;&lt;D xsi:type="xsd:long"&gt;37923&lt;/D&gt;&lt;D xsi:type="xsd:long"&gt;37922&lt;/D&gt;&lt;D xsi:type="xsd:long"&gt;37921&lt;/D&gt;&lt;D xsi:type="xsd:long"&gt;37918&lt;/D&gt;&lt;D xsi:type="xsd:long"&gt;37917&lt;/D&gt;&lt;D xsi:type="xsd:long"&gt;37916&lt;/D&gt;&lt;D xsi:type="xsd:long"&gt;37915&lt;/D&gt;&lt;D xsi:type="xsd:long"&gt;37914&lt;/D&gt;&lt;D xsi:type="xsd:long"&gt;37911&lt;/D&gt;&lt;D xsi:type="xsd:long"&gt;37910&lt;/D&gt;&lt;D xsi:type="xsd:long"&gt;37909&lt;/D&gt;&lt;D xsi:type="xsd:long"&gt;37908&lt;/D&gt;&lt;D xsi:type="xsd:long"&gt;37907&lt;/D&gt;&lt;D xsi:type="xsd:long"&gt;37904&lt;/D&gt;&lt;D xsi:type="xsd:long"&gt;37903&lt;/D&gt;&lt;D xsi:type="xsd:long"&gt;37902&lt;/D&gt;&lt;D xsi:type="xsd:long"&gt;37901&lt;/D&gt;&lt;D xsi:type="xsd:long"&gt;37900&lt;/D&gt;&lt;D xsi:type="xsd:long"&gt;37897&lt;/D&gt;&lt;D xsi:type="xsd:long"&gt;37896&lt;/D&gt;&lt;D xsi:type="xsd:long"&gt;37895&lt;/D&gt;&lt;D xsi:type="xsd:long"&gt;37894&lt;/D&gt;&lt;D xsi:type="xsd:long"&gt;37893&lt;/D&gt;&lt;D xsi:type="xsd:long"&gt;37890&lt;/D&gt;&lt;D xsi:type="xsd:long"&gt;37889&lt;/D&gt;&lt;D xsi:type="xsd:long"&gt;37888&lt;/D&gt;&lt;D xsi:type="xsd:long"&gt;37887&lt;/D&gt;&lt;D xsi:type="xsd:long"&gt;37886&lt;/D&gt;&lt;D xsi:type="xsd:long"&gt;37883&lt;/D&gt;&lt;D xsi:type="xsd:long"&gt;37882&lt;/D&gt;&lt;D xsi:type="xsd:long"&gt;37881&lt;/D&gt;&lt;D xsi:type="xsd:long"&gt;37880&lt;/D&gt;&lt;D xsi:type="xsd:long"&gt;37879&lt;/D&gt;&lt;D xsi:type="xsd:long"&gt;37876&lt;/D&gt;&lt;D xsi:type="xsd:long"&gt;37875&lt;/D&gt;&lt;D xsi:type="xsd:long"&gt;37874&lt;/D&gt;&lt;D xsi:type="xsd:long"&gt;37873&lt;/D&gt;&lt;D xsi:type="xsd:long"&gt;37872&lt;/D&gt;&lt;D xsi:type="xsd:long"&gt;37869&lt;/D&gt;&lt;D xsi:type="xsd:long"&gt;37868&lt;/D&gt;&lt;D xsi:type="xsd:long"&gt;37867&lt;/D&gt;&lt;D xsi:type="xsd:long"&gt;37866&lt;/D&gt;&lt;D xsi:type="xsd:long"&gt;37862&lt;/D&gt;&lt;D xsi:type="xsd:long"&gt;37861&lt;/D&gt;&lt;D xsi:type="xsd:long"&gt;37860&lt;/D&gt;&lt;D xsi:type="xsd:long"&gt;37859&lt;/D&gt;&lt;D xsi:type="xsd:long"&gt;37858&lt;/D&gt;&lt;D xsi:type="xsd:long"&gt;37855&lt;/D&gt;&lt;D xsi:type="xsd:long"&gt;37854&lt;/D&gt;&lt;D xsi:type="xsd:long"&gt;37853&lt;/D&gt;&lt;D xsi:type="xsd:long"&gt;37852&lt;/D&gt;&lt;D xsi:type="xsd:long"&gt;37851&lt;/D&gt;&lt;D xsi:type="xsd:long"&gt;37848&lt;/D&gt;&lt;D xsi:type="xsd:long"&gt;37847&lt;/D&gt;&lt;D xsi:type="xsd:long"&gt;37846&lt;/D&gt;&lt;D xsi:type="xsd:long"&gt;37845&lt;/D&gt;&lt;D xsi:type="xsd:long"&gt;37844&lt;/D&gt;&lt;D xsi:type="xsd:long"&gt;37841&lt;/D&gt;&lt;D xsi:type="xsd:long"&gt;37840&lt;/D&gt;&lt;D xsi:type="xsd:long"&gt;37839&lt;/D&gt;&lt;D xsi:type="xsd:long"&gt;37838&lt;/D&gt;&lt;D xsi:type="xsd:long"&gt;37837&lt;/D&gt;&lt;D xsi:type="xsd:long"&gt;37834&lt;/D&gt;&lt;D xsi:type="xsd:long"&gt;37833&lt;/D&gt;&lt;D xsi:type="xsd:long"&gt;37832&lt;/D&gt;&lt;D xsi:type="xsd:long"&gt;37831&lt;/D&gt;&lt;D xsi:type="xsd:long"&gt;37830&lt;/D&gt;&lt;D xsi:type="xsd:long"&gt;37827&lt;/D&gt;&lt;D xsi:type="xsd:long"&gt;37826&lt;/D&gt;&lt;D xsi:type="xsd:long"&gt;37825&lt;/D&gt;&lt;D xsi:type="xsd:long"&gt;37824&lt;/D&gt;&lt;D xsi:type="xsd:long"&gt;37823&lt;/D&gt;&lt;D xsi:type="xsd:long"&gt;37820&lt;/D&gt;&lt;D xsi:type="xsd:long"&gt;37819&lt;/D&gt;&lt;D xsi:type="xsd:long"&gt;37818&lt;/D&gt;&lt;D xsi:type="xsd:long"&gt;37817&lt;/D&gt;&lt;D xsi:type="xsd:long"&gt;37816&lt;/D&gt;&lt;D xsi:type="xsd:long"&gt;37813&lt;/D&gt;&lt;D xsi:type="xsd:long"&gt;37812&lt;/D&gt;&lt;D xsi:type="xsd:long"&gt;37811&lt;/D&gt;&lt;D xsi:type="xsd:long"&gt;37810&lt;/D&gt;&lt;D xsi:type="xsd:long"&gt;37809&lt;/D&gt;&lt;D xsi:type="xsd:long"&gt;37805&lt;/D&gt;&lt;D xsi:type="xsd:long"&gt;37804&lt;/D&gt;&lt;D xsi:type="xsd:long"&gt;37803&lt;/D&gt;&lt;D xsi:type="xsd:long"&gt;37802&lt;/D&gt;&lt;D xsi:type="xsd:long"&gt;37799&lt;/D&gt;&lt;D xsi:type="xsd:long"&gt;37798&lt;/D&gt;&lt;D xsi:type="xsd:long"&gt;37797&lt;/D&gt;&lt;D xsi:type="xsd:long"&gt;37796&lt;/D&gt;&lt;D xsi:type="xsd:long"&gt;37795&lt;/D&gt;&lt;D xsi:type="xsd:long"&gt;37792&lt;/D&gt;&lt;D xsi:type="xsd:long"&gt;37791&lt;/D&gt;&lt;D xsi:type="xsd:long"&gt;37790&lt;/D&gt;&lt;D xsi:type="xsd:long"&gt;37789&lt;/D&gt;&lt;D xsi:type="xsd:long"&gt;37788&lt;/D&gt;&lt;D xsi:type="xsd:long"&gt;37785&lt;/D&gt;&lt;D xsi:type="xsd:long"&gt;37784&lt;/D&gt;&lt;D xsi:type="xsd:long"&gt;37783&lt;/D&gt;&lt;D xsi:type="xsd:long"&gt;37782&lt;/D&gt;&lt;D xsi:type="xsd:long"&gt;37781&lt;/D&gt;&lt;D xsi:type="xsd:long"&gt;37778&lt;/D&gt;&lt;D xsi:type="xsd:long"&gt;37777&lt;/D&gt;&lt;D xsi:type="xsd:long"&gt;37776&lt;/D&gt;&lt;D xsi:type="xsd:long"&gt;37775&lt;/D&gt;&lt;D xsi:type="xsd:long"&gt;37774&lt;/D&gt;&lt;D xsi:type="xsd:long"&gt;37771&lt;/D&gt;&lt;D xsi:type="xsd:long"&gt;37770&lt;/D&gt;&lt;D xsi:type="xsd:long"&gt;37769&lt;/D&gt;&lt;D xsi:type="xsd:long"&gt;37768&lt;/D&gt;&lt;D xsi:type="xsd:long"&gt;37764&lt;/D&gt;&lt;D xsi:type="xsd:long"&gt;37763&lt;/D&gt;&lt;D xsi:type="xsd:long"&gt;37762&lt;/D&gt;&lt;D xsi:type="xsd:long"&gt;37761&lt;/D&gt;&lt;D xsi:type="xsd:long"&gt;37760&lt;/D&gt;&lt;D xsi:type="xsd:long"&gt;37757&lt;/D&gt;&lt;D xsi:type="xsd:long"&gt;37756&lt;/D&gt;&lt;D xsi:type="xsd:long"&gt;37755&lt;/D&gt;&lt;D xsi:type="xsd:long"&gt;37754&lt;/D&gt;&lt;D xsi:type="xsd:long"&gt;37753&lt;/D&gt;&lt;D xsi:type="xsd:long"&gt;37750&lt;/D&gt;&lt;D xsi:type="xsd:long"&gt;37749&lt;/D&gt;&lt;D xsi:type="xsd:long"&gt;37748&lt;/D&gt;&lt;D xsi:type="xsd:long"&gt;37747&lt;/D&gt;&lt;D xsi:type="xsd:long"&gt;37746&lt;/D&gt;&lt;D xsi:type="xsd:long"&gt;37743&lt;/D&gt;&lt;D xsi:type="xsd:long"&gt;37742&lt;/D&gt;&lt;D xsi:type="xsd:long"&gt;37741&lt;/D&gt;&lt;D xsi:type="xsd:long"&gt;37740&lt;/D&gt;&lt;D xsi:type="xsd:long"&gt;37739&lt;/D&gt;&lt;D xsi:type="xsd:long"&gt;37736&lt;/D&gt;&lt;D xsi:type="xsd:long"&gt;37735&lt;/D&gt;&lt;D xsi:type="xsd:long"&gt;37734&lt;/D&gt;&lt;D xsi:type="xsd:long"&gt;37733&lt;/D&gt;&lt;D xsi:type="xsd:long"&gt;37732&lt;/D&gt;&lt;D xsi:type="xsd:long"&gt;37728&lt;/D&gt;&lt;D xsi:type="xsd:long"&gt;37727&lt;/D&gt;&lt;D xsi:type="xsd:long"&gt;37726&lt;/D&gt;&lt;D xsi:type="xsd:long"&gt;37725&lt;/D&gt;&lt;D xsi:type="xsd:long"&gt;37722&lt;/D&gt;&lt;D xsi:type="xsd:long"&gt;37721&lt;/D&gt;&lt;D xsi:type="xsd:long"&gt;37720&lt;/D&gt;&lt;D xsi:type="xsd:long"&gt;37719&lt;/D&gt;&lt;D xsi:type="xsd:long"&gt;37718&lt;/D&gt;&lt;D xsi:type="xsd:long"&gt;37715&lt;/D&gt;&lt;D xsi:type="xsd:long"&gt;37714&lt;/D&gt;&lt;D xsi:type="xsd:long"&gt;37713&lt;/D&gt;&lt;D xsi:type="xsd:long"&gt;37712&lt;/D&gt;&lt;D xsi:type="xsd:long"&gt;37711&lt;/D&gt;&lt;D xsi:type="xsd:long"&gt;37708&lt;/D&gt;&lt;D xsi:type="xsd:long"&gt;37707&lt;/D&gt;&lt;D xsi:type="xsd:long"&gt;37706&lt;/D&gt;&lt;D xsi:type="xsd:long"&gt;37705&lt;/D&gt;&lt;D xsi:type="xsd:long"&gt;37704&lt;/D&gt;&lt;D xsi:type="xsd:long"&gt;37701&lt;/D&gt;&lt;D xsi:type="xsd:long"&gt;37700&lt;/D&gt;&lt;D xsi:type="xsd:long"&gt;37699&lt;/D&gt;&lt;D xsi:type="xsd:long"&gt;37698&lt;/D&gt;&lt;D xsi:type="xsd:long"&gt;37697&lt;/D&gt;&lt;D xsi:type="xsd:long"&gt;37694&lt;/D&gt;&lt;D xsi:type="xsd:long"&gt;37693&lt;/D&gt;&lt;D xsi:type="xsd:long"&gt;37692&lt;/D&gt;&lt;D xsi:type="xsd:long"&gt;37691&lt;/D&gt;&lt;D xsi:type="xsd:long"&gt;37690&lt;/D&gt;&lt;D xsi:type="xsd:long"&gt;37687&lt;/D&gt;&lt;D xsi:type="xsd:long"&gt;37686&lt;/D&gt;&lt;D xsi:type="xsd:long"&gt;37685&lt;/D&gt;&lt;D xsi:type="xsd:long"&gt;37684&lt;/D&gt;&lt;D xsi:type="xsd:long"&gt;37683&lt;/D&gt;&lt;D xsi:type="xsd:long"&gt;37680&lt;/D&gt;&lt;D xsi:type="xsd:long"&gt;37679&lt;/D&gt;&lt;D xsi:type="xsd:long"&gt;37678&lt;/D&gt;&lt;D xsi:type="xsd:long"&gt;37677&lt;/D&gt;&lt;D xsi:type="xsd:long"&gt;37676&lt;/D&gt;&lt;D xsi:type="xsd:long"&gt;37673&lt;/D&gt;&lt;D xsi:type="xsd:long"&gt;37672&lt;/D&gt;&lt;D xsi:type="xsd:long"&gt;37671&lt;/D&gt;&lt;D xsi:type="xsd:long"&gt;37670&lt;/D&gt;&lt;D xsi:type="xsd:long"&gt;37666&lt;/D&gt;&lt;D xsi:type="xsd:long"&gt;37665&lt;/D&gt;&lt;D xsi:type="xsd:long"&gt;37664&lt;/D&gt;&lt;D xsi:type="xsd:long"&gt;37663&lt;/D&gt;&lt;D xsi:type="xsd:long"&gt;37662&lt;/D&gt;&lt;D xsi:type="xsd:long"&gt;37659&lt;/D&gt;&lt;D xsi:type="xsd:long"&gt;37658&lt;/D&gt;&lt;D xsi:type="xsd:long"&gt;37657&lt;/D&gt;&lt;D xsi:type="xsd:long"&gt;37656&lt;/D&gt;&lt;D xsi:type="xsd:long"&gt;37655&lt;/D&gt;&lt;D xsi:type="xsd:long"&gt;37652&lt;/D&gt;&lt;D xsi:type="xsd:long"&gt;37651&lt;/D&gt;&lt;D xsi:type="xsd:long"&gt;37650&lt;/D&gt;&lt;D xsi:type="xsd:long"&gt;37649&lt;/D&gt;&lt;D xsi:type="xsd:long"&gt;37648&lt;/D&gt;&lt;D xsi:type="xsd:long"&gt;37645&lt;/D&gt;&lt;D xsi:type="xsd:long"&gt;37644&lt;/D&gt;&lt;D xsi:type="xsd:long"&gt;37643&lt;/D&gt;&lt;D xsi:type="xsd:long"&gt;37642&lt;/D&gt;&lt;D xsi:type="xsd:long"&gt;37638&lt;/D&gt;&lt;D xsi:type="xsd:long"&gt;37637&lt;/D&gt;&lt;D xsi:type="xsd:long"&gt;37636&lt;/D&gt;&lt;D xsi:type="xsd:long"&gt;37635&lt;/D&gt;&lt;D xsi:type="xsd:long"&gt;37634&lt;/D&gt;&lt;D xsi:type="xsd:long"&gt;37631&lt;/D&gt;&lt;D xsi:type="xsd:long"&gt;37630&lt;/D&gt;&lt;D xsi:type="xsd:long"&gt;37629&lt;/D&gt;&lt;D xsi:type="xsd:long"&gt;37628&lt;/D&gt;&lt;D xsi:type="xsd:long"&gt;37627&lt;/D&gt;&lt;D xsi:type="xsd:long"&gt;37624&lt;/D&gt;&lt;D xsi:type="xsd:long"&gt;37623&lt;/D&gt;&lt;D xsi:type="xsd:long"&gt;37621&lt;/D&gt;&lt;D xsi:type="xsd:long"&gt;37620&lt;/D&gt;&lt;D xsi:type="xsd:long"&gt;37617&lt;/D&gt;&lt;D xsi:type="xsd:long"&gt;37616&lt;/D&gt;&lt;D xsi:type="xsd:long"&gt;37614&lt;/D&gt;&lt;D xsi:type="xsd:long"&gt;37613&lt;/D&gt;&lt;D xsi:type="xsd:long"&gt;37610&lt;/D&gt;&lt;D xsi:type="xsd:long"&gt;37609&lt;/D&gt;&lt;D xsi:type="xsd:long"&gt;37608&lt;/D&gt;&lt;D xsi:type="xsd:long"&gt;37607&lt;/D&gt;&lt;D xsi:type="xsd:long"&gt;37606&lt;/D&gt;&lt;D xsi:type="xsd:long"&gt;37603&lt;/D&gt;&lt;D xsi:type="xsd:long"&gt;37602&lt;/D&gt;&lt;D xsi:type="xsd:long"&gt;37601&lt;/D&gt;&lt;D xsi:type="xsd:long"&gt;37600&lt;/D&gt;&lt;D xsi:type="xsd:long"&gt;37599&lt;/D&gt;&lt;D xsi:type="xsd:long"&gt;37596&lt;/D&gt;&lt;D xsi:type="xsd:long"&gt;37595&lt;/D&gt;&lt;D xsi:type="xsd:long"&gt;37594&lt;/D&gt;&lt;D xsi:type="xsd:long"&gt;37593&lt;/D&gt;&lt;D xsi:type="xsd:long"&gt;37592&lt;/D&gt;&lt;D xsi:type="xsd:long"&gt;37589&lt;/D&gt;&lt;D xsi:type="xsd:long"&gt;37587&lt;/D&gt;&lt;D xsi:type="xsd:long"&gt;37586&lt;/D&gt;&lt;D xsi:type="xsd:long"&gt;37585&lt;/D&gt;&lt;D xsi:type="xsd:long"&gt;37582&lt;/D&gt;&lt;D xsi:type="xsd:long"&gt;37581&lt;/D&gt;&lt;D xsi:type="xsd:long"&gt;37580&lt;/D&gt;&lt;D xsi:type="xsd:long"&gt;37579&lt;/D&gt;&lt;D xsi:type="xsd:long"&gt;37578&lt;/D&gt;&lt;D xsi:type="xsd:long"&gt;37575&lt;/D&gt;&lt;D xsi:type="xsd:long"&gt;37574&lt;/D&gt;&lt;D xsi:type="xsd:long"&gt;37573&lt;/D&gt;&lt;D xsi:type="xsd:long"&gt;37572&lt;/D&gt;&lt;D xsi:type="xsd:long"&gt;37571&lt;/D&gt;&lt;D xsi:type="xsd:long"&gt;37568&lt;/D&gt;&lt;D xsi:type="xsd:long"&gt;37567&lt;/D&gt;&lt;D xsi:type="xsd:long"&gt;37566&lt;/D&gt;&lt;D xsi:type="xsd:long"&gt;37565&lt;/D&gt;&lt;D xsi:type="xsd:long"&gt;37564&lt;/D&gt;&lt;D xsi:type="xsd:long"&gt;37561&lt;/D&gt;&lt;D xsi:type="xsd:long"&gt;37560&lt;/D&gt;&lt;D xsi:type="xsd:long"&gt;37559&lt;/D&gt;&lt;D xsi:type="xsd:long"&gt;37558&lt;/D&gt;&lt;D xsi:type="xsd:long"&gt;37557&lt;/D&gt;&lt;D xsi:type="xsd:long"&gt;37554&lt;/D&gt;&lt;D xsi:type="xsd:long"&gt;37553&lt;/D&gt;&lt;D xsi:type="xsd:long"&gt;37552&lt;/D&gt;&lt;D xsi:type="xsd:long"&gt;37551&lt;/D&gt;&lt;D xsi:type="xsd:long"&gt;37550&lt;/D&gt;&lt;D xsi:type="xsd:long"&gt;37547&lt;/D&gt;&lt;D xsi:type="xsd:long"&gt;37546&lt;/D&gt;&lt;D xsi:type="xsd:long"&gt;37545&lt;/D&gt;&lt;D xsi:type="xsd:long"&gt;37544&lt;/D&gt;&lt;D xsi:type="xsd:long"&gt;37543&lt;/D&gt;&lt;D xsi:type="xsd:long"&gt;37540&lt;/D&gt;&lt;D xsi:type="xsd:long"&gt;37539&lt;/D&gt;&lt;D xsi:type="xsd:long"&gt;37538&lt;/D&gt;&lt;D xsi:type="xsd:long"&gt;37537&lt;/D&gt;&lt;D xsi:type="xsd:long"&gt;37536&lt;/D&gt;&lt;D xsi:type="xsd:long"&gt;37533&lt;/D&gt;&lt;D xsi:type="xsd:long"&gt;37532&lt;/D&gt;&lt;D xsi:type="xsd:long"&gt;37531&lt;/D&gt;&lt;D xsi:type="xsd:long"&gt;37530&lt;/D&gt;&lt;D xsi:type="xsd:long"&gt;37529&lt;/D&gt;&lt;D xsi:type="xsd:long"&gt;37526&lt;/D&gt;&lt;D xsi:type="xsd:long"&gt;37525&lt;/D&gt;&lt;D xsi:type="xsd:long"&gt;37524&lt;/D&gt;&lt;D xsi:type="xsd:long"&gt;37523&lt;/D&gt;&lt;D xsi:type="xsd:long"&gt;37522&lt;/D&gt;&lt;D xsi:type="xsd:long"&gt;37519&lt;/D&gt;&lt;D xsi:type="xsd:long"&gt;37518&lt;/D&gt;&lt;D xsi:type="xsd:long"&gt;37517&lt;/D&gt;&lt;D xsi:type="xsd:long"&gt;37516&lt;/D&gt;&lt;D xsi:type="xsd:long"&gt;37515&lt;/D&gt;&lt;D xsi:type="xsd:long"&gt;37512&lt;/D&gt;&lt;D xsi:type="xsd:long"&gt;37511&lt;/D&gt;&lt;D xsi:type="xsd:long"&gt;37510&lt;/D&gt;&lt;D xsi:type="xsd:long"&gt;37509&lt;/D&gt;&lt;D xsi:type="xsd:long"&gt;37508&lt;/D&gt;&lt;D xsi:type="xsd:long"&gt;37505&lt;/D&gt;&lt;D xsi:type="xsd:long"&gt;37504&lt;/D&gt;&lt;D xsi:type="xsd:long"&gt;37503&lt;/D&gt;&lt;D xsi:type="xsd:long"&gt;37502&lt;/D&gt;&lt;D xsi:type="xsd:long"&gt;37498&lt;/D&gt;&lt;D xsi:type="xsd:long"&gt;37497&lt;/D&gt;&lt;D xsi:type="xsd:long"&gt;37496&lt;/D&gt;&lt;D xsi:type="xsd:long"&gt;37495&lt;/D&gt;&lt;D xsi:type="xsd:long"&gt;37494&lt;/D&gt;&lt;D xsi:type="xsd:long"&gt;37491&lt;/D&gt;&lt;D xsi:type="xsd:long"&gt;37490&lt;/D&gt;&lt;D xsi:type="xsd:long"&gt;37489&lt;/D&gt;&lt;D xsi:type="xsd:long"&gt;37488&lt;/D&gt;&lt;D xsi:type="xsd:long"&gt;37487&lt;/D&gt;&lt;D xsi:type="xsd:long"&gt;37484&lt;/D&gt;&lt;D xsi:type="xsd:long"&gt;37483&lt;/D&gt;&lt;D xsi:type="xsd:long"&gt;37482&lt;/D&gt;&lt;D xsi:type="xsd:long"&gt;37481&lt;/D&gt;&lt;D xsi:type="xsd:long"&gt;37480&lt;/D&gt;&lt;D xsi:type="xsd:long"&gt;37477&lt;/D&gt;&lt;D xsi:type="xsd:long"&gt;37476&lt;/D&gt;&lt;D xsi:type="xsd:long"&gt;37475&lt;/D&gt;&lt;D xsi:type="xsd:long"&gt;37474&lt;/D&gt;&lt;D xsi:type="xsd:long"&gt;37473&lt;/D&gt;&lt;D xsi:type="xsd:long"&gt;37470&lt;/D&gt;&lt;D xsi:type="xsd:long"&gt;37469&lt;/D&gt;&lt;D xsi:type="xsd:long"&gt;37468&lt;/D&gt;&lt;D xsi:type="xsd:long"&gt;37467&lt;/D&gt;&lt;D xsi:type="xsd:long"&gt;37466&lt;/D&gt;&lt;D xsi:type="xsd:long"&gt;37463&lt;/D&gt;&lt;D xsi:type="xsd:long"&gt;37462&lt;/D&gt;&lt;D xsi:type="xsd:long"&gt;37461&lt;/D&gt;&lt;D xsi:type="xsd:long"&gt;37460&lt;/D&gt;&lt;D xsi:type="xsd:long"&gt;37459&lt;/D&gt;&lt;D xsi:type="xsd:long"&gt;37456&lt;/D&gt;&lt;D xsi:type="xsd:long"&gt;37455&lt;/D&gt;&lt;D xsi:type="xsd:long"&gt;37454&lt;/D&gt;&lt;D xsi:type="xsd:long"&gt;37453&lt;/D&gt;&lt;D xsi:type="xsd:long"&gt;37452&lt;/D&gt;&lt;D xsi:type="xsd:long"&gt;37449&lt;/D&gt;&lt;D xsi:type="xsd:long"&gt;37448&lt;/D&gt;&lt;D xsi:type="xsd:long"&gt;37447&lt;/D&gt;&lt;D xsi:type="xsd:long"&gt;37446&lt;/D&gt;&lt;D xsi:type="xsd:long"&gt;37445&lt;/D&gt;&lt;D xsi:type="xsd:long"&gt;37442&lt;/D&gt;&lt;D xsi:type="xsd:long"&gt;37440&lt;/D&gt;&lt;D xsi:type="xsd:long"&gt;37439&lt;/D&gt;&lt;D xsi:type="xsd:long"&gt;37438&lt;/D&gt;&lt;D xsi:type="xsd:long"&gt;37435&lt;/D&gt;&lt;D xsi:type="xsd:long"&gt;37434&lt;/D&gt;&lt;D xsi:type="xsd:long"&gt;37433&lt;/D&gt;&lt;D xsi:type="xsd:long"&gt;37432&lt;/D&gt;&lt;D xsi:type="xsd:long"&gt;37431&lt;/D&gt;&lt;D xsi:type="xsd:long"&gt;37428&lt;/D&gt;&lt;D xsi:type="xsd:long"&gt;37427&lt;/D&gt;&lt;D xsi:type="xsd:long"&gt;37426&lt;/D&gt;&lt;D xsi:type="xsd:long"&gt;37425&lt;/D&gt;&lt;D xsi:type="xsd:long"&gt;37424&lt;/D&gt;&lt;D xsi:type="xsd:long"&gt;37421&lt;/D&gt;&lt;D xsi:type="xsd:long"&gt;37420&lt;/D&gt;&lt;D xsi:type="xsd:long"&gt;37419&lt;/D&gt;&lt;D xsi:type="xsd:long"&gt;37418&lt;/D&gt;&lt;D xsi:type="xsd:long"&gt;37417&lt;/D&gt;&lt;D xsi:type="xsd:long"&gt;37414&lt;/D&gt;&lt;D xsi:type="xsd:long"&gt;37413&lt;/D&gt;&lt;D xsi:type="xsd:long"&gt;37412&lt;/D&gt;&lt;D xsi:type="xsd:long"&gt;37411&lt;/D&gt;&lt;D xsi:type="xsd:long"&gt;37410&lt;/D&gt;&lt;D xsi:type="xsd:long"&gt;37407&lt;/D&gt;&lt;D xsi:type="xsd:long"&gt;37406&lt;/D&gt;&lt;D xsi:type="xsd:long"&gt;37405&lt;/D&gt;&lt;D xsi:type="xsd:long"&gt;37404&lt;/D&gt;&lt;D xsi:type="xsd:long"&gt;37400&lt;/D&gt;&lt;D xsi:type="xsd:long"&gt;37399&lt;/D&gt;&lt;D xsi:type="xsd:long"&gt;37398&lt;/D&gt;&lt;D xsi:type="xsd:long"&gt;37397&lt;/D&gt;&lt;D xsi:type="xsd:long"&gt;37396&lt;/D&gt;&lt;D xsi:type="xsd:long"&gt;37393&lt;/D&gt;&lt;D xsi:type="xsd:long"&gt;37392&lt;/D&gt;&lt;D xsi:type="xsd:long"&gt;37391&lt;/D&gt;&lt;D xsi:type="xsd:long"&gt;37390&lt;/D&gt;&lt;D xsi:type="xsd:long"&gt;37389&lt;/D&gt;&lt;D xsi:type="xsd:long"&gt;37386&lt;/D&gt;&lt;D xsi:type="xsd:long"&gt;37385&lt;/D&gt;&lt;D xsi:type="xsd:long"&gt;37384&lt;/D&gt;&lt;D xsi:type="xsd:long"&gt;37383&lt;/D&gt;&lt;D xsi:type="xsd:long"&gt;37382&lt;/D&gt;&lt;D xsi:type="xsd:long"&gt;37379&lt;/D&gt;&lt;D xsi:type="xsd:long"&gt;37378&lt;/D&gt;&lt;D xsi:type="xsd:long"&gt;37377&lt;/D&gt;&lt;D xsi:type="xsd:long"&gt;37376&lt;/D&gt;&lt;D xsi:type="xsd:long"&gt;37375&lt;/D&gt;&lt;D xsi:type="xsd:long"&gt;37372&lt;/D&gt;&lt;D xsi:type="xsd:long"&gt;37371&lt;/D&gt;&lt;D xsi:type="xsd:long"&gt;37370&lt;/D&gt;&lt;D xsi:type="xsd:long"&gt;37369&lt;/D&gt;&lt;D xsi:type="xsd:long"&gt;37368&lt;/D&gt;&lt;D xsi:type="xsd:long"&gt;37365&lt;/D&gt;&lt;D xsi:type="xsd:long"&gt;37364&lt;/D&gt;&lt;D xsi:type="xsd:long"&gt;37363&lt;/D&gt;&lt;D xsi:type="xsd:long"&gt;37362&lt;/D&gt;&lt;D xsi:type="xsd:long"&gt;37361&lt;/D&gt;&lt;D xsi:type="xsd:long"&gt;37358&lt;/D&gt;&lt;D xsi:type="xsd:long"&gt;37357&lt;/D&gt;&lt;D xsi:type="xsd:long"&gt;37356&lt;/D&gt;&lt;D xsi:type="xsd:long"&gt;37355&lt;/D&gt;&lt;D xsi:type="xsd:long"&gt;37354&lt;/D&gt;&lt;D xsi:type="xsd:long"&gt;37351&lt;/D&gt;&lt;D xsi:type="xsd:long"&gt;37350&lt;/D&gt;&lt;D xsi:type="xsd:long"&gt;37349&lt;/D&gt;&lt;D xsi:type="xsd:long"&gt;37348&lt;/D&gt;&lt;D xsi:type="xsd:long"&gt;37347&lt;/D&gt;&lt;D xsi:type="xsd:long"&gt;37343&lt;/D&gt;&lt;D xsi:type="xsd:long"&gt;37342&lt;/D&gt;&lt;D xsi:type="xsd:long"&gt;37341&lt;/D&gt;&lt;D xsi:type="xsd:long"&gt;37340&lt;/D&gt;&lt;D xsi:type="xsd:long"&gt;37337&lt;/D&gt;&lt;D xsi:type="xsd:long"&gt;37336&lt;/D&gt;&lt;D xsi:type="xsd:long"&gt;37335&lt;/D&gt;&lt;D xsi:type="xsd:long"&gt;37334&lt;/D&gt;&lt;D xsi:type="xsd:long"&gt;37333&lt;/D&gt;&lt;</t>
        </r>
      </text>
    </comment>
    <comment ref="A15" authorId="0" shapeId="0">
      <text>
        <r>
          <rPr>
            <b/>
            <sz val="9"/>
            <color indexed="81"/>
            <rFont val="Tahoma"/>
            <family val="2"/>
          </rPr>
          <t>D xsi:type="xsd:long"&gt;37330&lt;/D&gt;&lt;D xsi:type="xsd:long"&gt;37329&lt;/D&gt;&lt;D xsi:type="xsd:long"&gt;37328&lt;/D&gt;&lt;D xsi:type="xsd:long"&gt;37327&lt;/D&gt;&lt;D xsi:type="xsd:long"&gt;37326&lt;/D&gt;&lt;D xsi:type="xsd:long"&gt;37323&lt;/D&gt;&lt;D xsi:type="xsd:long"&gt;37322&lt;/D&gt;&lt;D xsi:type="xsd:long"&gt;37321&lt;/D&gt;&lt;D xsi:type="xsd:long"&gt;37320&lt;/D&gt;&lt;D xsi:type="xsd:long"&gt;37319&lt;/D&gt;&lt;D xsi:type="xsd:long"&gt;37316&lt;/D&gt;&lt;D xsi:type="xsd:long"&gt;37315&lt;/D&gt;&lt;D xsi:type="xsd:long"&gt;37314&lt;/D&gt;&lt;D xsi:type="xsd:long"&gt;37313&lt;/D&gt;&lt;D xsi:type="xsd:long"&gt;37312&lt;/D&gt;&lt;D xsi:type="xsd:long"&gt;37309&lt;/D&gt;&lt;D xsi:type="xsd:long"&gt;37308&lt;/D&gt;&lt;D xsi:type="xsd:long"&gt;37307&lt;/D&gt;&lt;D xsi:type="xsd:long"&gt;37306&lt;/D&gt;&lt;D xsi:type="xsd:long"&gt;37302&lt;/D&gt;&lt;D xsi:type="xsd:long"&gt;37301&lt;/D&gt;&lt;D xsi:type="xsd:long"&gt;37300&lt;/D&gt;&lt;D xsi:type="xsd:long"&gt;37299&lt;/D&gt;&lt;D xsi:type="xsd:long"&gt;37298&lt;/D&gt;&lt;D xsi:type="xsd:long"&gt;37295&lt;/D&gt;&lt;D xsi:type="xsd:long"&gt;37294&lt;/D&gt;&lt;D xsi:type="xsd:long"&gt;37293&lt;/D&gt;&lt;D xsi:type="xsd:long"&gt;37292&lt;/D&gt;&lt;D xsi:type="xsd:long"&gt;37291&lt;/D&gt;&lt;D xsi:type="xsd:long"&gt;37288&lt;/D&gt;&lt;D xsi:type="xsd:long"&gt;37287&lt;/D&gt;&lt;D xsi:type="xsd:long"&gt;37286&lt;/D&gt;&lt;D xsi:type="xsd:long"&gt;37285&lt;/D&gt;&lt;D xsi:type="xsd:long"&gt;37284&lt;/D&gt;&lt;D xsi:type="xsd:long"&gt;37281&lt;/D&gt;&lt;D xsi:type="xsd:long"&gt;37280&lt;/D&gt;&lt;D xsi:type="xsd:long"&gt;37279&lt;/D&gt;&lt;D xsi:type="xsd:long"&gt;37278&lt;/D&gt;&lt;D xsi:type="xsd:long"&gt;37274&lt;/D&gt;&lt;D xsi:type="xsd:long"&gt;37273&lt;/D&gt;&lt;D xsi:type="xsd:long"&gt;37272&lt;/D&gt;&lt;D xsi:type="xsd:long"&gt;37271&lt;/D&gt;&lt;D xsi:type="xsd:long"&gt;37270&lt;/D&gt;&lt;D xsi:type="xsd:long"&gt;37267&lt;/D&gt;&lt;D xsi:type="xsd:long"&gt;37266&lt;/D&gt;&lt;D xsi:type="xsd:long"&gt;37265&lt;/D&gt;&lt;D xsi:type="xsd:long"&gt;37264&lt;/D&gt;&lt;D xsi:type="xsd:long"&gt;37263&lt;/D&gt;&lt;D xsi:type="xsd:long"&gt;37260&lt;/D&gt;&lt;D xsi:type="xsd:long"&gt;37259&lt;/D&gt;&lt;D xsi:type="xsd:long"&gt;37258&lt;/D&gt;&lt;D xsi:type="xsd:long"&gt;37256&lt;/D&gt;&lt;D xsi:type="xsd:long"&gt;37253&lt;/D&gt;&lt;D xsi:type="xsd:long"&gt;37252&lt;/D&gt;&lt;D xsi:type="xsd:long"&gt;37251&lt;/D&gt;&lt;D xsi:type="xsd:long"&gt;37249&lt;/D&gt;&lt;D xsi:type="xsd:long"&gt;37246&lt;/D&gt;&lt;D xsi:type="xsd:long"&gt;37245&lt;/D&gt;&lt;D xsi:type="xsd:long"&gt;37244&lt;/D&gt;&lt;D xsi:type="xsd:long"&gt;37243&lt;/D&gt;&lt;D xsi:type="xsd:long"&gt;37242&lt;/D&gt;&lt;D xsi:type="xsd:long"&gt;37239&lt;/D&gt;&lt;D xsi:type="xsd:long"&gt;37238&lt;/D&gt;&lt;D xsi:type="xsd:long"&gt;37237&lt;/D&gt;&lt;D xsi:type="xsd:long"&gt;37236&lt;/D&gt;&lt;D xsi:type="xsd:long"&gt;37235&lt;/D&gt;&lt;D xsi:type="xsd:long"&gt;37232&lt;/D&gt;&lt;D xsi:type="xsd:long"&gt;37231&lt;/D&gt;&lt;D xsi:type="xsd:long"&gt;37230&lt;/D&gt;&lt;D xsi:type="xsd:long"&gt;37229&lt;/D&gt;&lt;D xsi:type="xsd:long"&gt;37228&lt;/D&gt;&lt;D xsi:type="xsd:long"&gt;37225&lt;/D&gt;&lt;D xsi:type="xsd:long"&gt;37224&lt;/D&gt;&lt;D xsi:type="xsd:long"&gt;37223&lt;/D&gt;&lt;D xsi:type="xsd:long"&gt;37222&lt;/D&gt;&lt;D xsi:type="xsd:long"&gt;37221&lt;/D&gt;&lt;D xsi:type="xsd:long"&gt;37218&lt;/D&gt;&lt;D xsi:type="xsd:long"&gt;37216&lt;/D&gt;&lt;D xsi:type="xsd:long"&gt;37215&lt;/D&gt;&lt;D xsi:type="xsd:long"&gt;37214&lt;/D&gt;&lt;D xsi:type="xsd:long"&gt;37211&lt;/D&gt;&lt;D xsi:type="xsd:long"&gt;37210&lt;/D&gt;&lt;D xsi:type="xsd:long"&gt;37209&lt;/D&gt;&lt;D xsi:type="xsd:long"&gt;37208&lt;/D&gt;&lt;D xsi:type="xsd:long"&gt;37207&lt;/D&gt;&lt;D xsi:type="xsd:long"&gt;37204&lt;/D&gt;&lt;D xsi:type="xsd:long"&gt;37203&lt;/D&gt;&lt;D xsi:type="xsd:long"&gt;37202&lt;/D&gt;&lt;D xsi:type="xsd:long"&gt;37201&lt;/D&gt;&lt;D xsi:type="xsd:long"&gt;37200&lt;/D&gt;&lt;D xsi:type="xsd:long"&gt;37197&lt;/D&gt;&lt;D xsi:type="xsd:long"&gt;37196&lt;/D&gt;&lt;D xsi:type="xsd:long"&gt;37195&lt;/D&gt;&lt;D xsi:type="xsd:long"&gt;37194&lt;/D&gt;&lt;D xsi:type="xsd:long"&gt;37193&lt;/D&gt;&lt;D xsi:type="xsd:long"&gt;37190&lt;/D&gt;&lt;D xsi:type="xsd:long"&gt;37189&lt;/D&gt;&lt;D xsi:type="xsd:long"&gt;37188&lt;/D&gt;&lt;D xsi:type="xsd:long"&gt;37187&lt;/D&gt;&lt;D xsi:type="xsd:long"&gt;37186&lt;/D&gt;&lt;D xsi:type="xsd:long"&gt;37183&lt;/D&gt;&lt;D xsi:type="xsd:long"&gt;37182&lt;/D&gt;&lt;D xsi:type="xsd:long"&gt;37181&lt;/D&gt;&lt;D xsi:type="xsd:long"&gt;37180&lt;/D&gt;&lt;D xsi:type="xsd:long"&gt;37179&lt;/D&gt;&lt;D xsi:type="xsd:long"&gt;37176&lt;/D&gt;&lt;D xsi:type="xsd:long"&gt;37175&lt;/D&gt;&lt;D xsi:type="xsd:long"&gt;37174&lt;/D&gt;&lt;D xsi:type="xsd:long"&gt;37173&lt;/D&gt;&lt;D xsi:type="xsd:long"&gt;37172&lt;/D&gt;&lt;D xsi:type="xsd:long"&gt;37169&lt;/D&gt;&lt;D xsi:type="xsd:long"&gt;37168&lt;/D&gt;&lt;D xsi:type="xsd:long"&gt;37167&lt;/D&gt;&lt;D xsi:type="xsd:long"&gt;37166&lt;/D&gt;&lt;D xsi:type="xsd:long"&gt;37165&lt;/D&gt;&lt;D xsi:type="xsd:long"&gt;37162&lt;/D&gt;&lt;D xsi:type="xsd:long"&gt;37161&lt;/D&gt;&lt;D xsi:type="xsd:long"&gt;37160&lt;/D&gt;&lt;D xsi:type="xsd:long"&gt;37159&lt;/D&gt;&lt;D xsi:type="xsd:long"&gt;37158&lt;/D&gt;&lt;D xsi:type="xsd:long"&gt;37155&lt;/D&gt;&lt;D xsi:type="xsd:long"&gt;37154&lt;/D&gt;&lt;D xsi:type="xsd:long"&gt;37153&lt;/D&gt;&lt;D xsi:type="xsd:long"&gt;37152&lt;/D&gt;&lt;D xsi:type="xsd:long"&gt;37151&lt;/D&gt;&lt;D xsi:type="xsd:long"&gt;37144&lt;/D&gt;&lt;D xsi:type="xsd:long"&gt;37141&lt;/D&gt;&lt;D xsi:type="xsd:long"&gt;37140&lt;/D&gt;&lt;D xsi:type="xsd:long"&gt;37139&lt;/D&gt;&lt;D xsi:type="xsd:long"&gt;37138&lt;/D&gt;&lt;D xsi:type="xsd:long"&gt;37134&lt;/D&gt;&lt;D xsi:type="xsd:long"&gt;37133&lt;/D&gt;&lt;D xsi:type="xsd:long"&gt;37132&lt;/D&gt;&lt;D xsi:type="xsd:long"&gt;37131&lt;/D&gt;&lt;D xsi:type="xsd:long"&gt;37130&lt;/D&gt;&lt;D xsi:type="xsd:long"&gt;37127&lt;/D&gt;&lt;D xsi:type="xsd:long"&gt;37126&lt;/D&gt;&lt;D xsi:type="xsd:long"&gt;37125&lt;/D&gt;&lt;D xsi:type="xsd:long"&gt;37124&lt;/D&gt;&lt;D xsi:type="xsd:long"&gt;37123&lt;/D&gt;&lt;D xsi:type="xsd:long"&gt;37120&lt;/D&gt;&lt;D xsi:type="xsd:long"&gt;37119&lt;/D&gt;&lt;D xsi:type="xsd:long"&gt;37118&lt;/D&gt;&lt;D xsi:type="xsd:long"&gt;37117&lt;/D&gt;&lt;D xsi:type="xsd:long"&gt;37116&lt;/D&gt;&lt;D xsi:type="xsd:long"&gt;37113&lt;/D&gt;&lt;D xsi:type="xsd:long"&gt;37112&lt;/D&gt;&lt;D xsi:type="xsd:long"&gt;37111&lt;/D&gt;&lt;D xsi:type="xsd:long"&gt;37110&lt;/D&gt;&lt;D xsi:type="xsd:long"&gt;37109&lt;/D&gt;&lt;D xsi:type="xsd:long"&gt;37106&lt;/D&gt;&lt;D xsi:type="xsd:long"&gt;37105&lt;/D&gt;&lt;D xsi:type="xsd:long"&gt;37104&lt;/D&gt;&lt;D xsi:type="xsd:long"&gt;37103&lt;/D&gt;&lt;D xsi:type="xsd:long"&gt;37102&lt;/D&gt;&lt;D xsi:type="xsd:long"&gt;37099&lt;/D&gt;&lt;D xsi:type="xsd:long"&gt;37098&lt;/D&gt;&lt;D xsi:type="xsd:long"&gt;37097&lt;/D&gt;&lt;D xsi:type="xsd:long"&gt;37096&lt;/D&gt;&lt;D xsi:type="xsd:long"&gt;37095&lt;/D&gt;&lt;D xsi:type="xsd:long"&gt;37092&lt;/D&gt;&lt;D xsi:type="xsd:long"&gt;37091&lt;/D&gt;&lt;D xsi:type="xsd:long"&gt;37090&lt;/D&gt;&lt;D xsi:type="xsd:long"&gt;37089&lt;/D&gt;&lt;D xsi:type="xsd:long"&gt;37088&lt;/D&gt;&lt;D xsi:type="xsd:long"&gt;37085&lt;/D&gt;&lt;D xsi:type="xsd:long"&gt;37084&lt;/D&gt;&lt;D xsi:type="xsd:long"&gt;37083&lt;/D&gt;&lt;D xsi:type="xsd:long"&gt;37082&lt;/D&gt;&lt;D xsi:type="xsd:long"&gt;37081&lt;/D&gt;&lt;D xsi:type="xsd:long"&gt;37078&lt;/D&gt;&lt;D xsi:type="xsd:long"&gt;37077&lt;/D&gt;&lt;D xsi:type="xsd:long"&gt;37075&lt;/D&gt;&lt;D xsi:type="xsd:long"&gt;37074&lt;/D&gt;&lt;D xsi:type="xsd:long"&gt;37071&lt;/D&gt;&lt;D xsi:type="xsd:long"&gt;37070&lt;/D&gt;&lt;D xsi:type="xsd:long"&gt;37069&lt;/D&gt;&lt;D xsi:type="xsd:long"&gt;37068&lt;/D&gt;&lt;D xsi:type="xsd:long"&gt;37067&lt;/D&gt;&lt;D xsi:type="xsd:long"&gt;37064&lt;/D&gt;&lt;D xsi:type="xsd:long"&gt;37063&lt;/D&gt;&lt;D xsi:type="xsd:long"&gt;37062&lt;/D&gt;&lt;D xsi:type="xsd:long"&gt;37061&lt;/D&gt;&lt;D xsi:type="xsd:long"&gt;37060&lt;/D&gt;&lt;D xsi:type="xsd:long"&gt;37057&lt;/D&gt;&lt;D xsi:type="xsd:long"&gt;37056&lt;/D&gt;&lt;D xsi:type="xsd:long"&gt;37055&lt;/D&gt;&lt;D xsi:type="xsd:long"&gt;37054&lt;/D&gt;&lt;D xsi:type="xsd:long"&gt;37053&lt;/D&gt;&lt;D xsi:type="xsd:long"&gt;37050&lt;/D&gt;&lt;D xsi:type="xsd:long"&gt;37049&lt;/D&gt;&lt;D xsi:type="xsd:long"&gt;37048&lt;/D&gt;&lt;D xsi:type="xsd:long"&gt;37047&lt;/D&gt;&lt;D xsi:type="xsd:long"&gt;37046&lt;/D&gt;&lt;D xsi:type="xsd:long"&gt;37043&lt;/D&gt;&lt;D xsi:type="xsd:long"&gt;37042&lt;/D&gt;&lt;D xsi:type="xsd:long"&gt;37041&lt;/D&gt;&lt;D xsi:type="xsd:long"&gt;37040&lt;/D&gt;&lt;D xsi:type="xsd:long"&gt;37036&lt;/D&gt;&lt;D xsi:type="xsd:long"&gt;37035&lt;/D&gt;&lt;D xsi:type="xsd:long"&gt;37034&lt;/D&gt;&lt;D xsi:type="xsd:long"&gt;37033&lt;/D&gt;&lt;D xsi:type="xsd:long"&gt;37032&lt;/D&gt;&lt;D xsi:type="xsd:long"&gt;37029&lt;/D&gt;&lt;D xsi:type="xsd:long"&gt;37028&lt;/D&gt;&lt;D xsi:type="xsd:long"&gt;37027&lt;/D&gt;&lt;D xsi:type="xsd:long"&gt;37026&lt;/D&gt;&lt;D xsi:type="xsd:long"&gt;37025&lt;/D&gt;&lt;D xsi:type="xsd:long"&gt;37022&lt;/D&gt;&lt;D xsi:type="xsd:long"&gt;37021&lt;/D&gt;&lt;D xsi:type="xsd:long"&gt;37020&lt;/D&gt;&lt;D xsi:type="xsd:long"&gt;37019&lt;/D&gt;&lt;D xsi:type="xsd:long"&gt;37018&lt;/D&gt;&lt;D xsi:type="xsd:long"&gt;37015&lt;/D&gt;&lt;D xsi:type="xsd:long"&gt;37014&lt;/D&gt;&lt;D xsi:type="xsd:long"&gt;37013&lt;/D&gt;&lt;D xsi:type="xsd:long"&gt;37012&lt;/D&gt;&lt;D xsi:type="xsd:long"&gt;37011&lt;/D&gt;&lt;D xsi:type="xsd:long"&gt;37008&lt;/D&gt;&lt;D xsi:type="xsd:long"&gt;37007&lt;/D&gt;&lt;D xsi:type="xsd:long"&gt;37006&lt;/D&gt;&lt;D xsi:type="xsd:long"&gt;37005&lt;/D&gt;&lt;D xsi:type="xsd:long"&gt;37004&lt;/D&gt;&lt;D xsi:type="xsd:long"&gt;37001&lt;/D&gt;&lt;D xsi:type="xsd:long"&gt;37000&lt;/D&gt;&lt;D xsi:type="xsd:long"&gt;36999&lt;/D&gt;&lt;D xsi:type="xsd:long"&gt;36998&lt;/D&gt;&lt;D xsi:type="xsd:long"&gt;36997&lt;/D&gt;&lt;D xsi:type="xsd:long"&gt;36993&lt;/D&gt;&lt;D xsi:type="xsd:long"&gt;36992&lt;/D&gt;&lt;D xsi:type="xsd:long"&gt;36991&lt;/D&gt;&lt;D xsi:type="xsd:long"&gt;36990&lt;/D&gt;&lt;D xsi:type="xsd:long"&gt;36987&lt;/D&gt;&lt;D xsi:type="xsd:long"&gt;36986&lt;/D&gt;&lt;D xsi:type="xsd:long"&gt;36985&lt;/D&gt;&lt;D xsi:type="xsd:long"&gt;36984&lt;/D&gt;&lt;D xsi:type="xsd:long"&gt;36983&lt;/D&gt;&lt;D xsi:type="xsd:long"&gt;36980&lt;/D&gt;&lt;D xsi:type="xsd:long"&gt;36979&lt;/D&gt;&lt;D xsi:type="xsd:long"&gt;36978&lt;/D&gt;&lt;D xsi:type="xsd:long"&gt;36977&lt;/D&gt;&lt;D xsi:type="xsd:long"&gt;36976&lt;/D&gt;&lt;D xsi:type="xsd:long"&gt;36973&lt;/D&gt;&lt;D xsi:type="xsd:long"&gt;36972&lt;/D&gt;&lt;D xsi:type="xsd:long"&gt;36971&lt;/D&gt;&lt;D xsi:type="xsd:long"&gt;36970&lt;/D&gt;&lt;D xsi:type="xsd:long"&gt;36969&lt;/D&gt;&lt;D xsi:type="xsd:long"&gt;36966&lt;/D&gt;&lt;D xsi:type="xsd:long"&gt;36965&lt;/D&gt;&lt;D xsi:type="xsd:long"&gt;36964&lt;/D&gt;&lt;D xsi:type="xsd:long"&gt;36963&lt;/D&gt;&lt;D xsi:type="xsd:long"&gt;36962&lt;/D&gt;&lt;D xsi:type="xsd:long"&gt;36959&lt;/D&gt;&lt;D xsi:type="xsd:long"&gt;36958&lt;/D&gt;&lt;D xsi:type="xsd:long"&gt;36957&lt;/D&gt;&lt;D xsi:type="xsd:long"&gt;36956&lt;/D&gt;&lt;D xsi:type="xsd:long"&gt;36955&lt;/D&gt;&lt;D xsi:type="xsd:long"&gt;36952&lt;/D&gt;&lt;D xsi:type="xsd:long"&gt;36951&lt;/D&gt;&lt;D xsi:type="xsd:long"&gt;36950&lt;/D&gt;&lt;D xsi:type="xsd:long"&gt;36949&lt;/D&gt;&lt;D xsi:type="xsd:long"&gt;36948&lt;/D&gt;&lt;D xsi:type="xsd:long"&gt;36945&lt;/D&gt;&lt;D xsi:type="xsd:long"&gt;36944&lt;/D&gt;&lt;D xsi:type="xsd:long"&gt;36943&lt;/D&gt;&lt;D xsi:type="xsd:long"&gt;36942&lt;/D&gt;&lt;D xsi:type="xsd:long"&gt;36938&lt;/D&gt;&lt;D xsi:type="xsd:long"&gt;36937&lt;/D&gt;&lt;D xsi:type="xsd:long"&gt;36936&lt;/D&gt;&lt;D xsi:type="xsd:long"&gt;36935&lt;/D&gt;&lt;D xsi:type="xsd:long"&gt;36934&lt;/D&gt;&lt;D xsi:type="xsd:long"&gt;36931&lt;/D&gt;&lt;D xsi:type="xsd:long"&gt;36930&lt;/D&gt;&lt;D xsi:type="xsd:long"&gt;36929&lt;/D&gt;&lt;D xsi:type="xsd:long"&gt;36928&lt;/D&gt;&lt;D xsi:type="xsd:long"&gt;36927&lt;/D&gt;&lt;D xsi:type="xsd:long"&gt;36924&lt;/D&gt;&lt;D xsi:type="xsd:long"&gt;36923&lt;/D&gt;&lt;D xsi:type="xsd:long"&gt;36922&lt;/D&gt;&lt;D xsi:type="xsd:long"&gt;36921&lt;/D&gt;&lt;D xsi:type="xsd:long"&gt;36920&lt;/D&gt;&lt;D xsi:type="xsd:long"&gt;36917&lt;/D&gt;&lt;D xsi:type="xsd:long"&gt;36916&lt;/D&gt;&lt;D xsi:type="xsd:long"&gt;36915&lt;/D&gt;&lt;D xsi:type="xsd:long"&gt;36914&lt;/D&gt;&lt;D xsi:type="xsd:long"&gt;36913&lt;/D&gt;&lt;D xsi:type="xsd:long"&gt;36910&lt;/D&gt;&lt;D xsi:type="xsd:long"&gt;36909&lt;/D&gt;&lt;D xsi:type="xsd:long"&gt;36908&lt;/D&gt;&lt;D xsi:type="xsd:long"&gt;36907&lt;/D&gt;&lt;D xsi:type="xsd:long"&gt;36903&lt;/D&gt;&lt;D xsi:type="xsd:long"&gt;36902&lt;/D&gt;&lt;D xsi:type="xsd:long"&gt;36901&lt;/D&gt;&lt;D xsi:type="xsd:long"&gt;36900&lt;/D&gt;&lt;D xsi:type="xsd:long"&gt;36899&lt;/D&gt;&lt;D xsi:type="xsd:long"&gt;36896&lt;/D&gt;&lt;D xsi:type="xsd:long"&gt;36895&lt;/D&gt;&lt;D xsi:type="xsd:long"&gt;36894&lt;/D&gt;&lt;D xsi:type="xsd:long"&gt;36893&lt;/D&gt;&lt;D xsi:type="xsd:long"&gt;36889&lt;/D&gt;&lt;D xsi:type="xsd:long"&gt;36888&lt;/D&gt;&lt;D xsi:type="xsd:long"&gt;36887&lt;/D&gt;&lt;D xsi:type="xsd:long"&gt;36886&lt;/D&gt;&lt;D xsi:type="xsd:long"&gt;36882&lt;/D&gt;&lt;D xsi:type="xsd:long"&gt;36881&lt;/D&gt;&lt;D xsi:type="xsd:long"&gt;36880&lt;/D&gt;&lt;D xsi:type="xsd:long"&gt;36879&lt;/D&gt;&lt;D xsi:type="xsd:long"&gt;36878&lt;/D&gt;&lt;D xsi:type="xsd:long"&gt;36875&lt;/D&gt;&lt;D xsi:type="xsd:long"&gt;36874&lt;/D&gt;&lt;D xsi:type="xsd:long"&gt;36873&lt;/D&gt;&lt;D xsi:type="xsd:long"&gt;36872&lt;/D&gt;&lt;D xsi:type="xsd:long"&gt;36871&lt;/D&gt;&lt;D xsi:type="xsd:long"&gt;36868&lt;/D&gt;&lt;D xsi:type="xsd:long"&gt;36867&lt;/D&gt;&lt;D xsi:type="xsd:long"&gt;36866&lt;/D&gt;&lt;D xsi:type="xsd:long"&gt;36865&lt;/D&gt;&lt;D xsi:type="xsd:long"&gt;36864&lt;/D&gt;&lt;D xsi:type="xsd:long"&gt;36861&lt;/D&gt;&lt;D xsi:type="xsd:long"&gt;36860&lt;/D&gt;&lt;D xsi:type="xsd:long"&gt;36859&lt;/D&gt;&lt;D xsi:type="xsd:long"&gt;36858&lt;/D&gt;&lt;D xsi:type="xsd:long"&gt;36857&lt;/D&gt;&lt;D xsi:type="xsd:long"&gt;36854&lt;/D&gt;&lt;D xsi:type="xsd:long"&gt;36852&lt;/D&gt;&lt;D xsi:type="xsd:long"&gt;36851&lt;/D&gt;&lt;D xsi:type="xsd:long"&gt;36850&lt;/D&gt;&lt;D xsi:type="xsd:long"&gt;36847&lt;/D&gt;&lt;D xsi:type="xsd:long"&gt;36846&lt;/D&gt;&lt;D xsi:type="xsd:long"&gt;36845&lt;/D&gt;&lt;D xsi:type="xsd:long"&gt;36844&lt;/D&gt;&lt;D xsi:type="xsd:long"&gt;36843&lt;/D&gt;&lt;D xsi:type="xsd:long"&gt;36840&lt;/D&gt;&lt;D xsi:type="xsd:long"&gt;36839&lt;/D&gt;&lt;D xsi:type="xsd:long"&gt;36838&lt;/D&gt;&lt;D xsi:type="xsd:long"&gt;36837&lt;/D&gt;&lt;D xsi:type="xsd:long"&gt;36836&lt;/D&gt;&lt;D xsi:type="xsd:long"&gt;36833&lt;/D&gt;&lt;D xsi:type="xsd:long"&gt;36832&lt;/D&gt;&lt;D xsi:type="xsd:long"&gt;36831&lt;/D&gt;&lt;D xsi:type="xsd:long"&gt;36830&lt;/D&gt;&lt;D xsi:type="xsd:long"&gt;36829&lt;/D&gt;&lt;D xsi:type="xsd:long"&gt;36826&lt;/D&gt;&lt;D xsi:type="xsd:long"&gt;36825&lt;/D&gt;&lt;D xsi:type="xsd:long"&gt;36824&lt;/D&gt;&lt;D xsi:type="xsd:long"&gt;36823&lt;/D&gt;&lt;D xsi:type="xsd:long"&gt;36822&lt;/D&gt;&lt;D xsi:type="xsd:long"&gt;36819&lt;/D&gt;&lt;D xsi:type="xsd:long"&gt;36818&lt;/D&gt;&lt;D xsi:type="xsd:long"&gt;36817&lt;/D&gt;&lt;D xsi:type="xsd:long"&gt;36816&lt;/D&gt;&lt;D xsi:type="xsd:long"&gt;36815&lt;/D&gt;&lt;D xsi:type="xsd:long"&gt;36812&lt;/D&gt;&lt;D xsi:type="xsd:long"&gt;36811&lt;/D&gt;&lt;D xsi:type="xsd:long"&gt;36810&lt;/D&gt;&lt;D xsi:type="xsd:long"&gt;36809&lt;/D&gt;&lt;D xsi:type="xsd:long"&gt;36808&lt;/D&gt;&lt;D xsi:type="xsd:long"&gt;36805&lt;/D&gt;&lt;D xsi:type="xsd:long"&gt;36804&lt;/D&gt;&lt;D xsi:type="xsd:long"&gt;36803&lt;/D&gt;&lt;D xsi:type="xsd:long"&gt;36802&lt;/D&gt;&lt;D xsi:type="xsd:long"&gt;36801&lt;/D&gt;&lt;D xsi:type="xsd:long"&gt;36798&lt;/D&gt;&lt;D xsi:type="xsd:long"&gt;36797&lt;/D&gt;&lt;D xsi:type="xsd:long"&gt;36796&lt;/D&gt;&lt;D xsi:type="xsd:long"&gt;36795&lt;/D&gt;&lt;D xsi:type="xsd:long"&gt;36794&lt;/D&gt;&lt;D xsi:type="xsd:long"&gt;36791&lt;/D&gt;&lt;D xsi:type="xsd:long"&gt;36790&lt;/D&gt;&lt;D xsi:type="xsd:long"&gt;36789&lt;/D&gt;&lt;D xsi:type="xsd:long"&gt;36788&lt;/D&gt;&lt;D xsi:type="xsd:long"&gt;36787&lt;/D&gt;&lt;D xsi:type="xsd:long"&gt;36784&lt;/D&gt;&lt;D xsi:type="xsd:long"&gt;36783&lt;/D&gt;&lt;D xsi:type="xsd:long"&gt;36782&lt;/D&gt;&lt;D xsi:type="xsd:long"&gt;36781&lt;/D&gt;&lt;D xsi:type="xsd:long"&gt;36780&lt;/D&gt;&lt;D xsi:type="xsd:long"&gt;36777&lt;/D&gt;&lt;D xsi:type="xsd:long"&gt;36776&lt;/D&gt;&lt;D xsi:type="xsd:long"&gt;36775&lt;/D&gt;&lt;D xsi:type="xsd:long"&gt;36774&lt;/D&gt;&lt;D xsi:type="xsd:long"&gt;36770&lt;/D&gt;&lt;D xsi:type="xsd:long"&gt;36769&lt;/D&gt;&lt;D xsi:type="xsd:long"&gt;36768&lt;/D&gt;&lt;D xsi:type="xsd:long"&gt;36767&lt;/D&gt;&lt;D xsi:type="xsd:long"&gt;36766&lt;/D&gt;&lt;D xsi:type="xsd:long"&gt;36763&lt;/D&gt;&lt;D xsi:type="xsd:long"&gt;36762&lt;/D&gt;&lt;D xsi:type="xsd:long"&gt;36761&lt;/D&gt;&lt;D xsi:type="xsd:long"&gt;36760&lt;/D&gt;&lt;D xsi:type="xsd:long"&gt;36759&lt;/D&gt;&lt;D xsi:type="xsd:long"&gt;36756&lt;/D&gt;&lt;D xsi:type="xsd:long"&gt;36755&lt;/D&gt;&lt;D xsi:type="xsd:long"&gt;36754&lt;/D&gt;&lt;D xsi:type="xsd:long"&gt;36753&lt;/D&gt;&lt;D xsi:type="xsd:long"&gt;36752&lt;/D&gt;&lt;D xsi:type="xsd:long"&gt;36749&lt;/D&gt;&lt;D xsi:type="xsd:long"&gt;36748&lt;/D&gt;&lt;D xsi:type="xsd:long"&gt;36747&lt;/D&gt;&lt;D xsi:type="xsd:long"&gt;36746&lt;/D&gt;&lt;D xsi:type="xsd:long"&gt;36745&lt;/D&gt;&lt;D xsi:type="xsd:long"&gt;36742&lt;/D&gt;&lt;D xsi:type="xsd:long"&gt;36741&lt;/D&gt;&lt;D xsi:type="xsd:long"&gt;36740&lt;/D&gt;&lt;D xsi:type="xsd:long"&gt;36739&lt;/D&gt;&lt;D xsi:type="xsd:long"&gt;36738&lt;/D&gt;&lt;D xsi:type="xsd:long"&gt;36735&lt;/D&gt;&lt;D xsi:type="xsd:long"&gt;36734&lt;/D&gt;&lt;D xsi:type="xsd:long"&gt;36733&lt;/D&gt;&lt;D xsi:type="xsd:long"&gt;36732&lt;/D&gt;&lt;D xsi:type="xsd:long"&gt;36731&lt;/D&gt;&lt;D xsi:type="xsd:long"&gt;36728&lt;/D&gt;&lt;D xsi:type="xsd:long"&gt;36727&lt;/D&gt;&lt;D xsi:type="xsd:long"&gt;36726&lt;/D&gt;&lt;D xsi:type="xsd:long"&gt;36725&lt;/D&gt;&lt;D xsi:type="xsd:long"&gt;36724&lt;/D&gt;&lt;D xsi:type="xsd:long"&gt;36721&lt;/D&gt;&lt;D xsi:type="xsd:long"&gt;36720&lt;/D&gt;&lt;D xsi:type="xsd:long"&gt;36719&lt;/D&gt;&lt;D xsi:type="xsd:long"&gt;36718&lt;/D&gt;&lt;D xsi:type="xsd:long"&gt;36717&lt;/D&gt;&lt;D xsi:type="xsd:long"&gt;36714&lt;/D&gt;&lt;D xsi:type="xsd:long"&gt;36713&lt;/D&gt;&lt;D xsi:type="xsd:long"&gt;36712&lt;/D&gt;&lt;D xsi:type="xsd:long"&gt;36710&lt;/D&gt;&lt;D xsi:type="xsd:long"&gt;36707&lt;/D&gt;&lt;D xsi:type="xsd:long"&gt;36706&lt;/D&gt;&lt;D xsi:type="xsd:long"&gt;36705&lt;/D&gt;&lt;D xsi:type="xsd:long"&gt;36704&lt;/D&gt;&lt;D xsi:type="xsd:long"&gt;36703&lt;/D&gt;&lt;D xsi:type="xsd:long"&gt;36700&lt;/D&gt;&lt;D xsi:type="xsd:long"&gt;36699&lt;/D&gt;&lt;D xsi:type="xsd:long"&gt;36698&lt;/D&gt;&lt;D xsi:type="xsd:long"&gt;36697&lt;/D&gt;&lt;D xsi:type="xsd:long"&gt;36696&lt;/D&gt;&lt;D xsi:type="xsd:long"&gt;36693&lt;/D&gt;&lt;D xsi:type="xsd:long"&gt;36692&lt;/D&gt;&lt;D xsi:type="xsd:long"&gt;36691&lt;/D&gt;&lt;D xsi:type="xsd:long"&gt;36690&lt;/D&gt;&lt;D xsi:type="xsd:long"&gt;36689&lt;/D&gt;&lt;D xsi:type="xsd:long"&gt;36686&lt;/D&gt;&lt;D xsi:type="xsd:long"&gt;36685&lt;/D&gt;&lt;D xsi:type="xsd:long"&gt;36684&lt;/D&gt;&lt;D xsi:type="xsd:long"&gt;36683&lt;/D&gt;&lt;D xsi:type="xsd:long"&gt;36682&lt;/D&gt;&lt;D xsi:type="xsd:long"&gt;36679&lt;/D&gt;&lt;D xsi:type="xsd:long"&gt;36678&lt;/D&gt;&lt;D xsi:type="xsd:long"&gt;36677&lt;/D&gt;&lt;D xsi:type="xsd:long"&gt;36676&lt;/D&gt;&lt;D xsi:type="xsd:long"&gt;36672&lt;/D&gt;&lt;D xsi:type="xsd:long"&gt;36671&lt;/D&gt;&lt;D xsi:type="xsd:long"&gt;36670&lt;/D&gt;&lt;D xsi:type="xsd:long"&gt;36669&lt;/D&gt;&lt;D xsi:type="xsd:long"&gt;36668&lt;/D&gt;&lt;D xsi:type="xsd:long"&gt;36665&lt;/D&gt;&lt;D xsi:type="xsd:long"&gt;36664&lt;/D&gt;&lt;D xsi:type="xsd:long"&gt;36663&lt;/D&gt;&lt;D xsi:type="xsd:long"&gt;36662&lt;/D&gt;&lt;D xsi:type="xsd:long"&gt;36661&lt;/D&gt;&lt;D xsi:type="xsd:long"&gt;36658&lt;/D&gt;&lt;D xsi:type="xsd:long"&gt;36657&lt;/D&gt;&lt;D xsi:type="xsd:long"&gt;36656&lt;/D&gt;&lt;D xsi:type="xsd:long"&gt;36655&lt;/D&gt;&lt;D xsi:type="xsd:long"&gt;36654&lt;/D&gt;&lt;D xsi:type="xsd:long"&gt;36651&lt;/D&gt;&lt;D xsi:type="xsd:long"&gt;36650&lt;/D&gt;&lt;D xsi:type="xsd:long"&gt;36649&lt;/D&gt;&lt;D xsi:type="xsd:long"&gt;36648&lt;/D&gt;&lt;D xsi:type="xsd:long"&gt;36647&lt;/D&gt;&lt;D xsi:type="xsd:long"&gt;36644&lt;/D&gt;&lt;D xsi:type="xsd:long"&gt;36643&lt;/D&gt;&lt;D xsi:type="xsd:long"&gt;36642&lt;/D&gt;&lt;D xsi:type="xsd:long"&gt;36641&lt;/D&gt;&lt;D xsi:type="xsd:long"&gt;36640&lt;/D&gt;&lt;D xsi:type="xsd:long"&gt;36636&lt;/D&gt;&lt;D xsi:type="xsd:long"&gt;36635&lt;/D&gt;&lt;D xsi:type="xsd:long"&gt;36634&lt;/D&gt;&lt;D xsi:type="xsd:long"&gt;36633&lt;/D&gt;&lt;D xsi:type="xsd:long"&gt;36630&lt;/D&gt;&lt;D xsi:type="xsd:long"&gt;36629&lt;/D&gt;&lt;D xsi:type="xsd:long"&gt;36628&lt;/D&gt;&lt;D xsi:type="xsd:long"&gt;36627&lt;/D&gt;&lt;D xsi:type="xsd:long"&gt;36626&lt;/D&gt;&lt;D xsi:type="xsd:long"&gt;36623&lt;/D&gt;&lt;D xsi:type="xsd:long"&gt;36622&lt;/D&gt;&lt;D xsi:type="xsd:long"&gt;36621&lt;/D&gt;&lt;D xsi:type="xsd:long"&gt;36620&lt;/D&gt;&lt;D xsi:type="xsd:long"&gt;36619&lt;/D&gt;&lt;D xsi:type="xsd:long"&gt;36616&lt;/D&gt;&lt;D xsi:type="xsd:long"&gt;36615&lt;/D&gt;&lt;D xsi:type="xsd:long"&gt;36614&lt;/D&gt;&lt;D xsi:type="xsd:long"&gt;36613&lt;/D&gt;&lt;D xsi:type="xsd:long"&gt;36612&lt;/D&gt;&lt;D xsi:type="xsd:long"&gt;36609&lt;/D&gt;&lt;D xsi:type="xsd:long"&gt;36608&lt;/D&gt;&lt;D xsi:type="xsd:long"&gt;36607&lt;/D&gt;&lt;D xsi:type="xsd:long"&gt;36606&lt;/D&gt;&lt;D xsi:type="xsd:long"&gt;36605&lt;/D&gt;&lt;D xsi:type="xsd:long"&gt;36602&lt;/D&gt;&lt;D xsi:type="xsd:long"&gt;36601&lt;/D&gt;&lt;D xsi:type="xsd:long"&gt;36600&lt;/D&gt;&lt;D xsi:type="xsd:long"&gt;36599&lt;/D&gt;&lt;D xsi:type="xsd:long"&gt;36598&lt;/D&gt;&lt;D xsi:type="xsd:long"&gt;36595&lt;/D&gt;&lt;D xsi:type="xsd:long"&gt;36594&lt;/D&gt;&lt;D xsi:type="xsd:long"&gt;36593&lt;/D&gt;&lt;D xsi:type="xsd:long"&gt;36592&lt;/D&gt;&lt;D xsi:type="xsd:long"&gt;36591&lt;/D&gt;&lt;D xsi:type="xsd:long"&gt;36588&lt;/D&gt;&lt;D xsi:type="xsd:long"&gt;36587&lt;/D&gt;&lt;D xsi:type="xsd:long"&gt;36586&lt;/D&gt;&lt;D xsi:type="xsd:long"&gt;36585&lt;/D&gt;&lt;D xsi:type="xsd:long"&gt;36584&lt;/D&gt;&lt;D xsi:type="xsd:long"&gt;36581&lt;/D&gt;&lt;D xsi:type="xsd:long"&gt;36580&lt;/D&gt;&lt;D xsi:type="xsd:long"&gt;36579&lt;/D&gt;&lt;D xsi:type="xsd:long"&gt;36578&lt;/D&gt;&lt;D xsi:type="xsd:long"&gt;36574&lt;/D&gt;&lt;D xsi:type="xsd:long"&gt;36573&lt;/D&gt;&lt;D xsi:type="xsd:long"&gt;36572&lt;/D&gt;&lt;D xsi:type="xsd:long"&gt;36571&lt;/D&gt;&lt;D xsi:type="xsd:long"&gt;36570&lt;/D&gt;&lt;D xsi:type="xsd:long"&gt;36567&lt;/D&gt;&lt;D xsi:type="xsd:long"&gt;36566&lt;/D&gt;&lt;D xsi:type="xsd:long"&gt;36565&lt;/D&gt;&lt;D xsi:type="xsd:long"&gt;36564&lt;/D&gt;&lt;D xsi:type="xsd:long"&gt;36563&lt;/D&gt;&lt;D xsi:type="xsd:long"&gt;36560&lt;/D&gt;&lt;D xsi:type="xsd:long"&gt;36559&lt;/D&gt;&lt;D xsi:type="xsd:long"&gt;36558&lt;/D&gt;&lt;D xsi:type="xsd:long"&gt;36557&lt;/D&gt;&lt;D xsi:type="xsd:long"&gt;36556&lt;/D&gt;&lt;/FQL&gt;&lt;FQL&gt;&lt;Q&gt;991000^FG_PRICE(2/27/2026,1/31/2000,,USD)&lt;/Q&gt;&lt;R&gt;6559&lt;/R&gt;&lt;C&gt;1&lt;/C&gt;&lt;D xsi:type="xsd:double"&gt;3244.755968&lt;/D&gt;&lt;D xsi:type="xsd:double"&gt;3231.79482&lt;/D&gt;&lt;D xsi:type="xsd:double"&gt;3220.400592&lt;/D&gt;&lt;D xsi:type="xsd:double"&gt;3193.425856&lt;/D&gt;&lt;D xsi:type="xsd:double"&gt;3198.543095&lt;/D&gt;&lt;D xsi:type="xsd:double"&gt;3205.365767&lt;/D&gt;&lt;D xsi:type="xsd:double"&gt;3189.826064&lt;/D&gt;&lt;D xsi:type="xsd:double"&gt;3201.311919&lt;/D&gt;&lt;D xsi:type="xsd:double"&gt;3164.485404&lt;/D&gt;&lt;D xsi:type="xsd:double"&gt;3176.109176&lt;/D&gt;&lt;D xsi:type="xsd:double"&gt;3196.44412&lt;/D&gt;&lt;D xsi:type="xsd:double"&gt;3199.30432&lt;/D&gt;&lt;D xsi:type="xsd:double"&gt;3200.942493&lt;/D&gt;&lt;D xsi:type="xsd:double"&gt;3176.913652&lt;/D&gt;&lt;D xsi:type="xsd:double"&gt;3116.572101&lt;/D&gt;&lt;D xsi:type="xsd:double"&gt;3084.53168&lt;/D&gt;&lt;D xsi:type="xsd:double"&gt;3115.5639&lt;/D&gt;&lt;D xsi:type="xsd:double"&gt;3117.982807&lt;/D&gt;&lt;D xsi:type="xsd:double"&gt;3086.70306&lt;/D&gt;&lt;D xsi:type="xsd:double"&gt;3099.576387&lt;/D&gt;&lt;D xsi:type="xsd:double"&gt;3106.371096&lt;/D&gt;&lt;D xsi:type="xsd:double"&gt;3108.683189&lt;/D&gt;&lt;D xsi:type="xsd:double"&gt;3126.081529&lt;/D&gt;&lt;D xsi:type="xsd:double"&gt;3096.15439&lt;/D&gt;&lt;D xsi:type="xsd:double"&gt;3064.988276&lt;/D&gt;&lt;D xsi:type="xsd:double"&gt;3053.540698&lt;/D&gt;&lt;D xsi:type="xsd:double"&gt;3023.987137&lt;/D&gt;&lt;D xsi:type="xsd:double"&gt;3034.594856&lt;/D&gt;&lt;D xsi:type="xsd:double"&gt;3057.978879&lt;/D&gt;&lt;D xsi:type="xsd:double"&gt;3060.770817&lt;/D&gt;&lt;D xsi:type="xsd:double"&gt;3056.86873&lt;/D&gt;&lt;D xsi:type="xsd:double"&gt;3040.596762&lt;/D&gt;&lt;D xsi:type="xsd:double"&gt;3033.207784&lt;/D&gt;&lt;D xsi:type="xsd:double"&gt;3018.396902&lt;/D&gt;&lt;D xsi:type="xsd:double"&gt;3002.180237&lt;/D&gt;&lt;D xsi:type="xsd:double"&gt;3014.217085&lt;/D&gt;&lt;D xsi:type="xsd:double"&gt;3027.75521&lt;/D&gt;&lt;D xsi:type="xsd:double"&gt;3005.519356&lt;/D&gt;&lt;D xsi:type="xsd:double"&gt;2978.350883&lt;/D&gt;&lt;D xsi:type="xsd:double"&gt;2961.080596&lt;/D&gt;&lt;D xsi:type="xsd:double"&gt;2970.448497&lt;/D&gt;&lt;D xsi:type="xsd:double"&gt;2966.438608&lt;/D&gt;&lt;D xsi:type="xsd:double"&gt;2967.906069&lt;/D&gt;&lt;D xsi:type="xsd:double"&gt;2967.685753&lt;/D&gt;&lt;D xsi:type="xsd:double"&gt;2967.276969&lt;/D&gt;&lt;D xsi:type="xsd:double"&gt;2949.49927&lt;/D&gt;&lt;D xsi:type="xsd:double"&gt;2931.085626&lt;/D&gt;&lt;D xsi:type="xsd:double"&gt;2924.94694&lt;/D&gt;&lt;D xsi:type="xsd:double"&gt;2912.835212&lt;/D&gt;&lt;D xsi:type="xsd:double"&gt;2920.0864&lt;/D&gt;&lt;D xsi:type="xsd:double"&gt;2940.682961&lt;/D&gt;&lt;D xsi:type="xsd:double"&gt;2923.74092&lt;/D&gt;&lt;D xsi:type="xsd:double"&gt;2926.645571&lt;/D&gt;&lt;D xsi:type="xsd:double"&gt;2896.101685&lt;/D&gt;&lt;D xsi:type="xsd:double"&gt;2888.259966&lt;/D&gt;&lt;D xsi:type="xsd:double"&gt;2892.017074&lt;/D&gt;&lt;D xsi:type="xsd:double"&gt;2897.882838&lt;/D&gt;&lt;D xsi:type="xsd:double"&gt;2910.584631&lt;/D&gt;&lt;D xsi:type="xsd:double"&gt;2880.951653&lt;/D&gt;&lt;D xsi:type="xsd:double"&gt;2866.629218&lt;/D&gt;&lt;D xsi:type="xsd:double"&gt;2869.462202&lt;/D&gt;&lt;D xsi:type="xsd:double"&gt;2877.338766&lt;/D&gt;&lt;D xsi:type="xsd:double"&gt;2858.232273&lt;/D&gt;&lt;D xsi:type="xsd:double"&gt;2818.402573&lt;/D&gt;&lt;D xsi:type="xsd:double"&gt;2795.711818&lt;/D&gt;&lt;D xsi:type="xsd:double"&gt;2782.003547&lt;/D&gt;&lt;D xsi:type="xsd:double"&gt;2791.633766&lt;/D&gt;&lt;D xsi:type="xsd:double"&gt;2786.010189&lt;/D&gt;&lt;D xsi:type="xsd:double"&gt;2797.452439&lt;/D&gt;&lt;D xsi:type="xsd:double"&gt;2851.185177&lt;/D&gt;&lt;D xsi:type="xsd:double"&gt;2872.322144&lt;/D&gt;&lt;D xsi:type="xsd:double"&gt;2900.907839&lt;/D&gt;&lt;D xsi:type="xsd:double"&gt;2907.892442&lt;/D&gt;&lt;D xsi:type="xsd:double"&gt;2885.200767&lt;/D&gt;&lt;D xsi:type="xsd:double"&gt;2853.67512&lt;/D&gt;&lt;D xsi:type="xsd:double"&gt;2826.362406&lt;/D&gt;&lt;D xsi:type="xsd:double"&gt;2833.396366&lt;/D&gt;&lt;D xsi:type="xsd:double"&gt;2825.080965&lt;/D&gt;&lt;D xsi:type="xsd:double"&gt;2830.574338&lt;/D&gt;&lt;D xsi:type="xsd:double"&gt;2850.834641&lt;/D&gt;&lt;D xsi:type="xsd:double"&gt;2851.936459&lt;/D&gt;&lt;D xsi:type="xsd:double"&gt;2856.815981&lt;/D&gt;&lt;D xsi:type="xsd:double"&gt;2882.670686&lt;/D&gt;&lt;D xsi:type="xsd:double"&gt;2884.77001&lt;/D&gt;&lt;D xsi:type="xsd:double"&gt;2882.534117&lt;/D&gt;&lt;D xsi:type="xsd:double"&gt;2864.162771&lt;/D&gt;&lt;D xsi:type="xsd:double"&gt;2856.15795&lt;/D&gt;&lt;D xsi:type="xsd:double"&gt;2852.941202&lt;/D&gt;&lt;D xsi:type="xsd:double"&gt;2854.240562&lt;/D&gt;&lt;D xsi:type="xsd:double"&gt;2866.151635&lt;/D&gt;&lt;D xsi:type="xsd:double"&gt;2829.031263&lt;/D&gt;&lt;D xsi:type="xsd:double"&gt;2856.748447&lt;/D&gt;&lt;D xsi:type="xsd:double"&gt;2832.924287&lt;/D&gt;&lt;D xsi:type="xsd:double"&gt;2803.505118&lt;/D&gt;&lt;D xsi:type="xsd:double"&gt;2811.419839&lt;/D&gt;&lt;D xsi:type="xsd:double"&gt;2811.015206&lt;/D&gt;&lt;D xsi:type="xsd:double"&gt;2846.263062&lt;/D&gt;&lt;D xsi:type="xsd:double"&gt;2860.323061&lt;/D&gt;&lt;D xsi:type="xsd:double"&gt;2856.402158&lt;/D&gt;&lt;D xsi:type="xsd:double"&gt;2873.65085&lt;/D&gt;&lt;D xsi:type="xsd:double"&gt;2866.947764&lt;/D&gt;&lt;D xsi:type="xsd:double"&gt;2842.402541&lt;/D&gt;&lt;D xsi:type="xsd:double"&gt;2837.970674&lt;/D&gt;&lt;D xsi:type="xsd:double"&gt;2823.832778&lt;/D&gt;&lt;D xsi:type="xsd:double"&gt;2806.114083&lt;/D&gt;&lt;D xsi:type="xsd:double"&gt;2797.448022&lt;/D&gt;&lt;D xsi:type="xsd:double"&gt;2783.674449&lt;/D&gt;&lt;D xsi:type="xsd:double"&gt;2806.093819&lt;/D&gt;&lt;D xsi:type="xsd:double"&gt;2822.425736&lt;/D&gt;&lt;D xsi:type="xsd:double"&gt;2816.998248&lt;/D&gt;&lt;D xsi:type="xsd:double"&gt;2813.562856&lt;/D&gt;&lt;D xsi:type="xsd:double"&gt;2815.011258&lt;/D&gt;&lt;D xsi:type="xsd:double"&gt;2818.931356&lt;/D&gt;&lt;D xsi:type="xsd:double"&gt;2824.447453&lt;/D&gt;&lt;D xsi:type="xsd:double"&gt;2824.208528&lt;/D&gt;&lt;D xsi:type="xsd:double"&gt;2810.408874&lt;/D&gt;&lt;D xsi:type="xsd:double"&gt;2811.6314&lt;/D&gt;&lt;D xsi:type="xsd:double"&gt;2798.200326&lt;/D&gt;&lt;D xsi:type="xsd:double"&gt;2793.077177&lt;/D&gt;&lt;D xsi:type="xsd:double"&gt;2793.793073&lt;/D&gt;&lt;D xsi:type="xsd:double"&gt;2780.36837&lt;/D&gt;&lt;D xsi:type="xsd:double"&gt;2753.661908&lt;/D&gt;&lt;D xsi:type="xsd:double"&gt;2741.582677&lt;/D&gt;&lt;D xsi:type="xsd:double"&gt;2739.044768&lt;/D&gt;&lt;D xsi:type="xsd:double"&gt;2772.275826&lt;/D&gt;&lt;D xsi:type="xsd:double"&gt;2777.553519&lt;/D&gt;&lt;D xsi:type="xsd:double"&gt;2758.764606&lt;/D&gt;&lt;D xsi:type="xsd:double"&gt;2766.740669&lt;/D&gt;&lt;D xsi:type="xsd:double"&gt;2789.78293&lt;/D&gt;&lt;D xsi:type="xsd:double"&gt;2803.509346&lt;/D&gt;&lt;D xsi:type="xsd:double"&gt;2768.492566&lt;/D&gt;&lt;D xsi:type="xsd:double"&gt;2780.667597&lt;/D&gt;&lt;D xsi:type="xsd:double"&gt;2778.552162&lt;/D&gt;&lt;D xsi:type="xsd:double"&gt;2770.504457&lt;/D&gt;&lt;D xsi:type="xsd:double"&gt;2779.453424&lt;/D&gt;&lt;D xsi:type="xsd:double"&gt;2759.288216&lt;/D&gt;&lt;D xsi:type="xsd:double"&gt;2768.20398&lt;/D&gt;&lt;D xsi:type="xsd:double"&gt;2738.804199&lt;/D&gt;&lt;D xsi:type="xsd:double"&gt;2714.554064&lt;/D&gt;&lt;D xsi:type="xsd:double"&gt;2724.884242&lt;/D&gt;&lt;D xsi:type="xsd:double"&gt;2711.574528&lt;/D&gt;&lt;D xsi:type="xsd:double"&gt;2695.887683&lt;/D&gt;&lt;D xsi:type="xsd:double"&gt;2675.918797&lt;/D&gt;&lt;D xsi:type="xsd:double"&gt;2663.031716&lt;/D&gt;&lt;D xsi:type="xsd:double"&gt;2649.402384&lt;/D&gt;&lt;D xsi:type="xsd:double"&gt;2660.354032&lt;/D&gt;&lt;D xsi:type="xsd:double"&gt;2683.165326&lt;/D&gt;&lt;D xsi:type="xsd:double"&gt;2692.297785&lt;/D&gt;&lt;D xsi:type="xsd:double"&gt;2710.60273&lt;/D&gt;&lt;D xsi:type="xsd:double"&gt;2732.577355&lt;/D&gt;&lt;D xsi:type="xsd:double"&gt;2754.143325&lt;/D&gt;&lt;D xsi:type="xsd:double"&gt;2737.432922&lt;/D&gt;&lt;D xsi:type="xsd:double"&gt;2695.811154&lt;/D&gt;&lt;D xsi:type="xsd:double"&gt;2692.788789&lt;/D&gt;&lt;D xsi:type="xsd:double"&gt;2685.077294&lt;/D&gt;&lt;D xsi:type="xsd:double"&gt;2675.0959&lt;/D&gt;&lt;D xsi:type="xsd:double"&gt;2653.874131&lt;/D&gt;&lt;D xsi:type="xsd:double"&gt;2666.41257&lt;/D&gt;&lt;D xsi:type="xsd:double"&gt;2686.787376&lt;/D&gt;&lt;D xsi:type="xsd:double"&gt;2688.800761&lt;/D&gt;&lt;D xsi:type="xsd:double"&gt;2705.405383&lt;/D&gt;&lt;D xsi:type="xsd:double"&gt;2701.703567&lt;/D&gt;&lt;D xsi:type="xsd:double"&gt;2682.946585&lt;/D&gt;&lt;D xsi:type="xsd:double"&gt;2688.481341&lt;/D&gt;&lt;D xsi:type="xsd:double"&gt;2700.938396&lt;/D&gt;&lt;D xsi:type="xsd:double"&gt;2695.430265&lt;/D&gt;&lt;D xsi:type="xsd:double"&gt;2694.553958&lt;/D&gt;&lt;D xsi:type="xsd:double"&gt;2694.580821&lt;/D&gt;&lt;D xsi:type="xsd:double"&gt;2691.51603&lt;/D&gt;&lt;D xsi:type="xsd:double"&gt;2668.623478&lt;/D&gt;&lt;D xsi:type="xsd:double"&gt;2641.549008&lt;/D&gt;&lt;D xsi:type="xsd:double"&gt;2658.637658&lt;/D&gt;&lt;D xsi:type="xsd:double"&gt;2611.393635&lt;/D&gt;&lt;D xsi:type="xsd:double"&gt;2616.699145&lt;/D&gt;&lt;D xsi:type="xsd:double"&gt;2642.963916&lt;/D&gt;&lt;D xsi:type="xsd:double"&gt;2647.889706&lt;/D&gt;&lt;D xsi:type="xsd:double"&gt;2674.790664&lt;/D&gt;&lt;D xsi:type="xsd:double"&gt;2654.360191&lt;/D&gt;&lt;D xsi:type="xsd:double"&gt;2682.327825&lt;/D&gt;&lt;D xsi:type="xsd:double"&gt;2670.275963&lt;/D&gt;&lt;D xsi:type="xsd:double"&gt;2665.263538&lt;/D&gt;&lt;D xsi:type="xsd:double"&gt;2662.131193&lt;/D&gt;&lt;D xsi:type="xsd:double"&gt;2656.110337&lt;/D&gt;&lt;D xsi:type="xsd:double"&gt;2663.255749&lt;/D&gt;&lt;D xsi:type="xsd:double"&gt;2663.240785&lt;/D&gt;&lt;D xsi:type="xsd:double"&gt;2642.614329&lt;/D&gt;&lt;D xsi:type="xsd:double"&gt;2650.980677&lt;/D&gt;&lt;D xsi:type="xsd:double"&gt;2635.971988&lt;/D&gt;&lt;D xsi:type="xsd:double"&gt;2634.206063&lt;/D&gt;&lt;D xsi:type="xsd:double"&gt;2620.019025&lt;/D&gt;&lt;D xsi:type="xsd:double"&gt;2639.459539&lt;/D&gt;&lt;D xsi:type="xsd:double"&gt;2614.043046&lt;/D&gt;&lt;D xsi:type="xsd:double"&gt;2607.640505&lt;/D&gt;&lt;D xsi:type="xsd:double"&gt;2632.66392&lt;/D&gt;&lt;D xsi:type="xsd:double"&gt;2620.479333&lt;/D&gt;&lt;D xsi:type="xsd:double"&gt;2604.627849&lt;/D&gt;&lt;D xsi:type="xsd:double"&gt;2584.339617&lt;/D&gt;&lt;D xsi:type="xsd:double"&gt;2580.983393&lt;/D&gt;&lt;D xsi:type="xsd:double"&gt;2578.325765&lt;/D&gt;&lt;D xsi:type="xsd:double"&gt;2568.537733&lt;/D&gt;&lt;D xsi:type="xsd:double"&gt;2548.257722&lt;/D&gt;&lt;D xsi:type="xsd:double"&gt;2560.009506&lt;/D&gt;&lt;D xsi:type="xsd:double"&gt;2547.02598&lt;/D&gt;&lt;D xsi:type="xsd:double"&gt;2562.69325&lt;/D&gt;&lt;D xsi:type="xsd:double"&gt;2563.682126&lt;/D&gt;&lt;D xsi:type="xsd:double"&gt;2563.113181&lt;/D&gt;&lt;D xsi:type="xsd:double"&gt;2566.293504&lt;/D&gt;&lt;D xsi:type="xsd:double"&gt;2512.499969&lt;/D&gt;&lt;D xsi:type="xsd:double"&gt;2530.837046&lt;/D&gt;&lt;D xsi:type="xsd:double"&gt;2519.287925&lt;/D&gt;&lt;D xsi:type="xsd:double"&gt;2511.30866&lt;/D&gt;&lt;D xsi:type="xsd:double"&gt;2491.817445&lt;/D&gt;&lt;D xsi:type="xsd:double"&gt;2484.234914&lt;/D&gt;&lt;D xsi:type="xsd:double"&gt;2469.266109&lt;/D&gt;&lt;D xsi:type="xsd:double"&gt;2449.345577&lt;/D&gt;&lt;D xsi:type="xsd:double"&gt;2442.921617&lt;/D&gt;&lt;D xsi:type="xsd:double"&gt;2422.2996&lt;/D&gt;&lt;D xsi:type="xsd:double"&gt;2417.900687&lt;/D&gt;&lt;D xsi:type="xsd:double"&gt;2415.239695&lt;/D&gt;&lt;D xsi:type="xsd:double"&gt;2386.37621&lt;/D&gt;&lt;D xsi:type="xsd:double"&gt;2331.619629&lt;/D&gt;&lt;D xsi:type="xsd:double"&gt;2319.017572&lt;/D&gt;&lt;D xsi:type="xsd:double"&gt;2208.793904&lt;/D&gt;&lt;D xsi:type="xsd:double"&gt;2237.286691&lt;/D&gt;&lt;D xsi:type="xsd:double"&gt;2178.414245&lt;/D&gt;&lt;D xsi:type="xsd:double"&gt;2306.578216&lt;/D&gt;&lt;D xsi:type="xsd:double"&gt;2439.851&lt;/D&gt;&lt;D xsi:type="xsd:double"&gt;2454.719156&lt;/D&gt;&lt;D xsi:type="xsd:double"&gt;2453.916123&lt;/D&gt;&lt;D xsi:type="xsd:double"&gt;2429.429686&lt;/D&gt;&lt;D xsi:type="xsd:double"&gt;2475.072822&lt;/D&gt;&lt;D xsi:type="xsd:double"&gt;2495.812856&lt;/D&gt;&lt;D xsi:type="xsd:double"&gt;2502.238864&lt;/D&gt;&lt;D xsi:type="xsd:double"&gt;2515.91076&lt;/D&gt;&lt;D xsi:type="xsd:double"&gt;2500.091865&lt;/D&gt;&lt;D xsi:type="xsd:double"&gt;2506.625776&lt;/D&gt;&lt;D xsi:type="xsd:double"&gt;2521.936624&lt;/D&gt;&lt;D xsi:type="xsd:double"&gt;2527.946968&lt;/D&gt;&lt;D xsi:type="xsd:double"&gt;2528.43551&lt;/D&gt;&lt;D xsi:type="xsd:double"&gt;2517.346412&lt;/D&gt;&lt;D xsi:type="xsd:double"&gt;2485.015505&lt;/D&gt;&lt;D xsi:type="xsd:double"&gt;2460.282772&lt;/D&gt;&lt;D xsi:type="xsd:double"&gt;2473.260169&lt;/D&gt;&lt;D xsi:type="xsd:double"&gt;2458.844083&lt;/D&gt;&lt;D xsi:type="xsd:double"&gt;2483.30214&lt;/D&gt;&lt;D xsi:type="xsd:double"&gt;2514.27831&lt;/D&gt;&lt;D xsi:type="xsd:double"&gt;2525.170328&lt;/D&gt;&lt;D xsi:type="xsd:double"&gt;2511.974805&lt;/D&gt;&lt;D xsi:type="xsd:double"&gt;2459.120844&lt;/D&gt;&lt;D xsi:type="xsd:double"&gt;2490.077738&lt;/D&gt;&lt;D xsi:type="xsd:double"&gt;2455.139294&lt;/D&gt;&lt;D xsi:type="xsd:double"&gt;2468.893715&lt;/D&gt;&lt;D xsi:type="xsd:double"&gt;2491.464396&lt;/D&gt;&lt;D xsi:type="xsd:double"&gt;2477.568828&lt;/D&gt;&lt;D xsi:type="xsd:double"&gt;2475.44828&lt;/D&gt;&lt;D xsi:type="xsd:double"&gt;2474.284555&lt;/D&gt;&lt;D xsi:type="xsd:double"&gt;2474.662568&lt;/D&gt;&lt;D xsi:type="xsd:double"&gt;2473.211506&lt;/D&gt;&lt;D xsi:type="xsd:double"&gt;2494.65397&lt;/D&gt;&lt;D xsi:type="xsd:double"&gt;2482.609858&lt;/D&gt;&lt;D xsi:type="xsd:double"&gt;2472.568765&lt;/D&gt;&lt;D xsi:type="xsd:double"&gt;2433.561821&lt;/D&gt;&lt;D xsi:type="xsd:double"&gt;2431.30471&lt;/D&gt;&lt;D xsi:type="xsd:double"&gt;2427.982584&lt;/D&gt;&lt;D xsi:type="xsd:double"&gt;2423.051153&lt;/D&gt;&lt;D xsi:type="xsd:double"&gt;2434.695402&lt;/D&gt;&lt;D xsi:type="xsd:double"&gt;2421.404024&lt;/D&gt;&lt;D xsi:type="xsd:double"&gt;2394.841429&lt;/D&gt;&lt;D xsi:type="xsd:double"&gt;2370.902647&lt;/D&gt;&lt;D xsi:type="xsd:double"&gt;2415.923741&lt;/D&gt;&lt;D xsi:type="xsd:double"&gt;2423.188644&lt;/D&gt;&lt;D xsi:type="xsd:double"&gt;2401.689259&lt;/D&gt;&lt;D xsi:type="xsd:double"&gt;2389.199247&lt;/D&gt;&lt;D xsi:type="xsd:double"&gt;2398.686262&lt;/D&gt;&lt;D xsi:type="xsd:double"&gt;2400.648251&lt;/D&gt;&lt;D xsi:type="xsd:double"&gt;2380.005901&lt;/D&gt;&lt;D xsi:type="xsd:double"&gt;2373.069871&lt;/D&gt;&lt;D xsi:type="xsd:double"&gt;2363.694143&lt;/D&gt;&lt;D xsi:type="xsd:double"&gt;2329.803567&lt;/D&gt;&lt;D xsi:type="xsd:double"&gt;2322.54288&lt;/D&gt;&lt;D xsi:type="xsd:double"&gt;2305.373614&lt;/D&gt;&lt;D xsi:type="xsd:double"&gt;2277.497389&lt;/D&gt;&lt;D xsi:type="xsd:double"&gt;2268.471116&lt;/D&gt;&lt;D xsi:type="xsd:double"&gt;2286.63699&lt;/D&gt;&lt;D xsi:type="xsd:double"&gt;2314.44307&lt;/D&gt;&lt;D xsi:type="xsd:double"&gt;2328.431984&lt;/D&gt;&lt;D xsi:type="xsd:double"&gt;2322.152448&lt;/D&gt;&lt;D xsi:type="xsd:double"&gt;2298.875385&lt;/D&gt;&lt;D xsi:type="xsd:double"&gt;2301.685416&lt;/D&gt;&lt;D xsi:type="xsd:double"&gt;2302.710493&lt;/D&gt;&lt;D xsi:type="xsd:double"&gt;2299.745415&lt;/D&gt;&lt;D xsi:type="xsd:double"&gt;2315.226802&lt;/D&gt;&lt;D xsi:type="xsd:double"&gt;2295.732117&lt;/D&gt;&lt;D xsi:type="xsd:double"&gt;2290.632988&lt;/D&gt;&lt;D xsi:type="xsd:double"&gt;2285.841047&lt;/D&gt;&lt;D xsi:type="xsd:double"&gt;2278.167714&lt;/D&gt;&lt;D xsi:type="xsd:double"&gt;2286.992868&lt;/D&gt;&lt;D xsi:type="xsd:double"&gt;2338.20539&lt;/D&gt;&lt;D xsi:type="xsd:double"&gt;2351.925542&lt;/D&gt;&lt;D xsi:type="xsd:double"&gt;2359.14158&lt;/D&gt;&lt;D xsi:type="xsd:double"&gt;2362.887407&lt;/D&gt;&lt;D xsi:type="xsd:double"&gt;2382.216614&lt;/D&gt;&lt;D xsi:type="xsd:double"&gt;2384.055274&lt;/D&gt;&lt;D xsi:type="xsd:double"&gt;2380.589253&lt;/D&gt;&lt;D xsi:type="xsd:double"&gt;2407.091129&lt;/D&gt;&lt;D xsi:type="xsd:double"&gt;2401.2088&lt;/D&gt;&lt;D xsi:type="xsd:double"&gt;2405.998802&lt;/D&gt;&lt;D xsi:type="xsd:double"&gt;2393.233091&lt;/D&gt;&lt;D xsi:type="xsd:double"&gt;2394.367481&lt;/D&gt;&lt;D xsi:type="xsd:double"&gt;2369.756598&lt;/D&gt;&lt;D xsi:type="xsd:double"&gt;2368.033343&lt;/D&gt;&lt;D xsi:type="xsd:double"&gt;2346.814633&lt;/D&gt;&lt;D xsi:type="xsd:double"&gt;2331.28752&lt;/D&gt;&lt;D xsi:type="xsd:double"&gt;2345.517948&lt;/D&gt;&lt;D xsi:type="xsd:double"&gt;2328.863187&lt;/D&gt;&lt;D xsi:type="xsd:double"&gt;2325.694044&lt;/D&gt;&lt;D xsi:type="xsd:double"&gt;2314.697218&lt;/D&gt;&lt;D xsi:type="xsd:double"&gt;2331.82695&lt;/D&gt;&lt;D xsi:type="xsd:double"&gt;2324.55375&lt;/D&gt;&lt;D xsi:type="xsd:double"&gt;2322.058377&lt;/D&gt;&lt;D xsi:type="xsd:double"&gt;2335.079651&lt;/D&gt;&lt;D xsi:type="xsd:double"&gt;2326.744227&lt;/D&gt;&lt;D xsi:type="xsd:double"&gt;2341.022457&lt;/D&gt;&lt;D xsi:type="xsd:double"&gt;2374.213592&lt;/D&gt;&lt;D xsi:type="xsd:double"&gt;2378.392011&lt;/D&gt;&lt;D xsi:type="xsd:double"&gt;2395.743132&lt;/D&gt;&lt;D xsi:type="xsd:double"&gt;2361.89107&lt;/D&gt;&lt;D xsi:type="xsd:double"&gt;2386.815212&lt;/D&gt;&lt;D xsi:type="xsd:double"&gt;2378.165887&lt;/D&gt;&lt;D xsi:type="xsd:double"&gt;2370.795338&lt;/D&gt;&lt;D xsi:type="xsd:double"&gt;2366.325674&lt;/D&gt;&lt;D xsi:type="xsd:double"&gt;2389.633961&lt;/D&gt;&lt;D xsi:type="xsd:double"&gt;2396.429334&lt;/D&gt;&lt;D xsi:type="xsd:double"&gt;2404.214349&lt;/D&gt;&lt;D xsi:type="xsd:double"&gt;2396.768212&lt;/D&gt;&lt;D xsi:type="xsd:double"&gt;2396.88387&lt;/D&gt;&lt;D xsi:type="xsd:double"&gt;2390.312432&lt;/D&gt;&lt;D xsi:type="xsd:double"&gt;2410.840505&lt;/D&gt;&lt;D xsi:type="xsd:double"&gt;2427.521078&lt;/D&gt;&lt;D xsi:type="xsd:double"&gt;2445.032327&lt;/D&gt;&lt;D xsi:type="xsd:double"&gt;2435.248689&lt;/D&gt;&lt;D xsi:type="xsd:double"&gt;2428.465787&lt;/D&gt;&lt;D xsi:type="xsd:double"&gt;2442.294112&lt;/D&gt;&lt;D xsi:type="xsd:double"&gt;2452.656582&lt;/D&gt;&lt;D xsi:type="xsd:double"&gt;2450.548937&lt;/D&gt;&lt;D xsi:type="xsd:double"&gt;2440.6578&lt;/D&gt;&lt;D xsi:type="xsd:double"&gt;2442.21593&lt;/D&gt;&lt;D xsi:type="xsd:double"&gt;2435.784194&lt;/D&gt;&lt;D xsi:type="xsd:double"&gt;2458.734881&lt;/D&gt;&lt;D xsi:type="xsd:double"&gt;2445.898427&lt;/D&gt;&lt;D xsi:type="xsd:double"&gt;2450.554169&lt;/D&gt;&lt;D xsi:type="xsd:double"&gt;2464.347014&lt;/D&gt;&lt;D xsi:type="xsd:double"&gt;2483.358747&lt;/D&gt;&lt;D xsi:type="xsd:double"&gt;2495.321405&lt;/D&gt;&lt;D xsi:type="xsd:double"&gt;2529.547226&lt;/D&gt;&lt;D xsi:type="xsd:double"&gt;2506.83975&lt;/D&gt;&lt;D xsi:type="xsd:double"&gt;2473.298085&lt;/D&gt;&lt;D xsi:type="xsd:double"&gt;2476.430587&lt;/D&gt;&lt;D xsi:type="xsd:double"&gt;2459.111374&lt;/D&gt;&lt;D xsi:type="xsd:double"&gt;2449.587532&lt;/D&gt;&lt;D xsi:type="xsd:double"&gt;2467.353829&lt;/D&gt;&lt;D xsi:type="xsd:double"&gt;2431.885743&lt;/D&gt;&lt;D xsi:type="xsd:double"&gt;2440.362587&lt;/D&gt;&lt;D xsi:type="xsd:double"&gt;2442.370448&lt;/D&gt;&lt;D xsi:type="xsd:double"&gt;2436.972681&lt;/D&gt;&lt;D xsi:type="xsd:double"&gt;2415.443239&lt;/D&gt;&lt;D xsi:type="xsd:double"&gt;2384.910512&lt;/D&gt;&lt;D xsi:type="xsd:double"&gt;2387.487348&lt;/D&gt;&lt;D xsi:type="xsd:double"&gt;2401.13282&lt;/D&gt;&lt;D xsi:type="xsd:double"&gt;2404.582981&lt;/D&gt;&lt;D xsi:type="xsd:double"&gt;2415.865402&lt;/D&gt;&lt;D xsi:type="xsd:double"&gt;2428.470344&lt;/D&gt;&lt;D xsi:type="xsd:double"&gt;2453.868917&lt;/D&gt;&lt;D xsi:type="xsd:double"&gt;2475.251605&lt;/D&gt;&lt;D xsi:type="xsd:double"&gt;2468.695144&lt;/D&gt;&lt;D xsi:type="xsd:double"&gt;2467.071692&lt;/D&gt;&lt;D xsi:type="xsd:double"&gt;2466.177572&lt;/D&gt;&lt;D xsi:type="xsd:double"&gt;2462.245505&lt;/D&gt;&lt;D xsi:type="xsd:double"&gt;2460.68173&lt;/D&gt;&lt;D xsi:type="xsd:double"&gt;2434.158056&lt;/D&gt;&lt;D xsi:type="xsd:double"&gt;2431.897463&lt;/D&gt;&lt;D xsi:type="xsd:double"&gt;2425.305425&lt;/D&gt;&lt;D xsi:type="xsd:double"&gt;2417.447032&lt;/D&gt;&lt;D xsi:type="xsd:double"&gt;2396.261761&lt;/D&gt;&lt;D xsi:type="xsd:double"&gt;2369.978136&lt;/D&gt;&lt;D xsi:type="xsd:double"&gt;2360.410298&lt;/D&gt;&lt;D xsi:type="xsd:double"&gt;2334.184428&lt;/D&gt;&lt;D xsi:type="xsd:double"&gt;2302.760978&lt;/D&gt;&lt;D xsi:type="xsd:double"&gt;2305.424656&lt;/D&gt;&lt;D xsi:type="xsd:double"&gt;2285.939669&lt;/D&gt;&lt;D xsi:type="xsd:double"&gt;2288.648009&lt;/D&gt;&lt;D xsi:type="xsd:double"&gt;2263.712745&lt;/D&gt;&lt;D xsi:type="xsd:double"&gt;2232.000746&lt;/D&gt;&lt;D xsi:ty</t>
        </r>
      </text>
    </comment>
    <comment ref="A16" authorId="0" shapeId="0">
      <text>
        <r>
          <rPr>
            <b/>
            <sz val="9"/>
            <color indexed="81"/>
            <rFont val="Tahoma"/>
            <family val="2"/>
          </rPr>
          <t>pe="xsd:double"&gt;2308.287163&lt;/D&gt;&lt;D xsi:type="xsd:double"&gt;2359.912753&lt;/D&gt;&lt;D xsi:type="xsd:double"&gt;2400.4661&lt;/D&gt;&lt;D xsi:type="xsd:double"&gt;2360.013799&lt;/D&gt;&lt;D xsi:type="xsd:double"&gt;2358.597961&lt;/D&gt;&lt;D xsi:type="xsd:double"&gt;2357.141519&lt;/D&gt;&lt;D xsi:type="xsd:double"&gt;2344.360836&lt;/D&gt;&lt;D xsi:type="xsd:double"&gt;2376.178231&lt;/D&gt;&lt;D xsi:type="xsd:double"&gt;2384.988473&lt;/D&gt;&lt;D xsi:type="xsd:double"&gt;2385.477755&lt;/D&gt;&lt;D xsi:type="xsd:double"&gt;2378.377477&lt;/D&gt;&lt;D xsi:type="xsd:double"&gt;2399.282955&lt;/D&gt;&lt;D xsi:type="xsd:double"&gt;2416.270148&lt;/D&gt;&lt;D xsi:type="xsd:double"&gt;2408.429074&lt;/D&gt;&lt;D xsi:type="xsd:double"&gt;2418.171573&lt;/D&gt;&lt;D xsi:type="xsd:double"&gt;2431.908823&lt;/D&gt;&lt;D xsi:type="xsd:double"&gt;2416.639003&lt;/D&gt;&lt;D xsi:type="xsd:double"&gt;2382.998531&lt;/D&gt;&lt;D xsi:type="xsd:double"&gt;2362.970858&lt;/D&gt;&lt;D xsi:type="xsd:double"&gt;2374.312045&lt;/D&gt;&lt;D xsi:type="xsd:double"&gt;2376.620403&lt;/D&gt;&lt;D xsi:type="xsd:double"&gt;2365.079082&lt;/D&gt;&lt;D xsi:type="xsd:double"&gt;2337.536541&lt;/D&gt;&lt;D xsi:type="xsd:double"&gt;2332.931191&lt;/D&gt;&lt;D xsi:type="xsd:double"&gt;2328.850393&lt;/D&gt;&lt;D xsi:type="xsd:double"&gt;2328.884283&lt;/D&gt;&lt;D xsi:type="xsd:double"&gt;2332.742013&lt;/D&gt;&lt;D xsi:type="xsd:double"&gt;2343.381419&lt;/D&gt;&lt;D xsi:type="xsd:double"&gt;2339.823348&lt;/D&gt;&lt;D xsi:type="xsd:double"&gt;2318.455954&lt;/D&gt;&lt;D xsi:type="xsd:double"&gt;2337.32877&lt;/D&gt;&lt;D xsi:type="xsd:double"&gt;2328.753928&lt;/D&gt;&lt;D xsi:type="xsd:double"&gt;2310.378098&lt;/D&gt;&lt;D xsi:type="xsd:double"&gt;2317.598902&lt;/D&gt;&lt;D xsi:type="xsd:double"&gt;2343.723481&lt;/D&gt;&lt;D xsi:type="xsd:double"&gt;2383.053309&lt;/D&gt;&lt;D xsi:type="xsd:double"&gt;2348.335775&lt;/D&gt;&lt;D xsi:type="xsd:double"&gt;2369.359751&lt;/D&gt;&lt;D xsi:type="xsd:double"&gt;2378.541249&lt;/D&gt;&lt;D xsi:type="xsd:double"&gt;2396.759263&lt;/D&gt;&lt;D xsi:type="xsd:double"&gt;2379.387906&lt;/D&gt;&lt;D xsi:type="xsd:double"&gt;2379.46492&lt;/D&gt;&lt;D xsi:type="xsd:double"&gt;2386.23623&lt;/D&gt;&lt;D xsi:type="xsd:double"&gt;2371.463907&lt;/D&gt;&lt;D xsi:type="xsd:double"&gt;2353.953231&lt;/D&gt;&lt;D xsi:type="xsd:double"&gt;2341.710251&lt;/D&gt;&lt;D xsi:type="xsd:double"&gt;2380.45367&lt;/D&gt;&lt;D xsi:type="xsd:double"&gt;2374.366074&lt;/D&gt;&lt;D xsi:type="xsd:double"&gt;2377.528718&lt;/D&gt;&lt;D xsi:type="xsd:double"&gt;2378.627679&lt;/D&gt;&lt;D xsi:type="xsd:double"&gt;2395.306248&lt;/D&gt;&lt;D xsi:type="xsd:double"&gt;2401.339615&lt;/D&gt;&lt;D xsi:type="xsd:double"&gt;2397.081173&lt;/D&gt;&lt;D xsi:type="xsd:double"&gt;2395.298855&lt;/D&gt;&lt;D xsi:type="xsd:double"&gt;2390.837599&lt;/D&gt;&lt;D xsi:type="xsd:double"&gt;2372.298136&lt;/D&gt;&lt;D xsi:type="xsd:double"&gt;2367.62871&lt;/D&gt;&lt;D xsi:type="xsd:double"&gt;2362.992772&lt;/D&gt;&lt;D xsi:type="xsd:double"&gt;2350.38331&lt;/D&gt;&lt;D xsi:type="xsd:double"&gt;2342.610766&lt;/D&gt;&lt;D xsi:type="xsd:double"&gt;2356.021202&lt;/D&gt;&lt;D xsi:type="xsd:double"&gt;2336.501937&lt;/D&gt;&lt;D xsi:type="xsd:double"&gt;2325.669273&lt;/D&gt;&lt;D xsi:type="xsd:double"&gt;2300.361326&lt;/D&gt;&lt;D xsi:type="xsd:double"&gt;2287.146278&lt;/D&gt;&lt;D xsi:type="xsd:double"&gt;2295.938134&lt;/D&gt;&lt;D xsi:type="xsd:double"&gt;2304.875653&lt;/D&gt;&lt;D xsi:type="xsd:double"&gt;2295.121913&lt;/D&gt;&lt;D xsi:type="xsd:double"&gt;2285.340771&lt;/D&gt;&lt;D xsi:type="xsd:double"&gt;2300.259555&lt;/D&gt;&lt;D xsi:type="xsd:double"&gt;2299.471879&lt;/D&gt;&lt;D xsi:type="xsd:double"&gt;2272.213031&lt;/D&gt;&lt;D xsi:type="xsd:double"&gt;2257.401513&lt;/D&gt;&lt;D xsi:type="xsd:double"&gt;2265.930202&lt;/D&gt;&lt;D xsi:type="xsd:double"&gt;2255.890075&lt;/D&gt;&lt;D xsi:type="xsd:double"&gt;2260.417997&lt;/D&gt;&lt;D xsi:type="xsd:double"&gt;2297.59993&lt;/D&gt;&lt;D xsi:type="xsd:double"&gt;2305.965427&lt;/D&gt;&lt;D xsi:type="xsd:double"&gt;2315.912108&lt;/D&gt;&lt;D xsi:type="xsd:double"&gt;2331.665625&lt;/D&gt;&lt;D xsi:type="xsd:double"&gt;2354.230815&lt;/D&gt;&lt;D xsi:type="xsd:double"&gt;2353.650874&lt;/D&gt;&lt;D xsi:type="xsd:double"&gt;2337.745754&lt;/D&gt;&lt;D xsi:type="xsd:double"&gt;2363.175827&lt;/D&gt;&lt;D xsi:type="xsd:double"&gt;2347.978939&lt;/D&gt;&lt;D xsi:type="xsd:double"&gt;2340.450057&lt;/D&gt;&lt;D xsi:type="xsd:double"&gt;2348.598611&lt;/D&gt;&lt;D xsi:type="xsd:double"&gt;2364.655551&lt;/D&gt;&lt;D xsi:type="xsd:double"&gt;2370.921249&lt;/D&gt;&lt;D xsi:type="xsd:double"&gt;2364.388078&lt;/D&gt;&lt;D xsi:type="xsd:double"&gt;2363.250098&lt;/D&gt;&lt;D xsi:type="xsd:double"&gt;2366.081722&lt;/D&gt;&lt;D xsi:type="xsd:double"&gt;2372.597263&lt;/D&gt;&lt;D xsi:type="xsd:double"&gt;2345.841229&lt;/D&gt;&lt;D xsi:type="xsd:double"&gt;2347.282831&lt;/D&gt;&lt;D xsi:type="xsd:double"&gt;2348.496466&lt;/D&gt;&lt;D xsi:type="xsd:double"&gt;2341.967349&lt;/D&gt;&lt;D xsi:type="xsd:double"&gt;2350.463018&lt;/D&gt;&lt;D xsi:type="xsd:double"&gt;2363.918307&lt;/D&gt;&lt;D xsi:type="xsd:double"&gt;2356.306556&lt;/D&gt;&lt;D xsi:type="xsd:double"&gt;2347.6977&lt;/D&gt;&lt;D xsi:type="xsd:double"&gt;2371.285354&lt;/D&gt;&lt;D xsi:type="xsd:double"&gt;2359.617513&lt;/D&gt;&lt;D xsi:type="xsd:double"&gt;2337.206235&lt;/D&gt;&lt;D xsi:type="xsd:double"&gt;2321.053111&lt;/D&gt;&lt;D xsi:type="xsd:double"&gt;2320.427241&lt;/D&gt;&lt;D xsi:type="xsd:double"&gt;2318.868939&lt;/D&gt;&lt;D xsi:type="xsd:double"&gt;2300.558867&lt;/D&gt;&lt;D xsi:type="xsd:double"&gt;2295.47066&lt;/D&gt;&lt;D xsi:type="xsd:double"&gt;2307.537165&lt;/D&gt;&lt;D xsi:type="xsd:double"&gt;2303.336219&lt;/D&gt;&lt;D xsi:type="xsd:double"&gt;2304.237641&lt;/D&gt;&lt;D xsi:type="xsd:double"&gt;2294.931814&lt;/D&gt;&lt;D xsi:type="xsd:double"&gt;2275.143669&lt;/D&gt;&lt;D xsi:type="xsd:double"&gt;2284.190728&lt;/D&gt;&lt;D xsi:type="xsd:double"&gt;2274.207887&lt;/D&gt;&lt;D xsi:type="xsd:double"&gt;2256.62706&lt;/D&gt;&lt;D xsi:type="xsd:double"&gt;2231.919009&lt;/D&gt;&lt;D xsi:type="xsd:double"&gt;2227.209103&lt;/D&gt;&lt;D xsi:type="xsd:double"&gt;2247.206796&lt;/D&gt;&lt;D xsi:type="xsd:double"&gt;2243.138635&lt;/D&gt;&lt;D xsi:type="xsd:double"&gt;2239.687292&lt;/D&gt;&lt;D xsi:type="xsd:double"&gt;2242.643065&lt;/D&gt;&lt;D xsi:type="xsd:double"&gt;2238.934951&lt;/D&gt;&lt;D xsi:type="xsd:double"&gt;2227.020328&lt;/D&gt;&lt;D xsi:type="xsd:double"&gt;2241.740313&lt;/D&gt;&lt;D xsi:type="xsd:double"&gt;2249.363721&lt;/D&gt;&lt;D xsi:type="xsd:double"&gt;2265.285349&lt;/D&gt;&lt;D xsi:type="xsd:double"&gt;2251.651231&lt;/D&gt;&lt;D xsi:type="xsd:double"&gt;2245.957308&lt;/D&gt;&lt;D xsi:type="xsd:double"&gt;2241.740436&lt;/D&gt;&lt;D xsi:type="xsd:double"&gt;2229.827564&lt;/D&gt;&lt;D xsi:type="xsd:double"&gt;2235.113139&lt;/D&gt;&lt;D xsi:type="xsd:double"&gt;2207.423818&lt;/D&gt;&lt;D xsi:type="xsd:double"&gt;2217.789003&lt;/D&gt;&lt;D xsi:type="xsd:double"&gt;2199.735567&lt;/D&gt;&lt;D xsi:type="xsd:double"&gt;2189.83277&lt;/D&gt;&lt;D xsi:type="xsd:double"&gt;2181.665523&lt;/D&gt;&lt;D xsi:type="xsd:double"&gt;2212.437065&lt;/D&gt;&lt;D xsi:type="xsd:double"&gt;2244.956131&lt;/D&gt;&lt;D xsi:type="xsd:double"&gt;2222.967112&lt;/D&gt;&lt;D xsi:type="xsd:double"&gt;2229.390051&lt;/D&gt;&lt;D xsi:type="xsd:double"&gt;2223.997195&lt;/D&gt;&lt;D xsi:type="xsd:double"&gt;2231.948665&lt;/D&gt;&lt;D xsi:type="xsd:double"&gt;2228.777974&lt;/D&gt;&lt;D xsi:type="xsd:double"&gt;2222.735933&lt;/D&gt;&lt;D xsi:type="xsd:double"&gt;2209.522802&lt;/D&gt;&lt;D xsi:type="xsd:double"&gt;2235.235842&lt;/D&gt;&lt;D xsi:type="xsd:double"&gt;2256.807538&lt;/D&gt;&lt;D xsi:type="xsd:double"&gt;2260.960859&lt;/D&gt;&lt;D xsi:type="xsd:double"&gt;2256.936047&lt;/D&gt;&lt;D xsi:type="xsd:double"&gt;2233.471602&lt;/D&gt;&lt;D xsi:type="xsd:double"&gt;2231.670976&lt;/D&gt;&lt;D xsi:type="xsd:double"&gt;2223.241568&lt;/D&gt;&lt;D xsi:type="xsd:double"&gt;2222.194117&lt;/D&gt;&lt;D xsi:type="xsd:double"&gt;2218.775398&lt;/D&gt;&lt;D xsi:type="xsd:double"&gt;2198.273994&lt;/D&gt;&lt;D xsi:type="xsd:double"&gt;2209.334418&lt;/D&gt;&lt;D xsi:type="xsd:double"&gt;2214.988119&lt;/D&gt;&lt;D xsi:type="xsd:double"&gt;2166.898974&lt;/D&gt;&lt;D xsi:type="xsd:double"&gt;2158.27996&lt;/D&gt;&lt;D xsi:type="xsd:double"&gt;2155.417622&lt;/D&gt;&lt;D xsi:type="xsd:double"&gt;2154.295512&lt;/D&gt;&lt;D xsi:type="xsd:double"&gt;2153.190885&lt;/D&gt;&lt;D xsi:type="xsd:double"&gt;2153.786188&lt;/D&gt;&lt;D xsi:type="xsd:double"&gt;2139.353615&lt;/D&gt;&lt;D xsi:type="xsd:double"&gt;2143.421492&lt;/D&gt;&lt;D xsi:type="xsd:double"&gt;2149.580031&lt;/D&gt;&lt;D xsi:type="xsd:double"&gt;2141.738251&lt;/D&gt;&lt;D xsi:type="xsd:double"&gt;2138.285809&lt;/D&gt;&lt;D xsi:type="xsd:double"&gt;2134.079564&lt;/D&gt;&lt;D xsi:type="xsd:double"&gt;2128.825147&lt;/D&gt;&lt;D xsi:type="xsd:double"&gt;2136.984058&lt;/D&gt;&lt;D xsi:type="xsd:double"&gt;2116.196488&lt;/D&gt;&lt;D xsi:type="xsd:double"&gt;2124.955145&lt;/D&gt;&lt;D xsi:type="xsd:double"&gt;2126.090982&lt;/D&gt;&lt;D xsi:type="xsd:double"&gt;2116.578254&lt;/D&gt;&lt;D xsi:type="xsd:double"&gt;2095.579043&lt;/D&gt;&lt;D xsi:type="xsd:double"&gt;2104.540425&lt;/D&gt;&lt;D xsi:type="xsd:double"&gt;2084.413954&lt;/D&gt;&lt;D xsi:type="xsd:double"&gt;2041.410793&lt;/D&gt;&lt;D xsi:type="xsd:double"&gt;2028.663055&lt;/D&gt;&lt;D xsi:type="xsd:double"&gt;2051.151056&lt;/D&gt;&lt;D xsi:type="xsd:double"&gt;2033.495268&lt;/D&gt;&lt;D xsi:type="xsd:double"&gt;2035.025107&lt;/D&gt;&lt;D xsi:type="xsd:double"&gt;2056.584024&lt;/D&gt;&lt;D xsi:type="xsd:double"&gt;2049.773314&lt;/D&gt;&lt;D xsi:type="xsd:double"&gt;2023.390977&lt;/D&gt;&lt;D xsi:type="xsd:double"&gt;1982.041839&lt;/D&gt;&lt;D xsi:type="xsd:double"&gt;1961.285429&lt;/D&gt;&lt;D xsi:type="xsd:double"&gt;1965.5241&lt;/D&gt;&lt;D xsi:type="xsd:double"&gt;1957.82555&lt;/D&gt;&lt;D xsi:type="xsd:double"&gt;1957.900745&lt;/D&gt;&lt;D xsi:type="xsd:double"&gt;1978.032576&lt;/D&gt;&lt;D xsi:type="xsd:double"&gt;1977.702926&lt;/D&gt;&lt;D xsi:type="xsd:double"&gt;1975.999109&lt;/D&gt;&lt;D xsi:type="xsd:double"&gt;1978.069018&lt;/D&gt;&lt;D xsi:type="xsd:double"&gt;1996.809602&lt;/D&gt;&lt;D xsi:type="xsd:double"&gt;2019.872171&lt;/D&gt;&lt;D xsi:type="xsd:double"&gt;2040.50419&lt;/D&gt;&lt;D xsi:type="xsd:double"&gt;2032.85927&lt;/D&gt;&lt;D xsi:type="xsd:double"&gt;2029.564209&lt;/D&gt;&lt;D xsi:type="xsd:double"&gt;2055.664839&lt;/D&gt;&lt;D xsi:type="xsd:double"&gt;2060.360472&lt;/D&gt;&lt;D xsi:type="xsd:double"&gt;2053.286868&lt;/D&gt;&lt;D xsi:type="xsd:double"&gt;2010.252754&lt;/D&gt;&lt;D xsi:type="xsd:double"&gt;2008.873137&lt;/D&gt;&lt;D xsi:type="xsd:double"&gt;1998.055204&lt;/D&gt;&lt;D xsi:type="xsd:double"&gt;1978.09374&lt;/D&gt;&lt;D xsi:type="xsd:double"&gt;1989.824881&lt;/D&gt;&lt;D xsi:type="xsd:double"&gt;2015.821603&lt;/D&gt;&lt;D xsi:type="xsd:double"&gt;2049.037407&lt;/D&gt;&lt;D xsi:type="xsd:double"&gt;2043.766743&lt;/D&gt;&lt;D xsi:type="xsd:double"&gt;2037.101617&lt;/D&gt;&lt;D xsi:type="xsd:double"&gt;2050.017892&lt;/D&gt;&lt;D xsi:type="xsd:double"&gt;2063.006376&lt;/D&gt;&lt;D xsi:type="xsd:double"&gt;2082.418379&lt;/D&gt;&lt;D xsi:type="xsd:double"&gt;2087.529355&lt;/D&gt;&lt;D xsi:type="xsd:double"&gt;2125.165267&lt;/D&gt;&lt;D xsi:type="xsd:double"&gt;2115.15451&lt;/D&gt;&lt;D xsi:type="xsd:double"&gt;2115.897882&lt;/D&gt;&lt;D xsi:type="xsd:double"&gt;2129.948151&lt;/D&gt;&lt;D xsi:type="xsd:double"&gt;2121.640548&lt;/D&gt;&lt;D xsi:type="xsd:double"&gt;2100.293242&lt;/D&gt;&lt;D xsi:type="xsd:double"&gt;2102.11792&lt;/D&gt;&lt;D xsi:type="xsd:double"&gt;2105.705721&lt;/D&gt;&lt;D xsi:type="xsd:double"&gt;2090.994568&lt;/D&gt;&lt;D xsi:type="xsd:double"&gt;2093.867491&lt;/D&gt;&lt;D xsi:type="xsd:double"&gt;2098.981919&lt;/D&gt;&lt;D xsi:type="xsd:double"&gt;2106.225117&lt;/D&gt;&lt;D xsi:type="xsd:double"&gt;2124.024801&lt;/D&gt;&lt;D xsi:type="xsd:double"&gt;2126.585017&lt;/D&gt;&lt;D xsi:type="xsd:double"&gt;2134.271553&lt;/D&gt;&lt;D xsi:type="xsd:double"&gt;2116.714772&lt;/D&gt;&lt;D xsi:type="xsd:double"&gt;2095.197439&lt;/D&gt;&lt;D xsi:type="xsd:double"&gt;2069.30443&lt;/D&gt;&lt;D xsi:type="xsd:double"&gt;2088.313799&lt;/D&gt;&lt;D xsi:type="xsd:double"&gt;2095.440188&lt;/D&gt;&lt;D xsi:type="xsd:double"&gt;2081.86743&lt;/D&gt;&lt;D xsi:type="xsd:double"&gt;2072.083455&lt;/D&gt;&lt;D xsi:type="xsd:double"&gt;2074.28733&lt;/D&gt;&lt;D xsi:type="xsd:double"&gt;2085.332104&lt;/D&gt;&lt;D xsi:type="xsd:double"&gt;2102.605515&lt;/D&gt;&lt;D xsi:type="xsd:double"&gt;2119.110618&lt;/D&gt;&lt;D xsi:type="xsd:double"&gt;2129.630345&lt;/D&gt;&lt;D xsi:type="xsd:double"&gt;2147.815294&lt;/D&gt;&lt;D xsi:type="xsd:double"&gt;2169.769088&lt;/D&gt;&lt;D xsi:type="xsd:double"&gt;2151.251397&lt;/D&gt;&lt;D xsi:type="xsd:double"&gt;2143.390861&lt;/D&gt;&lt;D xsi:type="xsd:double"&gt;2157.288116&lt;/D&gt;&lt;D xsi:type="xsd:double"&gt;2159.283474&lt;/D&gt;&lt;D xsi:type="xsd:double"&gt;2141.111083&lt;/D&gt;&lt;D xsi:type="xsd:double"&gt;2154.240477&lt;/D&gt;&lt;D xsi:type="xsd:double"&gt;2195.140238&lt;/D&gt;&lt;D xsi:type="xsd:double"&gt;2218.204749&lt;/D&gt;&lt;D xsi:type="xsd:double"&gt;2212.968263&lt;/D&gt;&lt;D xsi:type="xsd:double"&gt;2209.02439&lt;/D&gt;&lt;D xsi:type="xsd:double"&gt;2200.341222&lt;/D&gt;&lt;D xsi:type="xsd:double"&gt;2202.225233&lt;/D&gt;&lt;D xsi:type="xsd:double"&gt;2198.0000449999998&lt;/D&gt;&lt;D xsi:type="xsd:double"&gt;2195.693698&lt;/D&gt;&lt;D xsi:type="xsd:double"&gt;2199.785195&lt;/D&gt;&lt;D xsi:type="xsd:double"&gt;2205.231889&lt;/D&gt;&lt;D xsi:type="xsd:double"&gt;2204.874499&lt;/D&gt;&lt;D xsi:type="xsd:double"&gt;2191.490307&lt;/D&gt;&lt;D xsi:type="xsd:double"&gt;2204.087407&lt;/D&gt;&lt;D xsi:type="xsd:double"&gt;2201.724624&lt;/D&gt;&lt;D xsi:type="xsd:double"&gt;2169.629697&lt;/D&gt;&lt;D xsi:type="xsd:double"&gt;2124.339387&lt;/D&gt;&lt;D xsi:type="xsd:double"&gt;2108.248812&lt;/D&gt;&lt;D xsi:type="xsd:double"&gt;2105.475106&lt;/D&gt;&lt;D xsi:type="xsd:double"&gt;2094.843207&lt;/D&gt;&lt;D xsi:type="xsd:double"&gt;2139.281362&lt;/D&gt;&lt;D xsi:type="xsd:double"&gt;2155.957481&lt;/D&gt;&lt;D xsi:type="xsd:double"&gt;2150.290632&lt;/D&gt;&lt;D xsi:type="xsd:double"&gt;2130.997866&lt;/D&gt;&lt;D xsi:type="xsd:double"&gt;2129.971393&lt;/D&gt;&lt;D xsi:type="xsd:double"&gt;2121.490494&lt;/D&gt;&lt;D xsi:type="xsd:double"&gt;2115.180618&lt;/D&gt;&lt;D xsi:type="xsd:double"&gt;2112.001486&lt;/D&gt;&lt;D xsi:type="xsd:double"&gt;2140.989257&lt;/D&gt;&lt;D xsi:type="xsd:double"&gt;2152.306809&lt;/D&gt;&lt;D xsi:type="xsd:double"&gt;2153.45092&lt;/D&gt;&lt;D xsi:type="xsd:double"&gt;2184.024687&lt;/D&gt;&lt;D xsi:type="xsd:double"&gt;2175.345465&lt;/D&gt;&lt;D xsi:type="xsd:double"&gt;2170.860519&lt;/D&gt;&lt;D xsi:type="xsd:double"&gt;2151.031215&lt;/D&gt;&lt;D xsi:type="xsd:double"&gt;2128.701141&lt;/D&gt;&lt;D xsi:type="xsd:double"&gt;2125.996426&lt;/D&gt;&lt;D xsi:type="xsd:double"&gt;2122.548429&lt;/D&gt;&lt;D xsi:type="xsd:double"&gt;2115.04728&lt;/D&gt;&lt;D xsi:type="xsd:double"&gt;2121.818807&lt;/D&gt;&lt;D xsi:type="xsd:double"&gt;2115.299307&lt;/D&gt;&lt;D xsi:type="xsd:double"&gt;2113.661609&lt;/D&gt;&lt;D xsi:type="xsd:double"&gt;2083.703728&lt;/D&gt;&lt;D xsi:type="xsd:double"&gt;2055.807315&lt;/D&gt;&lt;D xsi:type="xsd:double"&gt;2088.313604&lt;/D&gt;&lt;D xsi:type="xsd:double"&gt;2094.382518&lt;/D&gt;&lt;D xsi:type="xsd:double"&gt;2082.576294&lt;/D&gt;&lt;D xsi:type="xsd:double"&gt;2099.546057&lt;/D&gt;&lt;D xsi:type="xsd:double"&gt;2133.938037&lt;/D&gt;&lt;D xsi:type="xsd:double"&gt;2150.592047&lt;/D&gt;&lt;D xsi:type="xsd:double"&gt;2147.026864&lt;/D&gt;&lt;D xsi:type="xsd:double"&gt;2132.98999&lt;/D&gt;&lt;D xsi:type="xsd:double"&gt;2131.911978&lt;/D&gt;&lt;D xsi:type="xsd:double"&gt;2142.480798&lt;/D&gt;&lt;D xsi:type="xsd:double"&gt;2151.320697&lt;/D&gt;&lt;D xsi:type="xsd:double"&gt;2142.690597&lt;/D&gt;&lt;D xsi:type="xsd:double"&gt;2147.262987&lt;/D&gt;&lt;D xsi:type="xsd:double"&gt;2158.107591&lt;/D&gt;&lt;D xsi:type="xsd:double"&gt;2162.340712&lt;/D&gt;&lt;D xsi:type="xsd:double"&gt;2171.079851&lt;/D&gt;&lt;D xsi:type="xsd:double"&gt;2162.351975&lt;/D&gt;&lt;D xsi:type="xsd:double"&gt;2143.622348&lt;/D&gt;&lt;D xsi:type="xsd:double"&gt;2152.248297&lt;/D&gt;&lt;D xsi:type="xsd:double"&gt;2138.046601&lt;/D&gt;&lt;D xsi:type="xsd:double"&gt;2156.572342&lt;/D&gt;&lt;D xsi:type="xsd:double"&gt;2160.609692&lt;/D&gt;&lt;D xsi:type="xsd:double"&gt;2149.073306&lt;/D&gt;&lt;D xsi:type="xsd:double"&gt;2149.140017&lt;/D&gt;&lt;D xsi:type="xsd:double"&gt;2155.537393&lt;/D&gt;&lt;D xsi:type="xsd:double"&gt;2169.788526&lt;/D&gt;&lt;D xsi:type="xsd:double"&gt;2163.59088&lt;/D&gt;&lt;D xsi:type="xsd:double"&gt;2165.761738&lt;/D&gt;&lt;D xsi:type="xsd:double"&gt;2163.963887&lt;/D&gt;&lt;D xsi:type="xsd:double"&gt;2168.990571&lt;/D&gt;&lt;D xsi:type="xsd:double"&gt;2152.991403&lt;/D&gt;&lt;D xsi:type="xsd:double"&gt;2164.531712&lt;/D&gt;&lt;D xsi:type="xsd:double"&gt;2163.070019&lt;/D&gt;&lt;D xsi:type="xsd:double"&gt;2143.284658&lt;/D&gt;&lt;D xsi:type="xsd:double"&gt;2127.790423&lt;/D&gt;&lt;D xsi:type="xsd:double"&gt;2103.089493&lt;/D&gt;&lt;D xsi:type="xsd:double"&gt;2117.447831&lt;/D&gt;&lt;D xsi:type="xsd:double"&gt;2118.363761&lt;/D&gt;&lt;D xsi:type="xsd:double"&gt;2133.868375&lt;/D&gt;&lt;D xsi:type="xsd:double"&gt;2122.806656&lt;/D&gt;&lt;D xsi:type="xsd:double"&gt;2108.256297&lt;/D&gt;&lt;D xsi:type="xsd:double"&gt;2099.191788&lt;/D&gt;&lt;D xsi:type="xsd:double"&gt;2076.907126&lt;/D&gt;&lt;D xsi:type="xsd:double"&gt;2057.830098&lt;/D&gt;&lt;D xsi:type="xsd:double"&gt;2045.119882&lt;/D&gt;&lt;D xsi:type="xsd:double"&gt;2029.957404&lt;/D&gt;&lt;D xsi:type="xsd:double"&gt;2062.654307&lt;/D&gt;&lt;D xsi:type="xsd:double"&gt;2049.987777&lt;/D&gt;&lt;D xsi:type="xsd:double"&gt;2036.942011&lt;/D&gt;&lt;D xsi:type="xsd:double"&gt;2016.292854&lt;/D&gt;&lt;D xsi:type="xsd:double"&gt;2001.364005&lt;/D&gt;&lt;D xsi:type="xsd:double"&gt;2004.383051&lt;/D&gt;&lt;D xsi:type="xsd:double"&gt;1986.007308&lt;/D&gt;&lt;D xsi:type="xsd:double"&gt;2040.252973&lt;/D&gt;&lt;D xsi:type="xsd:double"&gt;2038.771616&lt;/D&gt;&lt;D xsi:type="xsd:double"&gt;2064.937014&lt;/D&gt;&lt;D xsi:type="xsd:double"&gt;2078.257045&lt;/D&gt;&lt;D xsi:type="xsd:double"&gt;2075.739675&lt;/D&gt;&lt;D xsi:type="xsd:double"&gt;2080.461499&lt;/D&gt;&lt;D xsi:type="xsd:double"&gt;2107.627956&lt;/D&gt;&lt;D xsi:type="xsd:double"&gt;2092.692889&lt;/D&gt;&lt;D xsi:type="xsd:double"&gt;2073.376417&lt;/D&gt;&lt;D xsi:type="xsd:double"&gt;2075.496972&lt;/D&gt;&lt;D xsi:type="xsd:double"&gt;2073.608237&lt;/D&gt;&lt;D xsi:type="xsd:double"&gt;2077.808415&lt;/D&gt;&lt;D xsi:type="xsd:double"&gt;2056.601482&lt;/D&gt;&lt;D xsi:type="xsd:double"&gt;2081.316864&lt;/D&gt;&lt;D xsi:type="xsd:double"&gt;2088.531894&lt;/D&gt;&lt;D xsi:type="xsd:double"&gt;2106.419554&lt;/D&gt;&lt;D xsi:type="xsd:double"&gt;2108.972389&lt;/D&gt;&lt;D xsi:type="xsd:double"&gt;2118.932351&lt;/D&gt;&lt;D xsi:type="xsd:double"&gt;2114.716046&lt;/D&gt;&lt;D xsi:type="xsd:double"&gt;2126.150507&lt;/D&gt;&lt;D xsi:type="xsd:double"&gt;2121.876217&lt;/D&gt;&lt;D xsi:type="xsd:double"&gt;2111.22752&lt;/D&gt;&lt;D xsi:type="xsd:double"&gt;2134.533412&lt;/D&gt;&lt;D xsi:type="xsd:double"&gt;2120.392758&lt;/D&gt;&lt;D xsi:type="xsd:double"&gt;2113.665506&lt;/D&gt;&lt;D xsi:type="xsd:double"&gt;2108.031744&lt;/D&gt;&lt;D xsi:type="xsd:double"&gt;2142.614941&lt;/D&gt;&lt;D xsi:type="xsd:double"&gt;2156.811646&lt;/D&gt;&lt;D xsi:type="xsd:double"&gt;2136.366152&lt;/D&gt;&lt;D xsi:type="xsd:double"&gt;2126.172509&lt;/D&gt;&lt;D xsi:type="xsd:double"&gt;2131.048906&lt;/D&gt;&lt;D xsi:type="xsd:double"&gt;2133.713627&lt;/D&gt;&lt;D xsi:type="xsd:double"&gt;2128.224447&lt;/D&gt;&lt;D xsi:type="xsd:double"&gt;2129.080557&lt;/D&gt;&lt;D xsi:type="xsd:double"&gt;2126.589456&lt;/D&gt;&lt;D xsi:type="xsd:double"&gt;2119.631741&lt;/D&gt;&lt;D xsi:type="xsd:double"&gt;2103.700633&lt;/D&gt;&lt;D xsi:type="xsd:double"&gt;2091.50076&lt;/D&gt;&lt;D xsi:type="xsd:double"&gt;2124.103791&lt;/D&gt;&lt;D xsi:type="xsd:double"&gt;2111.258006&lt;/D&gt;&lt;D xsi:type="xsd:double"&gt;2102.424836&lt;/D&gt;&lt;D xsi:type="xsd:double"&gt;2084.199219&lt;/D&gt;&lt;D xsi:type="xsd:double"&gt;2054.184117&lt;/D&gt;&lt;D xsi:type="xsd:double"&gt;2040.948679&lt;/D&gt;&lt;D xsi:type="xsd:double"&gt;2052.059348&lt;/D&gt;&lt;D xsi:type="xsd:double"&gt;2018.925772&lt;/D&gt;&lt;D xsi:type="xsd:double"&gt;1982.763416&lt;/D&gt;&lt;D xsi:type="xsd:double"&gt;2002.690067&lt;/D&gt;&lt;D xsi:type="xsd:double"&gt;1980.266116&lt;/D&gt;&lt;D xsi:type="xsd:double"&gt;1966.335803&lt;/D&gt;&lt;D xsi:type="xsd:double"&gt;1977.737207&lt;/D&gt;&lt;D xsi:type="xsd:double"&gt;1964.308947&lt;/D&gt;&lt;D xsi:type="xsd:double"&gt;1974.759716&lt;/D&gt;&lt;D xsi:type="xsd:double"&gt;1966.818191&lt;/D&gt;&lt;D xsi:type="xsd:double"&gt;1966.633904&lt;/D&gt;&lt;D xsi:type="xsd:double"&gt;1979.731846&lt;/D&gt;&lt;D xsi:type="xsd:double"&gt;1961.506424&lt;/D&gt;&lt;D xsi:type="xsd:double"&gt;1950.009448&lt;/D&gt;&lt;D xsi:type="xsd:double"&gt;1957.867232&lt;/D&gt;&lt;D xsi:type="xsd:double"&gt;1983.302114&lt;/D&gt;&lt;D xsi:type="xsd:double"&gt;2034.250339&lt;/D&gt;&lt;D xsi:type="xsd:double"&gt;2031.854047&lt;/D&gt;&lt;D xsi:type="xsd:double"&gt;1989.485112&lt;/D&gt;&lt;D xsi:type="xsd:double"&gt;2002.682549&lt;/D&gt;&lt;D xsi:type="xsd:double"&gt;1988.102526&lt;/D&gt;&lt;D xsi:type="xsd:double"&gt;1984.207264&lt;/D&gt;&lt;D xsi:type="xsd:double"&gt;1994.930004&lt;/D&gt;&lt;D xsi:type="xsd:double"&gt;2011.24908&lt;/D&gt;&lt;D xsi:type="xsd:double"&gt;2014.761315&lt;/D&gt;&lt;D xsi:type="xsd:double"&gt;2027.63654&lt;/D&gt;&lt;D xsi:type="xsd:double"&gt;1977.939763&lt;/D&gt;&lt;D xsi:type="xsd:double"&gt;1977.590205&lt;/D&gt;&lt;D xsi:type="xsd:double"&gt;1982.19052&lt;/D&gt;&lt;D xsi:type="xsd:double"&gt;1997.326412&lt;/D&gt;&lt;D xsi:type="xsd:double"&gt;1980.978524&lt;/D&gt;&lt;D xsi:type="xsd:double"&gt;1956.323018&lt;/D&gt;&lt;D xsi:type="xsd:double"&gt;1931.765237&lt;/D&gt;&lt;D xsi:type="xsd:double"&gt;1956.015958&lt;/D&gt;&lt;D xsi:type="xsd:double"&gt;1936.912764&lt;/D&gt;&lt;D xsi:type="xsd:double"&gt;1956.668691&lt;/D&gt;&lt;D xsi:type="xsd:double"&gt;1965.509327&lt;/D&gt;&lt;D xsi:type="xsd:double"&gt;1948.998422&lt;/D&gt;&lt;D xsi:type="xsd:double"&gt;1955.523584&lt;/D&gt;&lt;D xsi:type="xsd:double"&gt;1910.795102&lt;/D&gt;&lt;D xsi:type="xsd:double"&gt;1843.927543&lt;/D&gt;&lt;D xsi:type="xsd:double"&gt;1860.781329&lt;/D&gt;&lt;D xsi:type="xsd:double"&gt;1834.254488&lt;/D&gt;&lt;D xsi:type="xsd:double"&gt;1810.511538&lt;/D&gt;&lt;D xsi:type="xsd:double"&gt;1769.38805&lt;/D&gt;&lt;D xsi:type="xsd:double"&gt;1801.607757&lt;/D&gt;&lt;D xsi:type="xsd:double"&gt;1803.226802&lt;/D&gt;&lt;D xsi:type="xsd:double"&gt;1790.447757&lt;/D&gt;&lt;D xsi:type="xsd:double"&gt;1790.393976&lt;/D&gt;&lt;D xsi:type="xsd:double"&gt;1802.064328&lt;/D&gt;&lt;D xsi:type="xsd:double"&gt;1806.138114&lt;/D&gt;&lt;D xsi:type="xsd:double"&gt;1779.74673&lt;/D&gt;&lt;D xsi:type="xsd:double"&gt;1745.825864&lt;/D&gt;&lt;D xsi:type="xsd:double"&gt;1719.202509&lt;/D&gt;&lt;D xsi:type="xsd:double"&gt;1733.940192&lt;/D&gt;&lt;D xsi:type="xsd:double"&gt;1727.219289&lt;/D&gt;&lt;D xsi:type="xsd:double"&gt;1741.451546&lt;/D&gt;&lt;D xsi:type="xsd:double"&gt;1726.81826&lt;/D&gt;&lt;D xsi:type="xsd:double"&gt;1703.303482&lt;/D&gt;&lt;D xsi:type="xsd:double"&gt;1688.860754&lt;/D&gt;&lt;D xsi:type="xsd:double"&gt;1682.475944&lt;/D&gt;&lt;D xsi:type="xsd:double"&gt;1690.91198&lt;/D&gt;&lt;D xsi:type="xsd:double"&gt;1708.825832&lt;/D&gt;&lt;D xsi:type="xsd:double"&gt;1729.126198&lt;/D&gt;&lt;D xsi:type="xsd:double"&gt;1755.036388&lt;/D&gt;&lt;D xsi:type="xsd:double"&gt;1765.329461&lt;/D&gt;&lt;D xsi:type="xsd:double"&gt;1784.279762&lt;/D&gt;&lt;D xsi:type="xsd:double"&gt;1717.263075&lt;/D&gt;&lt;D xsi:type="xsd:double"&gt;1698.022509&lt;/D&gt;&lt;D xsi:type="xsd:double"&gt;1693.055571&lt;/D&gt;&lt;D xsi:type="xsd:double"&gt;1694.481375&lt;/D&gt;&lt;D xsi:type="xsd:double"&gt;1692.101968&lt;/D&gt;&lt;D xsi:type="xsd:double"&gt;1696.221806&lt;/D&gt;&lt;D xsi:type="xsd:double"&gt;1724.601117&lt;/D&gt;&lt;D xsi:type="xsd:double"&gt;1773.139103&lt;/D&gt;&lt;D xsi:type="xsd:double"&gt;1798.046631&lt;/D&gt;&lt;D xsi:type="xsd:double"&gt;1814.128761&lt;/D&gt;&lt;D xsi:type="xsd:double"&gt;1827.532803&lt;/D&gt;&lt;D xsi:type="xsd:double"&gt;1829.868941&lt;/D&gt;&lt;D xsi:type="xsd:double"&gt;1848.804552&lt;/D&gt;&lt;D xsi:type="xsd:double"&gt;1861.097063&lt;/D&gt;&lt;D xsi:type="xsd:double"&gt;1880.507576&lt;/D&gt;&lt;D xsi:type="xsd:double"&gt;1920.882936&lt;/D&gt;&lt;D xsi:type="xsd:double"&gt;1883.435057&lt;/D&gt;&lt;D xsi:type="xsd:double"&gt;1843.208975&lt;/D&gt;&lt;D xsi:type="xsd:double"&gt;1822.542304&lt;/D&gt;&lt;D xsi:type="xsd:double"&gt;1833.186869&lt;/D&gt;&lt;D xsi:type="xsd:double"&gt;1863.007738&lt;/D&gt;&lt;D xsi:type="xsd:double"&gt;1829.956542&lt;/D&gt;&lt;D xsi:type="xsd:double"&gt;1878.578274&lt;/D&gt;&lt;D xsi:type="xsd:double"&gt;1887.543144&lt;/D&gt;&lt;D xsi:type="xsd:double"&gt;1894.414742&lt;/D&gt;&lt;D xsi:type="xsd:double"&gt;1924.676305&lt;/D&gt;&lt;D xsi:type="xsd:double"&gt;1943.601996&lt;/D&gt;&lt;D xsi:type="xsd:double"&gt;1932.986678&lt;/D&gt;&lt;D xsi:type="xsd:double"&gt;1934.534106&lt;/D&gt;&lt;D xsi:type="xsd:double"&gt;1938.550966&lt;/D&gt;&lt;D xsi:type="xsd:double"&gt;1961.164351&lt;/D&gt;&lt;D xsi:type="xsd:double"&gt;1988.65907&lt;/D&gt;&lt;D xsi:type="xsd:double"&gt;1989.863701&lt;/D&gt;&lt;D xsi:type="xsd:double"&gt;2003.07758&lt;/D&gt;&lt;D xsi:type="xsd:double"&gt;2005.910118&lt;/D&gt;&lt;D xsi:type="xsd:double"&gt;2005.287345&lt;/D&gt;&lt;D xsi:type="xsd:double"&gt;2009.711056&lt;/D&gt;&lt;D xsi:type="xsd:double"&gt;2006.856066&lt;/D&gt;&lt;D xsi:type="xsd:double"&gt;1968.136412&lt;/D&gt;&lt;D xsi:type="xsd:double"&gt;1980.729401&lt;/D&gt;&lt;D xsi:type="xsd:double"&gt;1960.917154&lt;/D&gt;&lt;D xsi:type="xsd:double"&gt;1977.664754&lt;/D&gt;&lt;D xsi:type="xsd:double"&gt;1960.997008&lt;/D&gt;&lt;D xsi:type="xsd:double"&gt;1970.399402&lt;/D&gt;&lt;D xsi:type="xsd:double"&gt;1994.034609&lt;/D&gt;&lt;D xsi:type="xsd:double"&gt;1975.688116&lt;/D&gt;&lt;D xsi:type="xsd:double"&gt;1952.521273&lt;/D&gt;&lt;D xsi:type="xsd:double"&gt;1924.128592&lt;/D&gt;&lt;D xsi:type="xsd:double"&gt;1918.679991&lt;/D&gt;&lt;D xsi:type="xsd:double"&gt;1928.052423&lt;/D&gt;&lt;D xsi:type="xsd:double"&gt;1931.424672&lt;/D&gt;&lt;D xsi:type="xsd:double"&gt;1916.908823&lt;/D&gt;&lt;D xsi:type="xsd:double"&gt;1913.942084&lt;/D&gt;&lt;D xsi:type="xsd:double"&gt;1907.804188&lt;/D&gt;&lt;D xsi:type="xsd:double"&gt;1880.415801&lt;/D&gt;&lt;D xsi:type="xsd:double"&gt;1849.011177&lt;/D&gt;&lt;D xsi:type="xsd:double"&gt;1816.994675&lt;/D&gt;&lt;D xsi:type="xsd:double"&gt;1858.240178&lt;/D&gt;&lt;D xsi:type="xsd:double"&gt;1862.465271&lt;/D&gt;&lt;D xsi:type="xsd:double"&gt;1865.784644&lt;/D&gt;&lt;D xsi:type="xsd:double"&gt;1887.320473&lt;/D&gt;&lt;D xsi:type="xsd:double"&gt;1879.245979&lt;/D&gt;&lt;D xsi:type="xsd:double"&gt;1848.96655&lt;/D&gt;&lt;D xsi:type="xsd:double"&gt;1844.02455&lt;/D&gt;&lt;D xsi:type="xsd:double"&gt;1870.450486&lt;/D&gt;&lt;D xsi:type="xsd:double"&gt;1883.42902&lt;/D&gt;&lt;D xsi:type="xsd:double"&gt;1910.931655&lt;/D&gt;&lt;D xsi:type="xsd:double"&gt;1929.452485&lt;/D&gt;&lt;D xsi:type="xsd:double"&gt;1933.178325&lt;/D&gt;&lt;D xsi:type="xsd:double"&gt;1910.417563&lt;/D&gt;&lt;D xsi:type="xsd:double"&gt;1872.550567&lt;/D&gt;&lt;D xsi:type="xsd:double"&gt;1888.419134&lt;/D&gt;&lt;D xsi:type="xsd:double"&gt;1898.152596&lt;/D&gt;&lt;D xsi:type="xsd:double"&gt;1860.152204&lt;/D&gt;&lt;D xsi:type="xsd:double"&gt;1884.627255&lt;/D&gt;&lt;D xsi:type="xsd:double"&gt;1902.043551&lt;/D&gt;&lt;D xsi:type="xsd:double"&gt;1891.861373&lt;/D&gt;&lt;D xsi:type="xsd:double"&gt;1921.858667&lt;/D&gt;&lt;D xsi:type="xsd:double"&gt;1979.892082&lt;/D&gt;&lt;D xsi:type="xsd:double"&gt;2039.017412&lt;/D&gt;&lt;D xsi:type="xsd:double"&gt;2074.446938&lt;/D&gt;&lt;D xsi:type="xsd:double"&gt;2078.59813&lt;/D&gt;&lt;D xsi:type="xsd:double"&gt;2086.747299&lt;/D&gt;&lt;D xsi:type="xsd:double"&gt;2075.682706&lt;/D&gt;&lt;D xsi:type="xsd:double"&gt;2081.373793&lt;/D&gt;&lt;D xsi:type="xsd:double"&gt;2067.570529&lt;/D&gt;&lt;D xsi:type="xsd:double"&gt;2082.105441&lt;/D&gt;&lt;D xsi:type="xsd:double"&gt;2078.217704&lt;/D&gt;&lt;D xsi:type="xsd:double"&gt;2051.951632&lt;/D&gt;&lt;D xsi:type="xsd:double"&gt;2036.815229&lt;/D&gt;&lt;D xsi:type="xsd:double"&gt;2034.7095&lt;/D&gt;&lt;D xsi:type="xsd:double"&gt;2043.221847&lt;/D&gt;&lt;D xsi:type="xsd:double"&gt;2010.367661&lt;/D&gt;&lt;D xsi:type="xsd:double"&gt;2000.837471&lt;/D&gt;&lt;D xsi:type="xsd:double"&gt;2013.059731&lt;/D&gt;&lt;D xsi:type="xsd:double"&gt;2024.605686&lt;/D&gt;&lt;D xsi:type="xsd:double"&gt;1988.43262&lt;/D&gt;&lt;D xsi:type="xsd:double"&gt;1983.084197&lt;/D&gt;&lt;D xsi:type="xsd:double"&gt;1947.859169&lt;/D&gt;&lt;D xsi:type="xsd:double"&gt;1976.936493&lt;/D&gt;&lt;D xsi:type="xsd:double"&gt;1958.474578&lt;/D&gt;&lt;D xsi:type="xsd:double"&gt;1956.80034&lt;/D&gt;&lt;D xsi:type="xsd:double"&gt;2017.725983&lt;/D&gt;&lt;D xsi:type="xsd:double"&gt;2037.959765&lt;/D&gt;&lt;D xsi:type="xsd:double"&gt;2053.71728&lt;/D&gt;&lt;D xsi:type="xsd:double"&gt;2060.645226&lt;/D&gt;&lt;D xsi:type="xsd:double"&gt;2048.271558&lt;/D&gt;&lt;D xsi:type="xsd:double"&gt;2075.28321&lt;/D&gt;&lt;D xsi:type="xsd:double"&gt;2059.280816&lt;/D&gt;&lt;D xsi:type="xsd:double"&gt;2045.866598&lt;/D&gt;&lt;D xsi:type="xsd:double"&gt;2061.379649&lt;/D&gt;&lt;D xsi:type="xsd:double"&gt;2083.881791&lt;/D&gt;&lt;D xsi:type="xsd:double"&gt;2124.886428&lt;/D&gt;&lt;D xsi:type="xsd:double"&gt;2175.034542&lt;/D&gt;&lt;D xsi:type="xsd:double"&gt;2179.460341&lt;/D&gt;&lt;D xsi:type="xsd:double"&gt;2148.099164&lt;/D&gt;&lt;D xsi:type="xsd:double"&gt;2157.435832&lt;/D&gt;&lt;D xsi:type="xsd:double"&gt;2167.532467&lt;/D&gt;&lt;D xsi:type="xsd:double"&gt;2162.831554&lt;/D&gt;&lt;D xsi:type="xsd:double"&gt;2161.460112&lt;/D&gt;&lt;D xsi:type="xsd:double"&gt;2174.583595&lt;/D&gt;&lt;D xsi:type="xsd:double"&gt;2187.134267&lt;/D&gt;&lt;D xsi:type="xsd:double"&gt;2175.496984&lt;/D&gt;&lt;D xsi:type="xsd:double"&gt;2190.402816&lt;/D&gt;&lt;D xsi:type="xsd:double"&gt;2225.137687&lt;/D&gt;&lt;D xsi:type="xsd:double"&gt;2231.883475&lt;/D&gt;&lt;D xsi:type="xsd:double"&gt;2218.863357&lt;/D&gt;&lt;D xsi:type="xsd:double"&gt;2228.137617&lt;/D&gt;&lt;D xsi:type="xsd:double"&gt;2251.805021&lt;/D&gt;&lt;D xsi:type="xsd:double"&gt;2248.858738&lt;/D&gt;&lt;D xsi:type="xsd:double"&gt;2200.214942&lt;/D&gt;&lt;D xsi:type="xsd:double"&gt;2209.381268&lt;/D&gt;&lt;D xsi:type="xsd:double"&gt;2210.903662&lt;/D&gt;&lt;D xsi:type="xsd:double"&gt;2214.102089&lt;/D&gt;&lt;D xsi:type="xsd:double"&gt;2218.429968&lt;/D&gt;&lt;D xsi:type="xsd:double"&gt;2206.43715&lt;/D&gt;&lt;D xsi:type="xsd:double"&gt;2202.192049&lt;/D&gt;&lt;D xsi:type="xsd:double"&gt;2195.107011&lt;/D&gt;&lt;D xsi:type="xsd:double"&gt;2152.00093&lt;/D&gt;&lt;D xsi:type="xsd:double"&gt;2097.397595&lt;/D&gt;&lt;D xsi:type="xsd:double"&gt;2102.887627&lt;/D&gt;&lt;D xsi:type="xsd:double"&gt;2094.270797&lt;/D&gt;&lt;D xsi:type="xsd:double"&gt;2103.001752&lt;/D&gt;&lt;D xsi:type="xsd:double"&gt;2104.849717&lt;/D&gt;&lt;D xsi:type="xsd:double"&gt;2028.53553&lt;/D&gt;&lt;D xsi:type="xsd:double"&gt;2048.379773&lt;/D&gt;&lt;D xsi:type="xsd:double"&gt;2085.044114&lt;/D&gt;&lt;D xsi:type="xsd:double"&gt;2150.688179&lt;/D&gt;&lt;D xsi:type="xsd:double"&gt;2167.924466&lt;/D&gt;&lt;D xsi:type="xsd:double"&gt;2175.6971&lt;/D&gt;&lt;D xsi:type="xsd:double"&gt;2213.424243&lt;/D&gt;&lt;D xsi:type="xsd:double"&gt;2210.912044&lt;/D&gt;&lt;D xsi:type="xsd:double"&gt;2141.2051&lt;/D&gt;&lt;D xsi:type="xsd:double"&gt;2227.432787&lt;/D&gt;&lt;D xsi:type="xsd:double"&gt;2232.909442&lt;/D&gt;&lt;D xsi:type="xsd:double"&gt;2262.448952&lt;/D&gt;&lt;D xsi:type="xsd:double"&gt;2283.76283&lt;/D&gt;&lt;D xsi:type="xsd:double"&gt;2295.23881&lt;/D&gt;&lt;D xsi:type="xsd:double"&gt;2282.200336&lt;/D&gt;&lt;D xsi:type="xsd:double"&gt;2261.831056&lt;/D&gt;&lt;D xsi:type="xsd:double"&gt;2309.581266&lt;/D&gt;&lt;D xsi:type="xsd:double"&gt;2327.548103&lt;/D&gt;&lt;D xsi:type="xsd:double"&gt;2324.642258&lt;/D&gt;&lt;D xsi:type="xsd:double"&gt;2288.857549&lt;/D&gt;&lt;D xsi:type="xsd:double"&gt;2288.711501&lt;/D&gt;&lt;D xsi:type="xsd:double"&gt;2276.325937&lt;/D&gt;&lt;D xsi:type="xsd:double"&gt;2288.575102&lt;/D&gt;&lt;D xsi:type="xsd:double"&gt;2305.482572&lt;/D&gt;&lt;D xsi:type="xsd:double"&gt;2281.023643&lt;/D&gt;&lt;D xsi:type="xsd:double"&gt;2252.413331&lt;/D&gt;&lt;D xsi:type="xsd:double"&gt;2228.202873&lt;/D&gt;&lt;D xsi:type="xsd:double"&gt;2229.202712&lt;/D&gt;&lt;D xsi:type="xsd:double"&gt;2259.175923&lt;/D&gt;&lt;D xsi:type="xsd:double"&gt;2238.154701&lt;/D&gt;&lt;D xsi:type="xsd:double"&gt;2243.95239&lt;/D&gt;&lt;D xsi:type="xsd:double"&gt;2306.348481&lt;/D&gt;&lt;D xsi:type="xsd:double"&gt;2344.373559&lt;/D&gt;&lt;D xsi:type="xsd:double"&gt;2328.723803&lt;/D&gt;&lt;D xsi:type="xsd:double"&gt;2340.676666&lt;/D&gt;&lt;D xsi:type="xsd:double"&gt;2359.034307&lt;/D&gt;&lt;D xsi:type="xsd:double"&gt;2383.170721&lt;/D&gt;&lt;D xsi:type="xsd:double"&gt;2377.842305&lt;/D&gt;&lt;D xsi:type="xsd:double"&gt;2341.526273&lt;/D&gt;&lt;D xsi:type="xsd:double"&gt;2328.496113&lt;/D&gt;&lt;D xsi:type="xsd:double"&gt;2349.330166&lt;/D&gt;&lt;D xsi:type="xsd:double"&gt;2342.272753&lt;/D&gt;&lt;D xsi:type="xsd:double"&gt;2380.923604&lt;/D&gt;&lt;D xsi:type="xsd:double"&gt;2376.270969&lt;/D&gt;&lt;D xsi:type="xsd:double"&gt;2349.697875&lt;/D&gt;&lt;D xsi:type="xsd:double"&gt;2357.514612&lt;/D&gt;&lt;D xsi:type="xsd:double"&gt;2354.1709&lt;/D&gt;&lt;D xsi:type="xsd:double"&gt;2357.684775&lt;/D&gt;&lt;D xsi:type="xsd:double"&gt;2352.665174&lt;/D&gt;&lt;D xsi:type="xsd:double"&gt;2340.05602&lt;/D&gt;&lt;D xsi:type="xsd:double"&gt;2334.876483&lt;/D&gt;&lt;D xsi:type="xsd:double"&gt;2315.098476&lt;/D&gt;&lt;D xsi:type="xsd:double"&gt;2291.862568&lt;/D&gt;&lt;D xsi:type="xsd:double"&gt;2263.920787&lt;/D&gt;&lt;D xsi:type="xsd:double"&gt;2296.917776&lt;/D&gt;&lt;D xsi:type="xsd:double"&gt;2317.554842&lt;/D&gt;&lt;D xsi:type="xsd:double"&gt;2283.535808&lt;/D&gt;&lt;D xsi:type="xsd:double"&gt;2280.919835&lt;/D&gt;&lt;D xsi:type="xsd:double"&gt;2296.469373&lt;/D&gt;&lt;D xsi:type="xsd:double"&gt;2310.318524&lt;/D&gt;&lt;D xsi:type="xsd:double"&gt;2316.803141&lt;/D&gt;&lt;D xsi:type="xsd:double"&gt;2328.063701&lt;/D&gt;&lt;D xsi:type="xsd:double"&gt;2320.826107&lt;/D&gt;&lt;D xsi:type="xsd:double"&gt;2272.780031&lt;/D&gt;&lt;D xsi:type="xsd:double"&gt;2256.631739&lt;/D&gt;&lt;D xsi:type="xsd:double"&gt;2264.466205&lt;/D&gt;&lt;D xsi:type="xsd:double"&gt;2282.345926&lt;/D&gt;&lt;D xsi:type="xsd:double"&gt;2245.389283&lt;/D&gt;&lt;D xsi:type="xsd:double"&gt;2272.796407&lt;/D&gt;&lt;D xsi:type="xsd:double"&gt;2281.630977&lt;/D&gt;&lt;D xsi:type="xsd:double"&gt;2323.628915&lt;/D&gt;&lt;D xsi:type="xsd:double"&gt;2335.695761&lt;/D&gt;&lt;D xsi:type="xsd:double"&gt;2351.100665&lt;/D&gt;&lt;D xsi:type="xsd:double"&gt;2368.657533&lt;/D&gt;&lt;D xsi:type="xsd:double"&gt;2374.565334&lt;/D&gt;&lt;D xsi:type="xsd:double"&gt;2376.76337&lt;/D&gt;&lt;D xsi:type="xsd:double"&gt;2386.662343&lt;/D&gt;&lt;D xsi:type="xsd:double"&gt;2395.963812&lt;/D&gt;&lt;D xsi:type="xsd:double"&gt;2389.645546&lt;/D&gt;&lt;D xsi:type="xsd:double"&gt;2378.424878&lt;/D&gt;&lt;D xsi:type="xsd:double"&gt;2381.201795&lt;/D&gt;&lt;D xsi:type="xsd:double"&gt;2394.554439&lt;/D&gt;&lt;D xsi:type="xsd:double"&gt;2401.765464&lt;/D&gt;&lt;D xsi:type="xsd:double"&gt;2396.866049&lt;/D&gt;&lt;D xsi:type="xsd:double"&gt;2394.466099&lt;/D&gt;&lt;D xsi:type="xsd:double"&gt;2386.760718&lt;/D&gt;&lt;D xsi:type="xsd:double"&gt;2380.451384&lt;/D&gt;&lt;D xsi:type="xsd:double"&gt;2386.182216&lt;/D&gt;&lt;D xsi:type="xsd:double"&gt;2358.908318&lt;/D&gt;&lt;D xsi:type="xsd:double"&gt;2379.267299&lt;/D&gt;&lt;D xsi:type="xsd:double"&gt;2365.140653&lt;/D&gt;&lt;D xsi:type="xsd:double"&gt;2371.015818&lt;/D&gt;&lt;D xsi:type="xsd:double"&gt;2361.205039&lt;/D&gt;&lt;D xsi:type="xsd:double"&gt;2364.714213&lt;/D&gt;&lt;D xsi:type="xsd:double"&gt;2357.351013&lt;/D&gt;&lt;D xsi:type="xsd:double"&gt;2364.165735&lt;/D&gt;&lt;D xsi:type="xsd:double"&gt;2355.07515&lt;/D&gt;&lt;D xsi:type="xsd:double"&gt;2339.979054&lt;/D&gt;&lt;D xsi:type="xsd:double"&gt;2348.432503&lt;/D&gt;&lt;D xsi:type="xsd:double"&gt;2325.355438&lt;/D&gt;&lt;D xsi:type="xsd:double"&gt;2300.169058&lt;/D&gt;&lt;D xsi:type="xsd:double"&gt;2286.919524&lt;/D&gt;&lt;D xsi:type="xsd:double"&gt;2295.545391&lt;/D&gt;&lt;D xsi:type="xsd:double"&gt;2290.779025&lt;/D&gt;&lt;D xsi:type="xsd:double"&gt;2285.865462&lt;/D&gt;&lt;D xsi:type="xsd:double"&gt;2256.747271&lt;/D&gt;&lt;D xsi:type="xsd:double"&gt;2278.950697&lt;/D&gt;&lt;D xsi:type="xsd:double"&gt;2275.339405&lt;/D&gt;&lt;D xsi:type="xsd:double"&gt;2277.940604&lt;/D&gt;&lt;D xsi:type="xsd:double"&gt;2292.77085&lt;/D&gt;&lt;D xsi:type="xsd:double"&gt;2292.746916&lt;/D&gt;&lt;D xsi:type="xsd:double"&gt;2306.725121&lt;/D&gt;&lt;D xsi:type="xsd:double"&gt;2349.330976&lt;/D&gt;&lt;D xsi:type="xsd:double"&gt;2350.488886&lt;/D&gt;&lt;D xsi:type="xsd:double"&gt;2362.562947&lt;/D&gt;&lt;D xsi:type="xsd:double"&gt;2344.705141&lt;/D&gt;&lt;D xsi:type="xsd:double"&gt;2333.071899&lt;/D&gt;&lt;D xsi:type="xsd:double"&gt;2324.116998&lt;/D&gt;&lt;D xsi:type="xsd:double"&gt;2356.562882&lt;/D&gt;&lt;D xsi:type="xsd:double"&gt;2374.898295&lt;/D&gt;&lt;D xsi:type="xsd:double"&gt;2382.392419&lt;/D&gt;&lt;D xsi:type="xsd:double"&gt;2396.362903&lt;/D&gt;&lt;D xsi:type="xsd:double"&gt;2391.71887&lt;/D&gt;&lt;D xsi:type="xsd:double"&gt;2390.489284&lt;/D&gt;&lt;D xsi:type="xsd:double"&gt;2384.706335&lt;/D&gt;&lt;D xsi:type="xsd:double"&gt;2389.007842&lt;/D&gt;&lt;D xsi:type="xsd:double"&gt;2408.140549&lt;/D&gt;&lt;D xsi:type="xsd:double"&gt;2402.201508&lt;/D&gt;&lt;D xsi:type="xsd:double"&gt;2396.939588&lt;/D&gt;&lt;D xsi:type="xsd:double"&gt;2388.212383&lt;/D&gt;&lt;D xsi:type="xsd:double"&gt;2367.317672&lt;/D&gt;&lt;D xsi:type="xsd:double"&gt;2370.302325&lt;/D&gt;&lt;D xsi:type="xsd:double"&gt;2362.204651&lt;/D&gt;&lt;D xsi:type="xsd:double"&gt;2351.176715&lt;/D&gt;&lt;D xsi:type="xsd:double"&gt;2358.653491&lt;/D&gt;&lt;D xsi:type="xsd:double"&gt;2361.397416&lt;/D&gt;&lt;D xsi:type="xsd:double"&gt;2349.52695&lt;/D&gt;&lt;D xsi:type="xsd:double"&gt;2316.684496&lt;/D&gt;&lt;D xsi:type="xsd:double"&gt;2317.995363&lt;/D&gt;&lt;D xsi:type="xsd:double"&gt;2356.979299&lt;/D&gt;&lt;D xsi:type="xsd:double"&gt;2356.838421&lt;/D&gt;&lt;D xsi:type="xsd:double"&gt;2373.872582&lt;/D&gt;&lt;D xsi:type="xsd:double"&gt;2390.225156&lt;/D&gt;&lt;D xsi:type="xsd:double"&gt;2375.511502&lt;/D&gt;&lt;D xsi:type="xsd:double"&gt;2377.061346&lt;/D&gt;&lt;D xsi:type="xsd:double"&gt;2362.207154&lt;/D&gt;&lt;D xsi:type="xsd:double"&gt;2357.985718&lt;/D&gt;&lt;D xsi:type="xsd:double"&gt;2357.574128&lt;/D&gt;&lt;D xsi:type="xsd:double"&gt;2370.542485&lt;/D&gt;&lt;D xsi:type="xsd:double"&gt;2362.45061&lt;/D&gt;&lt;D xsi:type="xsd:double"&gt;2359.43513&lt;/D&gt;&lt;D xsi:type="xsd:double"&gt;2360.781566&lt;/D&gt;&lt;D xsi:type="xsd:double"&gt;2335.232802&lt;/D&gt;&lt;D xsi:type="xsd:double"&gt;2355.142703&lt;/D&gt;&lt;D xsi:type="xsd:double"&gt;2326.689521&lt;/D&gt;&lt;D xsi:type="xsd:double"&gt;2327.814102&lt;/D&gt;&lt;D xsi:type="xsd:double"&gt;2330.120471&lt;/D&gt;&lt;D xsi:type="xsd:double"&gt;2319.945585&lt;/D&gt;&lt;D xsi:type="xsd:double"&gt;2311.146327&lt;/D&gt;&lt;D xsi:type="xsd:double"&gt;2299.374814&lt;/D&gt;&lt;D xsi:type="xsd:double"&gt;2265.876398&lt;/D&gt;&lt;D xsi:type="xsd:double"&gt;2269.053781&lt;/D&gt;&lt;D xsi:type="xsd:double"&gt;2313.345844&lt;/D&gt;&lt;D xsi:type="xsd:double"&gt;2324.8607&lt;/D&gt;&lt;D xsi:type="xsd:double"&gt;2344.898961&lt;/D&gt;&lt;D xsi:type="xsd:double"&gt;2347.95019&lt;/D&gt;&lt;D xsi:type="xsd:double"&gt;2349.949536&lt;/D&gt;&lt;D xsi:type="xsd:double"&gt;2328.162344&lt;/D&gt;&lt;D xsi:type="xsd:double"&gt;2310.02322&lt;/D&gt;&lt;D xsi:type="xsd:double"&gt;2332.371291&lt;/D&gt;&lt;D xsi:type="xsd:double"&gt;2329.269822&lt;/D&gt;&lt;D xsi:type="xsd:double"&gt;2331.795472&lt;/D&gt;&lt;D xsi:type="xsd:double"&gt;2325.062968&lt;/D&gt;&lt;D xsi:type="xsd:double"&gt;2321.283034&lt;/D&gt;&lt;D xsi:type="xsd:double"&gt;2340.641745&lt;/D&gt;&lt;D xsi:type="xsd:double"&gt;2344.770872&lt;/D&gt;&lt;D xsi:type="xsd:double"&gt;2358.124469&lt;/D&gt;&lt;D xsi:type="xsd:double"&gt;2346.324207&lt;/D&gt;&lt;D xsi:type="xsd:double"&gt;2338.523862&lt;/D&gt;&lt;D xsi:type="xsd:double"&gt;2342.608228&lt;/D&gt;&lt;D xsi:type="xsd:double"&gt;2325.462427&lt;/D&gt;&lt;D xsi:type="xsd:double"&gt;2321.587514&lt;/D&gt;&lt;D xsi:type="xsd:double"&gt;2363.577491&lt;/D&gt;&lt;D xsi:type="xsd:double"&gt;2396.481929&lt;/D&gt;&lt;D xsi:type="xsd:double"&gt;2393.28598&lt;/D&gt;&lt;D xsi:type="xsd:double"&gt;2386.301821&lt;/D&gt;&lt;D xsi:type="xsd:double"&gt;2379.965879&lt;/D&gt;&lt;D xsi:type="xsd:double"&gt;2379.318407&lt;/D&gt;&lt;D xsi:type="xsd:double"&gt;2378.908511&lt;/D&gt;&lt;D xsi:type="xsd:double"&gt;2382.088314&lt;/D&gt;&lt;D xsi:type="xsd:double"&gt;2381.452312&lt;/D&gt;&lt;D xsi:type="xsd:double"&gt;2373.25148&lt;/D&gt;&lt;D xsi:type="xsd:double"&gt;2358.983321&lt;/D&gt;&lt;D xsi:type="xsd:double"&gt;2369.376171&lt;/D&gt;&lt;D xsi:type="xsd:double"&gt;2366.347334&lt;/D&gt;&lt;D xsi:type="xsd:double"&gt;2356.610145&lt;/D&gt;&lt;D xsi:type="xsd:double"&gt;2341.142727&lt;/D&gt;&lt;D xsi:type="xsd:double"&gt;2343.273114&lt;/D&gt;&lt;D xsi:type="xsd:double"&gt;2344.427618&lt;/D&gt;&lt;D xsi:type="xsd:double"&gt;2337.184638&lt;/D&gt;&lt;D xsi:type="xsd:double"&gt;2328.989284&lt;/D&gt;&lt;D xsi:type="xsd:double"&gt;2322.487921&lt;/D&gt;&lt;D xsi:type="xsd:double"&gt;2302.127292&lt;/D&gt;&lt;D xsi:type="xsd:double"&gt;2331.540848&lt;/D&gt;&lt;D xsi:type="xsd:double"&gt;2308.809611&lt;/D&gt;&lt;D xsi:type="xsd:double"&gt;2305.956003&lt;/D&gt;&lt;D xsi:type="xsd:double"&gt;2268.389633&lt;/D&gt;&lt;D xsi:type="xsd:double"&gt;2282.368878&lt;/D&gt;&lt;D xsi:type="xsd:double"&gt;2302.306515&lt;/D&gt;&lt;D xsi:type="xsd:double"&gt;2345.480348&lt;/D&gt;&lt;D xsi:type="xsd:double"&gt;2334.741287&lt;/D&gt;&lt;D xsi:type="xsd:double"&gt;2306.022322&lt;/D&gt;&lt;D xsi:type="xsd:double"&gt;2291.44063&lt;/D&gt;&lt;D xsi:type="xsd:double"&gt;2266.487233&lt;/D&gt;&lt;D xsi:type="xsd:double"&gt;2291.593628&lt;/D&gt;&lt;D xsi:type="xsd:double"&gt;2277.009386&lt;/D&gt;&lt;D xsi:type="xsd:double"&gt;2300.240775&lt;/D&gt;&lt;D xsi:</t>
        </r>
      </text>
    </comment>
    <comment ref="A17" authorId="0" shapeId="0">
      <text>
        <r>
          <rPr>
            <b/>
            <sz val="9"/>
            <color indexed="81"/>
            <rFont val="Tahoma"/>
            <family val="2"/>
          </rPr>
          <t>type="xsd:double"&gt;2299.965672&lt;/D&gt;&lt;D xsi:type="xsd:double"&gt;2295.257296&lt;/D&gt;&lt;D xsi:type="xsd:double"&gt;2303.094446&lt;/D&gt;&lt;D xsi:type="xsd:double"&gt;2290.657924&lt;/D&gt;&lt;D xsi:type="xsd:double"&gt;2290.449483&lt;/D&gt;&lt;D xsi:type="xsd:double"&gt;2272.636907&lt;/D&gt;&lt;D xsi:type="xsd:double"&gt;2274.659941&lt;/D&gt;&lt;D xsi:type="xsd:double"&gt;2309.376207&lt;/D&gt;&lt;D xsi:type="xsd:double"&gt;2304.301173&lt;/D&gt;&lt;D xsi:type="xsd:double"&gt;2290.477361&lt;/D&gt;&lt;D xsi:type="xsd:double"&gt;2277.745598&lt;/D&gt;&lt;D xsi:type="xsd:double"&gt;2267.625262&lt;/D&gt;&lt;D xsi:type="xsd:double"&gt;2262.151608&lt;/D&gt;&lt;D xsi:type="xsd:double"&gt;2268.457159&lt;/D&gt;&lt;D xsi:type="xsd:double"&gt;2268.038114&lt;/D&gt;&lt;D xsi:type="xsd:double"&gt;2257.463925&lt;/D&gt;&lt;D xsi:type="xsd:double"&gt;2250.911168&lt;/D&gt;&lt;D xsi:type="xsd:double"&gt;2243.329968&lt;/D&gt;&lt;D xsi:type="xsd:double"&gt;2226.335891&lt;/D&gt;&lt;D xsi:type="xsd:double"&gt;2213.440899&lt;/D&gt;&lt;D xsi:type="xsd:double"&gt;2219.576097&lt;/D&gt;&lt;D xsi:type="xsd:double"&gt;2222.123824&lt;/D&gt;&lt;D xsi:type="xsd:double"&gt;2222.387091&lt;/D&gt;&lt;D xsi:type="xsd:double"&gt;2199.192304&lt;/D&gt;&lt;D xsi:type="xsd:double"&gt;2201.54533&lt;/D&gt;&lt;D xsi:type="xsd:double"&gt;2219.487466&lt;/D&gt;&lt;D xsi:type="xsd:double"&gt;2235.977898&lt;/D&gt;&lt;D xsi:type="xsd:double"&gt;2236.798834&lt;/D&gt;&lt;D xsi:type="xsd:double"&gt;2251.983607&lt;/D&gt;&lt;D xsi:type="xsd:double"&gt;2236.861114&lt;/D&gt;&lt;D xsi:type="xsd:double"&gt;2241.534313&lt;/D&gt;&lt;D xsi:type="xsd:double"&gt;2228.631199&lt;/D&gt;&lt;D xsi:type="xsd:double"&gt;2225.783405&lt;/D&gt;&lt;D xsi:type="xsd:double"&gt;2225.436956&lt;/D&gt;&lt;D xsi:type="xsd:double"&gt;2206.367901&lt;/D&gt;&lt;D xsi:type="xsd:double"&gt;2198.501768&lt;/D&gt;&lt;D xsi:type="xsd:double"&gt;2176.418872&lt;/D&gt;&lt;D xsi:type="xsd:double"&gt;2159.51631&lt;/D&gt;&lt;D xsi:type="xsd:double"&gt;2184.907527&lt;/D&gt;&lt;D xsi:type="xsd:double"&gt;2204.790038&lt;/D&gt;&lt;D xsi:type="xsd:double"&gt;2200.58871&lt;/D&gt;&lt;D xsi:type="xsd:double"&gt;2197.905687&lt;/D&gt;&lt;D xsi:type="xsd:double"&gt;2168.051795&lt;/D&gt;&lt;D xsi:type="xsd:double"&gt;2231.060831&lt;/D&gt;&lt;D xsi:type="xsd:double"&gt;2218.837361&lt;/D&gt;&lt;D xsi:type="xsd:double"&gt;2231.478842&lt;/D&gt;&lt;D xsi:type="xsd:double"&gt;2231.413238&lt;/D&gt;&lt;D xsi:type="xsd:double"&gt;2230.171463&lt;/D&gt;&lt;D xsi:type="xsd:double"&gt;2217.558907&lt;/D&gt;&lt;D xsi:type="xsd:double"&gt;2228.961271&lt;/D&gt;&lt;D xsi:type="xsd:double"&gt;2252.103558&lt;/D&gt;&lt;D xsi:type="xsd:double"&gt;2224.92985&lt;/D&gt;&lt;D xsi:type="xsd:double"&gt;2218.755662&lt;/D&gt;&lt;D xsi:type="xsd:double"&gt;2213.491057&lt;/D&gt;&lt;D xsi:type="xsd:double"&gt;2208.333632&lt;/D&gt;&lt;D xsi:type="xsd:double"&gt;2199.263824&lt;/D&gt;&lt;D xsi:type="xsd:double"&gt;2178.467123&lt;/D&gt;&lt;D xsi:type="xsd:double"&gt;2161.435526&lt;/D&gt;&lt;D xsi:type="xsd:double"&gt;2163.066918&lt;/D&gt;&lt;D xsi:type="xsd:double"&gt;2151.175041&lt;/D&gt;&lt;D xsi:type="xsd:double"&gt;2133.443997&lt;/D&gt;&lt;D xsi:type="xsd:double"&gt;2116.955146&lt;/D&gt;&lt;D xsi:type="xsd:double"&gt;2152.422387&lt;/D&gt;&lt;D xsi:type="xsd:double"&gt;2159.844202&lt;/D&gt;&lt;D xsi:type="xsd:double"&gt;2187.071342&lt;/D&gt;&lt;D xsi:type="xsd:double"&gt;2181.358339&lt;/D&gt;&lt;D xsi:type="xsd:double"&gt;2192.711098&lt;/D&gt;&lt;D xsi:type="xsd:double"&gt;2204.188606&lt;/D&gt;&lt;D xsi:type="xsd:double"&gt;2195.441709&lt;/D&gt;&lt;D xsi:type="xsd:double"&gt;2186.698457&lt;/D&gt;&lt;D xsi:type="xsd:double"&gt;2179.617842&lt;/D&gt;&lt;D xsi:type="xsd:double"&gt;2203.847111&lt;/D&gt;&lt;D xsi:type="xsd:double"&gt;2191.843547&lt;/D&gt;&lt;D xsi:type="xsd:double"&gt;2187.382131&lt;/D&gt;&lt;D xsi:type="xsd:double"&gt;2182.004653&lt;/D&gt;&lt;D xsi:type="xsd:double"&gt;2209.692505&lt;/D&gt;&lt;D xsi:type="xsd:double"&gt;2188.707091&lt;/D&gt;&lt;D xsi:type="xsd:double"&gt;2173.857479&lt;/D&gt;&lt;D xsi:type="xsd:double"&gt;2158.030313&lt;/D&gt;&lt;D xsi:type="xsd:double"&gt;2154.936276&lt;/D&gt;&lt;D xsi:type="xsd:double"&gt;2140.705997&lt;/D&gt;&lt;D xsi:type="xsd:double"&gt;2154.356742&lt;/D&gt;&lt;D xsi:type="xsd:double"&gt;2151.895651&lt;/D&gt;&lt;D xsi:type="xsd:double"&gt;2128.763224&lt;/D&gt;&lt;D xsi:type="xsd:double"&gt;2114.803412&lt;/D&gt;&lt;D xsi:type="xsd:double"&gt;2110.019514&lt;/D&gt;&lt;D xsi:type="xsd:double"&gt;2089.683116&lt;/D&gt;&lt;D xsi:type="xsd:double"&gt;2091.393684&lt;/D&gt;&lt;D xsi:type="xsd:double"&gt;2127.089836&lt;/D&gt;&lt;D xsi:type="xsd:double"&gt;2137.926665&lt;/D&gt;&lt;D xsi:type="xsd:double"&gt;2120.294811&lt;/D&gt;&lt;D xsi:type="xsd:double"&gt;2101.727133&lt;/D&gt;&lt;D xsi:type="xsd:double"&gt;2096.313768&lt;/D&gt;&lt;D xsi:type="xsd:double"&gt;2089.648466&lt;/D&gt;&lt;D xsi:type="xsd:double"&gt;2099.998761&lt;/D&gt;&lt;D xsi:type="xsd:double"&gt;2099.699865&lt;/D&gt;&lt;D xsi:type="xsd:double"&gt;2092.721761&lt;/D&gt;&lt;D xsi:type="xsd:double"&gt;2092.383191&lt;/D&gt;&lt;D xsi:type="xsd:double"&gt;2098.687692&lt;/D&gt;&lt;D xsi:type="xsd:double"&gt;2091.822555&lt;/D&gt;&lt;D xsi:type="xsd:double"&gt;2076.345379&lt;/D&gt;&lt;D xsi:type="xsd:double"&gt;2069.169804&lt;/D&gt;&lt;D xsi:type="xsd:double"&gt;2049.537193&lt;/D&gt;&lt;D xsi:type="xsd:double"&gt;2075.581765&lt;/D&gt;&lt;D xsi:type="xsd:double"&gt;2061.155792&lt;/D&gt;&lt;D xsi:type="xsd:double"&gt;2054.165387&lt;/D&gt;&lt;D xsi:type="xsd:double"&gt;2021.029191&lt;/D&gt;&lt;D xsi:type="xsd:double"&gt;2029.55061&lt;/D&gt;&lt;D xsi:type="xsd:double"&gt;2019.99861&lt;/D&gt;&lt;D xsi:type="xsd:double"&gt;2032.442769&lt;/D&gt;&lt;D xsi:type="xsd:double"&gt;2027.572995&lt;/D&gt;&lt;D xsi:type="xsd:double"&gt;2021.446806&lt;/D&gt;&lt;D xsi:type="xsd:double"&gt;1990.380537&lt;/D&gt;&lt;D xsi:type="xsd:double"&gt;1993.048937&lt;/D&gt;&lt;D xsi:type="xsd:double"&gt;2001.05829&lt;/D&gt;&lt;D xsi:type="xsd:double"&gt;1985.39194&lt;/D&gt;&lt;D xsi:type="xsd:double"&gt;1964.299768&lt;/D&gt;&lt;D xsi:type="xsd:double"&gt;1920.84881&lt;/D&gt;&lt;D xsi:type="xsd:double"&gt;1913.774638&lt;/D&gt;&lt;D xsi:type="xsd:double"&gt;1873.030449&lt;/D&gt;&lt;D xsi:type="xsd:double"&gt;1847.857155&lt;/D&gt;&lt;D xsi:type="xsd:double"&gt;1804.098741&lt;/D&gt;&lt;D xsi:type="xsd:double"&gt;1778.886936&lt;/D&gt;&lt;D xsi:type="xsd:double"&gt;1788.093467&lt;/D&gt;&lt;D xsi:type="xsd:double"&gt;1802.1908&lt;/D&gt;&lt;D xsi:type="xsd:double"&gt;1848.457922&lt;/D&gt;&lt;D xsi:type="xsd:double"&gt;1858.440943&lt;/D&gt;&lt;D xsi:type="xsd:double"&gt;1883.458797&lt;/D&gt;&lt;D xsi:type="xsd:double"&gt;1874.25433&lt;/D&gt;&lt;D xsi:type="xsd:double"&gt;1885.78277&lt;/D&gt;&lt;D xsi:type="xsd:double"&gt;1887.633469&lt;/D&gt;&lt;D xsi:type="xsd:double"&gt;1891.703723&lt;/D&gt;&lt;D xsi:type="xsd:double"&gt;1882.849493&lt;/D&gt;&lt;D xsi:type="xsd:double"&gt;1872.092939&lt;/D&gt;&lt;D xsi:type="xsd:double"&gt;1907.603939&lt;/D&gt;&lt;D xsi:type="xsd:double"&gt;1907.629029&lt;/D&gt;&lt;D xsi:type="xsd:double"&gt;1919.301021&lt;/D&gt;&lt;D xsi:type="xsd:double"&gt;1910.478462&lt;/D&gt;&lt;D xsi:type="xsd:double"&gt;1896.77552&lt;/D&gt;&lt;D xsi:type="xsd:double"&gt;1883.80279&lt;/D&gt;&lt;D xsi:type="xsd:double"&gt;1885.408711&lt;/D&gt;&lt;D xsi:type="xsd:double"&gt;1883.539533&lt;/D&gt;&lt;D xsi:type="xsd:double"&gt;1854.239673&lt;/D&gt;&lt;D xsi:type="xsd:double"&gt;1858.232466&lt;/D&gt;&lt;D xsi:type="xsd:double"&gt;1853.140633&lt;/D&gt;&lt;D xsi:type="xsd:double"&gt;1864.936739&lt;/D&gt;&lt;D xsi:type="xsd:double"&gt;1863.954395&lt;/D&gt;&lt;D xsi:type="xsd:double"&gt;1830.148589&lt;/D&gt;&lt;D xsi:type="xsd:double"&gt;1828.512031&lt;/D&gt;&lt;D xsi:type="xsd:double"&gt;1850.200263&lt;/D&gt;&lt;D xsi:type="xsd:double"&gt;1850.213178&lt;/D&gt;&lt;D xsi:type="xsd:double"&gt;1853.817481&lt;/D&gt;&lt;D xsi:type="xsd:double"&gt;1907.227725&lt;/D&gt;&lt;D xsi:type="xsd:double"&gt;1906.771697&lt;/D&gt;&lt;D xsi:type="xsd:double"&gt;1920.582311&lt;/D&gt;&lt;D xsi:type="xsd:double"&gt;1912.950045&lt;/D&gt;&lt;D xsi:type="xsd:double"&gt;1908.578975&lt;/D&gt;&lt;D xsi:type="xsd:double"&gt;1894.726673&lt;/D&gt;&lt;D xsi:type="xsd:double"&gt;1894.721539&lt;/D&gt;&lt;D xsi:type="xsd:double"&gt;1892.084562&lt;/D&gt;&lt;D xsi:type="xsd:double"&gt;1876.649405&lt;/D&gt;&lt;D xsi:type="xsd:double"&gt;1871.329179&lt;/D&gt;&lt;D xsi:type="xsd:double"&gt;1899.849124&lt;/D&gt;&lt;D xsi:type="xsd:double"&gt;1916.157926&lt;/D&gt;&lt;D xsi:type="xsd:double"&gt;1906.676745&lt;/D&gt;&lt;D xsi:type="xsd:double"&gt;1911.945889&lt;/D&gt;&lt;D xsi:type="xsd:double"&gt;1913.793245&lt;/D&gt;&lt;D xsi:type="xsd:double"&gt;1905.825965&lt;/D&gt;&lt;D xsi:type="xsd:double"&gt;1919.986058&lt;/D&gt;&lt;D xsi:type="xsd:double"&gt;1906.745591&lt;/D&gt;&lt;D xsi:type="xsd:double"&gt;1906.602884&lt;/D&gt;&lt;D xsi:type="xsd:double"&gt;1882.256829&lt;/D&gt;&lt;D xsi:type="xsd:double"&gt;1888.508619&lt;/D&gt;&lt;D xsi:type="xsd:double"&gt;1915.297029&lt;/D&gt;&lt;D xsi:type="xsd:double"&gt;1909.513399&lt;/D&gt;&lt;D xsi:type="xsd:double"&gt;1906.629389&lt;/D&gt;&lt;D xsi:type="xsd:double"&gt;1899.480328&lt;/D&gt;&lt;D xsi:type="xsd:double"&gt;1912.151493&lt;/D&gt;&lt;D xsi:type="xsd:double"&gt;1912.134&lt;/D&gt;&lt;D xsi:type="xsd:double"&gt;1889.744243&lt;/D&gt;&lt;D xsi:type="xsd:double"&gt;1862.590321&lt;/D&gt;&lt;D xsi:type="xsd:double"&gt;1857.545076&lt;/D&gt;&lt;D xsi:type="xsd:double"&gt;1865.404588&lt;/D&gt;&lt;D xsi:type="xsd:double"&gt;1877.459464&lt;/D&gt;&lt;D xsi:type="xsd:double"&gt;1856.125479&lt;/D&gt;&lt;D xsi:type="xsd:double"&gt;1838.710902&lt;/D&gt;&lt;D xsi:type="xsd:double"&gt;1821.676119&lt;/D&gt;&lt;D xsi:type="xsd:double"&gt;1846.001406&lt;/D&gt;&lt;D xsi:type="xsd:double"&gt;1871.150571&lt;/D&gt;&lt;D xsi:type="xsd:double"&gt;1870.363894&lt;/D&gt;&lt;D xsi:type="xsd:double"&gt;1872.723321&lt;/D&gt;&lt;D xsi:type="xsd:double"&gt;1855.814123&lt;/D&gt;&lt;D xsi:type="xsd:double"&gt;1870.296643&lt;/D&gt;&lt;D xsi:type="xsd:double"&gt;1869.710917&lt;/D&gt;&lt;D xsi:type="xsd:double"&gt;1875.593189&lt;/D&gt;&lt;D xsi:type="xsd:double"&gt;1858.410332&lt;/D&gt;&lt;D xsi:type="xsd:double"&gt;1848.145888&lt;/D&gt;&lt;D xsi:type="xsd:double"&gt;1847.983287&lt;/D&gt;&lt;D xsi:type="xsd:double"&gt;1858.628901&lt;/D&gt;&lt;D xsi:type="xsd:double"&gt;1825.228478&lt;/D&gt;&lt;D xsi:type="xsd:double"&gt;1831.764524&lt;/D&gt;&lt;D xsi:type="xsd:double"&gt;1807.904851&lt;/D&gt;&lt;D xsi:type="xsd:double"&gt;1800.042368&lt;/D&gt;&lt;D xsi:type="xsd:double"&gt;1810.882944&lt;/D&gt;&lt;D xsi:type="xsd:double"&gt;1817.650828&lt;/D&gt;&lt;D xsi:type="xsd:double"&gt;1831.867815&lt;/D&gt;&lt;D xsi:type="xsd:double"&gt;1802.225736&lt;/D&gt;&lt;D xsi:type="xsd:double"&gt;1779.836982&lt;/D&gt;&lt;D xsi:type="xsd:double"&gt;1776.440732&lt;/D&gt;&lt;D xsi:type="xsd:double"&gt;1769.801932&lt;/D&gt;&lt;D xsi:type="xsd:double"&gt;1771.292655&lt;/D&gt;&lt;D xsi:type="xsd:double"&gt;1775.61033&lt;/D&gt;&lt;D xsi:type="xsd:double"&gt;1782.290439&lt;/D&gt;&lt;D xsi:type="xsd:double"&gt;1825.093812&lt;/D&gt;&lt;D xsi:type="xsd:double"&gt;1796.231308&lt;/D&gt;&lt;D xsi:type="xsd:double"&gt;1797.749906&lt;/D&gt;&lt;D xsi:type="xsd:double"&gt;1795.877189&lt;/D&gt;&lt;D xsi:type="xsd:double"&gt;1804.554051&lt;/D&gt;&lt;D xsi:type="xsd:double"&gt;1796.844274&lt;/D&gt;&lt;D xsi:type="xsd:double"&gt;1747.704845&lt;/D&gt;&lt;D xsi:type="xsd:double"&gt;1762.744921&lt;/D&gt;&lt;D xsi:type="xsd:double"&gt;1780.43736&lt;/D&gt;&lt;D xsi:type="xsd:double"&gt;1843.031699&lt;/D&gt;&lt;D xsi:type="xsd:double"&gt;1847.277138&lt;/D&gt;&lt;D xsi:type="xsd:double"&gt;1850.446014&lt;/D&gt;&lt;D xsi:type="xsd:double"&gt;1842.434571&lt;/D&gt;&lt;D xsi:type="xsd:double"&gt;1814.432986&lt;/D&gt;&lt;D xsi:type="xsd:double"&gt;1808.825014&lt;/D&gt;&lt;D xsi:type="xsd:double"&gt;1771.032862&lt;/D&gt;&lt;D xsi:type="xsd:double"&gt;1743.689503&lt;/D&gt;&lt;D xsi:type="xsd:double"&gt;1720.853628&lt;/D&gt;&lt;D xsi:type="xsd:double"&gt;1739.00971&lt;/D&gt;&lt;D xsi:type="xsd:double"&gt;1705.362804&lt;/D&gt;&lt;D xsi:type="xsd:double"&gt;1699.794043&lt;/D&gt;&lt;D xsi:type="xsd:double"&gt;1640.020716&lt;/D&gt;&lt;D xsi:type="xsd:double"&gt;1654.156868&lt;/D&gt;&lt;D xsi:type="xsd:double"&gt;1671.924941&lt;/D&gt;&lt;D xsi:type="xsd:double"&gt;1653.275082&lt;/D&gt;&lt;D xsi:type="xsd:double"&gt;1638.622248&lt;/D&gt;&lt;D xsi:type="xsd:double"&gt;1594.471157&lt;/D&gt;&lt;D xsi:type="xsd:double"&gt;1587.179177&lt;/D&gt;&lt;D xsi:type="xsd:double"&gt;1619.579456&lt;/D&gt;&lt;D xsi:type="xsd:double"&gt;1646.909354&lt;/D&gt;&lt;D xsi:type="xsd:double"&gt;1643.979462&lt;/D&gt;&lt;D xsi:type="xsd:double"&gt;1648.02366&lt;/D&gt;&lt;D xsi:type="xsd:double"&gt;1617.879687&lt;/D&gt;&lt;D xsi:type="xsd:double"&gt;1612.804748&lt;/D&gt;&lt;D xsi:type="xsd:double"&gt;1618.06638&lt;/D&gt;&lt;D xsi:type="xsd:double"&gt;1599.990178&lt;/D&gt;&lt;D xsi:type="xsd:double"&gt;1631.636377&lt;/D&gt;&lt;D xsi:type="xsd:double"&gt;1655.075271&lt;/D&gt;&lt;D xsi:type="xsd:double"&gt;1666.057184&lt;/D&gt;&lt;D xsi:type="xsd:double"&gt;1638.933824&lt;/D&gt;&lt;D xsi:type="xsd:double"&gt;1619.970875&lt;/D&gt;&lt;D xsi:type="xsd:double"&gt;1586.806172&lt;/D&gt;&lt;D xsi:type="xsd:double"&gt;1598.246123&lt;/D&gt;&lt;D xsi:type="xsd:double"&gt;1582.651115&lt;/D&gt;&lt;D xsi:type="xsd:double"&gt;1567.11565&lt;/D&gt;&lt;D xsi:type="xsd:double"&gt;1616.863217&lt;/D&gt;&lt;D xsi:type="xsd:double"&gt;1617.481201&lt;/D&gt;&lt;D xsi:type="xsd:double"&gt;1574.991961&lt;/D&gt;&lt;D xsi:type="xsd:double"&gt;1582.848787&lt;/D&gt;&lt;D xsi:type="xsd:double"&gt;1625.165656&lt;/D&gt;&lt;D xsi:type="xsd:double"&gt;1599.440079&lt;/D&gt;&lt;D xsi:type="xsd:double"&gt;1602.278659&lt;/D&gt;&lt;D xsi:type="xsd:double"&gt;1575.65179&lt;/D&gt;&lt;D xsi:type="xsd:double"&gt;1569.432806&lt;/D&gt;&lt;D xsi:type="xsd:double"&gt;1534.461853&lt;/D&gt;&lt;D xsi:type="xsd:double"&gt;1480.385367&lt;/D&gt;&lt;D xsi:type="xsd:double"&gt;1499.50134&lt;/D&gt;&lt;D xsi:type="xsd:double"&gt;1507.044935&lt;/D&gt;&lt;D xsi:type="xsd:double"&gt;1549.77954&lt;/D&gt;&lt;D xsi:type="xsd:double"&gt;1545.775478&lt;/D&gt;&lt;D xsi:type="xsd:double"&gt;1534.355137&lt;/D&gt;&lt;D xsi:type="xsd:double"&gt;1552.918772&lt;/D&gt;&lt;D xsi:type="xsd:double"&gt;1509.955179&lt;/D&gt;&lt;D xsi:type="xsd:double"&gt;1441.272097&lt;/D&gt;&lt;D xsi:type="xsd:double"&gt;1339.062037&lt;/D&gt;&lt;D xsi:type="xsd:double"&gt;1382.101065&lt;/D&gt;&lt;D xsi:type="xsd:double"&gt;1373.218458&lt;/D&gt;&lt;D xsi:type="xsd:double"&gt;1362.957872&lt;/D&gt;&lt;D xsi:type="xsd:double"&gt;1430.912806&lt;/D&gt;&lt;D xsi:type="xsd:double"&gt;1418.207258&lt;/D&gt;&lt;D xsi:type="xsd:double"&gt;1482.393075&lt;/D&gt;&lt;D xsi:type="xsd:double"&gt;1480.37326&lt;/D&gt;&lt;D xsi:type="xsd:double"&gt;1656.411235&lt;/D&gt;&lt;D xsi:type="xsd:double"&gt;1689.753698&lt;/D&gt;&lt;D xsi:type="xsd:double"&gt;1702.163199&lt;/D&gt;&lt;D xsi:type="xsd:double"&gt;1815.692784&lt;/D&gt;&lt;D xsi:type="xsd:double"&gt;1859.299189&lt;/D&gt;&lt;D xsi:type="xsd:double"&gt;1864.421138&lt;/D&gt;&lt;D xsi:type="xsd:double"&gt;1850.868089&lt;/D&gt;&lt;D xsi:type="xsd:double"&gt;1835.69509&lt;/D&gt;&lt;D xsi:type="xsd:double"&gt;1814.20683&lt;/D&gt;&lt;D xsi:type="xsd:double"&gt;1872.111994&lt;/D&gt;&lt;D xsi:type="xsd:double"&gt;1913.400036&lt;/D&gt;&lt;D xsi:type="xsd:double"&gt;1924.270792&lt;/D&gt;&lt;D xsi:type="xsd:double"&gt;1961.166153&lt;/D&gt;&lt;D xsi:type="xsd:double"&gt;2008.727749&lt;/D&gt;&lt;D xsi:type="xsd:double"&gt;2010.500786&lt;/D&gt;&lt;D xsi:type="xsd:double"&gt;2023.568642&lt;/D&gt;&lt;D xsi:type="xsd:double"&gt;2018.555486&lt;/D&gt;&lt;D xsi:type="xsd:double"&gt;2032.16235&lt;/D&gt;&lt;D xsi:type="xsd:double"&gt;2036.259596&lt;/D&gt;&lt;D xsi:type="xsd:double"&gt;2043.779417&lt;/D&gt;&lt;D xsi:type="xsd:double"&gt;2035.225904&lt;/D&gt;&lt;D xsi:type="xsd:double"&gt;2023.647543&lt;/D&gt;&lt;D xsi:type="xsd:double"&gt;2030.755896&lt;/D&gt;&lt;D xsi:type="xsd:double"&gt;2038.681819&lt;/D&gt;&lt;D xsi:type="xsd:double"&gt;2023.505262&lt;/D&gt;&lt;D xsi:type="xsd:double"&gt;2007.871218&lt;/D&gt;&lt;D xsi:type="xsd:double"&gt;1988.292556&lt;/D&gt;&lt;D xsi:type="xsd:double"&gt;1994.984806&lt;/D&gt;&lt;D xsi:type="xsd:double"&gt;2001.90278&lt;/D&gt;&lt;D xsi:type="xsd:double"&gt;2017.015385&lt;/D&gt;&lt;D xsi:type="xsd:double"&gt;2012.076923&lt;/D&gt;&lt;D xsi:type="xsd:double"&gt;2009.319573&lt;/D&gt;&lt;D xsi:type="xsd:double"&gt;2045.563142&lt;/D&gt;&lt;D xsi:type="xsd:double"&gt;2038.621053&lt;/D&gt;&lt;D xsi:type="xsd:double"&gt;2052.401509&lt;/D&gt;&lt;D xsi:type="xsd:double"&gt;2052.379665&lt;/D&gt;&lt;D xsi:type="xsd:double"&gt;2058.40063&lt;/D&gt;&lt;D xsi:type="xsd:double"&gt;2049.578045&lt;/D&gt;&lt;D xsi:type="xsd:double"&gt;2046.712244&lt;/D&gt;&lt;D xsi:type="xsd:double"&gt;2044.449166&lt;/D&gt;&lt;D xsi:type="xsd:double"&gt;2038.686551&lt;/D&gt;&lt;D xsi:type="xsd:double"&gt;2039.435268&lt;/D&gt;&lt;D xsi:type="xsd:double"&gt;2035.001736&lt;/D&gt;&lt;D xsi:type="xsd:double"&gt;2028.183996&lt;/D&gt;&lt;D xsi:type="xsd:double"&gt;2035.219511&lt;/D&gt;&lt;D xsi:type="xsd:double"&gt;2030.998361&lt;/D&gt;&lt;D xsi:type="xsd:double"&gt;2040.33104&lt;/D&gt;&lt;D xsi:type="xsd:double"&gt;2046.689865&lt;/D&gt;&lt;D xsi:type="xsd:double"&gt;2035.383152&lt;/D&gt;&lt;D xsi:type="xsd:double"&gt;2033.601771&lt;/D&gt;&lt;D xsi:type="xsd:double"&gt;2040.337835&lt;/D&gt;&lt;D xsi:type="xsd:double"&gt;2029.300337&lt;/D&gt;&lt;D xsi:type="xsd:double"&gt;2027.589966&lt;/D&gt;&lt;D xsi:type="xsd:double"&gt;2024.710136&lt;/D&gt;&lt;D xsi:type="xsd:double"&gt;2025.737679&lt;/D&gt;&lt;D xsi:type="xsd:double"&gt;2021.298895&lt;/D&gt;&lt;D xsi:type="xsd:double"&gt;2019.794385&lt;/D&gt;&lt;D xsi:type="xsd:double"&gt;2026.391476&lt;/D&gt;&lt;D xsi:type="xsd:double"&gt;2029.052491&lt;/D&gt;&lt;D xsi:type="xsd:double"&gt;2012.589977&lt;/D&gt;&lt;D xsi:type="xsd:double"&gt;1988.747664&lt;/D&gt;&lt;D xsi:type="xsd:double"&gt;1982.56701&lt;/D&gt;&lt;D xsi:type="xsd:double"&gt;1979.397643&lt;/D&gt;&lt;D xsi:type="xsd:double"&gt;1982.518121&lt;/D&gt;&lt;D xsi:type="xsd:double"&gt;1980.448286&lt;/D&gt;&lt;D xsi:type="xsd:double"&gt;1969.002248&lt;/D&gt;&lt;D xsi:type="xsd:double"&gt;1966.455815&lt;/D&gt;&lt;D xsi:type="xsd:double"&gt;1957.746357&lt;/D&gt;&lt;D xsi:type="xsd:double"&gt;1967.390473&lt;/D&gt;&lt;D xsi:type="xsd:double"&gt;1974.385273&lt;/D&gt;&lt;D xsi:type="xsd:double"&gt;1984.361841&lt;/D&gt;&lt;D xsi:type="xsd:double"&gt;1980.186189&lt;/D&gt;&lt;D xsi:type="xsd:double"&gt;1977.950806&lt;/D&gt;&lt;D xsi:type="xsd:double"&gt;1964.86349&lt;/D&gt;&lt;D xsi:type="xsd:double"&gt;1963.937147&lt;/D&gt;&lt;D xsi:type="xsd:double"&gt;1969.094071&lt;/D&gt;&lt;D xsi:type="xsd:double"&gt;1981.245797&lt;/D&gt;&lt;D xsi:type="xsd:double"&gt;1982.512496&lt;/D&gt;&lt;D xsi:type="xsd:double"&gt;1977.544684&lt;/D&gt;&lt;D xsi:type="xsd:double"&gt;1962.555063&lt;/D&gt;&lt;D xsi:type="xsd:double"&gt;1972.627406&lt;/D&gt;&lt;D xsi:type="xsd:double"&gt;1979.277821&lt;/D&gt;&lt;D xsi:type="xsd:double"&gt;1975.89325&lt;/D&gt;&lt;D xsi:type="xsd:double"&gt;1976.085904&lt;/D&gt;&lt;D xsi:type="xsd:double"&gt;1980.185873&lt;/D&gt;&lt;D xsi:type="xsd:double"&gt;1977.372075&lt;/D&gt;&lt;D xsi:type="xsd:double"&gt;1974.353846&lt;/D&gt;&lt;D xsi:type="xsd:double"&gt;1974.90987&lt;/D&gt;&lt;D xsi:type="xsd:double"&gt;1964.508995&lt;/D&gt;&lt;D xsi:type="xsd:double"&gt;1953.037236&lt;/D&gt;&lt;D xsi:type="xsd:double"&gt;1951.684712&lt;/D&gt;&lt;D xsi:type="xsd:double"&gt;1950.928663&lt;/D&gt;&lt;D xsi:type="xsd:double"&gt;1945.175548&lt;/D&gt;&lt;D xsi:type="xsd:double"&gt;1943.195025&lt;/D&gt;&lt;D xsi:type="xsd:double"&gt;1940.399214&lt;/D&gt;&lt;D xsi:type="xsd:double"&gt;1931.312513&lt;/D&gt;&lt;D xsi:type="xsd:double"&gt;1931.066403&lt;/D&gt;&lt;D xsi:type="xsd:double"&gt;1930.591334&lt;/D&gt;&lt;D xsi:type="xsd:double"&gt;1919.67179&lt;/D&gt;&lt;D xsi:type="xsd:double"&gt;1922.226352&lt;/D&gt;&lt;D xsi:type="xsd:double"&gt;1916.105451&lt;/D&gt;&lt;D xsi:type="xsd:double"&gt;1911.045819&lt;/D&gt;&lt;D xsi:type="xsd:double"&gt;1892.885249&lt;/D&gt;&lt;D xsi:type="xsd:double"&gt;1898.078975&lt;/D&gt;&lt;D xsi:type="xsd:double"&gt;1865.548862&lt;/D&gt;&lt;D xsi:type="xsd:double"&gt;1856.156547&lt;/D&gt;&lt;D xsi:type="xsd:double"&gt;1853.310214&lt;/D&gt;&lt;D xsi:type="xsd:double"&gt;1867.474831&lt;/D&gt;&lt;D xsi:type="xsd:double"&gt;1858.2267&lt;/D&gt;&lt;D xsi:type="xsd:double"&gt;1850.076509&lt;/D&gt;&lt;D xsi:type="xsd:double"&gt;1852.468693&lt;/D&gt;&lt;D xsi:type="xsd:double"&gt;1883.058272&lt;/D&gt;&lt;D xsi:type="xsd:double"&gt;1893.701955&lt;/D&gt;&lt;D xsi:type="xsd:double"&gt;1899.912383&lt;/D&gt;&lt;D xsi:type="xsd:double"&gt;1900.289462&lt;/D&gt;&lt;D xsi:type="xsd:double"&gt;1894.892878&lt;/D&gt;&lt;D xsi:type="xsd:double"&gt;1909.406473&lt;/D&gt;&lt;D xsi:type="xsd:double"&gt;1908.43326&lt;/D&gt;&lt;D xsi:type="xsd:double"&gt;1917.02543&lt;/D&gt;&lt;D xsi:type="xsd:double"&gt;1917.644903&lt;/D&gt;&lt;D xsi:type="xsd:double"&gt;1909.195952&lt;/D&gt;&lt;D xsi:type="xsd:double"&gt;1911.279937&lt;/D&gt;&lt;D xsi:type="xsd:double"&gt;1906.272622&lt;/D&gt;&lt;D xsi:type="xsd:double"&gt;1921.44041&lt;/D&gt;&lt;D xsi:type="xsd:double"&gt;1908.565889&lt;/D&gt;&lt;D xsi:type="xsd:double"&gt;1900.401052&lt;/D&gt;&lt;D xsi:type="xsd:double"&gt;1888.821909&lt;/D&gt;&lt;D xsi:type="xsd:double"&gt;1887.069697&lt;/D&gt;&lt;D xsi:type="xsd:double"&gt;1886.519552&lt;/D&gt;&lt;D xsi:type="xsd:double"&gt;1878.276309&lt;/D&gt;&lt;D xsi:type="xsd:double"&gt;1861.942514&lt;/D&gt;&lt;D xsi:type="xsd:double"&gt;1842.633053&lt;/D&gt;&lt;D xsi:type="xsd:double"&gt;1847.803758&lt;/D&gt;&lt;D xsi:type="xsd:double"&gt;1836.868536&lt;/D&gt;&lt;D xsi:type="xsd:double"&gt;1826.896526&lt;/D&gt;&lt;D xsi:type="xsd:double"&gt;1829.939238&lt;/D&gt;&lt;D xsi:type="xsd:double"&gt;1820.266783&lt;/D&gt;&lt;D xsi:type="xsd:double"&gt;1828.927799&lt;/D&gt;&lt;D xsi:type="xsd:double"&gt;1833.550917&lt;/D&gt;&lt;D xsi:type="xsd:double"&gt;1840.435545&lt;/D&gt;&lt;D xsi:type="xsd:double"&gt;1829.537662&lt;/D&gt;&lt;D xsi:type="xsd:double"&gt;1833.987346&lt;/D&gt;&lt;D xsi:type="xsd:double"&gt;1816.504152&lt;/D&gt;&lt;D xsi:type="xsd:double"&gt;1801.356513&lt;/D&gt;&lt;D xsi:type="xsd:double"&gt;1816.373214&lt;/D&gt;&lt;D xsi:type="xsd:double"&gt;1836.114773&lt;/D&gt;&lt;D xsi:type="xsd:double"&gt;1842.822382&lt;/D&gt;&lt;D xsi:type="xsd:double"&gt;1845.490651&lt;/D&gt;&lt;D xsi:type="xsd:double"&gt;1850.975281&lt;/D&gt;&lt;D xsi:type="xsd:double"&gt;1833.614762&lt;/D&gt;&lt;D xsi:type="xsd:double"&gt;1825.240676&lt;/D&gt;&lt;D xsi:type="xsd:double"&gt;1838.142004&lt;/D&gt;&lt;D xsi:type="xsd:double"&gt;1866.078181&lt;/D&gt;&lt;D xsi:type="xsd:double"&gt;1895.448772&lt;/D&gt;&lt;D xsi:type="xsd:double"&gt;1899.671434&lt;/D&gt;&lt;D xsi:type="xsd:double"&gt;1902.222674&lt;/D&gt;&lt;D xsi:type="xsd:double"&gt;1915.099821&lt;/D&gt;&lt;D xsi:type="xsd:double"&gt;1916.390677&lt;/D&gt;&lt;D xsi:type="xsd:double"&gt;1920.550563&lt;/D&gt;&lt;D xsi:type="xsd:double"&gt;1927.922774&lt;/D&gt;&lt;D xsi:type="xsd:double"&gt;1925.085597&lt;/D&gt;&lt;D xsi:type="xsd:double"&gt;1919.127283&lt;/D&gt;&lt;D xsi:type="xsd:double"&gt;1921.281286&lt;/D&gt;&lt;D xsi:type="xsd:double"&gt;1909.769235&lt;/D&gt;&lt;D xsi:type="xsd:double"&gt;1920.527479&lt;/D&gt;&lt;D xsi:type="xsd:double"&gt;1924.416159&lt;/D&gt;&lt;D xsi:type="xsd:double"&gt;1927.410078&lt;/D&gt;&lt;D xsi:type="xsd:double"&gt;1924.321768&lt;/D&gt;&lt;D xsi:type="xsd:double"&gt;1922.674804&lt;/D&gt;&lt;D xsi:type="xsd:double"&gt;1920.041931&lt;/D&gt;&lt;D xsi:type="xsd:double"&gt;1916.814974&lt;/D&gt;&lt;D xsi:type="xsd:double"&gt;1924.764637&lt;/D&gt;&lt;D xsi:type="xsd:double"&gt;1933.918766&lt;/D&gt;&lt;D xsi:type="xsd:double"&gt;1946.851528&lt;/D&gt;&lt;D xsi:type="xsd:double"&gt;1937.400504&lt;/D&gt;&lt;D xsi:type="xsd:double"&gt;1931.760441&lt;/D&gt;&lt;D xsi:type="xsd:double"&gt;1923.860946&lt;/D&gt;&lt;D xsi:type="xsd:double"&gt;1914.611058&lt;/D&gt;&lt;D xsi:type="xsd:double"&gt;1908.676619&lt;/D&gt;&lt;D xsi:type="xsd:double"&gt;1917.341279&lt;/D&gt;&lt;D xsi:type="xsd:double"&gt;1920.288596&lt;/D&gt;&lt;D xsi:type="xsd:double"&gt;1913.277163&lt;/D&gt;&lt;D xsi:type="xsd:double"&gt;1920.464556&lt;/D&gt;&lt;D xsi:type="xsd:double"&gt;1899.018022&lt;/D&gt;&lt;D xsi:type="xsd:double"&gt;1884.096601&lt;/D&gt;&lt;D xsi:type="xsd:double"&gt;1867.867898&lt;/D&gt;&lt;D xsi:type="xsd:double"&gt;1871.611859&lt;/D&gt;&lt;D xsi:type="xsd:double"&gt;1879.851137&lt;/D&gt;&lt;D xsi:type="xsd:double"&gt;1886.864359&lt;/D&gt;&lt;D xsi:type="xsd:double"&gt;1893.301171&lt;/D&gt;&lt;D xsi:type="xsd:double"&gt;1881.508306&lt;/D&gt;&lt;D xsi:type="xsd:double"&gt;1876.891387&lt;/D&gt;&lt;D xsi:type="xsd:double"&gt;1856.049834&lt;/D&gt;&lt;D xsi:type="xsd:double"&gt;1855.048454&lt;/D&gt;&lt;D xsi:type="xsd:double"&gt;1837.385901&lt;/D&gt;&lt;D xsi:type="xsd:double"&gt;1825.456682&lt;/D&gt;&lt;D xsi:type="xsd:double"&gt;1818.88851&lt;/D&gt;&lt;D xsi:type="xsd:double"&gt;1827.492423&lt;/D&gt;&lt;D xsi:type="xsd:double"&gt;1829.815062&lt;/D&gt;&lt;D xsi:type="xsd:double"&gt;1855.125714&lt;/D&gt;&lt;D xsi:type="xsd:double"&gt;1854.289672&lt;/D&gt;&lt;D xsi:type="xsd:double"&gt;1840.954961&lt;/D&gt;&lt;D xsi:type="xsd:double"&gt;1860.02277&lt;/D&gt;&lt;D xsi:type="xsd:double"&gt;1864.669432&lt;/D&gt;&lt;D xsi:type="xsd:double"&gt;1861.138559&lt;/D&gt;&lt;D xsi:type="xsd:double"&gt;1867.610809&lt;/D&gt;&lt;D xsi:type="xsd:double"&gt;1870.984047&lt;/D&gt;&lt;D xsi:type="xsd:double"&gt;1862.010989&lt;/D&gt;&lt;D xsi:type="xsd:double"&gt;1853.07736&lt;/D&gt;&lt;D xsi:type="xsd:double"&gt;1850.100278&lt;/D&gt;&lt;D xsi:type="xsd:double"&gt;1866.545504&lt;/D&gt;&lt;D xsi:type="xsd:double"&gt;1861.607125&lt;/D&gt;&lt;D xsi:type="xsd:double"&gt;1881.946446&lt;/D&gt;&lt;D xsi:type="xsd:double"&gt;1885.677801&lt;/D&gt;&lt;D xsi:type="xsd:double"&gt;1905.648586&lt;/D&gt;&lt;D xsi:type="xsd:double"&gt;1917.899195&lt;/D&gt;&lt;D xsi:type="xsd:double"&gt;1910.103657&lt;/D&gt;&lt;D xsi:type="xsd:double"&gt;1924.342381&lt;/D&gt;&lt;D xsi:type="xsd:double"&gt;1920.739615&lt;/D&gt;&lt;D xsi:type="xsd:double"&gt;1916.206954&lt;/D&gt;&lt;D xsi:type="xsd:double"&gt;1915.471801&lt;/D&gt;&lt;D xsi:type="xsd:double"&gt;1910.492221&lt;/D&gt;&lt;D xsi:type="xsd:double"&gt;1916.572042&lt;/D&gt;&lt;D xsi:type="xsd:double"&gt;1922.833631&lt;/D&gt;&lt;D xsi:type="xsd:double"&gt;1920.95559&lt;/D&gt;&lt;D xsi:type="xsd:double"&gt;1921.20384&lt;/D&gt;&lt;D xsi:type="xsd:double"&gt;1928.028174&lt;/D&gt;&lt;D xsi:type="xsd:double"&gt;1924.853016&lt;/D&gt;&lt;D xsi:type="xsd:double"&gt;1921.410471&lt;/D&gt;&lt;D xsi:type="xsd:double"&gt;1915.543662&lt;/D&gt;&lt;D xsi:type="xsd:double"&gt;1908.498895&lt;/D&gt;&lt;D xsi:type="xsd:double"&gt;1909.668435&lt;/D&gt;&lt;D xsi:type="xsd:double"&gt;1910.315957&lt;/D&gt;&lt;D xsi:type="xsd:double"&gt;1913.803219&lt;/D&gt;&lt;D xsi:type="xsd:double"&gt;1910.050261&lt;/D&gt;&lt;D xsi:type="xsd:double"&gt;1908.079173&lt;/D&gt;&lt;D xsi:type="xsd:double"&gt;1914.28515&lt;/D&gt;&lt;D xsi:type="xsd:double"&gt;1894.926376&lt;/D&gt;&lt;D xsi:type="xsd:double"&gt;1894.894646&lt;/D&gt;&lt;D xsi:type="xsd:double"&gt;1874.070387&lt;/D&gt;&lt;D xsi:type="xsd:double"&gt;1865.173324&lt;/D&gt;&lt;D xsi:type="xsd:double"&gt;1873.770422&lt;/D&gt;&lt;D xsi:type="xsd:double"&gt;1879.563431&lt;/D&gt;&lt;D xsi:type="xsd:double"&gt;1864.946371&lt;/D&gt;&lt;D xsi:type="xsd:double"&gt;1880.25006&lt;/D&gt;&lt;D xsi:type="xsd:double"&gt;1898.10084&lt;/D&gt;&lt;D xsi:type="xsd:double"&gt;1894.775258&lt;/D&gt;&lt;D xsi:type="xsd:double"&gt;1905.493553&lt;/D&gt;&lt;D xsi:type="xsd:double"&gt;1898.864812&lt;/D&gt;&lt;D xsi:type="xsd:double"&gt;1888.761439&lt;/D&gt;&lt;D xsi:type="xsd:double"&gt;1874.265618&lt;/D&gt;&lt;D xsi:type="xsd:double"&gt;1869.906643&lt;/D&gt;&lt;D xsi:type="xsd:double"&gt;1861.969078&lt;/D&gt;&lt;D xsi:type="xsd:double"&gt;1850.410701&lt;/D&gt;&lt;D xsi:type="xsd:double"&gt;1839.263792&lt;/D&gt;&lt;D xsi:type="xsd:double"&gt;1857.257423&lt;/D&gt;&lt;D xsi:type="xsd:double"&gt;1873.586684&lt;/D&gt;&lt;D xsi:type="xsd:double"&gt;1874.04354&lt;/D&gt;&lt;D xsi:type="xsd:double"&gt;1877.174705&lt;/D&gt;&lt;D xsi:type="xsd:double"&gt;1878.453267&lt;/D&gt;&lt;D xsi:type="xsd:double"&gt;1874.152718&lt;/D&gt;&lt;D xsi:type="xsd:double"&gt;1880.361955&lt;/D&gt;&lt;D xsi:type="xsd:double"&gt;1879.622034&lt;/D&gt;&lt;D xsi:type="xsd:double"&gt;1877.581517&lt;/D&gt;&lt;D xsi:type="xsd:double"&gt;1869.946947&lt;/D&gt;&lt;D xsi:type="xsd:double"&gt;1867.924506&lt;/D&gt;&lt;D xsi:type="xsd:double"&gt;1871.311198&lt;/D&gt;&lt;D xsi:type="xsd:double"&gt;1858.133939&lt;/D&gt;&lt;D xsi:type="xsd:double"&gt;1840.52319&lt;/D&gt;&lt;D xsi:type="xsd:double"&gt;1828.128873&lt;/D&gt;&lt;D xsi:type="xsd:double"&gt;1832.663326&lt;/D&gt;&lt;D xsi:type="xsd:double"&gt;1823.270376&lt;/D&gt;&lt;D xsi:type="xsd:double"&gt;1806.33926&lt;/D&gt;&lt;D xsi:type="xsd:double"&gt;1806.135185&lt;/D&gt;&lt;D xsi:type="xsd:double"&gt;1823.359024&lt;/D&gt;&lt;D xsi:type="xsd:double"&gt;1843.975762&lt;/D&gt;&lt;D xsi:type="xsd:double"&gt;1847.226763&lt;/D&gt;&lt;D xsi:type="xsd:double"&gt;1829.306712&lt;/D&gt;&lt;D xsi:type="xsd:double"&gt;1829.984228&lt;/D&gt;&lt;D xsi:type="xsd:double"&gt;1831.021454&lt;/D&gt;&lt;D xsi:type="xsd:double"&gt;1815.321702&lt;/D&gt;&lt;D xsi:type="xsd:double"&gt;1810.2414&lt;/D&gt;&lt;D xsi:type="xsd:double"&gt;1804.474724&lt;/D&gt;&lt;D xsi:type="xsd:double"&gt;1811.967366&lt;/D&gt;&lt;D xsi:type="xsd:double"&gt;1793.66958&lt;/D&gt;&lt;D xsi:type="xsd:double"&gt;1790.815957&lt;/D&gt;&lt;D xsi:type="xsd:double"&gt;1793.533387&lt;/D&gt;&lt;D xsi:type="xsd:double"&gt;1803.979695&lt;/D&gt;&lt;D xsi:type="xsd:double"&gt;1781.980127&lt;/D&gt;&lt;D xsi:type="xsd:double"&gt;1782.500699&lt;/D&gt;&lt;D xsi:type="xsd:double"&gt;1782.633957&lt;/D&gt;&lt;D xsi:type="xsd:double"&gt;1776.301593&lt;/D&gt;&lt;D xsi:type="xsd:double"&gt;1782.118774&lt;/D&gt;&lt;D xsi:type="xsd:double"&gt;1782.962321&lt;/D&gt;&lt;D xsi:type="xsd:double"&gt;1780.255094&lt;/D&gt;&lt;D xsi:type="xsd:double"&gt;1756.517306&lt;/D&gt;&lt;D xsi:type="xsd:double"&gt;1746.374893&lt;/D&gt;&lt;D xsi:type="xsd:double"&gt;1730.147433&lt;/D&gt;&lt;D xsi:type="xsd:double"&gt;1702.228852&lt;/D&gt;&lt;D xsi:type="xsd:double"&gt;1701.383827&lt;/D&gt;&lt;D xsi:type="xsd:double"&gt;1710.882961&lt;/D&gt;&lt;D xsi:type="xsd:double"&gt;1703.294022&lt;/D&gt;&lt;D xsi:type="xsd:double"&gt;1680.298905&lt;/D&gt;&lt;D xsi:type="xsd:double"&gt;1675.610945&lt;/D&gt;&lt;D xsi:type="xsd:double"&gt;1690.987411&lt;/D&gt;&lt;D xsi:type="xsd:double"&gt;1695.4038&lt;/D&gt;&lt;D xsi:type="xsd:double"&gt;1704.909275&lt;/D&gt;&lt;D xsi:type="xsd:double"&gt;1731.922308&lt;/D&gt;&lt;D xsi:type="xsd:double"&gt;1725.554165&lt;/D&gt;&lt;D xsi:type="xsd:double"&gt;1740.466865&lt;/D&gt;&lt;D xsi:type="xsd:double"&gt;1747.15708&lt;/D&gt;&lt;D xsi:type="xsd:double"&gt;1767.768645&lt;/D&gt;&lt;D xsi:type="xsd:double"&gt;1769.773139&lt;/D&gt;&lt;D xsi:type="xsd:double"&gt;1735.577779&lt;/D&gt;&lt;D xsi:type="xsd:double"&gt;1729.737473&lt;/D&gt;&lt;D xsi:type="xsd:double"&gt;1764.183484&lt;/D&gt;&lt;D xsi:type="xsd:double"&gt;1755.128434&lt;/D&gt;&lt;D xsi:type="xsd:double"&gt;1813.480292&lt;/D&gt;&lt;D xsi:type="xsd:double"&gt;1832.134519&lt;/D&gt;&lt;D xsi:type="xsd:double"&gt;1806.323123&lt;/D&gt;&lt;D xsi:type="xsd:double"&gt;1815.730633&lt;/D&gt;&lt;D xsi:type="xsd:double"&gt;1797.02831&lt;/D&gt;&lt;D xsi:type="xsd:double"&gt;1794.721461&lt;/D&gt;&lt;D xsi:type="xsd:double"&gt;1800.450829&lt;/D&gt;&lt;D xsi:type="xsd:double"&gt;1789.25192&lt;/D&gt;&lt;D xsi:type="xsd:double"&gt;1793.244024&lt;/D&gt;&lt;D xsi:type="xsd:double"&gt;1784.795191&lt;/D&gt;&lt;D xsi:type="xsd:double"&gt;1809.337905&lt;/D&gt;&lt;D xsi:type="xsd:double"&gt;1810.556666&lt;/D&gt;&lt;D xsi:type="xsd:double"&gt;1804.27878&lt;/D&gt;&lt;D xsi:type="xsd:double"&gt;1810.003671&lt;/D&gt;&lt;D xsi:type="xsd:double"&gt;1814.290674&lt;/D&gt;&lt;D xsi:type="xsd:double"&gt;1815.121186&lt;/D&gt;&lt;D xsi:type="xsd:double"&gt;1836.292694&lt;/D&gt;&lt;D xsi:type="xsd:double"&gt;1853.127623&lt;/D&gt;&lt;D xsi:type="xsd:double"&gt;1848.779062&lt;/D&gt;&lt;D xsi:type="xsd:double"&gt;1832.120625&lt;/D&gt;&lt;D xsi:type="xsd:double"&gt;1827.123667&lt;/D&gt;&lt;D xsi:type="xsd:double"&gt;1832.493097&lt;/D&gt;&lt;D xsi:type="xsd:double"&gt;1822.740974&lt;/D&gt;&lt;D xsi:type="xsd:double"&gt;1811.272908&lt;/D&gt;&lt;D xsi:type="xsd:double"&gt;1785.835846&lt;/D&gt;&lt;D xsi:type="xsd:double"&gt;1780.745026&lt;/D&gt;&lt;D xsi:type="xsd:double"&gt;1775.62223&lt;/D&gt;&lt;D xsi:type="xsd:double"&gt;1782.030542&lt;/D&gt;&lt;D xsi:type="xsd:double"&gt;1794.977797&lt;/D&gt;&lt;D xsi:type="xsd:double"&gt;1808.397327&lt;/D&gt;&lt;D xsi:type="xsd:double"&gt;1838.494564&lt;/D&gt;&lt;D xsi:type="xsd:double"&gt;1846.771002&lt;/D&gt;&lt;D xsi:type="xsd:double"&gt;1849.670357&lt;/D&gt;&lt;D xsi:type="xsd:double"&gt;1864.06709&lt;/D&gt;&lt;D xsi:type="xsd:double"&gt;1866.620226&lt;/D&gt;&lt;D xsi:type="xsd:double"&gt;1846.313717&lt;/D&gt;&lt;D xsi:type="xsd:double"&gt;1848.559415&lt;/D&gt;&lt;D xsi:type="xsd:double"&gt;1847.691463&lt;/D&gt;&lt;D xsi:type="xsd:double"&gt;1889.701276&lt;/D&gt;&lt;D xsi:type="xsd:double"&gt;1902.69011&lt;/D&gt;&lt;D xsi:type="xsd:double"&gt;1909.900925&lt;/D&gt;&lt;D xsi:type="xsd:double"&gt;1925.931352&lt;/D&gt;&lt;D xsi:type="xsd:double"&gt;1940.531899&lt;/D&gt;&lt;D xsi:type="xsd:double"&gt;1956.055304&lt;/D&gt;&lt;D xsi:type="xsd:double"&gt;1958.779876&lt;/D&gt;&lt;D xsi:type="xsd:double"&gt;1968.154978&lt;/D&gt;&lt;D xsi:type="xsd:double"&gt;1969.331767&lt;/D&gt;&lt;D xsi:type="xsd:double"&gt;1980.299006&lt;/D&gt;&lt;D xsi:type="xsd:double"&gt;1990.493705&lt;/D&gt;&lt;D xsi:type="xsd:double"&gt;1991.121504&lt;/D&gt;&lt;D xsi:type="xsd:double"&gt;1985.001378&lt;/D&gt;&lt;D xsi:type="xsd:double"&gt;1990.636472&lt;/D&gt;&lt;D xsi:type="xsd:double"&gt;1978.626937&lt;/D&gt;&lt;D xsi:type="xsd:double"&gt;1961.242482&lt;/D&gt;&lt;D xsi:type="xsd:double"&gt;1951.325993&lt;/D&gt;&lt;D xsi:type="xsd:double"&gt;1940.370706&lt;/D&gt;&lt;D xsi:type="xsd:double"&gt;1935.476265&lt;/D&gt;&lt;D xsi:type="xsd:double"&gt;1927.457653&lt;/D&gt;&lt;D xsi:type="xsd:double"&gt;1920.428734&lt;/D&gt;&lt;D xsi:type="xsd:double"&gt;1910.0773&lt;/D&gt;&lt;D xsi:type="xsd:double"&gt;1909.757115&lt;/D&gt;&lt;D xsi:type="xsd:double"&gt;1904.310418&lt;/D&gt;&lt;D xsi:type="xsd:double"&gt;1912.125805&lt;/D&gt;&lt;D xsi:type="xsd:double"&gt;1921.13921&lt;/D&gt;&lt;D xsi:type="xsd:double"&gt;1934.633254&lt;/D&gt;&lt;D xsi:type="xsd:double"&gt;1959.319983&lt;/D&gt;&lt;D xsi:type="xsd:double"&gt;1974.575137&lt;/D&gt;&lt;D xsi:type="xsd:double"&gt;1982.04842&lt;/D&gt;&lt;D xsi:type="xsd:double"&gt;1980.545484&lt;/D&gt;&lt;D xsi:type="xsd:double"&gt;1975.228933&lt;/D&gt;&lt;D xsi:type="xsd:double"&gt;1955.863632&lt;/D&gt;&lt;D xsi:type="xsd:double"&gt;1946.910027&lt;/D&gt;&lt;D xsi:type="xsd:double"&gt;1957.139531&lt;/D&gt;&lt;D xsi:type="xsd:double"&gt;1946.427538&lt;/D&gt;&lt;D xsi:type="xsd:double"&gt;1938.230428&lt;/D&gt;&lt;D xsi:type="xsd:double"&gt;1928.807999&lt;/D&gt;&lt;D xsi:type="xsd:double"&gt;1922.178732&lt;/D&gt;&lt;D xsi:type="xsd:double"&gt;1910.285795&lt;/D&gt;&lt;D xsi:type="xsd:double"&gt;1936.841897&lt;/D&gt;&lt;D xsi:type="xsd:double"&gt;1932.972432&lt;/D&gt;&lt;D xsi:type="xsd:double"&gt;1949.643936&lt;/D&gt;&lt;D xsi:type="xsd:double"&gt;1984.57813&lt;/D&gt;&lt;D xsi:type="xsd:double"&gt;1986.486589&lt;/D&gt;&lt;D xsi:type="xsd:double"&gt;1987.02709&lt;/D&gt;&lt;D xsi:type="xsd:double"&gt;1973.757494&lt;/D&gt;&lt;D xsi:type="xsd:double"&gt;1980.355045&lt;/D&gt;&lt;D xsi:type="xsd:double"&gt;1975.091124&lt;/D&gt;&lt;D xsi:type="xsd:double"&gt;1996.357084&lt;/D&gt;&lt;D xsi:type="xsd:double"&gt;2002.270682&lt;/D&gt;&lt;D xsi:type="xsd:double"&gt;2006.34699&lt;/D&gt;&lt;D xsi:type="xsd:double"&gt;2005.981421&lt;/D&gt;&lt;D xsi:type="xsd:double"&gt;1998.038902&lt;/D&gt;&lt;D xsi:type="xsd:double"&gt;1988.475829&lt;/D&gt;&lt;D xsi:type="xsd:double"&gt;1991.752002&lt;/D&gt;&lt;D xsi:type="xsd:double"&gt;1977.066654&lt;/D&gt;&lt;D xsi:type="xsd:double"&gt;1981.50698&lt;/D&gt;&lt;D xsi:type="xsd:double"&gt;1967.990084&lt;/D&gt;&lt;D xsi:type="xsd:double"&gt;1973.821176&lt;/D&gt;&lt;D xsi:type="xsd:double"&gt;1970.067656&lt;/D&gt;&lt;D xsi:type="xsd:double"&gt;1970.431816&lt;/D&gt;&lt;D xsi:type="xsd:double"&gt;1970.886617&lt;/D&gt;&lt;D xsi:type="xsd:double"&gt;1964.804836&lt;/D&gt;&lt;D xsi:type="xsd:double"&gt;1959.520568&lt;/D&gt;&lt;D xsi:type="xsd:double"&gt;1981.884489&lt;/D&gt;&lt;D xsi:type="xsd:double"&gt;1980.927901&lt;/D&gt;&lt;D xsi:type="xsd:double"&gt;1966.701143&lt;/D&gt;&lt;D xsi:type="xsd:double"&gt;1951.107049&lt;/D&gt;&lt;D xsi:type="xsd:double"&gt;1943.409767&lt;/D&gt;&lt;D xsi:type="xsd:double"&gt;1928.736668&lt;/D&gt;&lt;D xsi:type="xsd:double"&gt;1955.227117&lt;/D&gt;&lt;D xsi:type="xsd:double"&gt;1934.716491&lt;/D&gt;&lt;D xsi:type="xsd:double"&gt;1945.193711&lt;/D&gt;&lt;D xsi:type="xsd:double"&gt;1947.281109&lt;/D&gt;&lt;D xsi:type="xsd:double"&gt;1947.358529&lt;/D&gt;&lt;D xsi:type="xsd:double"&gt;1974.292933&lt;/D&gt;&lt;D xsi:type="xsd:double"&gt;1958.398907&lt;/D&gt;&lt;D xsi:type="xsd:double"&gt;1966.177081&lt;/D&gt;&lt;D xsi:type="xsd:double"&gt;1956.971367&lt;/D&gt;&lt;D xsi:type="xsd:double"&gt;1978.43685&lt;/D&gt;&lt;D xsi:type="xsd:double"&gt;1992.674913&lt;/D&gt;&lt;D xsi:type="xsd:double"&gt;2008.717431&lt;/D&gt;&lt;D xsi:type="xsd:double"&gt;2012.736709&lt;/D&gt;&lt;D xsi:type="xsd:double"&gt;2012.627515&lt;/D&gt;&lt;D xsi:type="xsd:double"&gt;2016.04467&lt;/D&gt;&lt;D xsi:type="xsd:double"&gt;2003.959798&lt;/D&gt;&lt;D xsi:type="xsd:double"&gt;2013.366099&lt;/D&gt;&lt;D xsi:type="xsd:double"&gt;2008.36255&lt;/D&gt;&lt;D xsi:type="xsd:double"&gt;1993.686118&lt;/D&gt;&lt;D xsi:type="xsd:double"&gt;2002.293058&lt;/D&gt;&lt;D xsi:type="xsd:double"&gt;1985.921346&lt;/D&gt;&lt;D xsi:type="xsd:double"&gt;1980.355748&lt;/D&gt;&lt;D xsi:type="xsd:double"&gt;1977.46856&lt;/D&gt;&lt;D xsi:type="xsd:double"&gt;1974.335197&lt;/D&gt;&lt;D xsi:type="xsd:double"&gt;2006.104985&lt;/D&gt;&lt;D xsi:type="xsd:double"&gt;2015.410489&lt;/D&gt;&lt;D xsi:type="xsd:double"&gt;2021.62369&lt;/D&gt;&lt;D xsi:type="xsd:double"&gt;2045.80861&lt;/D&gt;&lt;D xsi:type="xsd:double"&gt;2040.236847&lt;/D&gt;&lt;D xsi:type="xsd:double"&gt;2038.75864&lt;/D&gt;&lt;D xsi:type="xsd:double"&gt;2042.605011&lt;/D&gt;&lt;D xsi:type="xsd:double"&gt;2034.268198&lt;/D&gt;&lt;D xsi:type="xsd:double"&gt;2039.280725&lt;/D&gt;&lt;D xsi:type="xsd:double"&gt;2057.15707&lt;/D&gt;&lt;D xsi:type="xsd:double"&gt;2049.385902&lt;/D&gt;&lt;D xsi:type="xsd:double"&gt;2033.933692&lt;/D&gt;&lt;D xsi:type="xsd:double"&gt;2028.542302&lt;/D&gt;&lt;D xsi:type="xsd:double"&gt;2021.592052&lt;/D&gt;&lt;D xsi:type="xsd:double"&gt;2025.57132&lt;/D&gt;&lt;D xsi:type="xsd:double"&gt;2019.013251&lt;/D&gt;&lt;D xsi:type="xsd:double"&gt;2013.297648&lt;/D&gt;&lt;D xsi:type="xsd:double"&gt;2019.459866&lt;/D&gt;&lt;D xsi:type="xsd:double"&gt;2015.915621&lt;/D&gt;&lt;D xsi:type="xsd:double"&gt;2029.636851&lt;/D&gt;&lt;D xsi:type="xsd:double"&gt;2028.994341&lt;/D&gt;&lt;D xsi:type="xsd:double"&gt;2022.566853&lt;/D&gt;&lt;D xsi:type="xsd:double"&gt;2015.857684&lt;/D&gt;&lt;D xsi:type="xsd:double"&gt;2031.60521&lt;/D&gt;&lt;D xsi:type="xsd:double"&gt;2029.730127&lt;/D&gt;&lt;D xsi:type="xsd:double"&gt;2035.670599&lt;/D&gt;&lt;D xsi:type="xsd:double"&gt;2049.131009&lt;/D&gt;&lt;D xsi:type="xsd:double"&gt;2050.915791&lt;/D&gt;&lt;D xsi:type="xsd:double"&gt;2036.122751&lt;/D&gt;&lt;D xsi:type="xsd:double"&gt;2029.049154&lt;/D&gt;&lt;D xsi:type="xsd:double"&gt;2027.303999&lt;/D&gt;&lt;D xsi:type="xsd:double"&gt;2022.820059&lt;/D&gt;&lt;D xsi:type="xsd:double"&gt;2026.536416&lt;/D&gt;&lt;D xsi:type="xsd:double"&gt;2028.70971&lt;/D&gt;&lt;D xsi:type="xsd:double"&gt;2009.045624&lt;/D&gt;&lt;D xsi:type="xsd:double"&gt;1998.059816&lt;/D&gt;&lt;D xsi:type="xsd:double"&gt;2000.418249&lt;/D&gt;&lt;D xsi:type="xsd:double"&gt;1974.694163&lt;/D&gt;&lt;D xsi:type="xsd:double"&gt;1978.290129&lt;/D&gt;&lt;D xsi:type="xsd:double"&gt;1989.216145&lt;/D&gt;&lt;D xsi:type="xsd:double"&gt;1988.258782&lt;/D&gt;&lt;D xsi:type="xsd:double"&gt;1985.651869&lt;/D&gt;&lt;D xsi:type="xsd:double"&gt;1994.866451&lt;/D&gt;&lt;D xsi:type="xsd:double"&gt;1975.586465&lt;/D&gt;&lt;D xsi:type="xsd:double"&gt;1975.170055&lt;/D&gt;&lt;D xsi:type="xsd:double"&gt;2000.49268&lt;/D&gt;&lt;D xsi:type="xsd:double"&gt;2011.314909&lt;/D&gt;&lt;D xsi:type="xsd:double"&gt;2010.666306&lt;/D&gt;&lt;D xsi:type="xsd:double"&gt;2013.949545&lt;/D&gt;&lt;D xsi:type="xsd:double"&gt;2027.294631&lt;/D&gt;&lt;D xsi:type="xsd:double"&gt;2031.15838&lt;/D&gt;&lt;D xsi:type="xsd:double"&gt;2030.870727&lt;/D&gt;&lt;D xsi:type="xsd:double"&gt;2037.942139&lt;/D&gt;&lt;D xsi:type="xsd:double"&gt;2041.306661&lt;/D&gt;&lt;D xsi:type="xsd:double"&gt;2026.426638&lt;/D&gt;&lt;D xsi:type="xsd:double"&gt;2020.888009&lt;/D&gt;&lt;D xsi:type="xsd:double"&gt;2011.728428&lt;/D&gt;&lt;D xsi:type="xsd:double"&gt;2015.380322&lt;/D&gt;&lt;D xsi:type="xsd:double"&gt;1997.653166&lt;/D&gt;&lt;D xsi:type="xsd:double"&gt;1990.953975&lt;/D&gt;&lt;D xsi:type="xsd:double"&gt;2007.519576&lt;/D&gt;&lt;D xsi:type="xsd:double"&gt;2035.270505&lt;/D&gt;&lt;D xsi:type="xsd:double"&gt;2055.73597&lt;/D&gt;&lt;D xsi:type="xsd:double"&gt;2062.133353&lt;/D&gt;&lt;D xsi:type="xsd:double"&gt;2051.701168&lt;/D&gt;&lt;D xsi:type="xsd:double"&gt;2042.969947&lt;/D&gt;&lt;D xsi:type="xsd:double"&gt;2047.702326&lt;/D&gt;&lt;D xsi:type="xsd:double"&gt;2050.24352&lt;/D&gt;&lt;D xsi:type="xsd:double"&gt;2060.603202&lt;/D&gt;&lt;D xsi:type="xsd:double"&gt;2044.838118&lt;/D&gt;&lt;D xsi:type="xsd:double"&gt;2020.968465&lt;/D&gt;&lt;D xsi:type="xsd:double"&gt;2001.545361&lt;/D&gt;&lt;D xsi:type="xsd:double"&gt;1998.667984&lt;/D&gt;&lt;D xsi:type="xsd:double"&gt;1979.184935&lt;/D&gt;&lt;D xsi:type="xsd:double"&gt;2007.247085&lt;/D&gt;&lt;D xsi:type="xsd:double"&gt;2029.290163&lt;/D&gt;&lt;D xsi:type="xsd:double"&gt;2010.095644&lt;/D&gt;&lt;D xsi:type="xsd:double"&gt;2071.359378&lt;/D&gt;&lt;D xsi:type="xsd:double"&gt;2108.884931&lt;/D&gt;&lt;D xsi:type="xsd:double"&gt;2140.974817&lt;/D&gt;&lt;D xsi:type="xsd:double"&gt;2140.968981&lt;/D&gt;&lt;D xsi:type="xsd:double"&gt;2144.535261&lt;/D&gt;&lt;D xsi:type="xsd:double"&gt;2158.130295&lt;/D&gt;&lt;D xsi:type="xsd:double"&gt;2171.73219&lt;/D&gt;&lt;D xsi:type="xsd:double"&gt;2173.951549&lt;/D&gt;&lt;D xsi:type="xsd:double"&gt;2171.014757&lt;/D&gt;&lt;D xsi:type="xsd:double"</t>
        </r>
      </text>
    </comment>
    <comment ref="A18" authorId="0" shapeId="0">
      <text>
        <r>
          <rPr>
            <b/>
            <sz val="9"/>
            <color indexed="81"/>
            <rFont val="Tahoma"/>
            <family val="2"/>
          </rPr>
          <t>&gt;2164.039414&lt;/D&gt;&lt;D xsi:type="xsd:double"&gt;2149.568621&lt;/D&gt;&lt;D xsi:type="xsd:double"&gt;2142.25856&lt;/D&gt;&lt;D xsi:type="xsd:double"&gt;2131.599208&lt;/D&gt;&lt;D xsi:type="xsd:double"&gt;2134.415115&lt;/D&gt;&lt;D xsi:type="xsd:double"&gt;2135.870151&lt;/D&gt;&lt;D xsi:type="xsd:double"&gt;2117.120016&lt;/D&gt;&lt;D xsi:type="xsd:double"&gt;2104.716198&lt;/D&gt;&lt;D xsi:type="xsd:double"&gt;2103.972061&lt;/D&gt;&lt;D xsi:type="xsd:double"&gt;2098.799217&lt;/D&gt;&lt;D xsi:type="xsd:double"&gt;2093.734104&lt;/D&gt;&lt;D xsi:type="xsd:double"&gt;2096.254233&lt;/D&gt;&lt;D xsi:type="xsd:double"&gt;2084.278983&lt;/D&gt;&lt;D xsi:type="xsd:double"&gt;2055.549938&lt;/D&gt;&lt;D xsi:type="xsd:double"&gt;2051.956841&lt;/D&gt;&lt;D xsi:type="xsd:double"&gt;2046.466912&lt;/D&gt;&lt;D xsi:type="xsd:double"&gt;2038.994559&lt;/D&gt;&lt;D xsi:type="xsd:double"&gt;2035.924111&lt;/D&gt;&lt;D xsi:type="xsd:double"&gt;2028.958104&lt;/D&gt;&lt;D xsi:type="xsd:double"&gt;2026.496865&lt;/D&gt;&lt;D xsi:type="xsd:double"&gt;2028.067074&lt;/D&gt;&lt;D xsi:type="xsd:double"&gt;2021.505772&lt;/D&gt;&lt;D xsi:type="xsd:double"&gt;2021.066506&lt;/D&gt;&lt;D xsi:type="xsd:double"&gt;2029.684611&lt;/D&gt;&lt;D xsi:type="xsd:double"&gt;2001.90541&lt;/D&gt;&lt;D xsi:type="xsd:double"&gt;2009.109381&lt;/D&gt;&lt;D xsi:type="xsd:double"&gt;2013.298262&lt;/D&gt;&lt;D xsi:type="xsd:double"&gt;2009.647748&lt;/D&gt;&lt;D xsi:type="xsd:double"&gt;2008.714764&lt;/D&gt;&lt;D xsi:type="xsd:double"&gt;1999.742805&lt;/D&gt;&lt;D xsi:type="xsd:double"&gt;1992.397571&lt;/D&gt;&lt;D xsi:type="xsd:double"&gt;1988.73882&lt;/D&gt;&lt;D xsi:type="xsd:double"&gt;2000.942667&lt;/D&gt;&lt;D xsi:type="xsd:double"&gt;2005.145222&lt;/D&gt;&lt;D xsi:type="xsd:double"&gt;1999.204299&lt;/D&gt;&lt;D xsi:type="xsd:double"&gt;2012.303798&lt;/D&gt;&lt;D xsi:type="xsd:double"&gt;2008.707374&lt;/D&gt;&lt;D xsi:type="xsd:double"&gt;2007.824216&lt;/D&gt;&lt;D xsi:type="xsd:double"&gt;2010.137158&lt;/D&gt;&lt;D xsi:type="xsd:double"&gt;2017.657196&lt;/D&gt;&lt;D xsi:type="xsd:double"&gt;2001.175625&lt;/D&gt;&lt;D xsi:type="xsd:double"&gt;1992.111198&lt;/D&gt;&lt;D xsi:type="xsd:double"&gt;1983.536574&lt;/D&gt;&lt;D xsi:type="xsd:double"&gt;1981.414574&lt;/D&gt;&lt;D xsi:type="xsd:double"&gt;1981.343216&lt;/D&gt;&lt;D xsi:type="xsd:double"&gt;1969.530387&lt;/D&gt;&lt;D xsi:type="xsd:double"&gt;1979.84378&lt;/D&gt;&lt;D xsi:type="xsd:double"&gt;1982.346941&lt;/D&gt;&lt;D xsi:type="xsd:double"&gt;1996.029866&lt;/D&gt;&lt;D xsi:type="xsd:double"&gt;1998.870598&lt;/D&gt;&lt;D xsi:type="xsd:double"&gt;2007.919604&lt;/D&gt;&lt;D xsi:type="xsd:double"&gt;2002.782867&lt;/D&gt;&lt;D xsi:type="xsd:double"&gt;2001.873968&lt;/D&gt;&lt;D xsi:type="xsd:double"&gt;2002.540444&lt;/D&gt;&lt;D xsi:type="xsd:double"&gt;2006.728409&lt;/D&gt;&lt;D xsi:type="xsd:double"&gt;2001.790788&lt;/D&gt;&lt;D xsi:type="xsd:double"&gt;1995.507768&lt;/D&gt;&lt;D xsi:type="xsd:double"&gt;1993.685303&lt;/D&gt;&lt;D xsi:type="xsd:double"&gt;1984.029569&lt;/D&gt;&lt;D xsi:type="xsd:double"&gt;1985.435531&lt;/D&gt;&lt;D xsi:type="xsd:double"&gt;1984.777545&lt;/D&gt;&lt;D xsi:type="xsd:double"&gt;1990.221934&lt;/D&gt;&lt;D xsi:type="xsd:double"&gt;1991.630161&lt;/D&gt;&lt;D xsi:type="xsd:double"&gt;1993.109477&lt;/D&gt;&lt;D xsi:type="xsd:double"&gt;2002.157356&lt;/D&gt;&lt;D xsi:type="xsd:double"&gt;1996.784196&lt;/D&gt;&lt;D xsi:type="xsd:double"&gt;1991.455899&lt;/D&gt;&lt;D xsi:type="xsd:double"&gt;1999.485532&lt;/D&gt;&lt;D xsi:type="xsd:double"&gt;1999.712182&lt;/D&gt;&lt;D xsi:type="xsd:double"&gt;1991.312236&lt;/D&gt;&lt;D xsi:type="xsd:double"&gt;1988.534326&lt;/D&gt;&lt;D xsi:type="xsd:double"&gt;1986.508276&lt;/D&gt;&lt;D xsi:type="xsd:double"&gt;1972.560229&lt;/D&gt;&lt;D xsi:type="xsd:double"&gt;1969.143129&lt;/D&gt;&lt;D xsi:type="xsd:double"&gt;1971.143596&lt;/D&gt;&lt;D xsi:type="xsd:double"&gt;1974.536055&lt;/D&gt;&lt;D xsi:type="xsd:double"&gt;1974.799438&lt;/D&gt;&lt;D xsi:type="xsd:double"&gt;1968.712957&lt;/D&gt;&lt;D xsi:type="xsd:double"&gt;1970.060663&lt;/D&gt;&lt;D xsi:type="xsd:double"&gt;1960.848908&lt;/D&gt;&lt;D xsi:type="xsd:double"&gt;1953.185174&lt;/D&gt;&lt;D xsi:type="xsd:double"&gt;1953.350929&lt;/D&gt;&lt;D xsi:type="xsd:double"&gt;1967.406576&lt;/D&gt;&lt;D xsi:type="xsd:double"&gt;1973.982926&lt;/D&gt;&lt;D xsi:type="xsd:double"&gt;1965.895882&lt;/D&gt;&lt;D xsi:type="xsd:double"&gt;1977.430619&lt;/D&gt;&lt;D xsi:type="xsd:double"&gt;1972.854359&lt;/D&gt;&lt;D xsi:type="xsd:double"&gt;1962.514031&lt;/D&gt;&lt;D xsi:type="xsd:double"&gt;1960.243376&lt;/D&gt;&lt;D xsi:type="xsd:double"&gt;1955.110949&lt;/D&gt;&lt;D xsi:type="xsd:double"&gt;1960.127226&lt;/D&gt;&lt;D xsi:type="xsd:double"&gt;1965.555895&lt;/D&gt;&lt;D xsi:type="xsd:double"&gt;1960.192921&lt;/D&gt;&lt;D xsi:type="xsd:double"&gt;1948.370813&lt;/D&gt;&lt;D xsi:type="xsd:double"&gt;1944.476246&lt;/D&gt;&lt;D xsi:type="xsd:double"&gt;1930.696866&lt;/D&gt;&lt;D xsi:type="xsd:double"&gt;1928.146913&lt;/D&gt;&lt;D xsi:type="xsd:double"&gt;1933.804979&lt;/D&gt;&lt;D xsi:type="xsd:double"&gt;1925.04556&lt;/D&gt;&lt;D xsi:type="xsd:double"&gt;1912.265832&lt;/D&gt;&lt;D xsi:type="xsd:double"&gt;1919.385721&lt;/D&gt;&lt;D xsi:type="xsd:double"&gt;1924.419004&lt;/D&gt;&lt;D xsi:type="xsd:double"&gt;1921.472598&lt;/D&gt;&lt;D xsi:type="xsd:double"&gt;1913.887171&lt;/D&gt;&lt;D xsi:type="xsd:double"&gt;1915.106721&lt;/D&gt;&lt;D xsi:type="xsd:double"&gt;1913.581366&lt;/D&gt;&lt;D xsi:type="xsd:double"&gt;1910.002568&lt;/D&gt;&lt;D xsi:type="xsd:double"&gt;1908.732028&lt;/D&gt;&lt;D xsi:type="xsd:double"&gt;1917.788389&lt;/D&gt;&lt;D xsi:type="xsd:double"&gt;1917.57312&lt;/D&gt;&lt;D xsi:type="xsd:double"&gt;1910.370787&lt;/D&gt;&lt;D xsi:type="xsd:double"&gt;1916.654594&lt;/D&gt;&lt;D xsi:type="xsd:double"&gt;1908.608785&lt;/D&gt;&lt;D xsi:type="xsd:double"&gt;1918.703394&lt;/D&gt;&lt;D xsi:type="xsd:double"&gt;1929.952654&lt;/D&gt;&lt;D xsi:type="xsd:double"&gt;1940.116591&lt;/D&gt;&lt;D xsi:type="xsd:double"&gt;1945.159978&lt;/D&gt;&lt;D xsi:type="xsd:double"&gt;1940.063365&lt;/D&gt;&lt;D xsi:type="xsd:double"&gt;1947.556483&lt;/D&gt;&lt;D xsi:type="xsd:double"&gt;1945.440188&lt;/D&gt;&lt;D xsi:type="xsd:double"&gt;1946.282771&lt;/D&gt;&lt;D xsi:type="xsd:double"&gt;1930.657734&lt;/D&gt;&lt;D xsi:type="xsd:double"&gt;1926.794014&lt;/D&gt;&lt;D xsi:type="xsd:double"&gt;1930.685828&lt;/D&gt;&lt;D xsi:type="xsd:double"&gt;1923.725575&lt;/D&gt;&lt;D xsi:type="xsd:double"&gt;1921.054248&lt;/D&gt;&lt;D xsi:type="xsd:double"&gt;1915.349298&lt;/D&gt;&lt;D xsi:type="xsd:double"&gt;1922.656584&lt;/D&gt;&lt;D xsi:type="xsd:double"&gt;1932.527134&lt;/D&gt;&lt;D xsi:type="xsd:double"&gt;1920.965533&lt;/D&gt;&lt;D xsi:type="xsd:double"&gt;1914.78856&lt;/D&gt;&lt;D xsi:type="xsd:double"&gt;1913.986116&lt;/D&gt;&lt;D xsi:type="xsd:double"&gt;1912.496566&lt;/D&gt;&lt;D xsi:type="xsd:double"&gt;1898.500726&lt;/D&gt;&lt;D xsi:type="xsd:double"&gt;1893.808909&lt;/D&gt;&lt;D xsi:type="xsd:double"&gt;1872.154116&lt;/D&gt;&lt;D xsi:type="xsd:double"&gt;1874.095575&lt;/D&gt;&lt;D xsi:type="xsd:double"&gt;1867.316895&lt;/D&gt;&lt;D xsi:type="xsd:double"&gt;1874.963654&lt;/D&gt;&lt;D xsi:type="xsd:double"&gt;1875.742302&lt;/D&gt;&lt;D xsi:type="xsd:double"&gt;1879.613722&lt;/D&gt;&lt;D xsi:type="xsd:double"&gt;1875.647105&lt;/D&gt;&lt;D xsi:type="xsd:double"&gt;1887.533239&lt;/D&gt;&lt;D xsi:type="xsd:double"&gt;1892.916369&lt;/D&gt;&lt;D xsi:type="xsd:double"&gt;1883.088619&lt;/D&gt;&lt;D xsi:type="xsd:double"&gt;1884.217073&lt;/D&gt;&lt;D xsi:type="xsd:double"&gt;1879.163959&lt;/D&gt;&lt;D xsi:type="xsd:double"&gt;1875.656489&lt;/D&gt;&lt;D xsi:type="xsd:double"&gt;1871.172258&lt;/D&gt;&lt;D xsi:type="xsd:double"&gt;1875.97971&lt;/D&gt;&lt;D xsi:type="xsd:double"&gt;1890.998035&lt;/D&gt;&lt;D xsi:type="xsd:double"&gt;1881.613348&lt;/D&gt;&lt;D xsi:type="xsd:double"&gt;1866.105337&lt;/D&gt;&lt;D xsi:type="xsd:double"&gt;1893.403271&lt;/D&gt;&lt;D xsi:type="xsd:double"&gt;1886.18526&lt;/D&gt;&lt;D xsi:type="xsd:double"&gt;1875.094872&lt;/D&gt;&lt;D xsi:type="xsd:double"&gt;1882.367061&lt;/D&gt;&lt;D xsi:type="xsd:double"&gt;1882.278424&lt;/D&gt;&lt;D xsi:type="xsd:double"&gt;1890.219686&lt;/D&gt;&lt;D xsi:type="xsd:double"&gt;1892.027084&lt;/D&gt;&lt;D xsi:type="xsd:double"&gt;1897.725253&lt;/D&gt;&lt;D xsi:type="xsd:double"&gt;1902.302196&lt;/D&gt;&lt;D xsi:type="xsd:double"&gt;1883.159523&lt;/D&gt;&lt;D xsi:type="xsd:double"&gt;1877.475273&lt;/D&gt;&lt;D xsi:type="xsd:double"&gt;1872.143357&lt;/D&gt;&lt;D xsi:type="xsd:double"&gt;1874.543522&lt;/D&gt;&lt;D xsi:type="xsd:double"&gt;1881.078169&lt;/D&gt;&lt;D xsi:type="xsd:double"&gt;1876.714648&lt;/D&gt;&lt;D xsi:type="xsd:double"&gt;1881.278716&lt;/D&gt;&lt;D xsi:type="xsd:double"&gt;1881.764018&lt;/D&gt;&lt;D xsi:type="xsd:double"&gt;1871.462184&lt;/D&gt;&lt;D xsi:type="xsd:double"&gt;1856.285632&lt;/D&gt;&lt;D xsi:type="xsd:double"&gt;1870.165287&lt;/D&gt;&lt;D xsi:type="xsd:double"&gt;1877.773874&lt;/D&gt;&lt;D xsi:type="xsd:double"&gt;1864.679638&lt;/D&gt;&lt;D xsi:type="xsd:double"&gt;1856.942123&lt;/D&gt;&lt;D xsi:type="xsd:double"&gt;1848.912918&lt;/D&gt;&lt;D xsi:type="xsd:double"&gt;1854.086995&lt;/D&gt;&lt;D xsi:type="xsd:double"&gt;1851.011491&lt;/D&gt;&lt;D xsi:type="xsd:double"&gt;1857.643004&lt;/D&gt;&lt;D xsi:type="xsd:double"&gt;1855.275969&lt;/D&gt;&lt;D xsi:type="xsd:double"&gt;1842.467318&lt;/D&gt;&lt;D xsi:type="xsd:double"&gt;1835.575517&lt;/D&gt;&lt;D xsi:type="xsd:double"&gt;1838.24818&lt;/D&gt;&lt;D xsi:type="xsd:double"&gt;1831.573539&lt;/D&gt;&lt;D xsi:type="xsd:double"&gt;1826.758292&lt;/D&gt;&lt;D xsi:type="xsd:double"&gt;1828.32525&lt;/D&gt;&lt;D xsi:type="xsd:double"&gt;1833.808288&lt;/D&gt;&lt;D xsi:type="xsd:double"&gt;1831.721518&lt;/D&gt;&lt;D xsi:type="xsd:double"&gt;1823.179961&lt;/D&gt;&lt;D xsi:type="xsd:double"&gt;1780.583859&lt;/D&gt;&lt;D xsi:type="xsd:double"&gt;1783.563153&lt;/D&gt;&lt;D xsi:type="xsd:double"&gt;1775.236066&lt;/D&gt;&lt;D xsi:type="xsd:double"&gt;1776.459418&lt;/D&gt;&lt;D xsi:type="xsd:double"&gt;1790.387725&lt;/D&gt;&lt;D xsi:type="xsd:double"&gt;1781.631965&lt;/D&gt;&lt;D xsi:type="xsd:double"&gt;1787.815119&lt;/D&gt;&lt;D xsi:type="xsd:double"&gt;1789.221504&lt;/D&gt;&lt;D xsi:type="xsd:double"&gt;1783.078713&lt;/D&gt;&lt;D xsi:type="xsd:double"&gt;1782.040004&lt;/D&gt;&lt;D xsi:type="xsd:double"&gt;1782.456003&lt;/D&gt;&lt;D xsi:type="xsd:double"&gt;1786.534722&lt;/D&gt;&lt;D xsi:type="xsd:double"&gt;1787.667069&lt;/D&gt;&lt;D xsi:type="xsd:double"&gt;1786.804273&lt;/D&gt;&lt;D xsi:type="xsd:double"&gt;1793.337892&lt;/D&gt;&lt;D xsi:type="xsd:double"&gt;1802.695599&lt;/D&gt;&lt;D xsi:type="xsd:double"&gt;1802.386546&lt;/D&gt;&lt;D xsi:type="xsd:double"&gt;1810.965434&lt;/D&gt;&lt;D xsi:type="xsd:double"&gt;1796.898344&lt;/D&gt;&lt;D xsi:type="xsd:double"&gt;1796.226247&lt;/D&gt;&lt;D xsi:type="xsd:double"&gt;1792.378571&lt;/D&gt;&lt;D xsi:type="xsd:double"&gt;1783.862094&lt;/D&gt;&lt;D xsi:type="xsd:double"&gt;1797.903744&lt;/D&gt;&lt;D xsi:type="xsd:double"&gt;1797.857711&lt;/D&gt;&lt;D xsi:type="xsd:double"&gt;1798.189455&lt;/D&gt;&lt;D xsi:type="xsd:double"&gt;1797.663455&lt;/D&gt;&lt;D xsi:type="xsd:double"&gt;1769.813729&lt;/D&gt;&lt;D xsi:type="xsd:double"&gt;1765.370893&lt;/D&gt;&lt;D xsi:type="xsd:double"&gt;1773.645069&lt;/D&gt;&lt;D xsi:type="xsd:double"&gt;1765.444084&lt;/D&gt;&lt;D xsi:type="xsd:double"&gt;1750.466208&lt;/D&gt;&lt;D xsi:type="xsd:double"&gt;1749.591827&lt;/D&gt;&lt;D xsi:type="xsd:double"&gt;1757.278887&lt;/D&gt;&lt;D xsi:type="xsd:double"&gt;1761.860818&lt;/D&gt;&lt;D xsi:type="xsd:double"&gt;1761.014375&lt;/D&gt;&lt;D xsi:type="xsd:double"&gt;1761.933982&lt;/D&gt;&lt;D xsi:type="xsd:double"&gt;1764.006154&lt;/D&gt;&lt;D xsi:type="xsd:double"&gt;1756.785989&lt;/D&gt;&lt;D xsi:type="xsd:double"&gt;1756.2419&lt;/D&gt;&lt;D xsi:type="xsd:double"&gt;1757.515348&lt;/D&gt;&lt;D xsi:type="xsd:double"&gt;1772.615252&lt;/D&gt;&lt;D xsi:type="xsd:double"&gt;1765.838133&lt;/D&gt;&lt;D xsi:type="xsd:double"&gt;1764.375218&lt;/D&gt;&lt;D xsi:type="xsd:double"&gt;1764.749813&lt;/D&gt;&lt;D xsi:type="xsd:double"&gt;1769.611422&lt;/D&gt;&lt;D xsi:type="xsd:double"&gt;1759.683988&lt;/D&gt;&lt;D xsi:type="xsd:double"&gt;1748.818502&lt;/D&gt;&lt;D xsi:type="xsd:double"&gt;1758.805263&lt;/D&gt;&lt;D xsi:type="xsd:double"&gt;1751.45067&lt;/D&gt;&lt;D xsi:type="xsd:double"&gt;1743.2159&lt;/D&gt;&lt;D xsi:type="xsd:double"&gt;1745.387196&lt;/D&gt;&lt;D xsi:type="xsd:double"&gt;1735.450694&lt;/D&gt;&lt;D xsi:type="xsd:double"&gt;1738.193793&lt;/D&gt;&lt;D xsi:type="xsd:double"&gt;1750.436214&lt;/D&gt;&lt;D xsi:type="xsd:double"&gt;1744.542176&lt;/D&gt;&lt;D xsi:type="xsd:double"&gt;1742.142985&lt;/D&gt;&lt;D xsi:type="xsd:double"&gt;1740.544677&lt;/D&gt;&lt;D xsi:type="xsd:double"&gt;1738.399244&lt;/D&gt;&lt;D xsi:type="xsd:double"&gt;1750.041634&lt;/D&gt;&lt;D xsi:type="xsd:double"&gt;1748.876996&lt;/D&gt;&lt;D xsi:type="xsd:double"&gt;1751.270704&lt;/D&gt;&lt;D xsi:type="xsd:double"&gt;1735.130188&lt;/D&gt;&lt;D xsi:type="xsd:double"&gt;1730.469353&lt;/D&gt;&lt;D xsi:type="xsd:double"&gt;1727.169785&lt;/D&gt;&lt;D xsi:type="xsd:double"&gt;1718.990791&lt;/D&gt;&lt;D xsi:type="xsd:double"&gt;1733.333612&lt;/D&gt;&lt;D xsi:type="xsd:double"&gt;1731.480596&lt;/D&gt;&lt;D xsi:type="xsd:double"&gt;1736.623014&lt;/D&gt;&lt;D xsi:type="xsd:double"&gt;1730.420763&lt;/D&gt;&lt;D xsi:type="xsd:double"&gt;1712.364091&lt;/D&gt;&lt;D xsi:type="xsd:double"&gt;1722.782199&lt;/D&gt;&lt;D xsi:type="xsd:double"&gt;1716.570165&lt;/D&gt;&lt;D xsi:type="xsd:double"&gt;1722.611927&lt;/D&gt;&lt;D xsi:type="xsd:double"&gt;1730.57161&lt;/D&gt;&lt;D xsi:type="xsd:double"&gt;1708.197267&lt;/D&gt;&lt;D xsi:type="xsd:double"&gt;1685.627565&lt;/D&gt;&lt;D xsi:type="xsd:double"&gt;1690.925351&lt;/D&gt;&lt;D xsi:type="xsd:double"&gt;1683.491022&lt;/D&gt;&lt;D xsi:type="xsd:double"&gt;1676.842792&lt;/D&gt;&lt;D xsi:type="xsd:double"&gt;1679.583315&lt;/D&gt;&lt;D xsi:type="xsd:double"&gt;1682.025609&lt;/D&gt;&lt;D xsi:type="xsd:double"&gt;1682.527666&lt;/D&gt;&lt;D xsi:type="xsd:double"&gt;1682.827953&lt;/D&gt;&lt;D xsi:type="xsd:double"&gt;1679.771023&lt;/D&gt;&lt;D xsi:type="xsd:double"&gt;1682.832499&lt;/D&gt;&lt;D xsi:type="xsd:double"&gt;1677.615074&lt;/D&gt;&lt;D xsi:type="xsd:double"&gt;1673.054409&lt;/D&gt;&lt;D xsi:type="xsd:double"&gt;1704.933985&lt;/D&gt;&lt;D xsi:type="xsd:double"&gt;1708.714847&lt;/D&gt;&lt;D xsi:type="xsd:double"&gt;1692.184138&lt;/D&gt;&lt;D xsi:type="xsd:double"&gt;1688.604323&lt;/D&gt;&lt;D xsi:type="xsd:double"&gt;1685.208831&lt;/D&gt;&lt;D xsi:type="xsd:double"&gt;1682.135243&lt;/D&gt;&lt;D xsi:type="xsd:double"&gt;1662.492606&lt;/D&gt;&lt;D xsi:type="xsd:double"&gt;1647.88689&lt;/D&gt;&lt;D xsi:type="xsd:double"&gt;1641.094043&lt;/D&gt;&lt;D xsi:type="xsd:double"&gt;1640.951964&lt;/D&gt;&lt;D xsi:type="xsd:double"&gt;1638.98502&lt;/D&gt;&lt;D xsi:type="xsd:double"&gt;1639.984879&lt;/D&gt;&lt;D xsi:type="xsd:double"&gt;1637.37646&lt;/D&gt;&lt;D xsi:type="xsd:double"&gt;1642.792433&lt;/D&gt;&lt;D xsi:type="xsd:double"&gt;1625.945246&lt;/D&gt;&lt;D xsi:type="xsd:double"&gt;1636.078296&lt;/D&gt;&lt;D xsi:type="xsd:double"&gt;1635.159192&lt;/D&gt;&lt;D xsi:type="xsd:double"&gt;1621.915415&lt;/D&gt;&lt;D xsi:type="xsd:double"&gt;1639.470265&lt;/D&gt;&lt;D xsi:type="xsd:double"&gt;1630.76337&lt;/D&gt;&lt;D xsi:type="xsd:double"&gt;1635.398206&lt;/D&gt;&lt;D xsi:type="xsd:double"&gt;1630.694687&lt;/D&gt;&lt;D xsi:type="xsd:double"&gt;1642.376673&lt;/D&gt;&lt;D xsi:type="xsd:double"&gt;1649.604311&lt;/D&gt;&lt;D xsi:type="xsd:double"&gt;1641.166665&lt;/D&gt;&lt;D xsi:type="xsd:double"&gt;1656.652663&lt;/D&gt;&lt;D xsi:type="xsd:double"&gt;1651.124508&lt;/D&gt;&lt;D xsi:type="xsd:double"&gt;1641.621672&lt;/D&gt;&lt;D xsi:type="xsd:double"&gt;1654.814328&lt;/D&gt;&lt;D xsi:type="xsd:double"&gt;1657.924658&lt;/D&gt;&lt;D xsi:type="xsd:double"&gt;1668.305409&lt;/D&gt;&lt;D xsi:type="xsd:double"&gt;1668.576478&lt;/D&gt;&lt;D xsi:type="xsd:double"&gt;1668.918281&lt;/D&gt;&lt;D xsi:type="xsd:double"&gt;1670.731122&lt;/D&gt;&lt;D xsi:type="xsd:double"&gt;1675.569127&lt;/D&gt;&lt;D xsi:type="xsd:double"&gt;1674.247617&lt;/D&gt;&lt;D xsi:type="xsd:double"&gt;1676.689465&lt;/D&gt;&lt;D xsi:type="xsd:double"&gt;1676.57942&lt;/D&gt;&lt;D xsi:type="xsd:double"&gt;1683.736262&lt;/D&gt;&lt;D xsi:type="xsd:double"&gt;1686.483523&lt;/D&gt;&lt;D xsi:type="xsd:double"&gt;1678.214801&lt;/D&gt;&lt;D xsi:type="xsd:double"&gt;1661.123465&lt;/D&gt;&lt;D xsi:type="xsd:double"&gt;1668.120366&lt;/D&gt;&lt;D xsi:type="xsd:double"&gt;1658.317399&lt;/D&gt;&lt;D xsi:type="xsd:double"&gt;1664.885932&lt;/D&gt;&lt;D xsi:type="xsd:double"&gt;1679.089844&lt;/D&gt;&lt;D xsi:type="xsd:double"&gt;1694.111397&lt;/D&gt;&lt;D xsi:type="xsd:double"&gt;1688.493272&lt;/D&gt;&lt;D xsi:type="xsd:double"&gt;1694.94267&lt;/D&gt;&lt;D xsi:type="xsd:double"&gt;1701.51117&lt;/D&gt;&lt;D xsi:type="xsd:double"&gt;1703.954003&lt;/D&gt;&lt;D xsi:type="xsd:double"&gt;1703.934897&lt;/D&gt;&lt;D xsi:type="xsd:double"&gt;1702.978475&lt;/D&gt;&lt;D xsi:type="xsd:double"&gt;1708.259778&lt;/D&gt;&lt;D xsi:type="xsd:double"&gt;1699.101644&lt;/D&gt;&lt;D xsi:type="xsd:double"&gt;1698.316348&lt;/D&gt;&lt;D xsi:type="xsd:double"&gt;1701.299456&lt;/D&gt;&lt;D xsi:type="xsd:double"&gt;1716.360077&lt;/D&gt;&lt;D xsi:type="xsd:double"&gt;1728.825237&lt;/D&gt;&lt;D xsi:type="xsd:double"&gt;1699.444562&lt;/D&gt;&lt;D xsi:type="xsd:double"&gt;1681.29237&lt;/D&gt;&lt;D xsi:type="xsd:double"&gt;1681.467032&lt;/D&gt;&lt;D xsi:type="xsd:double"&gt;1665.601755&lt;/D&gt;&lt;D xsi:type="xsd:double"&gt;1677.230772&lt;/D&gt;&lt;D xsi:type="xsd:double"&gt;1671.951609&lt;/D&gt;&lt;D xsi:type="xsd:double"&gt;1676.365084&lt;/D&gt;&lt;D xsi:type="xsd:double"&gt;1690.58708&lt;/D&gt;&lt;D xsi:type="xsd:double"&gt;1707.213053&lt;/D&gt;&lt;D xsi:type="xsd:double"&gt;1734.509503&lt;/D&gt;&lt;D xsi:type="xsd:double"&gt;1735.9785&lt;/D&gt;&lt;D xsi:type="xsd:double"&gt;1731.990256&lt;/D&gt;&lt;D xsi:type="xsd:double"&gt;1712.148821&lt;/D&gt;&lt;D xsi:type="xsd:double"&gt;1696.207638&lt;/D&gt;&lt;D xsi:type="xsd:double"&gt;1686.98747&lt;/D&gt;&lt;D xsi:type="xsd:double"&gt;1691.382711&lt;/D&gt;&lt;D xsi:type="xsd:double"&gt;1691.099109&lt;/D&gt;&lt;D xsi:type="xsd:double"&gt;1705.218954&lt;/D&gt;&lt;D xsi:type="xsd:double"&gt;1704.27848&lt;/D&gt;&lt;D xsi:type="xsd:double"&gt;1710.52142&lt;/D&gt;&lt;D xsi:type="xsd:double"&gt;1714.899824&lt;/D&gt;&lt;D xsi:type="xsd:double"&gt;1705.454059&lt;/D&gt;&lt;D xsi:type="xsd:double"&gt;1702.871193&lt;/D&gt;&lt;D xsi:type="xsd:double"&gt;1711.458102&lt;/D&gt;&lt;D xsi:type="xsd:double"&gt;1704.531359&lt;/D&gt;&lt;D xsi:type="xsd:double"&gt;1706.849237&lt;/D&gt;&lt;D xsi:type="xsd:double"&gt;1713.277568&lt;/D&gt;&lt;D xsi:type="xsd:double"&gt;1712.536696&lt;/D&gt;&lt;D xsi:type="xsd:double"&gt;1709.965989&lt;/D&gt;&lt;D xsi:type="xsd:double"&gt;1701.416891&lt;/D&gt;&lt;D xsi:type="xsd:double"&gt;1696.7088&lt;/D&gt;&lt;D xsi:type="xsd:double"&gt;1677.275938&lt;/D&gt;&lt;D xsi:type="xsd:double"&gt;1667.221101&lt;/D&gt;&lt;D xsi:type="xsd:double"&gt;1665.740098&lt;/D&gt;&lt;D xsi:type="xsd:double"&gt;1656.095728&lt;/D&gt;&lt;D xsi:type="xsd:double"&gt;1671.925755&lt;/D&gt;&lt;D xsi:type="xsd:double"&gt;1683.033896&lt;/D&gt;&lt;D xsi:type="xsd:double"&gt;1689.937578&lt;/D&gt;&lt;D xsi:type="xsd:double"&gt;1659.857172&lt;/D&gt;&lt;D xsi:type="xsd:double"&gt;1661.402491&lt;/D&gt;&lt;D xsi:type="xsd:double"&gt;1657.217488&lt;/D&gt;&lt;D xsi:type="xsd:double"&gt;1653.281279&lt;/D&gt;&lt;D xsi:type="xsd:double"&gt;1653.417741&lt;/D&gt;&lt;D xsi:type="xsd:double"&gt;1660.911645&lt;/D&gt;&lt;D xsi:type="xsd:double"&gt;1657.558897&lt;/D&gt;&lt;D xsi:type="xsd:double"&gt;1647.957966&lt;/D&gt;&lt;D xsi:type="xsd:double"&gt;1656.882557&lt;/D&gt;&lt;D xsi:type="xsd:double"&gt;1654.627721&lt;/D&gt;&lt;D xsi:type="xsd:double"&gt;1658.883221&lt;/D&gt;&lt;D xsi:type="xsd:double"&gt;1650.084261&lt;/D&gt;&lt;D xsi:type="xsd:double"&gt;1641.168729&lt;/D&gt;&lt;D xsi:type="xsd:double"&gt;1622.451987&lt;/D&gt;&lt;D xsi:type="xsd:double"&gt;1597.243973&lt;/D&gt;&lt;D xsi:type="xsd:double"&gt;1589.443146&lt;/D&gt;&lt;D xsi:type="xsd:double"&gt;1580.381943&lt;/D&gt;&lt;D xsi:type="xsd:double"&gt;1604.957668&lt;/D&gt;&lt;D xsi:type="xsd:double"&gt;1623.81928&lt;/D&gt;&lt;D xsi:type="xsd:double"&gt;1611.700289&lt;/D&gt;&lt;D xsi:type="xsd:double"&gt;1597.839146&lt;/D&gt;&lt;D xsi:type="xsd:double"&gt;1552.051653&lt;/D&gt;&lt;D xsi:type="xsd:double"&gt;1526.66605&lt;/D&gt;&lt;D xsi:type="xsd:double"&gt;1573.359984&lt;/D&gt;&lt;D xsi:type="xsd:double"&gt;1687.335816&lt;/D&gt;&lt;D xsi:type="xsd:double"&gt;1661.815861&lt;/D&gt;&lt;D xsi:type="xsd:double"&gt;1659.678377&lt;/D&gt;&lt;D xsi:type="xsd:double"&gt;1654.44214&lt;/D&gt;&lt;D xsi:type="xsd:double"&gt;1599.594903&lt;/D&gt;&lt;D xsi:type="xsd:double"&gt;1573.322609&lt;/D&gt;&lt;D xsi:type="xsd:double"&gt;1594.117455&lt;/D&gt;&lt;D xsi:type="xsd:double"&gt;1582.149865&lt;/D&gt;&lt;D xsi:type="xsd:double"&gt;1615.082157&lt;/D&gt;&lt;D xsi:type="xsd:double"&gt;1644.136386&lt;/D&gt;&lt;D xsi:type="xsd:double"&gt;1677.852972&lt;/D&gt;&lt;D xsi:type="xsd:double"&gt;1699.083212&lt;/D&gt;&lt;D xsi:type="xsd:double"&gt;1694.863526&lt;/D&gt;&lt;D xsi:type="xsd:double"&gt;1678.741767&lt;/D&gt;&lt;D xsi:type="xsd:double"&gt;1671.437649&lt;/D&gt;&lt;D xsi:type="xsd:double"&gt;1652.696003&lt;/D&gt;&lt;D xsi:type="xsd:double"&gt;1658.36733&lt;/D&gt;&lt;D xsi:type="xsd:double"&gt;1665.792375&lt;/D&gt;&lt;D xsi:type="xsd:double"&gt;1667.719795&lt;/D&gt;&lt;D xsi:type="xsd:double"&gt;1668.588045&lt;/D&gt;&lt;D xsi:type="xsd:double"&gt;1659.954859&lt;/D&gt;&lt;D xsi:type="xsd:double"&gt;1641.09027&lt;/D&gt;&lt;D xsi:type="xsd:double"&gt;1627.678976&lt;/D&gt;&lt;D xsi:type="xsd:double"&gt;1632.940304&lt;/D&gt;&lt;D xsi:type="xsd:double"&gt;1618.183498&lt;/D&gt;&lt;D xsi:type="xsd:double"&gt;1642.404399&lt;/D&gt;&lt;D xsi:type="xsd:double"&gt;1644.089795&lt;/D&gt;&lt;D xsi:type="xsd:double"&gt;1638.205709&lt;/D&gt;&lt;D xsi:type="xsd:double"&gt;1630.694906&lt;/D&gt;&lt;D xsi:type="xsd:double"&gt;1645.027416&lt;/D&gt;&lt;D xsi:type="xsd:double"&gt;1652.993484&lt;/D&gt;&lt;D xsi:type="xsd:double"&gt;1651.931682&lt;/D&gt;&lt;D xsi:type="xsd:double"&gt;1634.368507&lt;/D&gt;&lt;D xsi:type="xsd:double"&gt;1637.29439&lt;/D&gt;&lt;D xsi:type="xsd:double"&gt;1639.741137&lt;/D&gt;&lt;D xsi:type="xsd:double"&gt;1645.695493&lt;/D&gt;&lt;D xsi:type="xsd:double"&gt;1667.289952&lt;/D&gt;&lt;D xsi:type="xsd:double"&gt;1687.111859&lt;/D&gt;&lt;D xsi:type="xsd:double"&gt;1694.213114&lt;/D&gt;&lt;D xsi:type="xsd:double"&gt;1698.121017&lt;/D&gt;&lt;D xsi:type="xsd:double"&gt;1696.763659&lt;/D&gt;&lt;D xsi:type="xsd:double"&gt;1699.692321&lt;/D&gt;&lt;D xsi:type="xsd:double"&gt;1697.349023&lt;/D&gt;&lt;D xsi:type="xsd:double"&gt;1701.550785&lt;/D&gt;&lt;D xsi:type="xsd:double"&gt;1712.931163&lt;/D&gt;&lt;D xsi:type="xsd:double"&gt;1712.419244&lt;/D&gt;&lt;D xsi:type="xsd:double"&gt;1709.298391&lt;/D&gt;&lt;D xsi:type="xsd:double"&gt;1673.33023&lt;/D&gt;&lt;D xsi:type="xsd:double"&gt;1677.006647&lt;/D&gt;&lt;D xsi:type="xsd:double"&gt;1678.611912&lt;/D&gt;&lt;D xsi:type="xsd:double"&gt;1664.306309&lt;/D&gt;&lt;D xsi:type="xsd:double"&gt;1635.376362&lt;/D&gt;&lt;D xsi:type="xsd:double"&gt;1628.323327&lt;/D&gt;&lt;D xsi:type="xsd:double"&gt;1621.503152&lt;/D&gt;&lt;D xsi:type="xsd:double"&gt;1602.202402&lt;/D&gt;&lt;D xsi:type="xsd:double"&gt;1602.180366&lt;/D&gt;&lt;D xsi:type="xsd:double"&gt;1591.652868&lt;/D&gt;&lt;D xsi:type="xsd:double"&gt;1621.900789&lt;/D&gt;&lt;D xsi:type="xsd:double"&gt;1612.643712&lt;/D&gt;&lt;D xsi:type="xsd:double"&gt;1647.687143&lt;/D&gt;&lt;D xsi:type="xsd:double"&gt;1655.650718&lt;/D&gt;&lt;D xsi:type="xsd:double"&gt;1624.148288&lt;/D&gt;&lt;D xsi:type="xsd:double"&gt;1625.392488&lt;/D&gt;&lt;D xsi:type="xsd:double"&gt;1613.181264&lt;/D&gt;&lt;D xsi:type="xsd:double"&gt;1634.911517&lt;/D&gt;&lt;D xsi:type="xsd:double"&gt;1649.053603&lt;/D&gt;&lt;D xsi:type="xsd:double"&gt;1647.949534&lt;/D&gt;&lt;D xsi:type="xsd:double"&gt;1655.130702&lt;/D&gt;&lt;D xsi:type="xsd:double"&gt;1659.420316&lt;/D&gt;&lt;D xsi:type="xsd:double"&gt;1621.955197&lt;/D&gt;&lt;D xsi:type="xsd:double"&gt;1629.84458&lt;/D&gt;&lt;D xsi:type="xsd:double"&gt;1645.000289&lt;/D&gt;&lt;D xsi:type="xsd:double"&gt;1638.601513&lt;/D&gt;&lt;D xsi:type="xsd:double"&gt;1606.079128&lt;/D&gt;&lt;D xsi:type="xsd:double"&gt;1609.172762&lt;/D&gt;&lt;D xsi:type="xsd:double"&gt;1608.712016&lt;/D&gt;&lt;D xsi:type="xsd:double"&gt;1616.040907&lt;/D&gt;&lt;D xsi:type="xsd:double"&gt;1619.187687&lt;/D&gt;&lt;D xsi:type="xsd:double"&gt;1602.562781&lt;/D&gt;&lt;D xsi:type="xsd:double"&gt;1586.340916&lt;/D&gt;&lt;D xsi:type="xsd:double"&gt;1564.879531&lt;/D&gt;&lt;D xsi:type="xsd:double"&gt;1549.657151&lt;/D&gt;&lt;D xsi:type="xsd:double"&gt;1549.118718&lt;/D&gt;&lt;D xsi:type="xsd:double"&gt;1544.428295&lt;/D&gt;&lt;D xsi:type="xsd:double"&gt;1522.952377&lt;/D&gt;&lt;D xsi:type="xsd:double"&gt;1547.772017&lt;/D&gt;&lt;D xsi:type="xsd:double"&gt;1562.053787&lt;/D&gt;&lt;D xsi:type="xsd:double"&gt;1545.720344&lt;/D&gt;&lt;D xsi:type="xsd:double"&gt;1558.92397&lt;/D&gt;&lt;D xsi:type="xsd:double"&gt;1550.054223&lt;/D&gt;&lt;D xsi:type="xsd:double"&gt;1527.126645&lt;/D&gt;&lt;D xsi:type="xsd:double"&gt;1481.957015&lt;/D&gt;&lt;D xsi:type="xsd:double"&gt;1480.94726&lt;/D&gt;&lt;D xsi:type="xsd:double"&gt;1497.998721&lt;/D&gt;&lt;D xsi:type="xsd:double"&gt;1502.7087&lt;/D&gt;&lt;D xsi:type="xsd:double"&gt;1525.089824&lt;/D&gt;&lt;D xsi:type="xsd:double"&gt;1554.110066&lt;/D&gt;&lt;D xsi:type="xsd:double"&gt;1571.658448&lt;/D&gt;&lt;D xsi:type="xsd:double"&gt;1555.910709&lt;/D&gt;&lt;D xsi:type="xsd:double"&gt;1562.086562&lt;/D&gt;&lt;D xsi:type="xsd:double"&gt;1586.833031&lt;/D&gt;&lt;D xsi:type="xsd:double"&gt;1575.600804&lt;/D&gt;&lt;D xsi:type="xsd:double"&gt;1557.873464&lt;/D&gt;&lt;D xsi:type="xsd:double"&gt;1565.404924&lt;/D&gt;&lt;D xsi:type="xsd:double"&gt;1551.069183&lt;/D&gt;&lt;D xsi:type="xsd:double"&gt;1546.688021&lt;/D&gt;&lt;D xsi:type="xsd:double"&gt;1549.738016&lt;/D&gt;&lt;D xsi:type="xsd:double"&gt;1499.294967&lt;/D&gt;&lt;D xsi:type="xsd:double"&gt;1494.607891&lt;/D&gt;&lt;D xsi:type="xsd:double"&gt;1540.331658&lt;/D&gt;&lt;D xsi:type="xsd:double"&gt;1541.132375&lt;/D&gt;&lt;D xsi:type="xsd:double"&gt;1561.602743&lt;/D&gt;&lt;D xsi:type="xsd:double"&gt;1586.303277&lt;/D&gt;&lt;D xsi:type="xsd:double"&gt;1571.357994&lt;/D&gt;&lt;D xsi:type="xsd:double"&gt;1578.326672&lt;/D&gt;&lt;D xsi:type="xsd:double"&gt;1588.666847&lt;/D&gt;&lt;D xsi:type="xsd:double"&gt;1600.231254&lt;/D&gt;&lt;D xsi:type="xsd:double"&gt;1627.663308&lt;/D&gt;&lt;D xsi:type="xsd:double"&gt;1645.969628&lt;/D&gt;&lt;D xsi:type="xsd:double"&gt;1651.097586&lt;/D&gt;&lt;D xsi:type="xsd:double"&gt;1693.055084&lt;/D&gt;&lt;D xsi:type="xsd:double"&gt;1704.683767&lt;/D&gt;&lt;D xsi:type="xsd:double"&gt;1709.811275&lt;/D&gt;&lt;D xsi:type="xsd:double"&gt;1697.644818&lt;/D&gt;&lt;D xsi:type="xsd:double"&gt;1701.307505&lt;/D&gt;&lt;D xsi:type="xsd:double"&gt;1691.249846&lt;/D&gt;&lt;D xsi:type="xsd:double"&gt;1668.888519&lt;/D&gt;&lt;D xsi:type="xsd:double"&gt;1661.84977&lt;/D&gt;&lt;D xsi:type="xsd:double"&gt;1666.755656&lt;/D&gt;&lt;D xsi:type="xsd:double"&gt;1677.994191&lt;/D&gt;&lt;D xsi:type="xsd:double"&gt;1674.63907&lt;/D&gt;&lt;D xsi:type="xsd:double"&gt;1655.360332&lt;/D&gt;&lt;D xsi:type="xsd:double"&gt;1645.272585&lt;/D&gt;&lt;D xsi:type="xsd:double"&gt;1668.764656&lt;/D&gt;&lt;D xsi:type="xsd:double"&gt;1686.10747&lt;/D&gt;&lt;D xsi:type="xsd:double"&gt;1692.849301&lt;/D&gt;&lt;D xsi:type="xsd:double"&gt;1689.241373&lt;/D&gt;&lt;D xsi:type="xsd:double"&gt;1713.630189&lt;/D&gt;&lt;D xsi:type="xsd:double"&gt;1715.648227&lt;/D&gt;&lt;D xsi:type="xsd:double"&gt;1723.003114&lt;/D&gt;&lt;D xsi:type="xsd:double"&gt;1731.737343&lt;/D&gt;&lt;D xsi:type="xsd:double"&gt;1738.501099&lt;/D&gt;&lt;D xsi:type="xsd:double"&gt;1725.475637&lt;/D&gt;&lt;D xsi:type="xsd:double"&gt;1728.436055&lt;/D&gt;&lt;D xsi:type="xsd:double"&gt;1723.942796&lt;/D&gt;&lt;D xsi:type="xsd:double"&gt;1718.328504&lt;/D&gt;&lt;D xsi:type="xsd:double"&gt;1726.682512&lt;/D&gt;&lt;D xsi:type="xsd:double"&gt;1737.596981&lt;/D&gt;&lt;D xsi:type="xsd:double"&gt;1741.086617&lt;/D&gt;&lt;D xsi:type="xsd:double"&gt;1715.509921&lt;/D&gt;&lt;D xsi:type="xsd:double"&gt;1716.748122&lt;/D&gt;&lt;D xsi:type="xsd:double"&gt;1691.921841&lt;/D&gt;&lt;D xsi:type="xsd:double"&gt;1694.743831&lt;/D&gt;&lt;D xsi:type="xsd:double"&gt;1710.686554&lt;/D&gt;&lt;D xsi:type="xsd:double"&gt;1726.722792&lt;/D&gt;&lt;D xsi:type="xsd:double"&gt;1714.792105&lt;/D&gt;&lt;D xsi:type="xsd:double"&gt;1721.19332&lt;/D&gt;&lt;D xsi:type="xsd:double"&gt;1728.762057&lt;/D&gt;&lt;D xsi:type="xsd:double"&gt;1743.701414&lt;/D&gt;&lt;D xsi:type="xsd:double"&gt;1747.947224&lt;/D&gt;&lt;D xsi:type="xsd:double"&gt;1748.643866&lt;/D&gt;&lt;D xsi:type="xsd:double"&gt;1749.837497&lt;/D&gt;&lt;D xsi:type="xsd:double"&gt;1756.448541&lt;/D&gt;&lt;D xsi:type="xsd:double"&gt;1747.384747&lt;/D&gt;&lt;D xsi:type="xsd:double"&gt;1764.186735&lt;/D&gt;&lt;D xsi:type="xsd:double"&gt;1749.973201&lt;/D&gt;&lt;D xsi:type="xsd:double"&gt;1765.626164&lt;/D&gt;&lt;D xsi:type="xsd:double"&gt;1765.235081&lt;/D&gt;&lt;D xsi:type="xsd:double"&gt;1748.680433&lt;/D&gt;&lt;D xsi:type="xsd:double"&gt;1746.235616&lt;/D&gt;&lt;D xsi:type="xsd:double"&gt;1742.518885&lt;/D&gt;&lt;D xsi:type="xsd:double"&gt;1744.513513&lt;/D&gt;&lt;D xsi:type="xsd:double"&gt;1753.86545&lt;/D&gt;&lt;D xsi:type="xsd:double"&gt;1745.385357&lt;/D&gt;&lt;D xsi:type="xsd:double"&gt;1724.550139&lt;/D&gt;&lt;D xsi:type="xsd:double"&gt;1733.268859&lt;/D&gt;&lt;D xsi:type="xsd:double"&gt;1749.943461&lt;/D&gt;&lt;D xsi:type="xsd:double"&gt;1750.374751&lt;/D&gt;&lt;D xsi:type="xsd:double"&gt;1726.747945&lt;/D&gt;&lt;D xsi:type="xsd:double"&gt;1722.220571&lt;/D&gt;&lt;D xsi:type="xsd:double"&gt;1710.28085&lt;/D&gt;&lt;D xsi:type="xsd:double"&gt;1692.637194&lt;/D&gt;&lt;D xsi:type="xsd:double"&gt;1659.185413&lt;/D&gt;&lt;D xsi:type="xsd:double"&gt;1645.611527&lt;/D&gt;&lt;D xsi:type="xsd:double"&gt;1634.945173&lt;/D&gt;&lt;D xsi:type="xsd:double"&gt;1600.017447&lt;/D&gt;&lt;D xsi:type="xsd:double"&gt;1626.154256&lt;/D&gt;&lt;D xsi:type="xsd:double"&gt;1651.003664&lt;/D&gt;&lt;D xsi:type="xsd:double"&gt;1630.823314&lt;/D&gt;&lt;D xsi:type="xsd:double"&gt;1645.653833&lt;/D&gt;&lt;D xsi:type="xsd:double"&gt;1650.475599&lt;/D&gt;&lt;D xsi:type="xsd:double"&gt;1691.148892&lt;/D&gt;&lt;D xsi:type="xsd:double"&gt;1705.128896&lt;/D&gt;&lt;D xsi:type="xsd:double"&gt;1722.287261&lt;/D&gt;&lt;D xsi:type="xsd:double"&gt;1718.863092&lt;/D&gt;&lt;D xsi:type="xsd:double"&gt;1690.321697&lt;/D&gt;&lt;D xsi:type="xsd:double"&gt;1685.901577&lt;/D&gt;&lt;D xsi:type="xsd:double"&gt;1692.956385&lt;/D&gt;&lt;D xsi:type="xsd:double"&gt;1699.502974&lt;/D&gt;&lt;D xsi:type="xsd:double"&gt;1718.406383&lt;/D&gt;&lt;D xsi:type="xsd:double"&gt;1683.011791&lt;/D&gt;&lt;D xsi:type="xsd:double"&gt;1662.627235&lt;/D&gt;&lt;D xsi:type="xsd:double"&gt;1694.978818&lt;/D&gt;&lt;D xsi:type="xsd:double"&gt;1680.148595&lt;/D&gt;&lt;D xsi:type="xsd:double"&gt;1684.780213&lt;/D&gt;&lt;D xsi:type="xsd:double"&gt;1726.219386&lt;/D&gt;&lt;D xsi:type="xsd:double"&gt;1737.311666&lt;/D&gt;&lt;D xsi:type="xsd:double"&gt;1720.927911&lt;/D&gt;&lt;D xsi:type="xsd:double"&gt;1693.604943&lt;/D&gt;&lt;D xsi:type="xsd:double"&gt;1698.786078&lt;/D&gt;&lt;D xsi:type="xsd:double"&gt;1682.697511&lt;/D&gt;&lt;D xsi:type="xsd:double"&gt;1741.806309&lt;/D&gt;&lt;D xsi:type="xsd:double"&gt;1780.295358&lt;/D&gt;&lt;D xsi:type="xsd:double"&gt;1797.919082&lt;/D&gt;&lt;D xsi:type="xsd:double"&gt;1822.119498&lt;/D&gt;&lt;D xsi:type="xsd:double"&gt;1827.583862&lt;/D&gt;&lt;D xsi:type="xsd:double"&gt;1828.467429&lt;/D&gt;&lt;D xsi:type="xsd:double"&gt;1832.01845&lt;/D&gt;&lt;D xsi:type="xsd:double"&gt;1831.450273&lt;/D&gt;&lt;D xsi:type="xsd:double"&gt;1851.679498&lt;/D&gt;&lt;D xsi:type="xsd:double"&gt;1869.641268&lt;/D&gt;&lt;D xsi:type="xsd:double"&gt;1854.004886&lt;/D&gt;&lt;D xsi:type="xsd:double"&gt;1860.185984&lt;/D&gt;&lt;D xsi:type="xsd:double"&gt;1864.386937&lt;/D&gt;&lt;D xsi:type="xsd:double"&gt;1862.925624&lt;/D&gt;&lt;D xsi:type="xsd:double"&gt;1863.214027&lt;/D&gt;&lt;D xsi:type="xsd:double"&gt;1866.642236&lt;/D&gt;&lt;D xsi:type="xsd:double"&gt;1846.625322&lt;/D&gt;&lt;D xsi:type="xsd:double"&gt;1849.892153&lt;/D&gt;&lt;D xsi:type="xsd:double"&gt;1834.406217&lt;/D&gt;&lt;D xsi:type="xsd:double"&gt;1831.615731&lt;/D&gt;&lt;D xsi:type="xsd:double"&gt;1845.732017&lt;/D&gt;&lt;D xsi:type="xsd:double"&gt;1862.246536&lt;/D&gt;&lt;D xsi:type="xsd:double"&gt;1857.720118&lt;/D&gt;&lt;D xsi:type="xsd:double"&gt;1879.50955&lt;/D&gt;&lt;D xsi:type="xsd:double"&gt;1878.708209&lt;/D&gt;&lt;D xsi:type="xsd:double"&gt;1877.202598&lt;/D&gt;&lt;D xsi:type="xsd:double"&gt;1882.608379&lt;/D&gt;&lt;D xsi:type="xsd:double"&gt;1868.1186&lt;/D&gt;&lt;D xsi:type="xsd:double"&gt;1868.670397&lt;/D&gt;&lt;D xsi:type="xsd:double"&gt;1853.988986&lt;/D&gt;&lt;D xsi:type="xsd:double"&gt;1843.111465&lt;/D&gt;&lt;D xsi:type="xsd:double"&gt;1808.854207&lt;/D&gt;&lt;D xsi:type="xsd:double"&gt;1788.112379&lt;/D&gt;&lt;D xsi:type="xsd:double"&gt;1790.676559&lt;/D&gt;&lt;D xsi:type="xsd:double"&gt;1816.845102&lt;/D&gt;&lt;D xsi:type="xsd:double"&gt;1851.499341&lt;/D&gt;&lt;D xsi:type="xsd:double"&gt;1850.427827&lt;/D&gt;&lt;D xsi:type="xsd:double"&gt;1838.714665&lt;/D&gt;&lt;D xsi:type="xsd:double"&gt;1851.137302&lt;/D&gt;&lt;D xsi:type="xsd:double"&gt;1894.402184&lt;/D&gt;&lt;D xsi:type="xsd:double"&gt;1906.040656&lt;/D&gt;&lt;D xsi:type="xsd:double"&gt;1909.079907&lt;/D&gt;&lt;D xsi:type="xsd:double"&gt;1915.067459&lt;/D&gt;&lt;D xsi:type="xsd:double"&gt;1917.216622&lt;/D&gt;&lt;D xsi:type="xsd:double"&gt;1879.266778&lt;/D&gt;&lt;D xsi:type="xsd:double"&gt;1880.387281&lt;/D&gt;&lt;D xsi:type="xsd:double"&gt;1859.211176&lt;/D&gt;&lt;D xsi:type="xsd:double"&gt;1868.260851&lt;/D&gt;&lt;D xsi:type="xsd:double"&gt;1866.185509&lt;/D&gt;&lt;D xsi:type="xsd:double"&gt;1887.170043&lt;/D&gt;&lt;D xsi:type="xsd:double"&gt;1892.696927&lt;/D&gt;&lt;D xsi:type="xsd:double"&gt;1891.088755&lt;/D&gt;&lt;D xsi:type="xsd:double"&gt;1858.266874&lt;/D&gt;&lt;D xsi:type="xsd:double"&gt;1860.577554&lt;/D&gt;&lt;D xsi:type="xsd:double"&gt;1864.594015&lt;/D&gt;&lt;D xsi:type="xsd:double"&gt;1899.801048&lt;/D&gt;&lt;D xsi:type="xsd:double"&gt;1913.922889&lt;/D&gt;&lt;D xsi:type="xsd:double"&gt;1900.954164&lt;/D&gt;&lt;D xsi:type="xsd:double"&gt;1888.101379&lt;/D&gt;&lt;D xsi:type="xsd:double"&gt;1895.39387&lt;/D&gt;&lt;D xsi:type="xsd:double"&gt;1909.584709&lt;/D&gt;&lt;D xsi:type="xsd:double"&gt;1911.929328&lt;/D&gt;&lt;D xsi:type="xsd:double"&gt;1903.614694&lt;/D&gt;&lt;D xsi:type="xsd:double"&gt;1933.388267&lt;/D&gt;&lt;D xsi:type="xsd:double"&gt;1946.364657&lt;/D&gt;&lt;D xsi:type="xsd:double"&gt;1935.490555&lt;/D&gt;&lt;D xsi:type="xsd:double"&gt;1933.847537&lt;/D&gt;&lt;D xsi:type="xsd:double"&gt;1944.760652&lt;/D&gt;&lt;D xsi:type="xsd:double"&gt;1949.005311&lt;/D&gt;&lt;D xsi:type="xsd:double"&gt;1942.389695&lt;/D&gt;&lt;D xsi:type="xsd:double"&gt;1935.711814&lt;/D&gt;&lt;D xsi:type="xsd:double"&gt;1921.969708&lt;/D&gt;&lt;D xsi:type="xsd:double"&gt;1925.241024&lt;/D&gt;&lt;D xsi:type="xsd:double"&gt;1926.328188&lt;/D&gt;&lt;D xsi:type="xsd:double"&gt;1895.658298&lt;/D&gt;&lt;D xsi:type="xsd:double"&gt;1913.978638&lt;/D&gt;&lt;D xsi:type="xsd:double"&gt;1904.904309&lt;/D&gt;&lt;D xsi:type="xsd:double"&gt;1918.032663&lt;/D&gt;&lt;D xsi:type="xsd:double"&gt;1916.710905&lt;/D&gt;&lt;D xsi:type="xsd:double"&gt;1920.996765&lt;/D&gt;&lt;D xsi:type="xsd:double"&gt;1938.821042&lt;/D&gt;&lt;D xsi:type="xsd:double"&gt;1948.513409&lt;/D&gt;&lt;D xsi:type="xsd:double"&gt;1949.9132&lt;/D&gt;&lt;D xsi:type="xsd:double"&gt;1934.924586&lt;/D&gt;&lt;D xsi:type="xsd:double"&gt;1920.695466&lt;/D&gt;&lt;D xsi:type="xsd:double"&gt;1913.171087&lt;/D&gt;&lt;D xsi:type="xsd:double"&gt;1913.715117&lt;/D&gt;&lt;D xsi:type="xsd:double"&gt;1903.393458&lt;/D&gt;&lt;D xsi:type="xsd:double"&gt;1900.754347&lt;/D&gt;&lt;D xsi:type="xsd:double"&gt;1915.669486&lt;/D&gt;&lt;D xsi:type="xsd:double"&gt;1906.775176&lt;/D&gt;&lt;D xsi:type="xsd:double"&gt;1910.032711&lt;/D&gt;&lt;D xsi:type="xsd:double"&gt;1894.393711&lt;/D&gt;&lt;D xsi:type="xsd:double"&gt;1901.053789&lt;/D&gt;&lt;D xsi:type="xsd:double"&gt;1895.07415&lt;/D&gt;&lt;D xsi:type="xsd:double"&gt;1892.8918&lt;/D&gt;&lt;D xsi:type="xsd:double"&gt;1894.55668&lt;/D&gt;&lt;D xsi:type="xsd:double"&gt;1889.780971&lt;/D&gt;&lt;D xsi:type="xsd:double"&gt;1868.860477&lt;/D&gt;&lt;D xsi:type="xsd:double"&gt;1850.229146&lt;/D&gt;&lt;D xsi:type="xsd:double"&gt;1847.266714&lt;/D&gt;&lt;D xsi:type="xsd:double"&gt;1866.815883&lt;/D&gt;&lt;D xsi:type="xsd:double"&gt;1865.757419&lt;/D&gt;&lt;D xsi:type="xsd:double"&gt;1872.244798&lt;/D&gt;&lt;D xsi:type="xsd:double"&gt;1895.714532&lt;/D&gt;&lt;D xsi:type="xsd:double"&gt;1898.298711&lt;/D&gt;&lt;D xsi:type="xsd:double"&gt;1896.840598&lt;/D&gt;&lt;D xsi:type="xsd:double"&gt;1883.488734&lt;/D&gt;&lt;D xsi:type="xsd:double"&gt;1847.684662&lt;/D&gt;&lt;D xsi:type="xsd:double"&gt;1842.977666&lt;/D&gt;&lt;D xsi:type="xsd:double"&gt;1829.783822&lt;/D&gt;&lt;D xsi:type="xsd:double"&gt;1830.750958&lt;/D&gt;&lt;D xsi:type="xsd:double"&gt;1813.4356&lt;/D&gt;&lt;D xsi:type="xsd:double"&gt;1820.641161&lt;/D&gt;&lt;D xsi:type="xsd:double"&gt;1806.66072&lt;/D&gt;&lt;D xsi:type="xsd:double"&gt;1806.867337&lt;/D&gt;&lt;D xsi:type="xsd:double"&gt;1837.982123&lt;/D&gt;&lt;D xsi:type="xsd:double"&gt;1848.030509&lt;/D&gt;&lt;D xsi:type="xsd:double"&gt;1866.364028&lt;/D&gt;&lt;D xsi:type="xsd:double"&gt;1863.160382&lt;/D&gt;&lt;D xsi:type="xsd:double"&gt;1871.100815&lt;/D&gt;&lt;D xsi:type="xsd:double"&gt;1880.385181&lt;/D&gt;&lt;D xsi:type="xsd:double"&gt;1886.64412&lt;/D&gt;&lt;D xsi:type="xsd:double"&gt;1881.791498&lt;/D&gt;&lt;D xsi:type="xsd:double"&gt;1885.087083&lt;/D&gt;&lt;D xsi:type="xsd:double"&gt;1879.395459&lt;/D&gt;&lt;D xsi:type="xsd:double"&gt;1874.120214&lt;/D&gt;&lt;D xsi:type="xsd:double"&gt;1867.545681&lt;/D&gt;&lt;D xsi:type="xsd:double"&gt;1864.963822&lt;/D&gt;&lt;D xsi:type="xsd:double"&gt;1858.075703&lt;/D&gt;&lt;D xsi:type="xsd:double"&gt;1846.997434&lt;/D&gt;&lt;D xsi:type="xsd:double"&gt;1844.400329&lt;/D&gt;&lt;D xsi:type="xsd:double"&gt;1828.260335&lt;/D&gt;&lt;D xsi:type="xsd:double"&gt;1803.166548&lt;/D&gt;&lt;D xsi:type="xsd:double"&gt;1814.253459&lt;/D&gt;&lt;D xsi:type="xsd:double"&gt;1811.746492&lt;/D&gt;&lt;D xsi:type="xsd:double"&gt;1817.095251&lt;/D&gt;&lt;D xsi:type="xsd:double"&gt;1826.111653&lt;/D&gt;&lt;D xsi:type="xsd:double"&gt;1821.111515&lt;/D&gt;&lt;D xsi:type="xsd:double"&gt;1810.987785&lt;/D&gt;&lt;D xsi:type="xsd:double"&gt;1794.469138&lt;/D&gt;&lt;D xsi:type="xsd:double"&gt;1783.035327&lt;/D&gt;&lt;D xsi:type="xsd:double"&gt;1792.695686&lt;/D&gt;&lt;D xsi:type="xsd:double"&gt;1803.593895&lt;/D&gt;&lt;D xsi:type="xsd:double"&gt;1811.365157&lt;/D&gt;&lt;D xsi:type="xsd:double"&gt;1796.546626&lt;/D&gt;&lt;D xsi:type="xsd:double"&gt;1792.364725&lt;/D&gt;&lt;D xsi:type="xsd:double"&gt;1786.204499&lt;/D&gt;&lt;D xsi:type="xsd:double"&gt;1783.176239&lt;/D&gt;&lt;D xsi:type="xsd:double"&gt;1772.544964&lt;/D&gt;&lt;D xsi:type="xsd:double"&gt;1750.562579&lt;/D&gt;&lt;D xsi:type="xsd:double"&gt;1751.095756&lt;/D&gt;&lt;D xsi:type="xsd:double"&gt;1735.608858&lt;/D&gt;&lt;D xsi:type="xsd:double"&gt;1753.594543&lt;/D&gt;&lt;D xsi:type="xsd:double"&gt;1744.012653&lt;/D&gt;&lt;D xsi:type="xsd:double"&gt;1741.980621&lt;/D&gt;&lt;D xsi:type="xsd:double"&gt;1747.414664&lt;/D&gt;&lt;D xsi:type="xsd:double"&gt;1710.937321&lt;/D&gt;&lt;D xsi:type="xsd:double"&gt;1719.806657&lt;/D&gt;&lt;D xsi:type="xsd:double"&gt;1740.160437&lt;/D&gt;&lt;D xsi:type="xsd:double"&gt;1778.587458&lt;/D&gt;&lt;D xsi:type="xsd:double"&gt;1790.535076&lt;/D&gt;&lt;D xsi:type="xsd:double"&gt;1793.265857&lt;/D&gt;&lt;D xsi:type="xsd:double"&gt;1807.421608&lt;/D&gt;&lt;D xsi:type="xsd:double"&gt;1803.650515&lt;/D&gt;&lt;D xsi:type="xsd:double"&gt;1804.312172&lt;/D&gt;&lt;D xsi:type="xsd:double"&gt;1798.732945&lt;/D&gt;&lt;D xsi:type="xsd:double"&gt;1801.144507&lt;/D&gt;&lt;D xsi:type="xsd:double"&gt;1794.742222&lt;/D&gt;&lt;D xsi:type="xsd:double"&gt;1779.831738&lt;/D&gt;&lt;D xsi:type="xsd:double"&gt;1753.327464&lt;/D&gt;&lt;D xsi:type="xsd:double"&gt;1760.145223&lt;/D&gt;&lt;D xsi:type="xsd:double"&gt;1737.327969&lt;/D&gt;&lt;D xsi:type="xsd:double"&gt;1773.019209&lt;/D&gt;&lt;D xsi:type="xsd:double"&gt;1793.799595&lt;/D&gt;&lt;D xsi:type="xsd:double"&gt;1803.226423&lt;/D&gt;&lt;D xsi:type="xsd:double"&gt;1820.809006&lt;/D&gt;&lt;D xsi:type="xsd:double"&gt;1831.978802&lt;/D&gt;&lt;D xsi:type="xsd:double"&gt;1843.084007&lt;/D&gt;&lt;D xsi:type="xsd:double"&gt;1842.254437&lt;/D&gt;&lt;D xsi:type="xsd:double"&gt;1846.960652&lt;/D&gt;&lt;D xsi:type="xsd:double"&gt;1847.604855&lt;/D&gt;&lt;D xsi:type="xsd:double"&gt;1847.774682&lt;/D&gt;&lt;D xsi:type="xsd:double"&gt;1853.541727&lt;/D&gt;&lt;D xsi:type="xsd:double"&gt;1867.941092&lt;/D&gt;&lt;D xsi:type="xsd:double"&gt;1862.02688&lt;/D&gt;&lt;D xsi:type="xsd:double"&gt;1852.323637&lt;/D&gt;&lt;D xsi:type="xsd:double"&gt;1852.555311&lt;/D&gt;&lt;D xsi:type="xsd:double"&gt;1836.404511&lt;/D&gt;&lt;D xsi:type="xsd:double"&gt;1839.898066&lt;/D&gt;&lt;D xsi:type="xsd:double"&gt;1844.940503&lt;/D&gt;&lt;D xsi:type="xsd:double"&gt;1824.47385&lt;/D&gt;&lt;D xsi:type="xsd:double"&gt;1831.536246&lt;/D&gt;&lt;D xsi:type="xsd:double"&gt;1830.038036&lt;/D&gt;&lt;D xsi:type="xsd:double"&gt;1827.94331&lt;/D&gt;&lt;D xsi:type="xsd:double"&gt;1831.133245&lt;/D&gt;&lt;D xsi:type="xsd:double"&gt;1827.585245&lt;/D&gt;&lt;D xsi:type="xsd:double"&gt;1815.836432&lt;/D&gt;&lt;D xsi:type="xsd:double"&gt;1818.450766&lt;/D&gt;&lt;D xsi:type="xsd:double"&gt;1825.660813&lt;/D&gt;&lt;D xsi:type="xsd:double"&gt;1818.00075&lt;/D&gt;&lt;D xsi:type="xsd:double"&gt;1811.899348&lt;/D&gt;&lt;D xsi:type="xsd:double"&gt;1834.240354&lt;/D&gt;&lt;D xsi:type="xsd:double"&gt;1815.526898&lt;/D&gt;&lt;D xsi:type="xsd:double"&gt;1823.548435&lt;/D&gt;&lt;D xsi:type="xsd:double"&gt;1814.802405&lt;/D&gt;&lt;D xsi:type="xsd:double"&gt;1799.04219&lt;/D&gt;&lt;D xsi:type="xsd:double"&gt;1797.675859&lt;/D&gt;&lt;D xsi:type="xsd:double"&gt;1794.696893&lt;/D&gt;&lt;D xsi:type="xsd:double"&gt;1791.680628&lt;/D&gt;&lt;D xsi:type="xsd:double"&gt;1783.328121&lt;/D&gt;&lt;D xsi:type="xsd:double"&gt;1766.256579&lt;/D&gt;&lt;D xsi:type="xsd:doub</t>
        </r>
      </text>
    </comment>
    <comment ref="A19" authorId="0" shapeId="0">
      <text>
        <r>
          <rPr>
            <b/>
            <sz val="9"/>
            <color indexed="81"/>
            <rFont val="Tahoma"/>
            <family val="2"/>
          </rPr>
          <t>le"&gt;1755.993588&lt;/D&gt;&lt;D xsi:type="xsd:double"&gt;1732.372796&lt;/D&gt;&lt;D xsi:type="xsd:double"&gt;1740.410414&lt;/D&gt;&lt;D xsi:type="xsd:double"&gt;1762.310588&lt;/D&gt;&lt;D xsi:type="xsd:double"&gt;1773.194359&lt;/D&gt;&lt;D xsi:type="xsd:double"&gt;1767.251284&lt;/D&gt;&lt;D xsi:type="xsd:double"&gt;1805.203762&lt;/D&gt;&lt;D xsi:type="xsd:double"&gt;1807.14972&lt;/D&gt;&lt;D xsi:type="xsd:double"&gt;1817.202969&lt;/D&gt;&lt;D xsi:type="xsd:double"&gt;1827.53572&lt;/D&gt;&lt;D xsi:type="xsd:double"&gt;1812.622182&lt;/D&gt;&lt;D xsi:type="xsd:double"&gt;1820.574118&lt;/D&gt;&lt;D xsi:type="xsd:double"&gt;1848.849057&lt;/D&gt;&lt;D xsi:type="xsd:double"&gt;1865.118781&lt;/D&gt;&lt;D xsi:type="xsd:double"&gt;1867.296717&lt;/D&gt;&lt;D xsi:type="xsd:double"&gt;1875.490431&lt;/D&gt;&lt;D xsi:type="xsd:double"&gt;1884.230714&lt;/D&gt;&lt;D xsi:type="xsd:double"&gt;1896.891075&lt;/D&gt;&lt;D xsi:type="xsd:double"&gt;1897.247615&lt;/D&gt;&lt;D xsi:type="xsd:double"&gt;1908.896254&lt;/D&gt;&lt;D xsi:type="xsd:double"&gt;1923.025893&lt;/D&gt;&lt;D xsi:type="xsd:double"&gt;1927.723072&lt;/D&gt;&lt;D xsi:type="xsd:double"&gt;1920.432289&lt;/D&gt;&lt;D xsi:type="xsd:double"&gt;1916.412864&lt;/D&gt;&lt;D xsi:type="xsd:double"&gt;1920.075395&lt;/D&gt;&lt;D xsi:type="xsd:double"&gt;1923.466943&lt;/D&gt;&lt;D xsi:type="xsd:double"&gt;1927.374213&lt;/D&gt;&lt;D xsi:type="xsd:double"&gt;1926.871999&lt;/D&gt;&lt;D xsi:type="xsd:double"&gt;1929.091972&lt;/D&gt;&lt;D xsi:type="xsd:double"&gt;1940.841833&lt;/D&gt;&lt;D xsi:type="xsd:double"&gt;1949.559082&lt;/D&gt;&lt;D xsi:type="xsd:double"&gt;1956.800343&lt;/D&gt;&lt;D xsi:type="xsd:double"&gt;1961.141682&lt;/D&gt;&lt;D xsi:type="xsd:double"&gt;1947.16506&lt;/D&gt;&lt;D xsi:type="xsd:double"&gt;1949.698345&lt;/D&gt;&lt;D xsi:type="xsd:double"&gt;1947.134543&lt;/D&gt;&lt;D xsi:type="xsd:double"&gt;1959.037714&lt;/D&gt;&lt;D xsi:type="xsd:double"&gt;1955.561684&lt;/D&gt;&lt;D xsi:type="xsd:double"&gt;1948.509989&lt;/D&gt;&lt;D xsi:type="xsd:double"&gt;1936.529855&lt;/D&gt;&lt;D xsi:type="xsd:double"&gt;1946.915592&lt;/D&gt;&lt;D xsi:type="xsd:double"&gt;1938.547224&lt;/D&gt;&lt;D xsi:type="xsd:double"&gt;1942.378773&lt;/D&gt;&lt;D xsi:type="xsd:double"&gt;1935.367858&lt;/D&gt;&lt;D xsi:type="xsd:double"&gt;1922.66598&lt;/D&gt;&lt;D xsi:type="xsd:double"&gt;1926.623926&lt;/D&gt;&lt;D xsi:type="xsd:double"&gt;1919.289843&lt;/D&gt;&lt;D xsi:type="xsd:double"&gt;1911.822112&lt;/D&gt;&lt;D xsi:type="xsd:double"&gt;1913.152679&lt;/D&gt;&lt;D xsi:type="xsd:double"&gt;1892.309225&lt;/D&gt;&lt;D xsi:type="xsd:double"&gt;1904.145865&lt;/D&gt;&lt;D xsi:type="xsd:double"&gt;1912.290858&lt;/D&gt;&lt;D xsi:type="xsd:double"&gt;1924.709747&lt;/D&gt;&lt;D xsi:type="xsd:double"&gt;1932.096775&lt;/D&gt;&lt;D xsi:type="xsd:double"&gt;1937.872404&lt;/D&gt;&lt;D xsi:type="xsd:double"&gt;1952.986&lt;/D&gt;&lt;D xsi:type="xsd:double"&gt;1970.225145&lt;/D&gt;&lt;D xsi:type="xsd:double"&gt;1980.871481&lt;/D&gt;&lt;D xsi:type="xsd:double"&gt;1980.461278&lt;/D&gt;&lt;D xsi:type="xsd:double"&gt;1981.061321&lt;/D&gt;&lt;D xsi:type="xsd:double"&gt;1989.336331&lt;/D&gt;&lt;D xsi:type="xsd:double"&gt;1985.327746&lt;/D&gt;&lt;D xsi:type="xsd:double"&gt;1981.388916&lt;/D&gt;&lt;D xsi:type="xsd:double"&gt;1966.895482&lt;/D&gt;&lt;D xsi:type="xsd:double"&gt;1971.681583&lt;/D&gt;&lt;D xsi:type="xsd:double"&gt;1973.366838&lt;/D&gt;&lt;D xsi:type="xsd:double"&gt;1986.394651&lt;/D&gt;&lt;D xsi:type="xsd:double"&gt;1971.042908&lt;/D&gt;&lt;D xsi:type="xsd:double"&gt;1979.899519&lt;/D&gt;&lt;D xsi:type="xsd:double"&gt;1963.940085&lt;/D&gt;&lt;D xsi:type="xsd:double"&gt;1963.454189&lt;/D&gt;&lt;D xsi:type="xsd:double"&gt;1982.57362&lt;/D&gt;&lt;D xsi:type="xsd:double"&gt;1982.566415&lt;/D&gt;&lt;D xsi:type="xsd:double"&gt;1998.184837&lt;/D&gt;&lt;D xsi:type="xsd:double"&gt;2011.641359&lt;/D&gt;&lt;D xsi:type="xsd:double"&gt;2006.572373&lt;/D&gt;&lt;D xsi:type="xsd:double"&gt;2002.004835&lt;/D&gt;&lt;D xsi:type="xsd:double"&gt;1989.427817&lt;/D&gt;&lt;D xsi:type="xsd:double"&gt;1983.024619&lt;/D&gt;&lt;D xsi:type="xsd:double"&gt;1978.825612&lt;/D&gt;&lt;D xsi:type="xsd:double"&gt;1978.284946&lt;/D&gt;&lt;D xsi:type="xsd:double"&gt;1989.104502&lt;/D&gt;&lt;D xsi:type="xsd:double"&gt;1994.552515&lt;/D&gt;&lt;D xsi:type="xsd:double"&gt;1997.35884&lt;/D&gt;&lt;D xsi:type="xsd:double"&gt;2004.356789&lt;/D&gt;&lt;D xsi:type="xsd:double"&gt;1980.469842&lt;/D&gt;&lt;D xsi:type="xsd:double"&gt;1976.045261&lt;/D&gt;&lt;D xsi:type="xsd:double"&gt;1976.807432&lt;/D&gt;&lt;D xsi:type="xsd:double"&gt;1979.365433&lt;/D&gt;&lt;D xsi:type="xsd:double"&gt;1982.575296&lt;/D&gt;&lt;D xsi:type="xsd:double"&gt;1980.124967&lt;/D&gt;&lt;D xsi:type="xsd:double"&gt;1982.520193&lt;/D&gt;&lt;D xsi:type="xsd:double"&gt;1983.294539&lt;/D&gt;&lt;D xsi:type="xsd:double"&gt;1981.631913&lt;/D&gt;&lt;D xsi:type="xsd:double"&gt;1970.049738&lt;/D&gt;&lt;D xsi:type="xsd:double"&gt;1965.812217&lt;/D&gt;&lt;D xsi:type="xsd:double"&gt;1965.566021&lt;/D&gt;&lt;D xsi:type="xsd:double"&gt;1968.426439&lt;/D&gt;&lt;D xsi:type="xsd:double"&gt;1965.025361&lt;/D&gt;&lt;D xsi:type="xsd:double"&gt;1964.242256&lt;/D&gt;&lt;D xsi:type="xsd:double"&gt;1959.024183&lt;/D&gt;&lt;D xsi:type="xsd:double"&gt;1960.197634&lt;/D&gt;&lt;D xsi:type="xsd:double"&gt;1949.507795&lt;/D&gt;&lt;D xsi:type="xsd:double"&gt;1945.440784&lt;/D&gt;&lt;D xsi:type="xsd:double"&gt;1936.412101&lt;/D&gt;&lt;D xsi:type="xsd:double"&gt;1933.796981&lt;/D&gt;&lt;D xsi:type="xsd:double"&gt;1938.359496&lt;/D&gt;&lt;D xsi:type="xsd:double"&gt;1942.190211&lt;/D&gt;&lt;D xsi:type="xsd:double"&gt;1947.217865&lt;/D&gt;&lt;D xsi:type="xsd:double"&gt;1957.310072&lt;/D&gt;&lt;D xsi:type="xsd:double"&gt;1954.449648&lt;/D&gt;&lt;D xsi:type="xsd:double"&gt;1947.375604&lt;/D&gt;&lt;D xsi:type="xsd:double"&gt;1940.754824&lt;/D&gt;&lt;D xsi:type="xsd:double"&gt;1953.216298&lt;/D&gt;&lt;D xsi:type="xsd:double"&gt;1942.177538&lt;/D&gt;&lt;D xsi:type="xsd:double"&gt;1953.508681&lt;/D&gt;&lt;D xsi:type="xsd:double"&gt;1948.263656&lt;/D&gt;&lt;D xsi:type="xsd:double"&gt;1951.069934&lt;/D&gt;&lt;D xsi:type="xsd:double"&gt;1951.973756&lt;/D&gt;&lt;D xsi:type="xsd:double"&gt;1945.638382&lt;/D&gt;&lt;D xsi:type="xsd:double"&gt;1939.626262&lt;/D&gt;&lt;D xsi:type="xsd:double"&gt;1926.654835&lt;/D&gt;&lt;D xsi:type="xsd:double"&gt;1928.197693&lt;/D&gt;&lt;D xsi:type="xsd:double"&gt;1934.750154&lt;/D&gt;&lt;D xsi:type="xsd:double"&gt;1933.323196&lt;/D&gt;&lt;D xsi:type="xsd:double"&gt;1934.398894&lt;/D&gt;&lt;D xsi:type="xsd:double"&gt;1920.283695&lt;/D&gt;&lt;D xsi:type="xsd:double"&gt;1922.691624&lt;/D&gt;&lt;D xsi:type="xsd:double"&gt;1913.302147&lt;/D&gt;&lt;D xsi:type="xsd:double"&gt;1891.397053&lt;/D&gt;&lt;D xsi:type="xsd:double"&gt;1900.747364&lt;/D&gt;&lt;D xsi:type="xsd:double"&gt;1903.931638&lt;/D&gt;&lt;D xsi:type="xsd:double"&gt;1926.692748&lt;/D&gt;&lt;D xsi:type="xsd:double"&gt;1926.684096&lt;/D&gt;&lt;D xsi:type="xsd:double"&gt;1922.886242&lt;/D&gt;&lt;D xsi:type="xsd:double"&gt;1920.879421&lt;/D&gt;&lt;D xsi:type="xsd:double"&gt;1938.063637&lt;/D&gt;&lt;D xsi:type="xsd:double"&gt;1930.458945&lt;/D&gt;&lt;D xsi:type="xsd:double"&gt;1932.603236&lt;/D&gt;&lt;D xsi:type="xsd:double"&gt;1929.569715&lt;/D&gt;&lt;D xsi:type="xsd:double"&gt;1921.734019&lt;/D&gt;&lt;D xsi:type="xsd:double"&gt;1909.806794&lt;/D&gt;&lt;D xsi:type="xsd:double"&gt;1898.695328&lt;/D&gt;&lt;D xsi:type="xsd:double"&gt;1897.679598&lt;/D&gt;&lt;D xsi:type="xsd:double"&gt;1884.641026&lt;/D&gt;&lt;D xsi:type="xsd:double"&gt;1869.35973&lt;/D&gt;&lt;D xsi:type="xsd:double"&gt;1876.240166&lt;/D&gt;&lt;D xsi:type="xsd:double"&gt;1871.677507&lt;/D&gt;&lt;D xsi:type="xsd:double"&gt;1894.440257&lt;/D&gt;&lt;D xsi:type="xsd:double"&gt;1898.760133&lt;/D&gt;&lt;D xsi:type="xsd:double"&gt;1886.357372&lt;/D&gt;&lt;D xsi:type="xsd:double"&gt;1875.387794&lt;/D&gt;&lt;D xsi:type="xsd:double"&gt;1896.461986&lt;/D&gt;&lt;D xsi:type="xsd:double"&gt;1904.421903&lt;/D&gt;&lt;D xsi:type="xsd:double"&gt;1922.3116&lt;/D&gt;&lt;D xsi:type="xsd:double"&gt;1921.280654&lt;/D&gt;&lt;D xsi:type="xsd:double"&gt;1931.357062&lt;/D&gt;&lt;D xsi:type="xsd:double"&gt;1944.318471&lt;/D&gt;&lt;D xsi:type="xsd:double"&gt;1930.016928&lt;/D&gt;&lt;D xsi:type="xsd:double"&gt;1926.455732&lt;/D&gt;&lt;D xsi:type="xsd:double"&gt;1904.302518&lt;/D&gt;&lt;D xsi:type="xsd:double"&gt;1938.00413&lt;/D&gt;&lt;D xsi:type="xsd:double"&gt;1925.762779&lt;/D&gt;&lt;D xsi:type="xsd:double"&gt;1928.376189&lt;/D&gt;&lt;D xsi:type="xsd:double"&gt;1940.266811&lt;/D&gt;&lt;D xsi:type="xsd:double"&gt;1934.429612&lt;/D&gt;&lt;D xsi:type="xsd:double"&gt;1927.302285&lt;/D&gt;&lt;D xsi:type="xsd:double"&gt;1913.471405&lt;/D&gt;&lt;D xsi:type="xsd:double"&gt;1925.139662&lt;/D&gt;&lt;D xsi:type="xsd:double"&gt;1924.406841&lt;/D&gt;&lt;D xsi:type="xsd:double"&gt;1901.825074&lt;/D&gt;&lt;D xsi:type="xsd:double"&gt;1894.791662&lt;/D&gt;&lt;D xsi:type="xsd:double"&gt;1894.365048&lt;/D&gt;&lt;D xsi:type="xsd:double"&gt;1886.177823&lt;/D&gt;&lt;D xsi:type="xsd:double"&gt;1865.831967&lt;/D&gt;&lt;D xsi:type="xsd:double"&gt;1856.968235&lt;/D&gt;&lt;D xsi:type="xsd:double"&gt;1837.750316&lt;/D&gt;&lt;D xsi:type="xsd:double"&gt;1813.241981&lt;/D&gt;&lt;D xsi:type="xsd:double"&gt;1802.77456&lt;/D&gt;&lt;D xsi:type="xsd:double"&gt;1824.518203&lt;/D&gt;&lt;D xsi:type="xsd:double"&gt;1841.29883&lt;/D&gt;&lt;D xsi:type="xsd:double"&gt;1850.164709&lt;/D&gt;&lt;D xsi:type="xsd:double"&gt;1865.499382&lt;/D&gt;&lt;D xsi:type="xsd:double"&gt;1862.373539&lt;/D&gt;&lt;D xsi:type="xsd:double"&gt;1860.217185&lt;/D&gt;&lt;D xsi:type="xsd:double"&gt;1882.953903&lt;/D&gt;&lt;D xsi:type="xsd:double"&gt;1916.621725&lt;/D&gt;&lt;D xsi:type="xsd:double"&gt;1924.904174&lt;/D&gt;&lt;D xsi:type="xsd:double"&gt;1921.033634&lt;/D&gt;&lt;D xsi:type="xsd:double"&gt;1921.860473&lt;/D&gt;&lt;D xsi:type="xsd:double"&gt;1918.356008&lt;/D&gt;&lt;D xsi:type="xsd:double"&gt;1917.338397&lt;/D&gt;&lt;D xsi:type="xsd:double"&gt;1908.10629&lt;/D&gt;&lt;D xsi:type="xsd:double"&gt;1916.715203&lt;/D&gt;&lt;D xsi:type="xsd:double"&gt;1912.101475&lt;/D&gt;&lt;D xsi:type="xsd:double"&gt;1895.400433&lt;/D&gt;&lt;D xsi:type="xsd:double"&gt;1905.423501&lt;/D&gt;&lt;D xsi:type="xsd:double"&gt;1898.735746&lt;/D&gt;&lt;D xsi:type="xsd:double"&gt;1896.776129&lt;/D&gt;&lt;D xsi:type="xsd:double"&gt;1903.362808&lt;/D&gt;&lt;D xsi:type="xsd:double"&gt;1900.271379&lt;/D&gt;&lt;D xsi:type="xsd:double"&gt;1919.916847&lt;/D&gt;&lt;D xsi:type="xsd:double"&gt;1916.925814&lt;/D&gt;&lt;D xsi:type="xsd:double"&gt;1911.557371&lt;/D&gt;&lt;D xsi:type="xsd:double"&gt;1890.660421&lt;/D&gt;&lt;D xsi:type="xsd:double"&gt;1884.415757&lt;/D&gt;&lt;D xsi:type="xsd:double"&gt;1885.2391029999999&lt;/D&gt;&lt;D xsi:type="xsd:double"&gt;1870.142356&lt;/D&gt;&lt;D xsi:type="xsd:double"&gt;1860.907525&lt;/D&gt;&lt;D xsi:type="xsd:double"&gt;1847.082497&lt;/D&gt;&lt;D xsi:type="xsd:double"&gt;1829.951934&lt;/D&gt;&lt;D xsi:type="xsd:double"&gt;1837.606523&lt;/D&gt;&lt;D xsi:type="xsd:double"&gt;1824.846142&lt;/D&gt;&lt;D xsi:type="xsd:double"&gt;1828.111471&lt;/D&gt;&lt;D xsi:type="xsd:double"&gt;1849.475527&lt;/D&gt;&lt;D xsi:type="xsd:double"&gt;1859.616552&lt;/D&gt;&lt;D xsi:type="xsd:double"&gt;1861.660511&lt;/D&gt;&lt;D xsi:type="xsd:double"&gt;1853.255941&lt;/D&gt;&lt;D xsi:type="xsd:double"&gt;1842.29804&lt;/D&gt;&lt;D xsi:type="xsd:double"&gt;1848.122784&lt;/D&gt;&lt;D xsi:type="xsd:double"&gt;1867.409604&lt;/D&gt;&lt;D xsi:type="xsd:double"&gt;1880.845384&lt;/D&gt;&lt;D xsi:type="xsd:double"&gt;1893.167124&lt;/D&gt;&lt;D xsi:type="xsd:double"&gt;1882.314137&lt;/D&gt;&lt;D xsi:type="xsd:double"&gt;1880.555086&lt;/D&gt;&lt;D xsi:type="xsd:double"&gt;1885.989149&lt;/D&gt;&lt;D xsi:type="xsd:double"&gt;1881.427571&lt;/D&gt;&lt;D xsi:type="xsd:double"&gt;1875.024133&lt;/D&gt;&lt;D xsi:type="xsd:double"&gt;1880.781112&lt;/D&gt;&lt;D xsi:type="xsd:double"&gt;1885.702399&lt;/D&gt;&lt;D xsi:type="xsd:double"&gt;1896.548034&lt;/D&gt;&lt;D xsi:type="xsd:double"&gt;1883.232863&lt;/D&gt;&lt;D xsi:type="xsd:double"&gt;1870.835825&lt;/D&gt;&lt;D xsi:type="xsd:double"&gt;1852.589997&lt;/D&gt;&lt;D xsi:type="xsd:double"&gt;1863.39957&lt;/D&gt;&lt;D xsi:type="xsd:double"&gt;1864.192879&lt;/D&gt;&lt;D xsi:type="xsd:double"&gt;1854.2619&lt;/D&gt;&lt;D xsi:type="xsd:double"&gt;1862.908707&lt;/D&gt;&lt;D xsi:type="xsd:double"&gt;1881.850247&lt;/D&gt;&lt;D xsi:type="xsd:double"&gt;1869.279848&lt;/D&gt;&lt;D xsi:type="xsd:double"&gt;1874.251903&lt;/D&gt;&lt;D xsi:type="xsd:double"&gt;1866.79397&lt;/D&gt;&lt;D xsi:type="xsd:double"&gt;1885.382059&lt;/D&gt;&lt;D xsi:type="xsd:double"&gt;1900.297906&lt;/D&gt;&lt;D xsi:type="xsd:double"&gt;1895.365701&lt;/D&gt;&lt;D xsi:type="xsd:double"&gt;1896.343807&lt;/D&gt;&lt;D xsi:type="xsd:double"&gt;1892.808805&lt;/D&gt;&lt;D xsi:type="xsd:double"&gt;1901.462568&lt;/D&gt;&lt;D xsi:type="xsd:double"&gt;1892.898084&lt;/D&gt;&lt;D xsi:type="xsd:double"&gt;1905.240515&lt;/D&gt;&lt;D xsi:type="xsd:double"&gt;1888.924108&lt;/D&gt;&lt;D xsi:type="xsd:double"&gt;1884.903118&lt;/D&gt;&lt;D xsi:type="xsd:double"&gt;1870.259597&lt;/D&gt;&lt;D xsi:type="xsd:double"&gt;1843.819656&lt;/D&gt;&lt;D xsi:type="xsd:double"&gt;1842.321872&lt;/D&gt;&lt;D xsi:type="xsd:double"&gt;1839.23968&lt;/D&gt;&lt;D xsi:type="xsd:double"&gt;1834.199392&lt;/D&gt;&lt;D xsi:type="xsd:double"&gt;1818.559727&lt;/D&gt;&lt;D xsi:type="xsd:double"&gt;1797.296127&lt;/D&gt;&lt;D xsi:type="xsd:double"&gt;1806.406313&lt;/D&gt;&lt;D xsi:type="xsd:double"&gt;1813.041024&lt;/D&gt;&lt;D xsi:type="xsd:double"&gt;1823.25431&lt;/D&gt;&lt;D xsi:type="xsd:double"&gt;1826.3477&lt;/D&gt;&lt;D xsi:type="xsd:double"&gt;1828.008385&lt;/D&gt;&lt;D xsi:type="xsd:double"&gt;1832.762598&lt;/D&gt;&lt;D xsi:type="xsd:double"&gt;1825.327777&lt;/D&gt;&lt;D xsi:type="xsd:double"&gt;1841.805156&lt;/D&gt;&lt;D xsi:type="xsd:double"&gt;1837.87242&lt;/D&gt;&lt;D xsi:type="xsd:double"&gt;1838.129965&lt;/D&gt;&lt;D xsi:type="xsd:double"&gt;1837.463785&lt;/D&gt;&lt;D xsi:type="xsd:double"&gt;1838.494717&lt;/D&gt;&lt;D xsi:type="xsd:double"&gt;1842.157062&lt;/D&gt;&lt;D xsi:type="xsd:double"&gt;1851.78723&lt;/D&gt;&lt;D xsi:type="xsd:double"&gt;1818.859287&lt;/D&gt;&lt;D xsi:type="xsd:double"&gt;1808.243328&lt;/D&gt;&lt;D xsi:type="xsd:double"&gt;1816.078214&lt;/D&gt;&lt;D xsi:type="xsd:double"&gt;1794.716916&lt;/D&gt;&lt;D xsi:type="xsd:double"&gt;1798.295229&lt;/D&gt;&lt;D xsi:type="xsd:double"&gt;1798.330105&lt;/D&gt;&lt;D xsi:type="xsd:double"&gt;1788.389106&lt;/D&gt;&lt;D xsi:type="xsd:double"&gt;1770.026164&lt;/D&gt;&lt;D xsi:type="xsd:double"&gt;1756.523253&lt;/D&gt;&lt;D xsi:type="xsd:double"&gt;1744.810139&lt;/D&gt;&lt;D xsi:type="xsd:double"&gt;1744.285507&lt;/D&gt;&lt;D xsi:type="xsd:double"&gt;1734.613601&lt;/D&gt;&lt;D xsi:type="xsd:double"&gt;1709.130468&lt;/D&gt;&lt;D xsi:type="xsd:double"&gt;1723.595862&lt;/D&gt;&lt;D xsi:type="xsd:double"&gt;1725.572074&lt;/D&gt;&lt;D xsi:type="xsd:double"&gt;1742.489311&lt;/D&gt;&lt;D xsi:type="xsd:double"&gt;1760.338468&lt;/D&gt;&lt;D xsi:type="xsd:double"&gt;1763.073475&lt;/D&gt;&lt;D xsi:type="xsd:double"&gt;1744.746552&lt;/D&gt;&lt;D xsi:type="xsd:double"&gt;1741.878801&lt;/D&gt;&lt;D xsi:type="xsd:double"&gt;1758.044492&lt;/D&gt;&lt;D xsi:type="xsd:double"&gt;1768.730751&lt;/D&gt;&lt;D xsi:type="xsd:double"&gt;1775.407417&lt;/D&gt;&lt;D xsi:type="xsd:double"&gt;1766.892484&lt;/D&gt;&lt;D xsi:type="xsd:double"&gt;1784.870686&lt;/D&gt;&lt;D xsi:type="xsd:double"&gt;1774.077563&lt;/D&gt;&lt;D xsi:type="xsd:double"&gt;1771.323414&lt;/D&gt;&lt;D xsi:type="xsd:double"&gt;1776.095078&lt;/D&gt;&lt;D xsi:type="xsd:double"&gt;1771.422822&lt;/D&gt;&lt;D xsi:type="xsd:double"&gt;1757.975489&lt;/D&gt;&lt;D xsi:type="xsd:double"&gt;1772.299398&lt;/D&gt;&lt;D xsi:type="xsd:double"&gt;1765.83788&lt;/D&gt;&lt;D xsi:type="xsd:double"&gt;1771.606657&lt;/D&gt;&lt;D xsi:type="xsd:double"&gt;1752.340871&lt;/D&gt;&lt;D xsi:type="xsd:double"&gt;1735.944465&lt;/D&gt;&lt;D xsi:type="xsd:double"&gt;1741.843219&lt;/D&gt;&lt;D xsi:type="xsd:double"&gt;1739.856909&lt;/D&gt;&lt;D xsi:type="xsd:double"&gt;1751.046358&lt;/D&gt;&lt;D xsi:type="xsd:double"&gt;1756.442361&lt;/D&gt;&lt;D xsi:type="xsd:double"&gt;1765.337705&lt;/D&gt;&lt;D xsi:type="xsd:double"&gt;1760.928575&lt;/D&gt;&lt;D xsi:type="xsd:double"&gt;1759.33658&lt;/D&gt;&lt;D xsi:type="xsd:double"&gt;1745.580962&lt;/D&gt;&lt;D xsi:type="xsd:double"&gt;1742.671274&lt;/D&gt;&lt;D xsi:type="xsd:double"&gt;1733.452931&lt;/D&gt;&lt;D xsi:type="xsd:double"&gt;1732.118862&lt;/D&gt;&lt;D xsi:type="xsd:double"&gt;1725.175171&lt;/D&gt;&lt;D xsi:type="xsd:double"&gt;1721.692707&lt;/D&gt;&lt;D xsi:type="xsd:double"&gt;1723.992072&lt;/D&gt;&lt;D xsi:type="xsd:double"&gt;1692.495269&lt;/D&gt;&lt;D xsi:type="xsd:double"&gt;1680.856504&lt;/D&gt;&lt;D xsi:type="xsd:double"&gt;1667.937425&lt;/D&gt;&lt;D xsi:type="xsd:double"&gt;1656.823026&lt;/D&gt;&lt;D xsi:type="xsd:double"&gt;1655.289366&lt;/D&gt;&lt;D xsi:type="xsd:double"&gt;1668.050261&lt;/D&gt;&lt;D xsi:type="xsd:double"&gt;1665.374404&lt;/D&gt;&lt;D xsi:type="xsd:double"&gt;1649.12209&lt;/D&gt;&lt;D xsi:type="xsd:double"&gt;1647.221492&lt;/D&gt;&lt;D xsi:type="xsd:double"&gt;1633.547751&lt;/D&gt;&lt;D xsi:type="xsd:double"&gt;1619.729691&lt;/D&gt;&lt;D xsi:type="xsd:double"&gt;1609.123569&lt;/D&gt;&lt;D xsi:type="xsd:double"&gt;1636.647715&lt;/D&gt;&lt;D xsi:type="xsd:double"&gt;1647.996302&lt;/D&gt;&lt;D xsi:type="xsd:double"&gt;1726.649541&lt;/D&gt;&lt;D xsi:type="xsd:double"&gt;1719.068338&lt;/D&gt;&lt;D xsi:type="xsd:double"&gt;1719.434642&lt;/D&gt;&lt;D xsi:type="xsd:double"&gt;1701.208867&lt;/D&gt;&lt;D xsi:type="xsd:double"&gt;1690.89714&lt;/D&gt;&lt;D xsi:type="xsd:double"&gt;1703.666013&lt;/D&gt;&lt;D xsi:type="xsd:double"&gt;1701.357871&lt;/D&gt;&lt;D xsi:type="xsd:double"&gt;1704.868713&lt;/D&gt;&lt;D xsi:type="xsd:double"&gt;1696.83287&lt;/D&gt;&lt;D xsi:type="xsd:double"&gt;1683.527091&lt;/D&gt;&lt;D xsi:type="xsd:double"&gt;1690.969901&lt;/D&gt;&lt;D xsi:type="xsd:double"&gt;1720.485149&lt;/D&gt;&lt;D xsi:type="xsd:double"&gt;1707.264843&lt;/D&gt;&lt;D xsi:type="xsd:double"&gt;1716.394355&lt;/D&gt;&lt;D xsi:type="xsd:double"&gt;1737.493026&lt;/D&gt;&lt;D xsi:type="xsd:double"&gt;1739.202731&lt;/D&gt;&lt;D xsi:type="xsd:double"&gt;1743.773939&lt;/D&gt;&lt;D xsi:type="xsd:double"&gt;1745.118309&lt;/D&gt;&lt;D xsi:type="xsd:double"&gt;1745.466665&lt;/D&gt;&lt;D xsi:type="xsd:double"&gt;1789.075185&lt;/D&gt;&lt;D xsi:type="xsd:double"&gt;1790.721271&lt;/D&gt;&lt;D xsi:type="xsd:double"&gt;1788.678342&lt;/D&gt;&lt;D xsi:type="xsd:double"&gt;1773.076454&lt;/D&gt;&lt;D xsi:type="xsd:double"&gt;1781.366565&lt;/D&gt;&lt;D xsi:type="xsd:double"&gt;1778.140358&lt;/D&gt;&lt;D xsi:type="xsd:double"&gt;1775.934291&lt;/D&gt;&lt;D xsi:type="xsd:double"&gt;1774.622235&lt;/D&gt;&lt;D xsi:type="xsd:double"&gt;1770.419544&lt;/D&gt;&lt;D xsi:type="xsd:double"&gt;1779.0297&lt;/D&gt;&lt;D xsi:type="xsd:double"&gt;1791.679022&lt;/D&gt;&lt;D xsi:type="xsd:double"&gt;1770.645176&lt;/D&gt;&lt;D xsi:type="xsd:double"&gt;1755.060657&lt;/D&gt;&lt;D xsi:type="xsd:double"&gt;1760.433483&lt;/D&gt;&lt;D xsi:type="xsd:double"&gt;1748.246324&lt;/D&gt;&lt;D xsi:type="xsd:double"&gt;1758.844594&lt;/D&gt;&lt;D xsi:type="xsd:double"&gt;1764.429362&lt;/D&gt;&lt;D xsi:type="xsd:double"&gt;1750.453269&lt;/D&gt;&lt;D xsi:type="xsd:double"&gt;1737.553444&lt;/D&gt;&lt;D xsi:type="xsd:double"&gt;1737.553319&lt;/D&gt;&lt;D xsi:type="xsd:double"&gt;1723.980515&lt;/D&gt;&lt;D xsi:type="xsd:double"&gt;1706.598644&lt;/D&gt;&lt;D xsi:type="xsd:double"&gt;1684.235601&lt;/D&gt;&lt;D xsi:type="xsd:double"&gt;1681.055244&lt;/D&gt;&lt;D xsi:type="xsd:double"&gt;1677.079731&lt;/D&gt;&lt;D xsi:type="xsd:double"&gt;1681.927042&lt;/D&gt;&lt;D xsi:type="xsd:double"&gt;1700.003367&lt;/D&gt;&lt;D xsi:type="xsd:double"&gt;1708.319535&lt;/D&gt;&lt;D xsi:type="xsd:double"&gt;1726.6438&lt;/D&gt;&lt;D xsi:type="xsd:double"&gt;1737.110221&lt;/D&gt;&lt;D xsi:type="xsd:double"&gt;1717.993811&lt;/D&gt;&lt;D xsi:type="xsd:double"&gt;1692.543247&lt;/D&gt;&lt;D xsi:type="xsd:double"&gt;1682.424993&lt;/D&gt;&lt;D xsi:type="xsd:double"&gt;1675.898399&lt;/D&gt;&lt;D xsi:type="xsd:double"&gt;1675.837572&lt;/D&gt;&lt;D xsi:type="xsd:double"&gt;1692.435243&lt;/D&gt;&lt;D xsi:type="xsd:double"&gt;1696.629994&lt;/D&gt;&lt;D xsi:type="xsd:double"&gt;1687.133117&lt;/D&gt;&lt;D xsi:type="xsd:double"&gt;1695.005324&lt;/D&gt;&lt;D xsi:type="xsd:double"&gt;1688.595959&lt;/D&gt;&lt;D xsi:type="xsd:double"&gt;1697.479958&lt;/D&gt;&lt;D xsi:type="xsd:double"&gt;1697.552415&lt;/D&gt;&lt;D xsi:type="xsd:double"&gt;1705.240676&lt;/D&gt;&lt;D xsi:type="xsd:double"&gt;1704.484606&lt;/D&gt;&lt;D xsi:type="xsd:double"&gt;1708.020093&lt;/D&gt;&lt;D xsi:type="xsd:double"&gt;1701.904533&lt;/D&gt;&lt;D xsi:type="xsd:double"&gt;1707.758782&lt;/D&gt;&lt;D xsi:type="xsd:double"&gt;1731.491822&lt;/D&gt;&lt;D xsi:type="xsd:double"&gt;1717.212302&lt;/D&gt;&lt;D xsi:type="xsd:double"&gt;1701.754308&lt;/D&gt;&lt;D xsi:type="xsd:double"&gt;1713.018397&lt;/D&gt;&lt;D xsi:type="xsd:double"&gt;1712.332133&lt;/D&gt;&lt;D xsi:type="xsd:double"&gt;1702.715374&lt;/D&gt;&lt;D xsi:type="xsd:double"&gt;1701.550022&lt;/D&gt;&lt;D xsi:type="xsd:double"&gt;1698.612114&lt;/D&gt;&lt;D xsi:type="xsd:double"&gt;1695.61277&lt;/D&gt;&lt;D xsi:type="xsd:double"&gt;1674.846194&lt;/D&gt;&lt;D xsi:type="xsd:double"&gt;1675.427019&lt;/D&gt;&lt;D xsi:type="xsd:double"&gt;1688.35972&lt;/D&gt;&lt;D xsi:type="xsd:double"&gt;1672.144687&lt;/D&gt;&lt;D xsi:type="xsd:double"&gt;1661.907119&lt;/D&gt;&lt;D xsi:type="xsd:double"&gt;1686.641111&lt;/D&gt;&lt;D xsi:type="xsd:double"&gt;1679.984349&lt;/D&gt;&lt;D xsi:type="xsd:double"&gt;1671.350045&lt;/D&gt;&lt;D xsi:type="xsd:double"&gt;1704.716756&lt;/D&gt;&lt;D xsi:type="xsd:double"&gt;1705.514537&lt;/D&gt;&lt;D xsi:type="xsd:double"&gt;1686.003257&lt;/D&gt;&lt;D xsi:type="xsd:double"&gt;1695.743585&lt;/D&gt;&lt;D xsi:type="xsd:double"&gt;1702.714835&lt;/D&gt;&lt;D xsi:type="xsd:double"&gt;1703.964064&lt;/D&gt;&lt;D xsi:type="xsd:double"&gt;1685.851275&lt;/D&gt;&lt;D xsi:type="xsd:double"&gt;1696.621399&lt;/D&gt;&lt;D xsi:type="xsd:double"&gt;1686.008777&lt;/D&gt;&lt;D xsi:type="xsd:double"&gt;1698.761733&lt;/D&gt;&lt;D xsi:type="xsd:double"&gt;1691.73234&lt;/D&gt;&lt;D xsi:type="xsd:double"&gt;1697.331091&lt;/D&gt;&lt;D xsi:type="xsd:double"&gt;1719.187419&lt;/D&gt;&lt;D xsi:type="xsd:double"&gt;1708.831144&lt;/D&gt;&lt;D xsi:type="xsd:double"&gt;1714.609192&lt;/D&gt;&lt;D xsi:type="xsd:double"&gt;1710.438177&lt;/D&gt;&lt;D xsi:type="xsd:double"&gt;1699.602326&lt;/D&gt;&lt;D xsi:type="xsd:double"&gt;1702.564645&lt;/D&gt;&lt;D xsi:type="xsd:double"&gt;1689.354374&lt;/D&gt;&lt;D xsi:type="xsd:double"&gt;1681.940313&lt;/D&gt;&lt;D xsi:type="xsd:double"&gt;1686.049643&lt;/D&gt;&lt;D xsi:type="xsd:double"&gt;1680.536472&lt;/D&gt;&lt;D xsi:type="xsd:double"&gt;1681.777868&lt;/D&gt;&lt;D xsi:type="xsd:double"&gt;1673.790059&lt;/D&gt;&lt;D xsi:type="xsd:double"&gt;1683.447466&lt;/D&gt;&lt;D xsi:type="xsd:double"&gt;1679.234751&lt;/D&gt;&lt;D xsi:type="xsd:double"&gt;1681.992623&lt;/D&gt;&lt;D xsi:type="xsd:double"&gt;1673.339804&lt;/D&gt;&lt;D xsi:type="xsd:double"&gt;1657.883715&lt;/D&gt;&lt;D xsi:type="xsd:double"&gt;1651.032938&lt;/D&gt;&lt;D xsi:type="xsd:double"&gt;1657.305412&lt;/D&gt;&lt;D xsi:type="xsd:double"&gt;1659.74645&lt;/D&gt;&lt;D xsi:type="xsd:double"&gt;1654.362589&lt;/D&gt;&lt;D xsi:type="xsd:double"&gt;1658.614157&lt;/D&gt;&lt;D xsi:type="xsd:double"&gt;1630.094175&lt;/D&gt;&lt;D xsi:type="xsd:double"&gt;1630.163672&lt;/D&gt;&lt;D xsi:type="xsd:double"&gt;1635.016644&lt;/D&gt;&lt;D xsi:type="xsd:double"&gt;1632.177289&lt;/D&gt;&lt;D xsi:type="xsd:double"&gt;1629.256346&lt;/D&gt;&lt;D xsi:type="xsd:double"&gt;1631.977855&lt;/D&gt;&lt;D xsi:type="xsd:double"&gt;1642.576083&lt;/D&gt;&lt;D xsi:type="xsd:double"&gt;1644.836604&lt;/D&gt;&lt;D xsi:type="xsd:double"&gt;1629.22881&lt;/D&gt;&lt;D xsi:type="xsd:double"&gt;1617.509608&lt;/D&gt;&lt;D xsi:type="xsd:double"&gt;1613.317818&lt;/D&gt;&lt;D xsi:type="xsd:double"&gt;1611.419515&lt;/D&gt;&lt;D xsi:type="xsd:double"&gt;1611.820774&lt;/D&gt;&lt;D xsi:type="xsd:double"&gt;1606.108703&lt;/D&gt;&lt;D xsi:type="xsd:double"&gt;1597.07266&lt;/D&gt;&lt;D xsi:type="xsd:double"&gt;1594.715898&lt;/D&gt;&lt;D xsi:type="xsd:double"&gt;1595.83454&lt;/D&gt;&lt;D xsi:type="xsd:double"&gt;1592.262708&lt;/D&gt;&lt;D xsi:type="xsd:double"&gt;1591.781652&lt;/D&gt;&lt;D xsi:type="xsd:double"&gt;1589.468427&lt;/D&gt;&lt;D xsi:type="xsd:double"&gt;1583.972941&lt;/D&gt;&lt;D xsi:type="xsd:double"&gt;1582.584461&lt;/D&gt;&lt;D xsi:type="xsd:double"&gt;1562.71803&lt;/D&gt;&lt;D xsi:type="xsd:double"&gt;1565.115548&lt;/D&gt;&lt;D xsi:type="xsd:double"&gt;1564.564307&lt;/D&gt;&lt;D xsi:type="xsd:double"&gt;1566.675317&lt;/D&gt;&lt;D xsi:type="xsd:double"&gt;1536.746194&lt;/D&gt;&lt;D xsi:type="xsd:double"&gt;1533.094944&lt;/D&gt;&lt;D xsi:type="xsd:double"&gt;1533.287198&lt;/D&gt;&lt;D xsi:type="xsd:double"&gt;1496.553157&lt;/D&gt;&lt;D xsi:type="xsd:double"&gt;1506.786811&lt;/D&gt;&lt;D xsi:type="xsd:double"&gt;1512.038423&lt;/D&gt;&lt;D xsi:type="xsd:double"&gt;1525.618552&lt;/D&gt;&lt;D xsi:type="xsd:double"&gt;1524.794921&lt;/D&gt;&lt;D xsi:type="xsd:double"&gt;1529.363512&lt;/D&gt;&lt;D xsi:type="xsd:double"&gt;1534.150565&lt;/D&gt;&lt;D xsi:type="xsd:double"&gt;1544.373981&lt;/D&gt;&lt;D xsi:type="xsd:double"&gt;1559.206694&lt;/D&gt;&lt;D xsi:type="xsd:double"&gt;1552.624858&lt;/D&gt;&lt;D xsi:type="xsd:double"&gt;1562.381787&lt;/D&gt;&lt;D xsi:type="xsd:double"&gt;1564.424499&lt;/D&gt;&lt;D xsi:type="xsd:double"&gt;1554.517659&lt;/D&gt;&lt;D xsi:type="xsd:double"&gt;1552.101831&lt;/D&gt;&lt;D xsi:type="xsd:double"&gt;1556.960664&lt;/D&gt;&lt;D xsi:type="xsd:double"&gt;1551.823206&lt;/D&gt;&lt;D xsi:type="xsd:double"&gt;1549.707869&lt;/D&gt;&lt;D xsi:type="xsd:double"&gt;1577.484261&lt;/D&gt;&lt;D xsi:type="xsd:double"&gt;1581.76636&lt;/D&gt;&lt;D xsi:type="xsd:double"&gt;1595.763768&lt;/D&gt;&lt;D xsi:type="xsd:double"&gt;1591.920099&lt;/D&gt;&lt;D xsi:type="xsd:double"&gt;1573.162695&lt;/D&gt;&lt;D xsi:type="xsd:double"&gt;1549.165634&lt;/D&gt;&lt;D xsi:type="xsd:double"&gt;1546.113539&lt;/D&gt;&lt;D xsi:type="xsd:double"&gt;1547.916408&lt;/D&gt;&lt;D xsi:type="xsd:double"&gt;1539.23788&lt;/D&gt;&lt;D xsi:type="xsd:double"&gt;1549.299186&lt;/D&gt;&lt;D xsi:type="xsd:double"&gt;1564.236249&lt;/D&gt;&lt;D xsi:type="xsd:double"&gt;1579.095449&lt;/D&gt;&lt;D xsi:type="xsd:double"&gt;1564.006592&lt;/D&gt;&lt;D xsi:type="xsd:double"&gt;1551.127611&lt;/D&gt;&lt;D xsi:type="xsd:double"&gt;1559.089662&lt;/D&gt;&lt;D xsi:type="xsd:double"&gt;1559.221438&lt;/D&gt;&lt;D xsi:type="xsd:double"&gt;1544.967963&lt;/D&gt;&lt;D xsi:type="xsd:double"&gt;1559.471745&lt;/D&gt;&lt;D xsi:type="xsd:double"&gt;1549.427973&lt;/D&gt;&lt;D xsi:type="xsd:double"&gt;1584.80686&lt;/D&gt;&lt;D xsi:type="xsd:double"&gt;1576.834109&lt;/D&gt;&lt;D xsi:type="xsd:double"&gt;1588.522309&lt;/D&gt;&lt;D xsi:type="xsd:double"&gt;1579.430546&lt;/D&gt;&lt;D xsi:type="xsd:double"&gt;1595.769991&lt;/D&gt;&lt;D xsi:type="xsd:double"&gt;1586.917021&lt;/D&gt;&lt;D xsi:type="xsd:double"&gt;1597.527717&lt;/D&gt;&lt;D xsi:type="xsd:double"&gt;1604.664863&lt;/D&gt;&lt;D xsi:type="xsd:double"&gt;1566.172493&lt;/D&gt;&lt;D xsi:type="xsd:double"&gt;1562.354536&lt;/D&gt;&lt;D xsi:type="xsd:double"&gt;1553.460408&lt;/D&gt;&lt;D xsi:type="xsd:double"&gt;1545.036981&lt;/D&gt;&lt;D xsi:type="xsd:double"&gt;1548.530387&lt;/D&gt;&lt;D xsi:type="xsd:double"&gt;1519.117685&lt;/D&gt;&lt;D xsi:type="xsd:double"&gt;1492.646697&lt;/D&gt;&lt;D xsi:type="xsd:double"&gt;1494.538085&lt;/D&gt;&lt;D xsi:type="xsd:double"&gt;1504.510211&lt;/D&gt;&lt;D xsi:type="xsd:double"&gt;1495.086079&lt;/D&gt;&lt;D xsi:type="xsd:double"&gt;1510.134076&lt;/D&gt;&lt;D xsi:type="xsd:double"&gt;1514.304996&lt;/D&gt;&lt;D xsi:type="xsd:double"&gt;1519.106056&lt;/D&gt;&lt;D xsi:type="xsd:double"&gt;1516.338174&lt;/D&gt;&lt;D xsi:type="xsd:double"&gt;1526.040773&lt;/D&gt;&lt;D xsi:type="xsd:double"&gt;1518.528968&lt;/D&gt;&lt;D xsi:type="xsd:double"&gt;1533.269053&lt;/D&gt;&lt;D xsi:type="xsd:double"&gt;1517.712042&lt;/D&gt;&lt;D xsi:type="xsd:double"&gt;1518.79342&lt;/D&gt;&lt;D xsi:type="xsd:double"&gt;1515.464042&lt;/D&gt;&lt;D xsi:type="xsd:double"&gt;1500.542986&lt;/D&gt;&lt;D xsi:type="xsd:double"&gt;1504.851827&lt;/D&gt;&lt;D xsi:type="xsd:double"&gt;1501.504666&lt;/D&gt;&lt;D xsi:type="xsd:double"&gt;1504.403114&lt;/D&gt;&lt;D xsi:type="xsd:double"&gt;1507.00018&lt;/D&gt;&lt;D xsi:type="xsd:double"&gt;1503.467374&lt;/D&gt;&lt;D xsi:type="xsd:double"&gt;1505.320018&lt;/D&gt;&lt;D xsi:type="xsd:double"&gt;1492.760534&lt;/D&gt;&lt;D xsi:type="xsd:double"&gt;1475.996762&lt;/D&gt;&lt;D xsi:type="xsd:double"&gt;1445.371191&lt;/D&gt;&lt;D xsi:type="xsd:double"&gt;1466.330323&lt;/D&gt;&lt;D xsi:type="xsd:double"&gt;1467.19307&lt;/D&gt;&lt;D xsi:type="xsd:double"&gt;1467.830938&lt;/D&gt;&lt;D xsi:type="xsd:double"&gt;1456.888759&lt;/D&gt;&lt;D xsi:type="xsd:double"&gt;1432.922509&lt;/D&gt;&lt;D xsi:type="xsd:double"&gt;1393.863982&lt;/D&gt;&lt;D xsi:type="xsd:double"&gt;1396.473214&lt;/D&gt;&lt;D xsi:type="xsd:double"&gt;1404.429933&lt;/D&gt;&lt;D xsi:type="xsd:double"&gt;1438.476679&lt;/D&gt;&lt;D xsi:type="xsd:double"&gt;1463.177048&lt;/D&gt;&lt;D xsi:type="xsd:double"&gt;1445.631034&lt;/D&gt;&lt;D xsi:type="xsd:double"&gt;1431.595184&lt;/D&gt;&lt;D xsi:type="xsd:double"&gt;1434.632424&lt;/D&gt;&lt;D xsi:type="xsd:double"&gt;1431.057308&lt;/D&gt;&lt;D xsi:type="xsd:double"&gt;1412.191157&lt;/D&gt;&lt;D xsi:type="xsd:double"&gt;1433.017419&lt;/D&gt;&lt;D xsi:type="xsd:double"&gt;1432.380794&lt;/D&gt;&lt;D xsi:type="xsd:double"&gt;1431.964282&lt;/D&gt;&lt;D xsi:type="xsd:double"&gt;1442.280191&lt;/D&gt;&lt;D xsi:type="xsd:double"&gt;1459.186858&lt;/D&gt;&lt;D xsi:type="xsd:double"&gt;1474.63388&lt;/D&gt;&lt;D xsi:type="xsd:double"&gt;1458.050766&lt;/D&gt;&lt;D xsi:type="xsd:double"&gt;1450.255457&lt;/D&gt;&lt;D xsi:type="xsd:double"&gt;1400.672219&lt;/D&gt;&lt;D xsi:type="xsd:double"&gt;1401.245766&lt;/D&gt;&lt;D xsi:type="xsd:double"&gt;1386.764178&lt;/D&gt;&lt;D xsi:type="xsd:double"&gt;1389.434075&lt;/D&gt;&lt;D xsi:type="xsd:double"&gt;1407.16424&lt;/D&gt;&lt;D xsi:type="xsd:double"&gt;1422.169505&lt;/D&gt;&lt;D xsi:type="xsd:double"&gt;1441.695939&lt;/D&gt;&lt;D xsi:type="xsd:double"&gt;1432.325403&lt;/D&gt;&lt;D xsi:type="xsd:double"&gt;1409.981572&lt;/D&gt;&lt;D xsi:type="xsd:double"&gt;1404.93318&lt;/D&gt;&lt;D xsi:type="xsd:double"&gt;1390.216713&lt;/D&gt;&lt;D xsi:type="xsd:double"&gt;1392.755713&lt;/D&gt;&lt;D xsi:type="xsd:double"&gt;1384.963761&lt;/D&gt;&lt;D xsi:type="xsd:double"&gt;1384.146883&lt;/D&gt;&lt;D xsi:type="xsd:double"&gt;1374.649057&lt;/D&gt;&lt;D xsi:type="xsd:double"&gt;1392.907678&lt;/D&gt;&lt;D xsi:type="xsd:double"&gt;1373.647035&lt;/D&gt;&lt;D xsi:type="xsd:double"&gt;1346.172851&lt;/D&gt;&lt;D xsi:type="xsd:double"&gt;1337.999471&lt;/D&gt;&lt;D xsi:type="xsd:double"&gt;1342.338348&lt;/D&gt;&lt;D xsi:type="xsd:double"&gt;1363.978347&lt;/D&gt;&lt;D xsi:type="xsd:double"&gt;1369.23918&lt;/D&gt;&lt;D xsi:type="xsd:double"&gt;1396.417949&lt;/D&gt;&lt;D xsi:type="xsd:double"&gt;1381.569129&lt;/D&gt;&lt;D xsi:type="xsd:double"&gt;1385.661131&lt;/D&gt;&lt;D xsi:type="xsd:double"&gt;1377.348252&lt;/D&gt;&lt;D xsi:type="xsd:double"&gt;1412.46471&lt;/D&gt;&lt;D xsi:type="xsd:double"&gt;1391.458267&lt;/D&gt;&lt;D xsi:type="xsd:double"&gt;1385.172579&lt;/D&gt;&lt;D xsi:type="xsd:double"&gt;1406.115268&lt;/D&gt;&lt;D xsi:type="xsd:double"&gt;1413.647277&lt;/D&gt;&lt;D xsi:type="xsd:double"&gt;1430.092791&lt;/D&gt;&lt;D xsi:type="xsd:double"&gt;1446.754962&lt;/D&gt;&lt;D xsi:type="xsd:double"&gt;1473.86439&lt;/D&gt;&lt;D xsi:type="xsd:double"&gt;1475.03497&lt;/D&gt;&lt;D xsi:type="xsd:double"&gt;1468.684924&lt;/D&gt;&lt;D xsi:type="xsd:double"&gt;1482.177663&lt;/D&gt;&lt;D xsi:type="xsd:double"&gt;1501.388077&lt;/D&gt;&lt;D xsi:type="xsd:double"&gt;1512.614302&lt;/D&gt;&lt;D xsi:type="xsd:double"&gt;1534.001618&lt;/D&gt;&lt;D xsi:type="xsd:double"&gt;1537.40078&lt;/D&gt;&lt;D xsi:type="xsd:double"&gt;1547.243041&lt;/D&gt;&lt;D xsi:type="xsd:double"&gt;1549.290698&lt;/D&gt;&lt;D xsi:type="xsd:double"&gt;1554.369515&lt;/D&gt;&lt;D xsi:type="xsd:double"&gt;1544.921475&lt;/D&gt;&lt;D xsi:type="xsd:double"&gt;1536.489913&lt;/D&gt;&lt;D xsi:type="xsd:double"&gt;1525.610996&lt;/D&gt;&lt;D xsi:type="xsd:double"&gt;1512.088457&lt;/D&gt;&lt;D xsi:type="xsd:double"&gt;1542.182697&lt;/D&gt;&lt;D xsi:type="xsd:double"&gt;1533.989222&lt;/D&gt;&lt;D xsi:type="xsd:double"&gt;1539.667794&lt;/D&gt;&lt;D xsi:type="xsd:double"&gt;1541.086172&lt;/D&gt;&lt;D xsi:type="xsd:double"&gt;1516.082248&lt;/D&gt;&lt;D xsi:type="xsd:double"&gt;1518.278024&lt;/D&gt;&lt;D xsi:type="xsd:double"&gt;1537.609296&lt;/D&gt;&lt;D xsi:type="xsd:double"&gt;1516.302844&lt;/D&gt;&lt;D xsi:type="xsd:double"&gt;1510.671564&lt;/D&gt;&lt;D xsi:type="xsd:double"&gt;1533.70777&lt;/D&gt;&lt;D xsi:type="xsd:double"&gt;1539.343542&lt;/D&gt;&lt;D xsi:type="xsd:double"&gt;1542.745995&lt;/D&gt;&lt;D xsi:type="xsd:double"&gt;1588.54297&lt;/D&gt;&lt;D xsi:type="xsd:double"&gt;1600.562116&lt;/D&gt;&lt;D xsi:type="xsd:double"&gt;1582.65965&lt;/D&gt;&lt;D xsi:type="xsd:double"&gt;1572.475564&lt;/D&gt;&lt;D xsi:type="xsd:double"&gt;1587.979109&lt;/D&gt;&lt;D xsi:type="xsd:double"&gt;1604.02861&lt;/D&gt;&lt;D xsi:type="xsd:double"&gt;1601.345779&lt;/D&gt;&lt;D xsi:type="xsd:double"&gt;1586.860393&lt;/D&gt;&lt;D xsi:type="xsd:double"&gt;1582.467271&lt;/D&gt;&lt;D xsi:type="xsd:double"&gt;1590.237503&lt;/D&gt;&lt;D xsi:type="xsd:double"&gt;1598.398311&lt;/D&gt;&lt;D xsi:type="xsd:double"&gt;1615.526969&lt;/D&gt;&lt;D xsi:type="xsd:double"&gt;1610.389256&lt;/D&gt;&lt;D xsi:type="xsd:double"&gt;1595.730031&lt;/D&gt;&lt;D xsi:type="xsd:double"&gt;1583.87192&lt;/D&gt;&lt;D xsi:type="xsd:double"&gt;1588.690073&lt;/D&gt;&lt;D xsi:type="xsd:double"&gt;1571.361458&lt;/D&gt;&lt;D xsi:type="xsd:double"&gt;1576.909387&lt;/D&gt;&lt;D xsi:type="xsd:double"&gt;1579.238734&lt;/D&gt;&lt;D xsi:type="xsd:double"&gt;1546.0424&lt;/D&gt;&lt;D xsi:type="xsd:double"&gt;1544.612107&lt;/D&gt;&lt;D xsi:type="xsd:double"&gt;1585.746111&lt;/D&gt;&lt;D xsi:type="xsd:double"&gt;1595.169828&lt;/D&gt;&lt;D xsi:type="xsd:double"&gt;1604.943707&lt;/D&gt;&lt;D xsi:type="xsd:double"&gt;1601.262108&lt;/D&gt;&lt;D xsi:type="xsd:double"&gt;1604.05219&lt;/D&gt;&lt;D xsi:type="xsd:double"&gt;1597.156956&lt;/D&gt;&lt;D xsi:type="xsd:double"&gt;1605.567995&lt;/D&gt;&lt;D xsi:type="xsd:double"&gt;1592.440875&lt;/D&gt;&lt;D xsi:type="xsd:double"&gt;1586.373041&lt;/D&gt;&lt;D xsi:type="xsd:double"&gt;1595.412952&lt;/D&gt;&lt;D xsi:type="xsd:double"&gt;1579.197843&lt;/D&gt;&lt;D xsi:type="xsd:double"&gt;1562.312231&lt;/D&gt;&lt;D xsi:type="xsd:double"&gt;1567.361649&lt;/D&gt;&lt;D xsi:type="xsd:double"&gt;1556.779933&lt;/D&gt;&lt;D xsi:type="xsd:double"&gt;1569.047741&lt;/D&gt;&lt;D xsi:type="xsd:double"&gt;1556.038853&lt;/D&gt;&lt;D xsi:type="xsd:double"&gt;1581.365131&lt;/D&gt;&lt;D xsi:type="xsd:double"&gt;1576.63519&lt;/D&gt;&lt;D xsi:type="xsd:double"&gt;1572.61149&lt;/D&gt;&lt;D xsi:type="xsd:double"&gt;1563.453969&lt;/D&gt;&lt;D xsi:type="xsd:double"&gt;1563.76495&lt;/D&gt;&lt;D xsi:type="xsd:double"&gt;1552.919614&lt;/D&gt;&lt;D xsi:type="xsd:double"&gt;1549.133512&lt;/D&gt;&lt;D xsi:type="xsd:double"&gt;1521.750783&lt;/D&gt;&lt;D xsi:type="xsd:double"&gt;1516.009941&lt;/D&gt;&lt;D xsi:type="xsd:double"&gt;1530.342596&lt;/D&gt;&lt;D xsi:type="xsd:double"&gt;1539.889358&lt;/D&gt;&lt;D xsi:type="xsd:double"&gt;1511.511323&lt;/D&gt;&lt;D xsi:type="xsd:double"&gt;1510.416519&lt;/D&gt;&lt;D xsi:type="xsd:double"&gt;1523.285301&lt;/D&gt;&lt;D xsi:type="xsd:double"&gt;1505.983514&lt;/D&gt;&lt;D xsi:type="xsd:double"&gt;1500.010151&lt;/D&gt;&lt;D xsi:type="xsd:double"&gt;1480.377226&lt;/D&gt;&lt;D xsi:type="xsd:double"&gt;1471.789006&lt;/D&gt;&lt;D xsi:type="xsd:double"&gt;1450.349015&lt;/D&gt;&lt;D xsi:type="xsd:double"&gt;1458.5338&lt;/D&gt;&lt;D xsi:type="xsd:double"&gt;1454.849303&lt;/D&gt;&lt;D xsi:type="xsd:double"&gt;1464.079695&lt;/D&gt;&lt;D xsi:type="xsd:double"&gt;1440.054917&lt;/D&gt;&lt;D xsi:type="xsd:double"&gt;1441.757341&lt;/D&gt;&lt;D xsi:type="xsd:double"&gt;1451.793631&lt;/D&gt;&lt;D xsi:type="xsd:double"&gt;1474.154903&lt;/D&gt;&lt;D xsi:type="xsd:double"&gt;1480.968556&lt;/D&gt;&lt;D xsi:type="xsd:double"&gt;1445.065833&lt;/D&gt;&lt;D xsi:type="xsd:double"&gt;1425.489803&lt;/D&gt;&lt;D xsi:type="xsd:double"&gt;1417.812434&lt;/D&gt;&lt;D xsi:type="xsd:double"&gt;1437.554752&lt;/D&gt;&lt;D xsi:type="xsd:double"&gt;1434.327329&lt;/D&gt;&lt;D xsi:type="xsd:double"&gt;1425.997142&lt;/D&gt;&lt;D xsi:type="xsd:double"&gt;1415.227546&lt;/D&gt;&lt;D xsi:type="xsd:double"&gt;1417.520386&lt;/D&gt;&lt;D xsi:type="xsd:double"&gt;1389.703635&lt;/D&gt;&lt;D xsi:type="xsd:double"&gt;1400.009158&lt;/D&gt;&lt;D xsi:type="xsd:double"&gt;1396.273243&lt;/D&gt;&lt;D xsi:type="xsd:double"&gt;1391.583793&lt;/D&gt;&lt;D xsi:type="xsd:double"&gt;1425.848581&lt;/D&gt;&lt;D xsi:type="xsd:double"&gt;1436.265471&lt;/D&gt;&lt;D xsi:type="xsd:double"&gt;1459.809575&lt;/D&gt;&lt;D xsi:type="xsd:double"&gt;1453.642114&lt;/D&gt;&lt;D xsi:type="xsd:double"&gt;1477.85445&lt;/D&gt;&lt;D xsi:type="xsd:double"&gt;1471.294156&lt;/D&gt;&lt;D xsi:type="xsd:double"&gt;1487.309969&lt;/D&gt;&lt;D xsi:type="xsd:double"&gt;1473.332432&lt;/D&gt;&lt;D xsi:type="xsd:double"&gt;1465.038105&lt;/D&gt;&lt;D xsi:type="xsd:double"&gt;1462.498107&lt;/D&gt;&lt;D xsi:type="xsd:double"&gt;1412.6133&lt;/D&gt;&lt;D xsi:type="xsd:double"&gt;1397.017798&lt;/D&gt;&lt;D xsi:type="xsd:double"&gt;1351.167496&lt;/D&gt;&lt;D xsi:type="xsd:double"&gt;1360.357216&lt;/D&gt;&lt;D xsi:type="xsd:double"&gt;1389.557574&lt;/D&gt;&lt;D xsi:type="xsd:double"&gt;1392.936766&lt;/D&gt;&lt;D xsi:type="xsd:double"&gt;1432.611112&lt;/D&gt;&lt;D xsi:type="xsd:double"&gt;1445.011714&lt;/D&gt;&lt;D xsi:type="xsd:double"&gt;1460.081283&lt;/D&gt;&lt;D xsi:type="xsd:double"&gt;1465.15604&lt;/D&gt;&lt;D xsi:type="xsd:double"&gt;1481.672581&lt;/D&gt;&lt;D xsi:type="xsd:double"&gt;1494.708081&lt;/D&gt;&lt;D xsi:type="xsd:double"&gt;1457.146003&lt;/D&gt;&lt;D xsi:type="xsd:double"&gt;1474.387297&lt;/D&gt;&lt;D xsi:type="xsd:double"&gt;1504.82035&lt;/D&gt;&lt;D xsi:type="xsd:double"&gt;1495.80469&lt;/D&gt;&lt;D xsi:type="xsd:double"&gt;1500.65793&lt;/D&gt;&lt;D xsi:type="xsd:double"&gt;1501.067183&lt;/D&gt;&lt;D xsi:type="xsd:double"&gt;1485.648024&lt;/D&gt;&lt;D xsi:type="xsd:double"&gt;1472.956164&lt;/D&gt;&lt;D xsi:type="xsd:double"&gt;1538.102797&lt;/D&gt;&lt;D xsi:type="xsd:double"&gt;1593.097988&lt;/D&gt;&lt;D xsi:type="xsd:double"&gt;1585.15271&lt;/D&gt;&lt;D xsi:type="xsd:double"&gt;1509.099464&lt;/D&gt;&lt;D xsi:type="xsd:double"&gt;1513.457946&lt;/D&gt;&lt;D xsi:type="xsd:double"&gt;1522.590244&lt;/D&gt;&lt;D xsi:type="xsd:double"&gt;1498.859306&lt;/D&gt;&lt;D xsi:type="xsd:double"&gt;1457.658278&lt;/D&gt;&lt;D xsi:type="xsd:double"&gt;1485.154076&lt;/D&gt;&lt;D xsi:type="xsd:double"&gt;1471.635833&lt;/D&gt;&lt;D xsi:type="xsd:double"&gt;1488.222414&lt;/D&gt;&lt;D xsi:type="xsd:double"&gt;1495.174826&lt;/D&gt;&lt;D xsi:type="xsd:double"&gt;1477.871807&lt;/D&gt;&lt;D xsi:type="xsd:double"&gt;1490.795458&lt;/D&gt;&lt;D xsi:type="xsd:double"&gt;1463.160765&lt;/D&gt;&lt;D xsi:type="xsd:double"&gt;1456.9255&lt;/D&gt;&lt;D xsi:type="xsd:double"&gt;1428.884913&lt;/D&gt;&lt;D xsi:type="xsd:double"&gt;1410.517399&lt;/D&gt;&lt;D xsi:type="xsd:double"&gt;1366.395838&lt;/D&gt;&lt;D xsi:type="xsd:double"&gt;1336.522401&lt;/D&gt;&lt;D xsi:type="xsd:double"&gt;1369.266553&lt;/D&gt;&lt;D xsi:type="xsd:double"&gt;1402.613671&lt;/D&gt;&lt;D xsi:type="xsd:double"&gt;1431.75076&lt;/D&gt;&lt;D xsi:type="xsd:double"&gt;1423.873347&lt;/D&gt;&lt;D xsi:type="xsd:double"&gt;1437.955693&lt;/D&gt;&lt;D xsi:type="xsd:double"&gt;1374.843823&lt;/D&gt;&lt;D xsi:type="xsd:double"&gt;1370.171777&lt;/D&gt;&lt;D xsi:type="xsd:double"&gt;1364.528782&lt;/D&gt;&lt;D xsi:type="xsd:double"&gt;1439.619204&lt;/D&gt;&lt;D xsi:type="xsd:double"&gt;1458.629607&lt;/D&gt;&lt;D xsi:type="xsd:double"&gt;1441.422808&lt;/D&gt;&lt;D xsi:type="xsd:double"&gt;1476.891952&lt;/D&gt;&lt;D xsi:type="xsd:double"&gt;1468.378526&lt;/D&gt;&lt;D xsi:type="xsd:double"&gt;1431.122205&lt;/D&gt;&lt;D xsi:type="xsd:double"&gt;1424.777916&lt;/D&gt;&lt;D xsi:type="xsd:double"&gt;1407.766262&lt;/D&gt;&lt;D xsi:type="xsd:double"&gt;1448.92901&lt;/D&gt;&lt;D xsi:type="xsd:double"&gt;1498.639537&lt;/D&gt;&lt;D xsi:type="xsd:double"&gt;1492.349167&lt;/D&gt;&lt;D xsi:type="xsd:double"&gt;1454.095864&lt;/D&gt;&lt;D xsi:type="xsd:double"&gt;1529.520797&lt;/D&gt;&lt;D xsi:type="xsd:double"&gt;1562.43356&lt;/D&gt;&lt;D xsi:type="xsd:double"&gt;1564.715268&lt;/D&gt;&lt;D xsi:type="xsd:double"&gt;1533.238622&lt;/D&gt;&lt;D xsi:type="xsd:double"&gt;1523.569324&lt;/D&gt;&lt;D xsi:type="xsd:double"&gt;1494.604746&lt;/D&gt;&lt;D xsi:type="xsd:double"&gt;1496.340574&lt;/D&gt;&lt;D xsi:type="xsd:double"&gt;1508.390438&lt;/D&gt;&lt;D xsi:type="xsd:double"&gt;1499.896824&lt;/D&gt;&lt;D xsi:type="xsd:double"&gt;1481.310944&lt;/D&gt;&lt;D xsi:type="xsd:double"&gt;1482.36904&lt;/D&gt;&lt;D xsi:type="xsd:double"&gt;1501.825588&lt;/D&gt;&lt;D xsi:type="xsd:double"&gt;1568.524191&lt;/D&gt;&lt;D xsi:type="xsd:double"&gt;1559.608367&lt;/D&gt;&lt;D xsi:type="xsd:double"&gt;1565.545355&lt;/D&gt;&lt;D xsi:type="xsd:double"&gt;1536.807846&lt;/D&gt;&lt;D xsi:type="xsd:double"&gt;1507.979206&lt;/D&gt;&lt;D xsi:type="xsd:double"&gt;1481.292564&lt;/D&gt;&lt;D xsi:type="xsd:double"&gt;1505.831068&lt;/D&gt;&lt;D xsi:type="xsd:double"&gt;1492.209678&lt;/D&gt;&lt;D xsi:type="xsd:double"&gt;1546.564416&lt;/D&gt;&lt;D xsi:type="xsd:double"&gt;1581.711968&lt;/D&gt;&lt;D xsi:type="xsd:double"&gt;1643.432498&lt;/D&gt;&lt;D xsi:type="xsd:double"&gt;1669.011748&lt;/D&gt;&lt;D xsi:type="xsd:double"&gt;1697.960568&lt;/D&gt;&lt;D xsi:type="xsd:double"&gt;1714.031542&lt;/D&gt;&lt;D xsi:type="xsd:double"&gt;1720.733372&lt;/D&gt;&lt;D xsi:type="xsd:double"&gt;1732.0194&lt;/D&gt;&lt;D xsi:type="xsd:double"&gt;1757.352907&lt;/D&gt;&lt;D xsi:type="xsd:double"&gt;1746.890499&lt;/D&gt;&lt;D xsi:type="xsd:double"&gt;1756.942741&lt;/D&gt;&lt;D xsi:type="xsd:double"&gt;1746.102462&lt;/D&gt;&lt;D xsi:type="xsd:double"&gt;1718.04323&lt;/D&gt;&lt;D xsi:type="xsd:double"&gt;1697.383007&lt;/D&gt;&lt;D xsi:type="xsd:double"&gt;1674.553901&lt;/D&gt;&lt;D xsi:type="xsd:double"&gt;1702.05219&lt;/D&gt;&lt;D xsi:type="xsd:double"&gt;1706</t>
        </r>
      </text>
    </comment>
    <comment ref="A20" authorId="0" shapeId="0">
      <text>
        <r>
          <rPr>
            <b/>
            <sz val="9"/>
            <color indexed="81"/>
            <rFont val="Tahoma"/>
            <family val="2"/>
          </rPr>
          <t>.354195&lt;/D&gt;&lt;D xsi:type="xsd:double"&gt;1719.137906&lt;/D&gt;&lt;D xsi:type="xsd:double"&gt;1690.716843&lt;/D&gt;&lt;D xsi:type="xsd:double"&gt;1702.627623&lt;/D&gt;&lt;D xsi:type="xsd:double"&gt;1744.125728&lt;/D&gt;&lt;D xsi:type="xsd:double"&gt;1756.305775&lt;/D&gt;&lt;D xsi:type="xsd:double"&gt;1747.35691&lt;/D&gt;&lt;D xsi:type="xsd:double"&gt;1759.377092&lt;/D&gt;&lt;D xsi:type="xsd:double"&gt;1752.219002&lt;/D&gt;&lt;D xsi:type="xsd:double"&gt;1744.037416&lt;/D&gt;&lt;D xsi:type="xsd:double"&gt;1716.391831&lt;/D&gt;&lt;D xsi:type="xsd:double"&gt;1684.788573&lt;/D&gt;&lt;D xsi:type="xsd:double"&gt;1668.424088&lt;/D&gt;&lt;D xsi:type="xsd:double"&gt;1666.859157&lt;/D&gt;&lt;D xsi:type="xsd:double"&gt;1663.525524&lt;/D&gt;&lt;D xsi:type="xsd:double"&gt;1705.991077&lt;/D&gt;&lt;D xsi:type="xsd:double"&gt;1701.455486&lt;/D&gt;&lt;D xsi:type="xsd:double"&gt;1671.927231&lt;/D&gt;&lt;D xsi:type="xsd:double"&gt;1678.284715&lt;/D&gt;&lt;D xsi:type="xsd:double"&gt;1664.519889&lt;/D&gt;&lt;D xsi:type="xsd:double"&gt;1693.334619&lt;/D&gt;&lt;D xsi:type="xsd:double"&gt;1720.98678&lt;/D&gt;&lt;D xsi:type="xsd:double"&gt;1696.78959&lt;/D&gt;&lt;D xsi:type="xsd:double"&gt;1697.302963&lt;/D&gt;&lt;D xsi:type="xsd:double"&gt;1724.224529&lt;/D&gt;&lt;D xsi:type="xsd:double"&gt;1720.398075&lt;/D&gt;&lt;D xsi:type="xsd:double"&gt;1739.312587&lt;/D&gt;&lt;D xsi:type="xsd:double"&gt;1732.501418&lt;/D&gt;&lt;D xsi:type="xsd:double"&gt;1740.909001&lt;/D&gt;&lt;D xsi:type="xsd:double"&gt;1737.873838&lt;/D&gt;&lt;D xsi:type="xsd:double"&gt;1762.472852&lt;/D&gt;&lt;D xsi:type="xsd:double"&gt;1772.492139&lt;/D&gt;&lt;D xsi:type="xsd:double"&gt;1748.731004&lt;/D&gt;&lt;D xsi:type="xsd:double"&gt;1726.144173&lt;/D&gt;&lt;D xsi:type="xsd:double"&gt;1715.896718&lt;/D&gt;&lt;D xsi:type="xsd:double"&gt;1710.130922&lt;/D&gt;&lt;D xsi:type="xsd:double"&gt;1703.191571&lt;/D&gt;&lt;D xsi:type="xsd:double"&gt;1741.865507&lt;/D&gt;&lt;D xsi:type="xsd:double"&gt;1752.545571&lt;/D&gt;&lt;D xsi:type="xsd:double"&gt;1746.554563&lt;/D&gt;&lt;D xsi:type="xsd:double"&gt;1729.188776&lt;/D&gt;&lt;D xsi:type="xsd:double"&gt;1747.291294&lt;/D&gt;&lt;D xsi:type="xsd:double"&gt;1753.114494&lt;/D&gt;&lt;D xsi:type="xsd:double"&gt;1759.652241&lt;/D&gt;&lt;D xsi:type="xsd:double"&gt;1784.098582&lt;/D&gt;&lt;D xsi:type="xsd:double"&gt;1788.016882&lt;/D&gt;&lt;D xsi:type="xsd:double"&gt;1769.482296&lt;/D&gt;&lt;D xsi:type="xsd:double"&gt;1792.011848&lt;/D&gt;&lt;D xsi:type="xsd:double"&gt;1788.903113&lt;/D&gt;&lt;D xsi:type="xsd:double"&gt;1814.664733&lt;/D&gt;&lt;D xsi:type="xsd:double"&gt;1832.72064&lt;/D&gt;&lt;D xsi:type="xsd:double"&gt;1848.988279&lt;/D&gt;&lt;D xsi:type="xsd:double"&gt;1837.775489&lt;/D&gt;&lt;D xsi:type="xsd:double"&gt;1832.495041&lt;/D&gt;&lt;D xsi:type="xsd:double"&gt;1803.477279&lt;/D&gt;&lt;D xsi:type="xsd:double"&gt;1802.323833&lt;/D&gt;&lt;D xsi:type="xsd:double"&gt;1793.979&lt;/D&gt;&lt;D xsi:type="xsd:double"&gt;1800.1008&lt;/D&gt;&lt;D xsi:type="xsd:double"&gt;1781.32585&lt;/D&gt;&lt;D xsi:type="xsd:double"&gt;1737.764763&lt;/D&gt;&lt;D xsi:type="xsd:double"&gt;1727.776128&lt;/D&gt;&lt;D xsi:type="xsd:double"&gt;1763.740318&lt;/D&gt;&lt;D xsi:type="xsd:double"&gt;1766.767849&lt;/D&gt;&lt;D xsi:type="xsd:double"&gt;1772.611337&lt;/D&gt;&lt;D xsi:type="xsd:double"&gt;1760.935905&lt;/D&gt;&lt;D xsi:type="xsd:double"&gt;1785.809455&lt;/D&gt;&lt;D xsi:type="xsd:double"&gt;1788.234275&lt;/D&gt;&lt;D xsi:type="xsd:double"&gt;1765.278776&lt;/D&gt;&lt;D xsi:type="xsd:double"&gt;1772.128605&lt;/D&gt;&lt;D xsi:type="xsd:double"&gt;1762.060327&lt;/D&gt;&lt;D xsi:type="xsd:double"&gt;1767.037635&lt;/D&gt;&lt;D xsi:type="xsd:double"&gt;1756.88679&lt;/D&gt;&lt;D xsi:type="xsd:double"&gt;1749.015759&lt;/D&gt;&lt;D xsi:type="xsd:double"&gt;1749.166793&lt;/D&gt;&lt;D xsi:type="xsd:double"&gt;1729.514596&lt;/D&gt;&lt;D xsi:type="xsd:double"&gt;1735.879281&lt;/D&gt;&lt;D xsi:type="xsd:double"&gt;1742.108017&lt;/D&gt;&lt;D xsi:type="xsd:double"&gt;1743.165034&lt;/D&gt;&lt;D xsi:type="xsd:double"&gt;1726.830626&lt;/D&gt;&lt;D xsi:type="xsd:double"&gt;1730.093112&lt;/D&gt;&lt;D xsi:type="xsd:double"&gt;1714.724285&lt;/D&gt;&lt;D xsi:type="xsd:double"&gt;1686.705274&lt;/D&gt;&lt;D xsi:type="xsd:double"&gt;1674.427309&lt;/D&gt;&lt;D xsi:type="xsd:double"&gt;1645.019128&lt;/D&gt;&lt;D xsi:type="xsd:double"&gt;1643.735542&lt;/D&gt;&lt;D xsi:type="xsd:double"&gt;1701.686655&lt;/D&gt;&lt;D xsi:type="xsd:double"&gt;1727.592047&lt;/D&gt;&lt;D xsi:type="xsd:double"&gt;1735.366579&lt;/D&gt;&lt;D xsi:type="xsd:double"&gt;1770.500049&lt;/D&gt;&lt;D xsi:type="xsd:double"&gt;1771.810862&lt;/D&gt;&lt;D xsi:type="xsd:double"&gt;1780.82487&lt;/D&gt;&lt;D xsi:type="xsd:double"&gt;1791.223039&lt;/D&gt;&lt;D xsi:type="xsd:double"&gt;1787.944999&lt;/D&gt;&lt;D xsi:type="xsd:double"&gt;1780.666247&lt;/D&gt;&lt;D xsi:type="xsd:double"&gt;1791.082246&lt;/D&gt;&lt;D xsi:type="xsd:double"&gt;1791.899683&lt;/D&gt;&lt;D xsi:type="xsd:double"&gt;1773.874282&lt;/D&gt;&lt;D xsi:type="xsd:double"&gt;1755.312851&lt;/D&gt;&lt;D xsi:type="xsd:double"&gt;1761.086736&lt;/D&gt;&lt;D xsi:type="xsd:double"&gt;1771.421913&lt;/D&gt;&lt;D xsi:type="xsd:double"&gt;1798.988208&lt;/D&gt;&lt;D xsi:type="xsd:double"&gt;1794.435953&lt;/D&gt;&lt;D xsi:type="xsd:double"&gt;1780.012251&lt;/D&gt;&lt;D xsi:type="xsd:double"&gt;1770.808645&lt;/D&gt;&lt;D xsi:type="xsd:double"&gt;1766.219988&lt;/D&gt;&lt;D xsi:type="xsd:double"&gt;1760.73209&lt;/D&gt;&lt;D xsi:type="xsd:double"&gt;1762.213727&lt;/D&gt;&lt;D xsi:type="xsd:double"&gt;1775.36952&lt;/D&gt;&lt;D xsi:type="xsd:double"&gt;1783.648175&lt;/D&gt;&lt;D xsi:type="xsd:double"&gt;1770.257428&lt;/D&gt;&lt;D xsi:type="xsd:double"&gt;1760.571683&lt;/D&gt;&lt;D xsi:type="xsd:double"&gt;1760.698628&lt;/D&gt;&lt;D xsi:type="xsd:double"&gt;1771.843865&lt;/D&gt;&lt;D xsi:type="xsd:double"&gt;1760.868668&lt;/D&gt;&lt;D xsi:type="xsd:double"&gt;1730.911811&lt;/D&gt;&lt;D xsi:type="xsd:double"&gt;1728.088616&lt;/D&gt;&lt;D xsi:type="xsd:double"&gt;1747.622008&lt;/D&gt;&lt;D xsi:type="xsd:double"&gt;1743.885055&lt;/D&gt;&lt;D xsi:type="xsd:double"&gt;1732.39384&lt;/D&gt;&lt;D xsi:type="xsd:double"&gt;1736.355245&lt;/D&gt;&lt;D xsi:type="xsd:double"&gt;1721.054502&lt;/D&gt;&lt;D xsi:type="xsd:double"&gt;1705.316066&lt;/D&gt;&lt;D xsi:type="xsd:double"&gt;1738.562292&lt;/D&gt;&lt;D xsi:type="xsd:double"&gt;1740.179153&lt;/D&gt;&lt;D xsi:type="xsd:double"&gt;1724.268139&lt;/D&gt;&lt;D xsi:type="xsd:double"&gt;1726.936563&lt;/D&gt;&lt;D xsi:type="xsd:double"&gt;1706.410029&lt;/D&gt;&lt;D xsi:type="xsd:double"&gt;1678.823746&lt;/D&gt;&lt;D xsi:type="xsd:double"&gt;1668.125892&lt;/D&gt;&lt;D xsi:type="xsd:double"&gt;1681.234707&lt;/D&gt;&lt;D xsi:type="xsd:double"&gt;1684.443577&lt;/D&gt;&lt;D xsi:type="xsd:double"&gt;1684.915502&lt;/D&gt;&lt;D xsi:type="xsd:double"&gt;1703.700154&lt;/D&gt;&lt;D xsi:type="xsd:double"&gt;1697.791737&lt;/D&gt;&lt;D xsi:type="xsd:double"&gt;1695.575803&lt;/D&gt;&lt;D xsi:type="xsd:double"&gt;1686.376916&lt;/D&gt;&lt;D xsi:type="xsd:double"&gt;1690.342354&lt;/D&gt;&lt;D xsi:type="xsd:double"&gt;1683.345221&lt;/D&gt;&lt;D xsi:type="xsd:double"&gt;1677.659419&lt;/D&gt;&lt;D xsi:type="xsd:double"&gt;1679.828573&lt;/D&gt;&lt;D xsi:type="xsd:double"&gt;1677.892667&lt;/D&gt;&lt;D xsi:type="xsd:double"&gt;1676.78122&lt;/D&gt;&lt;D xsi:type="xsd:double"&gt;1656.571426&lt;/D&gt;&lt;D xsi:type="xsd:double"&gt;1655.609396&lt;/D&gt;&lt;D xsi:type="xsd:double"&gt;1663.348472&lt;/D&gt;&lt;D xsi:type="xsd:double"&gt;1672.437762&lt;/D&gt;&lt;D xsi:type="xsd:double"&gt;1685.055376&lt;/D&gt;&lt;D xsi:type="xsd:double"&gt;1680.504924&lt;/D&gt;&lt;D xsi:type="xsd:double"&gt;1657.598916&lt;/D&gt;&lt;D xsi:type="xsd:double"&gt;1653.396211&lt;/D&gt;&lt;D xsi:type="xsd:double"&gt;1647.041707&lt;/D&gt;&lt;D xsi:type="xsd:double"&gt;1659.479551&lt;/D&gt;&lt;D xsi:type="xsd:double"&gt;1648.18579&lt;/D&gt;&lt;D xsi:type="xsd:double"&gt;1652.67758&lt;/D&gt;&lt;D xsi:type="xsd:double"&gt;1631.83198&lt;/D&gt;&lt;D xsi:type="xsd:double"&gt;1597.593844&lt;/D&gt;&lt;D xsi:type="xsd:double"&gt;1570.528186&lt;/D&gt;&lt;D xsi:type="xsd:double"&gt;1579.84115&lt;/D&gt;&lt;D xsi:type="xsd:double"&gt;1602.449885&lt;/D&gt;&lt;D xsi:type="xsd:double"&gt;1620.922432&lt;/D&gt;&lt;D xsi:type="xsd:double"&gt;1614.768873&lt;/D&gt;&lt;D xsi:type="xsd:double"&gt;1646.525873&lt;/D&gt;&lt;D xsi:type="xsd:double"&gt;1654.825263&lt;/D&gt;&lt;D xsi:type="xsd:double"&gt;1656.114048&lt;/D&gt;&lt;D xsi:type="xsd:double"&gt;1628.663547&lt;/D&gt;&lt;D xsi:type="xsd:double"&gt;1624.231018&lt;/D&gt;&lt;D xsi:type="xsd:double"&gt;1658.214054&lt;/D&gt;&lt;D xsi:type="xsd:double"&gt;1659.105702&lt;/D&gt;&lt;D xsi:type="xsd:double"&gt;1670.696296&lt;/D&gt;&lt;D xsi:type="xsd:double"&gt;1670.167347&lt;/D&gt;&lt;D xsi:type="xsd:double"&gt;1699.310209&lt;/D&gt;&lt;D xsi:type="xsd:double"&gt;1693.701628&lt;/D&gt;&lt;D xsi:type="xsd:double"&gt;1699.674286&lt;/D&gt;&lt;D xsi:type="xsd:double"&gt;1702.126881&lt;/D&gt;&lt;D xsi:type="xsd:double"&gt;1655.159443&lt;/D&gt;&lt;D xsi:type="xsd:double"&gt;1660.600854&lt;/D&gt;&lt;D xsi:type="xsd:double"&gt;1644.799838&lt;/D&gt;&lt;D xsi:type="xsd:double"&gt;1643.51917&lt;/D&gt;&lt;D xsi:type="xsd:double"&gt;1641.156148&lt;/D&gt;&lt;D xsi:type="xsd:double"&gt;1623.563804&lt;/D&gt;&lt;D xsi:type="xsd:double"&gt;1645.927232&lt;/D&gt;&lt;D xsi:type="xsd:double"&gt;1662.016921&lt;/D&gt;&lt;D xsi:type="xsd:double"&gt;1648.096375&lt;/D&gt;&lt;D xsi:type="xsd:double"&gt;1656.979837&lt;/D&gt;&lt;D xsi:type="xsd:double"&gt;1651.760618&lt;/D&gt;&lt;D xsi:type="xsd:double"&gt;1633.95672&lt;/D&gt;&lt;D xsi:type="xsd:double"&gt;1658.736263&lt;/D&gt;&lt;D xsi:type="xsd:double"&gt;1657.753805&lt;/D&gt;&lt;D xsi:type="xsd:double"&gt;1668.314733&lt;/D&gt;&lt;D xsi:type="xsd:double"&gt;1652.158932&lt;/D&gt;&lt;D xsi:type="xsd:double"&gt;1625.784896&lt;/D&gt;&lt;D xsi:type="xsd:double"&gt;1638.578138&lt;/D&gt;&lt;D xsi:type="xsd:double"&gt;1637.18149&lt;/D&gt;&lt;D xsi:type="xsd:double"&gt;1637.695066&lt;/D&gt;&lt;D xsi:type="xsd:double"&gt;1632.747965&lt;/D&gt;&lt;D xsi:type="xsd:double"&gt;1614.631067&lt;/D&gt;&lt;D xsi:type="xsd:double"&gt;1583.460245&lt;/D&gt;&lt;D xsi:type="xsd:double"&gt;1594.54197&lt;/D&gt;&lt;D xsi:type="xsd:double"&gt;1588.119123&lt;/D&gt;&lt;D xsi:type="xsd:double"&gt;1595.875285&lt;/D&gt;&lt;D xsi:type="xsd:double"&gt;1593.036722&lt;/D&gt;&lt;D xsi:type="xsd:double"&gt;1591.355439&lt;/D&gt;&lt;D xsi:type="xsd:double"&gt;1589.355373&lt;/D&gt;&lt;D xsi:type="xsd:double"&gt;1568.725623&lt;/D&gt;&lt;D xsi:type="xsd:double"&gt;1575.834761&lt;/D&gt;&lt;D xsi:type="xsd:double"&gt;1566.103046&lt;/D&gt;&lt;D xsi:type="xsd:double"&gt;1567.713141&lt;/D&gt;&lt;D xsi:type="xsd:double"&gt;1549.545554&lt;/D&gt;&lt;D xsi:type="xsd:double"&gt;1553.560665&lt;/D&gt;&lt;D xsi:type="xsd:double"&gt;1558.823266&lt;/D&gt;&lt;D xsi:type="xsd:double"&gt;1561.32117&lt;/D&gt;&lt;D xsi:type="xsd:double"&gt;1550.913714&lt;/D&gt;&lt;D xsi:type="xsd:double"&gt;1526.760032&lt;/D&gt;&lt;D xsi:type="xsd:double"&gt;1527.827094&lt;/D&gt;&lt;D xsi:type="xsd:double"&gt;1513.319805&lt;/D&gt;&lt;D xsi:type="xsd:double"&gt;1509.596217&lt;/D&gt;&lt;D xsi:type="xsd:double"&gt;1513.498254&lt;/D&gt;&lt;D xsi:type="xsd:double"&gt;1499.948809&lt;/D&gt;&lt;D xsi:type="xsd:double"&gt;1493.065285&lt;/D&gt;&lt;D xsi:type="xsd:double"&gt;1453.045472&lt;/D&gt;&lt;D xsi:type="xsd:double"&gt;1460.808357&lt;/D&gt;&lt;D xsi:type="xsd:double"&gt;1455.258153&lt;/D&gt;&lt;D xsi:type="xsd:double"&gt;1446.708285&lt;/D&gt;&lt;D xsi:type="xsd:double"&gt;1426.82447&lt;/D&gt;&lt;D xsi:type="xsd:double"&gt;1445.112606&lt;/D&gt;&lt;D xsi:type="xsd:double"&gt;1461.882142&lt;/D&gt;&lt;D xsi:type="xsd:double"&gt;1457.538915&lt;/D&gt;&lt;D xsi:type="xsd:double"&gt;1486.937995&lt;/D&gt;&lt;D xsi:type="xsd:double"&gt;1496.375578&lt;/D&gt;&lt;D xsi:type="xsd:double"&gt;1496.446872&lt;/D&gt;&lt;D xsi:type="xsd:double"&gt;1480.829624&lt;/D&gt;&lt;D xsi:type="xsd:double"&gt;1474.118218&lt;/D&gt;&lt;D xsi:type="xsd:double"&gt;1475.090856&lt;/D&gt;&lt;D xsi:type="xsd:double"&gt;1485.36347&lt;/D&gt;&lt;D xsi:type="xsd:double"&gt;1529.23642&lt;/D&gt;&lt;D xsi:type="xsd:double"&gt;1553.568508&lt;/D&gt;&lt;D xsi:type="xsd:double"&gt;1545.974595&lt;/D&gt;&lt;D xsi:type="xsd:double"&gt;1542.848638&lt;/D&gt;&lt;D xsi:type="xsd:double"&gt;1539.767429&lt;/D&gt;&lt;D xsi:type="xsd:double"&gt;1550.47826&lt;/D&gt;&lt;D xsi:type="xsd:double"&gt;1541.204473&lt;/D&gt;&lt;D xsi:type="xsd:double"&gt;1501.211625&lt;/D&gt;&lt;D xsi:type="xsd:double"&gt;1510.740465&lt;/D&gt;&lt;D xsi:type="xsd:double"&gt;1506.990939&lt;/D&gt;&lt;D xsi:type="xsd:double"&gt;1500.944725&lt;/D&gt;&lt;D xsi:type="xsd:double"&gt;1495.913732&lt;/D&gt;&lt;D xsi:type="xsd:double"&gt;1480.010258&lt;/D&gt;&lt;D xsi:type="xsd:double"&gt;1472.420192&lt;/D&gt;&lt;D xsi:type="xsd:double"&gt;1446.834899&lt;/D&gt;&lt;D xsi:type="xsd:double"&gt;1441.979692&lt;/D&gt;&lt;D xsi:type="xsd:double"&gt;1447.295332&lt;/D&gt;&lt;D xsi:type="xsd:double"&gt;1457.189143&lt;/D&gt;&lt;D xsi:type="xsd:double"&gt;1476.88339&lt;/D&gt;&lt;D xsi:type="xsd:double"&gt;1478.316515&lt;/D&gt;&lt;D xsi:type="xsd:double"&gt;1467.561007&lt;/D&gt;&lt;D xsi:type="xsd:double"&gt;1443.48109&lt;/D&gt;&lt;D xsi:type="xsd:double"&gt;1444.463525&lt;/D&gt;&lt;D xsi:type="xsd:double"&gt;1437.089556&lt;/D&gt;&lt;D xsi:type="xsd:double"&gt;1415.899075&lt;/D&gt;&lt;D xsi:type="xsd:double"&gt;1405.420114&lt;/D&gt;&lt;D xsi:type="xsd:double"&gt;1373.188214&lt;/D&gt;&lt;D xsi:type="xsd:double"&gt;1365.769912&lt;/D&gt;&lt;D xsi:type="xsd:double"&gt;1375.320208&lt;/D&gt;&lt;D xsi:type="xsd:double"&gt;1379.536791&lt;/D&gt;&lt;D xsi:type="xsd:double"&gt;1425.57558&lt;/D&gt;&lt;D xsi:type="xsd:double"&gt;1414.55832&lt;/D&gt;&lt;D xsi:type="xsd:double"&gt;1426.036336&lt;/D&gt;&lt;D xsi:type="xsd:double"&gt;1436.823388&lt;/D&gt;&lt;D xsi:type="xsd:double"&gt;1457.066736&lt;/D&gt;&lt;D xsi:type="xsd:double"&gt;1473.384496&lt;/D&gt;&lt;D xsi:type="xsd:double"&gt;1454.029668&lt;/D&gt;&lt;D xsi:type="xsd:double"&gt;1449.322188&lt;/D&gt;&lt;D xsi:type="xsd:double"&gt;1446.706525&lt;/D&gt;&lt;D xsi:type="xsd:double"&gt;1438.394985&lt;/D&gt;&lt;D xsi:type="xsd:double"&gt;1427.131524&lt;/D&gt;&lt;D xsi:type="xsd:double"&gt;1397.221487&lt;/D&gt;&lt;D xsi:type="xsd:double"&gt;1390.141841&lt;/D&gt;&lt;D xsi:type="xsd:double"&gt;1365.707313&lt;/D&gt;&lt;D xsi:type="xsd:double"&gt;1345.160399&lt;/D&gt;&lt;D xsi:type="xsd:double"&gt;1348.566614&lt;/D&gt;&lt;D xsi:type="xsd:double"&gt;1378.724691&lt;/D&gt;&lt;D xsi:type="xsd:double"&gt;1409.357606&lt;/D&gt;&lt;D xsi:type="xsd:double"&gt;1385.314081&lt;/D&gt;&lt;D xsi:type="xsd:double"&gt;1396.308417&lt;/D&gt;&lt;D xsi:type="xsd:double"&gt;1399.130244&lt;/D&gt;&lt;D xsi:type="xsd:double"&gt;1392.949236&lt;/D&gt;&lt;D xsi:type="xsd:double"&gt;1356.868649&lt;/D&gt;&lt;D xsi:type="xsd:double"&gt;1336.913731&lt;/D&gt;&lt;D xsi:type="xsd:double"&gt;1378.105606&lt;/D&gt;&lt;D xsi:type="xsd:double"&gt;1385.090043&lt;/D&gt;&lt;D xsi:type="xsd:double"&gt;1379.994741&lt;/D&gt;&lt;D xsi:type="xsd:double"&gt;1406.824287&lt;/D&gt;&lt;D xsi:type="xsd:double"&gt;1441.529181&lt;/D&gt;&lt;D xsi:type="xsd:double"&gt;1431.007824&lt;/D&gt;&lt;D xsi:type="xsd:double"&gt;1453.074434&lt;/D&gt;&lt;D xsi:type="xsd:double"&gt;1499.693232&lt;/D&gt;&lt;D xsi:type="xsd:double"&gt;1497.019935&lt;/D&gt;&lt;D xsi:type="xsd:double"&gt;1482.501764&lt;/D&gt;&lt;D xsi:type="xsd:double"&gt;1500.127919&lt;/D&gt;&lt;D xsi:type="xsd:double"&gt;1422.177139&lt;/D&gt;&lt;D xsi:type="xsd:double"&gt;1466.626277&lt;/D&gt;&lt;D xsi:type="xsd:double"&gt;1502.262323&lt;/D&gt;&lt;D xsi:type="xsd:double"&gt;1526.973955&lt;/D&gt;&lt;D xsi:type="xsd:double"&gt;1570.04678&lt;/D&gt;&lt;D xsi:type="xsd:double"&gt;1580.340876&lt;/D&gt;&lt;D xsi:type="xsd:double"&gt;1579.141846&lt;/D&gt;&lt;D xsi:type="xsd:double"&gt;1562.329589&lt;/D&gt;&lt;D xsi:type="xsd:double"&gt;1594.039809&lt;/D&gt;&lt;D xsi:type="xsd:double"&gt;1625.376393&lt;/D&gt;&lt;D xsi:type="xsd:double"&gt;1609.804902&lt;/D&gt;&lt;D xsi:type="xsd:double"&gt;1604.090586&lt;/D&gt;&lt;D xsi:type="xsd:double"&gt;1625.411789&lt;/D&gt;&lt;D xsi:type="xsd:double"&gt;1630.423187&lt;/D&gt;&lt;D xsi:type="xsd:double"&gt;1616.150895&lt;/D&gt;&lt;D xsi:type="xsd:double"&gt;1635.081309&lt;/D&gt;&lt;D xsi:type="xsd:double"&gt;1660.938718&lt;/D&gt;&lt;D xsi:type="xsd:double"&gt;1655.742044&lt;/D&gt;&lt;D xsi:type="xsd:double"&gt;1638.584049&lt;/D&gt;&lt;D xsi:type="xsd:double"&gt;1648.415891&lt;/D&gt;&lt;D xsi:type="xsd:double"&gt;1635.213027&lt;/D&gt;&lt;D xsi:type="xsd:double"&gt;1614.225489&lt;/D&gt;&lt;D xsi:type="xsd:double"&gt;1624.687886&lt;/D&gt;&lt;D xsi:type="xsd:double"&gt;1628.061032&lt;/D&gt;&lt;D xsi:type="xsd:double"&gt;1628.557676&lt;/D&gt;&lt;D xsi:type="xsd:double"&gt;1627.763985&lt;/D&gt;&lt;D xsi:type="xsd:double"&gt;1608.794059&lt;/D&gt;&lt;D xsi:type="xsd:double"&gt;1605.381053&lt;/D&gt;&lt;D xsi:type="xsd:double"&gt;1604.426945&lt;/D&gt;&lt;D xsi:type="xsd:double"&gt;1594.493801&lt;/D&gt;&lt;D xsi:type="xsd:double"&gt;1591.223511&lt;/D&gt;&lt;D xsi:type="xsd:double"&gt;1584.067393&lt;/D&gt;&lt;D xsi:type="xsd:double"&gt;1603.334133&lt;/D&gt;&lt;D xsi:type="xsd:double"&gt;1595.120976&lt;/D&gt;&lt;D xsi:type="xsd:double"&gt;1596.15325&lt;/D&gt;&lt;D xsi:type="xsd:double"&gt;1603.500437&lt;/D&gt;&lt;D xsi:type="xsd:double"&gt;1617.523099&lt;/D&gt;&lt;D xsi:type="xsd:double"&gt;1603.152302&lt;/D&gt;&lt;D xsi:type="xsd:double"&gt;1584.458951&lt;/D&gt;&lt;D xsi:type="xsd:double"&gt;1598.803286&lt;/D&gt;&lt;D xsi:type="xsd:double"&gt;1586.345756&lt;/D&gt;&lt;D xsi:type="xsd:double"&gt;1586.124587&lt;/D&gt;&lt;D xsi:type="xsd:double"&gt;1576.913361&lt;/D&gt;&lt;D xsi:type="xsd:double"&gt;1581.157254&lt;/D&gt;&lt;D xsi:type="xsd:double"&gt;1569.918876&lt;/D&gt;&lt;D xsi:type="xsd:double"&gt;1551.559254&lt;/D&gt;&lt;D xsi:type="xsd:double"&gt;1561.337912&lt;/D&gt;&lt;D xsi:type="xsd:double"&gt;1540.713042&lt;/D&gt;&lt;D xsi:type="xsd:double"&gt;1521.346838&lt;/D&gt;&lt;D xsi:type="xsd:double"&gt;1517.400127&lt;/D&gt;&lt;D xsi:type="xsd:double"&gt;1494.772795&lt;/D&gt;&lt;D xsi:type="xsd:double"&gt;1516.159087&lt;/D&gt;&lt;D xsi:type="xsd:double"&gt;1517.504321&lt;/D&gt;&lt;D xsi:type="xsd:double"&gt;1529.201437&lt;/D&gt;&lt;D xsi:type="xsd:double"&gt;1513.325094&lt;/D&gt;&lt;D xsi:type="xsd:double"&gt;1528.212677&lt;/D&gt;&lt;D xsi:type="xsd:double"&gt;1524.117467&lt;/D&gt;&lt;D xsi:type="xsd:double"&gt;1507.213471&lt;/D&gt;&lt;D xsi:type="xsd:double"&gt;1486.577759&lt;/D&gt;&lt;D xsi:type="xsd:double"&gt;1485.521745&lt;/D&gt;&lt;D xsi:type="xsd:double"&gt;1481.843313&lt;/D&gt;&lt;D xsi:type="xsd:double"&gt;1477.849931&lt;/D&gt;&lt;D xsi:type="xsd:double"&gt;1473.315328&lt;/D&gt;&lt;D xsi:type="xsd:double"&gt;1468.782294&lt;/D&gt;&lt;D xsi:type="xsd:double"&gt;1501.274406&lt;/D&gt;&lt;D xsi:type="xsd:double"&gt;1541.654776&lt;/D&gt;&lt;D xsi:type="xsd:double"&gt;1549.543105&lt;/D&gt;&lt;D xsi:type="xsd:double"&gt;1527.045266&lt;/D&gt;&lt;D xsi:type="xsd:double"&gt;1521.729227&lt;/D&gt;&lt;D xsi:type="xsd:double"&gt;1530.616769&lt;/D&gt;&lt;D xsi:type="xsd:double"&gt;1544.467681&lt;/D&gt;&lt;D xsi:type="xsd:double"&gt;1559.707327&lt;/D&gt;&lt;D xsi:type="xsd:double"&gt;1568.102426&lt;/D&gt;&lt;D xsi:type="xsd:double"&gt;1576.963349&lt;/D&gt;&lt;D xsi:type="xsd:double"&gt;1588.996302&lt;/D&gt;&lt;D xsi:type="xsd:double"&gt;1607.827006&lt;/D&gt;&lt;D xsi:type="xsd:double"&gt;1641.850324&lt;/D&gt;&lt;D xsi:type="xsd:double"&gt;1640.666379&lt;/D&gt;&lt;D xsi:type="xsd:double"&gt;1656.77574&lt;/D&gt;&lt;D xsi:type="xsd:double"&gt;1643.497814&lt;/D&gt;&lt;D xsi:type="xsd:double"&gt;1650.358188&lt;/D&gt;&lt;D xsi:type="xsd:double"&gt;1656.594986&lt;/D&gt;&lt;D xsi:type="xsd:double"&gt;1635.411663&lt;/D&gt;&lt;D xsi:type="xsd:double"&gt;1625.941801&lt;/D&gt;&lt;D xsi:type="xsd:double"&gt;1633.238628&lt;/D&gt;&lt;D xsi:type="xsd:double"&gt;1632.864043&lt;/D&gt;&lt;D xsi:type="xsd:double"&gt;1628.363019&lt;/D&gt;&lt;D xsi:type="xsd:double"&gt;1597.280622&lt;/D&gt;&lt;D xsi:type="xsd:double"&gt;1589.629072&lt;/D&gt;&lt;D xsi:type="xsd:double"&gt;1607.545093&lt;/D&gt;&lt;D xsi:type="xsd:double"&gt;1601.058867&lt;/D&gt;&lt;D xsi:type="xsd:double"&gt;1591.723307&lt;/D&gt;&lt;D xsi:type="xsd:double"&gt;1584.100521&lt;/D&gt;&lt;D xsi:type="xsd:double"&gt;1569.492899&lt;/D&gt;&lt;D xsi:type="xsd:double"&gt;1565.508353&lt;/D&gt;&lt;D xsi:type="xsd:double"&gt;1549.775108&lt;/D&gt;&lt;D xsi:type="xsd:double"&gt;1561.873783&lt;/D&gt;&lt;D xsi:type="xsd:double"&gt;1598.341499&lt;/D&gt;&lt;D xsi:type="xsd:double"&gt;1579.724046&lt;/D&gt;&lt;D xsi:type="xsd:double"&gt;1590.554312&lt;/D&gt;&lt;D xsi:type="xsd:double"&gt;1576.644249&lt;/D&gt;&lt;D xsi:type="xsd:double"&gt;1577.760074&lt;/D&gt;&lt;D xsi:type="xsd:double"&gt;1573.015673&lt;/D&gt;&lt;D xsi:type="xsd:double"&gt;1584.854787&lt;/D&gt;&lt;D xsi:type="xsd:double"&gt;1606.428484&lt;/D&gt;&lt;D xsi:type="xsd:double"&gt;1612.538856&lt;/D&gt;&lt;D xsi:type="xsd:double"&gt;1624.591363&lt;/D&gt;&lt;D xsi:type="xsd:double"&gt;1620.687412&lt;/D&gt;&lt;D xsi:type="xsd:double"&gt;1616.31869&lt;/D&gt;&lt;D xsi:type="xsd:double"&gt;1573.659131&lt;/D&gt;&lt;D xsi:type="xsd:double"&gt;1567.147997&lt;/D&gt;&lt;D xsi:type="xsd:double"&gt;1610.844471&lt;/D&gt;&lt;D xsi:type="xsd:double"&gt;1589.882406&lt;/D&gt;&lt;D xsi:type="xsd:double"&gt;1604.319826&lt;/D&gt;&lt;D xsi:type="xsd:double"&gt;1570.317311&lt;/D&gt;&lt;D xsi:type="xsd:double"&gt;1581.909623&lt;/D&gt;&lt;D xsi:type="xsd:double"&gt;1613.598794&lt;/D&gt;&lt;D xsi:type="xsd:double"&gt;1607.287874&lt;/D&gt;&lt;D xsi:type="xsd:double"&gt;1624.229342&lt;/D&gt;&lt;D xsi:type="xsd:double"&gt;1599.886545&lt;/D&gt;&lt;D xsi:type="xsd:double"&gt;1593.164222&lt;/D&gt;&lt;D xsi:type="xsd:double"&gt;1603.650405&lt;/D&gt;&lt;D xsi:type="xsd:double"&gt;1596.821966&lt;/D&gt;&lt;D xsi:type="xsd:double"&gt;1599.030561&lt;/D&gt;&lt;D xsi:type="xsd:double"&gt;1563.132025&lt;/D&gt;&lt;D xsi:type="xsd:double"&gt;1556.167989&lt;/D&gt;&lt;D xsi:type="xsd:double"&gt;1548.576265&lt;/D&gt;&lt;D xsi:type="xsd:double"&gt;1520.462475&lt;/D&gt;&lt;D xsi:type="xsd:double"&gt;1538.540877&lt;/D&gt;&lt;D xsi:type="xsd:double"&gt;1539.338106&lt;/D&gt;&lt;D xsi:type="xsd:double"&gt;1556.934696&lt;/D&gt;&lt;D xsi:type="xsd:double"&gt;1538.175051&lt;/D&gt;&lt;D xsi:type="xsd:double"&gt;1568.980238&lt;/D&gt;&lt;D xsi:type="xsd:double"&gt;1586.138349&lt;/D&gt;&lt;D xsi:type="xsd:double"&gt;1604.949646&lt;/D&gt;&lt;D xsi:type="xsd:double"&gt;1613.906321&lt;/D&gt;&lt;D xsi:type="xsd:double"&gt;1629.012662&lt;/D&gt;&lt;D xsi:type="xsd:double"&gt;1622.747096&lt;/D&gt;&lt;D xsi:type="xsd:double"&gt;1625.57041&lt;/D&gt;&lt;D xsi:type="xsd:double"&gt;1601.328759&lt;/D&gt;&lt;D xsi:type="xsd:double"&gt;1617.475082&lt;/D&gt;&lt;D xsi:type="xsd:double"&gt;1612.657534&lt;/D&gt;&lt;D xsi:type="xsd:double"&gt;1583.575941&lt;/D&gt;&lt;D xsi:type="xsd:double"&gt;1589.515469&lt;/D&gt;&lt;D xsi:type="xsd:double"&gt;1579.670134&lt;/D&gt;&lt;D xsi:type="xsd:double"&gt;1581.641&lt;/D&gt;&lt;D xsi:type="xsd:double"&gt;1554.118776&lt;/D&gt;&lt;D xsi:type="xsd:double"&gt;1554.46306&lt;/D&gt;&lt;D xsi:type="xsd:double"&gt;1514.914675&lt;/D&gt;&lt;D xsi:type="xsd:double"&gt;1507.200035&lt;/D&gt;&lt;D xsi:type="xsd:double"&gt;1535.598905&lt;/D&gt;&lt;D xsi:type="xsd:double"&gt;1565.318254&lt;/D&gt;&lt;D xsi:type="xsd:double"&gt;1556.997022&lt;/D&gt;&lt;D xsi:type="xsd:double"&gt;1559.476191&lt;/D&gt;&lt;D xsi:type="xsd:double"&gt;1552.215934&lt;/D&gt;&lt;D xsi:type="xsd:double"&gt;1564.006157&lt;/D&gt;&lt;D xsi:type="xsd:double"&gt;1589.718547&lt;/D&gt;&lt;D xsi:type="xsd:double"&gt;1589.282599&lt;/D&gt;&lt;D xsi:type="xsd:double"&gt;1565.674925&lt;/D&gt;&lt;D xsi:type="xsd:double"&gt;1583.879246&lt;/D&gt;&lt;D xsi:type="xsd:double"&gt;1594.793552&lt;/D&gt;&lt;D xsi:type="xsd:double"&gt;1579.670203&lt;/D&gt;&lt;D xsi:type="xsd:double"&gt;1552.484732&lt;/D&gt;&lt;D xsi:type="xsd:double"&gt;1552.820828&lt;/D&gt;&lt;D xsi:type="xsd:double"&gt;1563.951984&lt;/D&gt;&lt;D xsi:type="xsd:double"&gt;1550.734619&lt;/D&gt;&lt;D xsi:type="xsd:double"&gt;1542.549477&lt;/D&gt;&lt;D xsi:type="xsd:double"&gt;1532.704672&lt;/D&gt;&lt;D xsi:type="xsd:double"&gt;1483.887103&lt;/D&gt;&lt;D xsi:type="xsd:double"&gt;1472.026812&lt;/D&gt;&lt;D xsi:type="xsd:double"&gt;1469.904643&lt;/D&gt;&lt;D xsi:type="xsd:double"&gt;1485.84765&lt;/D&gt;&lt;D xsi:type="xsd:double"&gt;1506.64248&lt;/D&gt;&lt;D xsi:type="xsd:double"&gt;1517.575895&lt;/D&gt;&lt;D xsi:type="xsd:double"&gt;1493.028467&lt;/D&gt;&lt;D xsi:type="xsd:double"&gt;1499.034443&lt;/D&gt;&lt;D xsi:type="xsd:double"&gt;1509.724617&lt;/D&gt;&lt;D xsi:type="xsd:double"&gt;1504.990887&lt;/D&gt;&lt;D xsi:type="xsd:double"&gt;1484.992064&lt;/D&gt;&lt;D xsi:type="xsd:double"&gt;1463.432849&lt;/D&gt;&lt;D xsi:type="xsd:double"&gt;1444.624552&lt;/D&gt;&lt;D xsi:type="xsd:double"&gt;1439.374013&lt;/D&gt;&lt;D xsi:type="xsd:double"&gt;1424.16484&lt;/D&gt;&lt;D xsi:type="xsd:double"&gt;1470.029659&lt;/D&gt;&lt;D xsi:type="xsd:double"&gt;1476.892586&lt;/D&gt;&lt;D xsi:type="xsd:double"&gt;1453.30517&lt;/D&gt;&lt;D xsi:type="xsd:double"&gt;1444.246981&lt;/D&gt;&lt;D xsi:type="xsd:double"&gt;1455.868886&lt;/D&gt;&lt;D xsi:type="xsd:double"&gt;1459.378875&lt;/D&gt;&lt;D xsi:type="xsd:double"&gt;1466.607917&lt;/D&gt;&lt;D xsi:type="xsd:double"&gt;1465.422134&lt;/D&gt;&lt;D xsi:type="xsd:double"&gt;1475.009403&lt;/D&gt;&lt;D xsi:type="xsd:double"&gt;1475.532469&lt;/D&gt;&lt;D xsi:type="xsd:double"&gt;1441.328286&lt;/D&gt;&lt;D xsi:type="xsd:double"&gt;1426.510753&lt;/D&gt;&lt;D xsi:type="xsd:double"&gt;1401.217125&lt;/D&gt;&lt;D xsi:type="xsd:double"&gt;1407.261755&lt;/D&gt;&lt;D xsi:type="xsd:double"&gt;1414.432879&lt;/D&gt;&lt;D xsi:type="xsd:double"&gt;1405.13436&lt;/D&gt;&lt;D xsi:type="xsd:double"&gt;1402.56585&lt;/D&gt;&lt;D xsi:type="xsd:double"&gt;1381.157811&lt;/D&gt;&lt;D xsi:type="xsd:double"&gt;1379.24961&lt;/D&gt;&lt;D xsi:type="xsd:double"&gt;1360.398424&lt;/D&gt;&lt;D xsi:type="xsd:double"&gt;1339.919001&lt;/D&gt;&lt;D xsi:type="xsd:double"&gt;1334.443616&lt;/D&gt;&lt;D xsi:type="xsd:double"&gt;1323.605619&lt;/D&gt;&lt;D xsi:type="xsd:double"&gt;1289.192885&lt;/D&gt;&lt;D xsi:type="xsd:double"&gt;1266.902579&lt;/D&gt;&lt;D xsi:type="xsd:double"&gt;1260.287215&lt;/D&gt;&lt;D xsi:type="xsd:double"&gt;1269.370877&lt;/D&gt;&lt;D xsi:type="xsd:double"&gt;1259.263566&lt;/D&gt;&lt;D xsi:type="xsd:double"&gt;1280.780023&lt;/D&gt;&lt;D xsi:type="xsd:double"&gt;1285.836155&lt;/D&gt;&lt;D xsi:type="xsd:double"&gt;1306.111223&lt;/D&gt;&lt;D xsi:type="xsd:double"&gt;1337.012243&lt;/D&gt;&lt;D xsi:type="xsd:double"&gt;1318.73581&lt;/D&gt;&lt;D xsi:type="xsd:double"&gt;1326.570466&lt;/D&gt;&lt;D xsi:type="xsd:double"&gt;1318.720585&lt;/D&gt;&lt;D xsi:type="xsd:double"&gt;1300.90875&lt;/D&gt;&lt;D xsi:type="xsd:double"&gt;1309.445808&lt;/D&gt;&lt;D xsi:type="xsd:double"&gt;1283.994082&lt;/D&gt;&lt;D xsi:type="xsd:double"&gt;1289.020816&lt;/D&gt;&lt;D xsi:type="xsd:double"&gt;1319.110705&lt;/D&gt;&lt;D xsi:type="xsd:double"&gt;1306.307603&lt;/D&gt;&lt;D xsi:type="xsd:double"&gt;1300.087238&lt;/D&gt;&lt;D xsi:type="xsd:double"&gt;1318.533752&lt;/D&gt;&lt;D xsi:type="xsd:double"&gt;1324.775646&lt;/D&gt;&lt;D xsi:type="xsd:double"&gt;1363.438759&lt;/D&gt;&lt;D xsi:type="xsd:double"&gt;1371.209444&lt;/D&gt;&lt;D xsi:type="xsd:double"&gt;1354.422152&lt;/D&gt;&lt;D xsi:type="xsd:double"&gt;1337.28758&lt;/D&gt;&lt;D xsi:type="xsd:double"&gt;1322.758695&lt;/D&gt;&lt;D xsi:type="xsd:double"&gt;1339.993574&lt;/D&gt;&lt;D xsi:type="xsd:double"&gt;1346.782668&lt;/D&gt;&lt;D xsi:type="xsd:double"&gt;1353.066403&lt;/D&gt;&lt;D xsi:type="xsd:double"&gt;1380.194947&lt;/D&gt;&lt;D xsi:type="xsd:double"&gt;1367.952268&lt;/D&gt;&lt;D xsi:type="xsd:double"&gt;1335.224259&lt;/D&gt;&lt;D xsi:type="xsd:double"&gt;1311.894139&lt;/D&gt;&lt;D xsi:type="xsd:double"&gt;1322.704464&lt;/D&gt;&lt;D xsi:type="xsd:double"&gt;1316.298692&lt;/D&gt;&lt;D xsi:type="xsd:double"&gt;1302.437206&lt;/D&gt;&lt;D xsi:type="xsd:double"&gt;1291.118554&lt;/D&gt;&lt;D xsi:type="xsd:double"&gt;1312.709216&lt;/D&gt;&lt;D xsi:type="xsd:double"&gt;1291.610562&lt;/D&gt;&lt;D xsi:type="xsd:double"&gt;1259.547561&lt;/D&gt;&lt;D xsi:type="xsd:double"&gt;1254.988259&lt;/D&gt;&lt;D xsi:type="xsd:double"&gt;1241.767861&lt;/D&gt;&lt;D xsi:type="xsd:double"&gt;1250.653713&lt;/D&gt;&lt;D xsi:type="xsd:double"&gt;1275.5539&lt;/D&gt;&lt;D xsi:type="xsd:double"&gt;1279.213116&lt;/D&gt;&lt;D xsi:type="xsd:double"&gt;1279.584098&lt;/D&gt;&lt;D xsi:type="xsd:double"&gt;1256.85168&lt;/D&gt;&lt;D xsi:type="xsd:double"&gt;1242.276472&lt;/D&gt;&lt;D xsi:type="xsd:double"&gt;1229.818772&lt;/D&gt;&lt;D xsi:type="xsd:double"&gt;1222.135566&lt;/D&gt;&lt;D xsi:type="xsd:double"&gt;1194.922649&lt;/D&gt;&lt;D xsi:type="xsd:double"&gt;1192.715162&lt;/D&gt;&lt;D xsi:type="xsd:double"&gt;1173.374536&lt;/D&gt;&lt;D xsi:type="xsd:double"&gt;1146.455885&lt;/D&gt;&lt;D xsi:type="xsd:double"&gt;1170.1315&lt;/D&gt;&lt;D xsi:type="xsd:double"&gt;1173.995763&lt;/D&gt;&lt;D xsi:type="xsd:double"&gt;1145.459426&lt;/D&gt;&lt;D xsi:type="xsd:double"&gt;1138.673441&lt;/D&gt;&lt;D xsi:type="xsd:double"&gt;1126.970621&lt;/D&gt;&lt;D xsi:type="xsd:double"&gt;1131.396524&lt;/D&gt;&lt;D xsi:type="xsd:double"&gt;1166.522078&lt;/D&gt;&lt;D xsi:type="xsd:double"&gt;1157.322427&lt;/D&gt;&lt;D xsi:type="xsd:double"&gt;1143.534437&lt;/D&gt;&lt;D xsi:type="xsd:double"&gt;1152.910722&lt;/D&gt;&lt;D xsi:type="xsd:double"&gt;1142.114928&lt;/D&gt;&lt;D xsi:type="xsd:double"&gt;1131.330062&lt;/D&gt;&lt;D xsi:type="xsd:double"&gt;1104.634643&lt;/D&gt;&lt;D xsi:type="xsd:double"&gt;1110.317858&lt;/D&gt;&lt;D xsi:type="xsd:double"&gt;1124.842999&lt;/D&gt;&lt;D xsi:type="xsd:double"&gt;1132.194681&lt;/D&gt;&lt;D xsi:type="xsd:double"&gt;1138.175287&lt;/D&gt;&lt;D xsi:type="xsd:double"&gt;1076.670849&lt;/D&gt;&lt;D xsi:type="xsd:double"&gt;1061.261163&lt;/D&gt;&lt;D xsi:type="xsd:double"&gt;1041.681192&lt;/D&gt;&lt;D xsi:type="xsd:double"&gt;1088.905813&lt;/D&gt;&lt;D xsi:type="xsd:double"&gt;1110.148501&lt;/D&gt;&lt;D xsi:type="xsd:double"&gt;1103.911073&lt;/D&gt;&lt;D xsi:type="xsd:double"&gt;1099.380644&lt;/D&gt;&lt;D xsi:type="xsd:double"&gt;1093.435224&lt;/D&gt;&lt;D xsi:type="xsd:double"&gt;1058.931842&lt;/D&gt;&lt;D xsi:type="xsd:double"&gt;1073.098448&lt;/D&gt;&lt;D xsi:type="xsd:double"&gt;1022.47454&lt;/D&gt;&lt;D xsi:type="xsd:double"&gt;1016.707951&lt;/D&gt;&lt;D xsi:type="xsd:double"&gt;1013.716158&lt;/D&gt;&lt;D xsi:type="xsd:double"&gt;986.159325&lt;/D&gt;&lt;D xsi:type="xsd:double"&gt;964.612058&lt;/D&gt;&lt;D xsi:type="xsd:double"&gt;965.345845&lt;/D&gt;&lt;D xsi:type="xsd:double"&gt;952.311552&lt;/D&gt;&lt;D xsi:type="xsd:double"&gt;913.171607&lt;/D&gt;&lt;D xsi:type="xsd:double"&gt;927.484045&lt;/D&gt;&lt;D xsi:type="xsd:double"&gt;936.737064&lt;/D&gt;&lt;D xsi:type="xsd:double"&gt;954.279855&lt;/D&gt;&lt;D xsi:type="xsd:double"&gt;931.526722&lt;/D&gt;&lt;D xsi:type="xsd:double"&gt;948.54508&lt;/D&gt;&lt;D xsi:type="xsd:double"&gt;999.87919&lt;/D&gt;&lt;D xsi:type="xsd:double"&gt;1011.340402&lt;/D&gt;&lt;D xsi:type="xsd:double"&gt;995.370215&lt;/D&gt;&lt;D xsi:type="xsd:double"&gt;995.097824&lt;/D&gt;&lt;D xsi:type="xsd:double"&gt;1007.755786&lt;/D&gt;&lt;D xsi:type="xsd:double"&gt;1012.566493&lt;/D&gt;&lt;D xsi:type="xsd:double"&gt;1046.977993&lt;/D&gt;&lt;D xsi:type="xsd:double"&gt;1037.731216&lt;/D&gt;&lt;D xsi:type="xsd:double"&gt;1050.603677&lt;/D&gt;&lt;D xsi:type="xsd:double"&gt;1107.322605&lt;/D&gt;&lt;D xsi:type="xsd:double"&gt;1098.051083&lt;/D&gt;&lt;D xsi:type="xsd:double"&gt;1120.261349&lt;/D&gt;&lt;D xsi:type="xsd:double"&gt;1132.267339&lt;/D&gt;&lt;D xsi:type="xsd:double"&gt;1156.868169&lt;/D&gt;&lt;D xsi:type="xsd:double"&gt;1142.208018&lt;/D&gt;&lt;D xsi:type="xsd:double"&gt;1125.669705&lt;/D&gt;&lt;D xsi:type="xsd:double"&gt;1130.93626&lt;/D&gt;&lt;D xsi:type="xsd:double"&gt;1112.332533&lt;/D&gt;&lt;D xsi:type="xsd:double"&gt;1089.792567&lt;/D&gt;&lt;D xsi:type="xsd:double"&gt;1115.838771&lt;/D&gt;&lt;D xsi:type="xsd:double"&gt;1141.161586&lt;/D&gt;&lt;D xsi:type="xsd:double"&gt;1157.964933&lt;/D&gt;&lt;D xsi:type="xsd:double"&gt;1131.386889&lt;/D&gt;&lt;D xsi:type="xsd:double"&gt;1110.482666&lt;/D&gt;&lt;D xsi:type="xsd:double"&gt;1072.653563&lt;/D&gt;&lt;D xsi:type="xsd:double"&gt;1092.554861&lt;/D&gt;&lt;D xsi:type="xsd:double"&gt;1095.863758&lt;/D&gt;&lt;D xsi:type="xsd:double"&gt;1100.966357&lt;/D&gt;&lt;D xsi:type="xsd:double"&gt;1154.903836&lt;/D&gt;&lt;D xsi:type="xsd:double"&gt;1130.425623&lt;/D&gt;&lt;D xsi:type="xsd:double"&gt;1156.702962&lt;/D&gt;&lt;D xsi:type="xsd:double"&gt;1189.300281&lt;/D&gt;&lt;D xsi:type="xsd:double"&gt;1227.398212&lt;/D&gt;&lt;D xsi:type="xsd:double"&gt;1252.869421&lt;/D&gt;&lt;D xsi:type="xsd:double"&gt;1269.438989&lt;/D&gt;&lt;D xsi:type="xsd:double"&gt;1277.079969&lt;/D&gt;&lt;D xsi:type="xsd:double"&gt;1266.154136&lt;/D&gt;&lt;D xsi:type="xsd:double"&gt;1264.731488&lt;/D&gt;&lt;D xsi:type="xsd:double"&gt;1261.759958&lt;/D&gt;&lt;D xsi:type="xsd:double"&gt;1231.743112&lt;/D&gt;&lt;D xsi:type="xsd:double"&gt;1237.917903&lt;/D&gt;&lt;D xsi:type="xsd:double"&gt;1226.510663&lt;/D&gt;&lt;D xsi:type="xsd:double"&gt;1201.181689&lt;/D&gt;&lt;D xsi:type="xsd:double"&gt;1193.396524&lt;/D&gt;&lt;D xsi:type="xsd:double"&gt;1200.422429&lt;/D&gt;&lt;D xsi:type="xsd:double"&gt;1201.526908&lt;/D&gt;&lt;D xsi:type="xsd:double"&gt;1217.328296&lt;/D&gt;&lt;D xsi:type="xsd:double"&gt;1254.561027&lt;/D&gt;&lt;D xsi:type="xsd:double"&gt;1252.279625&lt;/D&gt;&lt;D xsi:type="xsd:double"&gt;1212.345391&lt;/D&gt;&lt;D xsi:type="xsd:double"&gt;1203.739016&lt;/D&gt;&lt;D xsi:type="xsd:double"&gt;1172.903332&lt;/D&gt;&lt;D xsi:type="xsd:double"&gt;1200.648184&lt;/D&gt;&lt;D xsi:type="xsd:double"&gt;1183.923568&lt;/D&gt;&lt;D xsi:type="xsd:double"&gt;1168.331445&lt;/D&gt;&lt;D xsi:type="xsd:double"&gt;1159.710827&lt;/D&gt;&lt;D xsi:type="xsd:double"&gt;1081.081925&lt;/D&gt;&lt;D xsi:type="xsd:double"&gt;1112.777289&lt;/D&gt;&lt;D xsi:type="xsd:double"&gt;1119.105977&lt;/D&gt;&lt;D xsi:type="xsd:double"&gt;1112.989736&lt;/D&gt;&lt;D xsi:type="xsd:double"&gt;1112.894642&lt;/D&gt;&lt;D xsi:type="xsd:double"&gt;1171.21798&lt;/D&gt;&lt;D xsi:type="xsd:double"&gt;1140.039102&lt;/D&gt;&lt;D xsi:type="xsd:double"&gt;1145.571421&lt;/D&gt;&lt;D xsi:type="xsd:double"&gt;1116.584293&lt;/D&gt;&lt;D xsi:type="xsd:double"&gt;1041.419518&lt;/D&gt;&lt;D xsi:type="xsd:double"&gt;1043.415191&lt;/D&gt;&lt;D xsi:type="xsd:double"&gt;1103.038829&lt;/D&gt;&lt;D xsi:type="xsd:double"&gt;1137.705195&lt;/D&gt;&lt;D xsi:type="xsd:double"&gt;1141.270582&lt;/D&gt;&lt;D xsi:type="xsd:double"&gt;1165.81766&lt;/D&gt;&lt;D xsi:type="xsd:double"&gt;1153.110181&lt;/D&gt;&lt;D xsi:type="xsd:double"&gt;1169.105058&lt;/D&gt;&lt;D xsi:type="xsd:double"&gt;1202.711913&lt;/D&gt;&lt;D xsi:type="xsd:double"&gt;1266.948955&lt;/D&gt;&lt;D xsi:type="xsd:double"&gt;1246.129392&lt;/D&gt;&lt;D xsi:type="xsd:double"&gt;1243.718005&lt;/D&gt;&lt;D xsi:type="xsd:double"&gt;1333.247107&lt;/D&gt;&lt;D xsi:type="xsd:double"&gt;1327.392123&lt;/D&gt;&lt;D xsi:type="xsd:double"&gt;1257.458755&lt;/D&gt;&lt;D xsi:type="xsd:double"&gt;1242.112432&lt;/D&gt;&lt;D xsi:type="xsd:double"&gt;1248.57498&lt;/D&gt;&lt;D xsi:type="xsd:double"&gt;1207.42575&lt;/D&gt;&lt;D xsi:type="xsd:double"&gt;1111.623403&lt;/D&gt;&lt;D xsi:type="xsd:double"&gt;1077.975589&lt;/D&gt;&lt;D xsi:type="xsd:double"&gt;1139.669181&lt;/D&gt;&lt;D xsi:type="xsd:double"&gt;1202.147878&lt;/D&gt;&lt;D xsi:type="xsd:double"&gt;1212.81383&lt;/D&gt;&lt;D xsi:type="xsd:double"&gt;1299.820907&lt;/D&gt;&lt;D xsi:type="xsd:double"&gt;1305.627586&lt;/D&gt;&lt;D xsi:type="xsd:double"&gt;1262.949948&lt;/D&gt;&lt;D xsi:type="xsd:double"&gt;1220.376809&lt;/D&gt;&lt;D xsi:type="xsd:double"&gt;1307.276886&lt;/D&gt;&lt;D xsi:type="xsd:double"&gt;1377.32263&lt;/D&gt;&lt;D xsi:type="xsd:double"&gt;1299.538411&lt;/D&gt;&lt;D xsi:type="xsd:double"&gt;1210.527402&lt;/D&gt;&lt;D xsi:type="xsd:double"&gt;1322.87617&lt;/D&gt;&lt;D xsi:type="xsd:double"&gt;1344.450266&lt;/D&gt;&lt;D xsi:type="xsd:double"&gt;1425.479688&lt;/D&gt;&lt;D xsi:type="xsd:double"&gt;1431.670939&lt;/D&gt;&lt;D xsi:type="xsd:double"&gt;1548.402917&lt;/D&gt;&lt;D xsi:type="xsd:double"&gt;1534.715084&lt;/D&gt;&lt;D xsi:type="xsd:double"&gt;1583.207468&lt;/D&gt;&lt;D xsi:type="xsd:double"&gt;1569.736469&lt;/D&gt;&lt;D xsi:type="xsd:double"&gt;1600.062413&lt;/D&gt;&lt;D xsi:type="xsd:double"&gt;1687.404566&lt;/D&gt;&lt;D xsi:type="xsd:double"&gt;1720.017246&lt;/D&gt;&lt;D xsi:type="xsd:double"&gt;1705.020159&lt;/D&gt;&lt;D xsi:type="xsd:double"&gt;1716.969006&lt;/D&gt;&lt;D xsi:type="xsd:double"&gt;1732.042225&lt;/D&gt;&lt;D xsi:type="xsd:double"&gt;1723.857635&lt;/D&gt;&lt;D xsi:type="xsd:double"&gt;1605.778062&lt;/D&gt;&lt;D xsi:type="xsd:double"&gt;1605.528084&lt;/D&gt;&lt;D xsi:type="xsd:double"&gt;1626.238685&lt;/D&gt;&lt;D xsi:type="xsd:double"&gt;1678.110206&lt;/D&gt;&lt;D xsi:type="xsd:double"&gt;1721.673429&lt;/D&gt;&lt;D xsi:type="xsd:double"&gt;1673.763819&lt;/D&gt;&lt;D xsi:type="xsd:double"&gt;1699.375868&lt;/D&gt;&lt;D xsi:type="xsd:double"&gt;1712.333662&lt;/D&gt;&lt;D xsi:type="xsd:double"&gt;1739.934675&lt;/D&gt;&lt;D xsi:type="xsd:double"&gt;1695.877305&lt;/D&gt;&lt;D xsi:type="xsd:double"&gt;1737.912802&lt;/D&gt;&lt;D xsi:type="xsd:double"&gt;1783.493762&lt;/D&gt;&lt;D xsi:type="xsd:double"&gt;1805.624012&lt;/D&gt;&lt;D xsi:type="xsd:double"&gt;1839.808912&lt;/D&gt;&lt;D xsi:type="xsd:double"&gt;1822.230419&lt;/D&gt;&lt;D xsi:type="xsd:double"&gt;1802.481984&lt;/D&gt;&lt;D xsi:type="xsd:double"&gt;1793.675121&lt;/D&gt;&lt;D xsi:type="xsd:double"&gt;1806.694594&lt;/D&gt;&lt;D xsi:type="xsd:double"&gt;1808.02833&lt;/D&gt;&lt;D xsi:type="xsd:double"&gt;1800.607745&lt;/D&gt;&lt;D xsi:type="xsd:double"&gt;1791.353401&lt;/D&gt;&lt;D xsi:type="xsd:double"&gt;1780.579701&lt;/D&gt;&lt;D xsi:type="xsd:double"&gt;1820.725009&lt;/D&gt;&lt;D xsi:type="xsd:double"&gt;1814.677797&lt;/D&gt;&lt;D xsi:type="xsd:double"&gt;1832.434394&lt;/D&gt;&lt;D xsi:type="xsd:double"&gt;1827.316492&lt;/D&gt;&lt;D xsi:type="xsd:double"&gt;1865.123033&lt;/D&gt;&lt;D xsi:type="xsd:double"&gt;1878.238456&lt;/D&gt;&lt;D xsi:type="xsd:double"&gt;1858.627032&lt;/D&gt;&lt;D xsi:type="xsd:double"&gt;1883.170048&lt;/D&gt;&lt;D xsi:type="xsd:double"&gt;1897.99928&lt;/D&gt;&lt;D xsi:type="xsd:double"&gt;1882.602091&lt;/D&gt;&lt;D xsi:type="xsd:double"&gt;1870.872803&lt;/D&gt;&lt;D xsi:type="xsd:double"&gt;1888.494143&lt;/D&gt;&lt;D xsi:type="xsd:double"&gt;1918.442337&lt;/D&gt;&lt;D xsi:type="xsd:double"&gt;1916.938882&lt;/D&gt;&lt;D xsi:type="xsd:double"&gt;1888.502577&lt;/D&gt;&lt;D xsi:type="xsd:double"&gt;1907.042284&lt;/D&gt;&lt;D xsi:type="xsd:double"&gt;1915.995003&lt;/D&gt;&lt;D xsi:type="xsd:double"&gt;1933.215845&lt;/D&gt;&lt;D xsi:type="xsd:double"&gt;1948.837022&lt;/D&gt;&lt;D xsi:type="xsd:double"&gt;1933.769486&lt;/D&gt;&lt;D xsi:type="xsd:double"&gt;1932.47869&lt;/D&gt;&lt;D xsi:type="xsd:double"&gt;1916.132798&lt;/D&gt;&lt;D xsi:type="xsd:double"&gt;1909.215351&lt;/D&gt;&lt;D xsi:type="xsd:double"&gt;1868.639076&lt;/D&gt;&lt;D xsi:type="xsd:double"&gt;1872.258396&lt;/D&gt;&lt;D xsi:type="xsd:double"&gt;1900.850825&lt;/D&gt;&lt;D xsi:type="xsd:double"&gt;1896.942032&lt;/D&gt;&lt;D xsi:type="xsd:double"&gt;1917.316887&lt;/D&gt;&lt;D xsi:type="xsd:double"&gt;1934.822178&lt;/D&gt;&lt;D xsi:type="xsd:double"&gt;1907.487299&lt;/D&gt;&lt;D xsi:type="xsd:double"&gt;1933.815673&lt;/D&gt;&lt;D xsi:type="xsd:double"&gt;1940.239329&lt;/D&gt;&lt;D xsi:type="xsd:double"&gt;1946.88746&lt;/D&gt;&lt;D xsi:type="xsd:double"&gt;1959.057174&lt;/D&gt;&lt;D xsi:type="xsd:double"&gt;1990.709754&lt;/D&gt;&lt;D xsi:type="xsd:double"&gt;1980.647405&lt;/D&gt;&lt;D xsi:type="xsd:double"&gt;1990.128511&lt;/D&gt;&lt;D xsi:type="xsd:double"&gt;2004.4724&lt;/D&gt;&lt;D xsi:type="xsd:double"&gt;1995.625651&lt;/D&gt;&lt;D xsi:type="xsd:double"&gt;1998.090606&lt;/D&gt;&lt;D xsi:type="xsd:double"&gt;2014.286417&lt;/D&gt;&lt;D xsi:type="xsd:double"&gt;2033.344439&lt;/D&gt;&lt;D xsi:type="xsd:double"&gt;2056.98675&lt;/D&gt;&lt;D xsi:type="xsd:double"&gt;2071.017052&lt;/D&gt;&lt;D xsi:type="xsd:double"&gt;2056.999798&lt;/D&gt;&lt;D xsi:type="xsd:double"&gt;2037.888414&lt;/D&gt;&lt;D xsi:type="xsd:double"&gt;2031.975457&lt;/D&gt;&lt;D xsi:type="xsd:double"&gt;2052.860721&lt;/D&gt;&lt;D xsi:type="xsd:double"&gt;2064.620277&lt;/D&gt;&lt;D xsi:type="xsd:double"&gt;2112.130497&lt;/D&gt;&lt;D xsi:type="xsd:double"&gt;2133.468937&lt;/D&gt;&lt;D xsi:type="xsd:double"&gt;2135.121147&lt;/D&gt;&lt;D xsi:type="xsd:double"&gt;2135.296106&lt;/D&gt;&lt;D xsi:type="xsd:double"&gt;2146.72183&lt;/D&gt;&lt;D xsi:type="xsd:double"&gt;2154.768691&lt;/D&gt;&lt;D xsi:type="xsd:double"&gt;2161.756395&lt;/D&gt;&lt;D xsi:type="xsd:double"&gt;2151.17262&lt;/D&gt;&lt;D xsi:type="xsd:double"&gt;2147.631741&lt;/D&gt;&lt;D xsi:type="xsd:double"&gt;2150.006155&lt;/D&gt;&lt;D xsi:type="xsd:double"&gt;2174.129653&lt;/D&gt;&lt;D xsi:type="xsd:double"&gt;2194.192718&lt;/D&gt;&lt;D xsi:type="xsd:double"&gt;2195.108587&lt;/D&gt;&lt;D xsi:type="xsd:double"&gt;2204.832926&lt;/D&gt;&lt;D xsi:type="xsd:double"&gt;2221.76987&lt;/D&gt;&lt;D xsi:type="xsd:double"&gt;2209.182197&lt;/D&gt;&lt;D xsi:type="xsd:double"&gt;2185.775891&lt;/D&gt;&lt;D xsi:type="xsd:double"&gt;2167.210981&lt;/D&gt;&lt;D xsi:type="xsd:double"&gt;2161.886497&lt;/D&gt;&lt;D xsi:type="xsd:double"&gt;2163.253544&lt;/D&gt;&lt;D xsi:type="xsd:double"&gt;2149.209404&lt;/D&gt;&lt;D xsi:type="xsd:double"&gt;2174.25909&lt;/D&gt;&lt;D xsi:type="xsd:double"&gt;2170.593773&lt;/D&gt;&lt;D xsi:type="xsd:double"&gt;2174.295445&lt;/D&gt;&lt;D xsi:type="xsd:double"&gt;2168.847138&lt;/D&gt;&lt;D xsi:type="xsd:double"&gt;2162.540635&lt;/D&gt;&lt;D xsi:type="xsd:double"&gt;2130.533028&lt;/D&gt;&lt;D xsi:type="xsd:double"&gt;2143.181871&lt;/D&gt;&lt;D xsi:type="xsd:double"&gt;2139.243828&lt;/D&gt;&lt;D xsi:type="xsd:double"&gt;2152.594286&lt;/D&gt;&lt;D xsi:type="xsd:double"&gt;2141.036745&lt;/D&gt;&lt;D xsi:type="xsd:double"&gt;2116.609584&lt;/D&gt;&lt;D xsi:type="xsd:double"&gt;2137.948299&lt;/D&gt;&lt;D xsi:type="xsd:double"&gt;2140.00593&lt;/D&gt;&lt;D xsi:type="xsd:double"&gt;2148.7274&lt;/D&gt;&lt;D xsi:type="xsd:double"&gt;2124.916189&lt;/D&gt;&lt;D xsi:type="xsd:double"&gt;2114.102735&lt;/D&gt;&lt;D xsi:type="xsd:double"&gt;2123.449597&lt;/D&gt;&lt;D xsi:type="xsd:double"&gt;2073.046461&lt;/D&gt;&lt;D xsi:type="xsd:double"&gt;2065.913101&lt;/D&gt;&lt;D xsi:type="xsd:double"&gt;2087.236271&lt;/D&gt;&lt;D xsi:typ</t>
        </r>
      </text>
    </comment>
    <comment ref="A21" authorId="0" shapeId="0">
      <text>
        <r>
          <rPr>
            <b/>
            <sz val="9"/>
            <color indexed="81"/>
            <rFont val="Tahoma"/>
            <family val="2"/>
          </rPr>
          <t>e="xsd:double"&gt;2097.815398&lt;/D&gt;&lt;D xsi:type="xsd:double"&gt;2099.958508&lt;/D&gt;&lt;D xsi:type="xsd:double"&gt;2110.792585&lt;/D&gt;&lt;D xsi:type="xsd:double"&gt;2133.71921&lt;/D&gt;&lt;D xsi:type="xsd:double"&gt;2120.588463&lt;/D&gt;&lt;D xsi:type="xsd:double"&gt;2103.87593&lt;/D&gt;&lt;D xsi:type="xsd:double"&gt;2095.449448&lt;/D&gt;&lt;D xsi:type="xsd:double"&gt;2056.393052&lt;/D&gt;&lt;D xsi:type="xsd:double"&gt;2039.000739&lt;/D&gt;&lt;D xsi:type="xsd:double"&gt;2044.922356&lt;/D&gt;&lt;D xsi:type="xsd:double"&gt;2051.881239&lt;/D&gt;&lt;D xsi:type="xsd:double"&gt;2039.119775&lt;/D&gt;&lt;D xsi:type="xsd:double"&gt;2028.565483&lt;/D&gt;&lt;D xsi:type="xsd:double"&gt;1950.359555&lt;/D&gt;&lt;D xsi:type="xsd:double"&gt;1945.209518&lt;/D&gt;&lt;D xsi:type="xsd:double"&gt;1975.558067&lt;/D&gt;&lt;D xsi:type="xsd:double"&gt;1996.249338&lt;/D&gt;&lt;D xsi:type="xsd:double"&gt;1946.059191&lt;/D&gt;&lt;D xsi:type="xsd:double"&gt;2007.28451&lt;/D&gt;&lt;D xsi:type="xsd:double"&gt;2025.657239&lt;/D&gt;&lt;D xsi:type="xsd:double"&gt;2041.817103&lt;/D&gt;&lt;D xsi:type="xsd:double"&gt;1999.869197&lt;/D&gt;&lt;D xsi:type="xsd:double"&gt;1983.725601&lt;/D&gt;&lt;D xsi:type="xsd:double"&gt;2010.099479&lt;/D&gt;&lt;D xsi:type="xsd:double"&gt;2044.397344&lt;/D&gt;&lt;D xsi:type="xsd:double"&gt;2044.991306&lt;/D&gt;&lt;D xsi:type="xsd:double"&gt;2022.829151&lt;/D&gt;&lt;D xsi:type="xsd:double"&gt;2040.015077&lt;/D&gt;&lt;D xsi:type="xsd:double"&gt;2077.853143&lt;/D&gt;&lt;D xsi:type="xsd:double"&gt;2107.766278&lt;/D&gt;&lt;D xsi:type="xsd:double"&gt;2125.451759&lt;/D&gt;&lt;D xsi:type="xsd:double"&gt;2094.033309&lt;/D&gt;&lt;D xsi:type="xsd:double"&gt;2065.184562&lt;/D&gt;&lt;D xsi:type="xsd:double"&gt;2029.983661&lt;/D&gt;&lt;D xsi:type="xsd:double"&gt;2039.923499&lt;/D&gt;&lt;D xsi:type="xsd:double"&gt;2005.226859&lt;/D&gt;&lt;D xsi:type="xsd:double"&gt;2047.967809&lt;/D&gt;&lt;D xsi:type="xsd:double"&gt;2009.219804&lt;/D&gt;&lt;D xsi:type="xsd:double"&gt;2027.738849&lt;/D&gt;&lt;D xsi:type="xsd:double"&gt;2001.208887&lt;/D&gt;&lt;D xsi:type="xsd:double"&gt;2006.936085&lt;/D&gt;&lt;D xsi:type="xsd:double"&gt;1955.871589&lt;/D&gt;&lt;D xsi:type="xsd:double"&gt;1967.420276&lt;/D&gt;&lt;D xsi:type="xsd:double"&gt;1966.124899&lt;/D&gt;&lt;D xsi:type="xsd:double"&gt;2002.945207&lt;/D&gt;&lt;D xsi:type="xsd:double"&gt;2018.333474&lt;/D&gt;&lt;D xsi:type="xsd:double"&gt;2087.678741&lt;/D&gt;&lt;D xsi:type="xsd:double"&gt;2076.55013&lt;/D&gt;&lt;D xsi:type="xsd:double"&gt;2044.09173&lt;/D&gt;&lt;D xsi:type="xsd:double"&gt;2029.794215&lt;/D&gt;&lt;D xsi:type="xsd:double"&gt;2043.85413&lt;/D&gt;&lt;D xsi:type="xsd:double"&gt;2015.163237&lt;/D&gt;&lt;D xsi:type="xsd:double"&gt;2035.78693&lt;/D&gt;&lt;D xsi:type="xsd:double"&gt;2009.528384&lt;/D&gt;&lt;D xsi:type="xsd:double"&gt;1914.685918&lt;/D&gt;&lt;D xsi:type="xsd:double"&gt;1937.295209&lt;/D&gt;&lt;D xsi:type="xsd:double"&gt;2041.703267&lt;/D&gt;&lt;D xsi:type="xsd:double"&gt;2060.409835&lt;/D&gt;&lt;D xsi:type="xsd:double"&gt;2061.833662&lt;/D&gt;&lt;D xsi:type="xsd:double"&gt;2116.700029&lt;/D&gt;&lt;D xsi:type="xsd:double"&gt;2165.557028&lt;/D&gt;&lt;D xsi:type="xsd:double"&gt;2148.084151&lt;/D&gt;&lt;D xsi:type="xsd:double"&gt;2158.998776&lt;/D&gt;&lt;D xsi:type="xsd:double"&gt;2173.33959&lt;/D&gt;&lt;D xsi:type="xsd:double"&gt;2190.508001&lt;/D&gt;&lt;D xsi:type="xsd:double"&gt;2182.15724&lt;/D&gt;&lt;D xsi:type="xsd:double"&gt;2203.785827&lt;/D&gt;&lt;D xsi:type="xsd:double"&gt;2243.433782&lt;/D&gt;&lt;D xsi:type="xsd:double"&gt;2247.419085&lt;/D&gt;&lt;D xsi:type="xsd:double"&gt;2247.967004&lt;/D&gt;&lt;D xsi:type="xsd:double"&gt;2250.520538&lt;/D&gt;&lt;D xsi:type="xsd:double"&gt;2240.741724&lt;/D&gt;&lt;D xsi:type="xsd:double"&gt;2233.405746&lt;/D&gt;&lt;D xsi:type="xsd:double"&gt;2211.670515&lt;/D&gt;&lt;D xsi:type="xsd:double"&gt;2204.043284&lt;/D&gt;&lt;D xsi:type="xsd:double"&gt;2173.415648&lt;/D&gt;&lt;D xsi:type="xsd:double"&gt;2172.267701&lt;/D&gt;&lt;D xsi:type="xsd:double"&gt;2182.136814&lt;/D&gt;&lt;D xsi:type="xsd:double"&gt;2183.082082&lt;/D&gt;&lt;D xsi:type="xsd:double"&gt;2231.246835&lt;/D&gt;&lt;D xsi:type="xsd:double"&gt;2254.950854&lt;/D&gt;&lt;D xsi:type="xsd:double"&gt;2314.912842&lt;/D&gt;&lt;D xsi:type="xsd:double"&gt;2318.195013&lt;/D&gt;&lt;D xsi:type="xsd:double"&gt;2323.438195&lt;/D&gt;&lt;D xsi:type="xsd:double"&gt;2309.455403&lt;/D&gt;&lt;D xsi:type="xsd:double"&gt;2290.562627&lt;/D&gt;&lt;D xsi:type="xsd:double"&gt;2283.654748&lt;/D&gt;&lt;D xsi:type="xsd:double"&gt;2268.681658&lt;/D&gt;&lt;D xsi:type="xsd:double"&gt;2285.08209&lt;/D&gt;&lt;D xsi:type="xsd:double"&gt;2292.321407&lt;/D&gt;&lt;D xsi:type="xsd:double"&gt;2282.170829&lt;/D&gt;&lt;D xsi:type="xsd:double"&gt;2258.45884&lt;/D&gt;&lt;D xsi:type="xsd:double"&gt;2232.238875&lt;/D&gt;&lt;D xsi:type="xsd:double"&gt;2237.774226&lt;/D&gt;&lt;D xsi:type="xsd:double"&gt;2229.206242&lt;/D&gt;&lt;D xsi:type="xsd:double"&gt;2195.554375&lt;/D&gt;&lt;D xsi:type="xsd:double"&gt;2240.543701&lt;/D&gt;&lt;D xsi:type="xsd:double"&gt;2208.197861&lt;/D&gt;&lt;D xsi:type="xsd:double"&gt;2241.801109&lt;/D&gt;&lt;D xsi:type="xsd:double"&gt;2263.218895&lt;/D&gt;&lt;D xsi:type="xsd:double"&gt;2298.362644&lt;/D&gt;&lt;D xsi:type="xsd:double"&gt;2267.705571&lt;/D&gt;&lt;D xsi:type="xsd:double"&gt;2256.518972&lt;/D&gt;&lt;D xsi:type="xsd:double"&gt;2293.627502&lt;/D&gt;&lt;D xsi:type="xsd:double"&gt;2326.132259&lt;/D&gt;&lt;D xsi:type="xsd:double"&gt;2349.074461&lt;/D&gt;&lt;D xsi:type="xsd:double"&gt;2346.461882&lt;/D&gt;&lt;D xsi:type="xsd:double"&gt;2326.370962&lt;/D&gt;&lt;D xsi:type="xsd:double"&gt;2348.437815&lt;/D&gt;&lt;D xsi:type="xsd:double"&gt;2366.293355&lt;/D&gt;&lt;D xsi:type="xsd:double"&gt;2389.568769&lt;/D&gt;&lt;D xsi:type="xsd:double"&gt;2365.014401&lt;/D&gt;&lt;D xsi:type="xsd:double"&gt;2374.364327&lt;/D&gt;&lt;D xsi:type="xsd:double"&gt;2346.143876&lt;/D&gt;&lt;D xsi:type="xsd:double"&gt;2311.669932&lt;/D&gt;&lt;D xsi:type="xsd:double"&gt;2288.955315&lt;/D&gt;&lt;D xsi:type="xsd:double"&gt;2298.930037&lt;/D&gt;&lt;D xsi:type="xsd:double"&gt;2266.658912&lt;/D&gt;&lt;D xsi:type="xsd:double"&gt;2310.182466&lt;/D&gt;&lt;D xsi:type="xsd:double"&gt;2331.950219&lt;/D&gt;&lt;D xsi:type="xsd:double"&gt;2323.39846&lt;/D&gt;&lt;D xsi:type="xsd:double"&gt;2313.086632&lt;/D&gt;&lt;D xsi:type="xsd:double"&gt;2343.977518&lt;/D&gt;&lt;D xsi:type="xsd:double"&gt;2353.817782&lt;/D&gt;&lt;D xsi:type="xsd:double"&gt;2364.076111&lt;/D&gt;&lt;D xsi:type="xsd:double"&gt;2339.945105&lt;/D&gt;&lt;D xsi:type="xsd:double"&gt;2329.553068&lt;/D&gt;&lt;D xsi:type="xsd:double"&gt;2313.93003&lt;/D&gt;&lt;D xsi:type="xsd:double"&gt;2329.936388&lt;/D&gt;&lt;D xsi:type="xsd:double"&gt;2310.063672&lt;/D&gt;&lt;D xsi:type="xsd:double"&gt;2312.551146&lt;/D&gt;&lt;D xsi:type="xsd:double"&gt;2309.37934&lt;/D&gt;&lt;D xsi:type="xsd:double"&gt;2305.992301&lt;/D&gt;&lt;D xsi:type="xsd:double"&gt;2291.97811&lt;/D&gt;&lt;D xsi:type="xsd:double"&gt;2279.899017&lt;/D&gt;&lt;D xsi:type="xsd:double"&gt;2249.868981&lt;/D&gt;&lt;D xsi:type="xsd:double"&gt;2242.456474&lt;/D&gt;&lt;D xsi:type="xsd:double"&gt;2247.672736&lt;/D&gt;&lt;D xsi:type="xsd:double"&gt;2243.567969&lt;/D&gt;&lt;D xsi:type="xsd:double"&gt;2242.047919&lt;/D&gt;&lt;D xsi:type="xsd:double"&gt;2228.036359&lt;/D&gt;&lt;D xsi:type="xsd:double"&gt;2159.195234&lt;/D&gt;&lt;D xsi:type="xsd:double"&gt;2149.193995&lt;/D&gt;&lt;D xsi:type="xsd:double"&gt;2171.546296&lt;/D&gt;&lt;D xsi:type="xsd:double"&gt;2178.421901&lt;/D&gt;&lt;D xsi:type="xsd:double"&gt;2169.954667&lt;/D&gt;&lt;D xsi:type="xsd:double"&gt;2158.913827&lt;/D&gt;&lt;D xsi:type="xsd:double"&gt;2127.735618&lt;/D&gt;&lt;D xsi:type="xsd:double"&gt;2148.520212&lt;/D&gt;&lt;D xsi:type="xsd:double"&gt;2169.814566&lt;/D&gt;&lt;D xsi:type="xsd:double"&gt;2158.454987&lt;/D&gt;&lt;D xsi:type="xsd:double"&gt;2181.259009&lt;/D&gt;&lt;D xsi:type="xsd:double"&gt;2172.444724&lt;/D&gt;&lt;D xsi:type="xsd:double"&gt;2138.854988&lt;/D&gt;&lt;D xsi:type="xsd:double"&gt;2122.090541&lt;/D&gt;&lt;D xsi:type="xsd:double"&gt;2121.451156&lt;/D&gt;&lt;D xsi:type="xsd:double"&gt;2148.715607&lt;/D&gt;&lt;D xsi:type="xsd:double"&gt;2142.680921&lt;/D&gt;&lt;D xsi:type="xsd:double"&gt;2131.83969&lt;/D&gt;&lt;D xsi:type="xsd:double"&gt;2107.392057&lt;/D&gt;&lt;D xsi:type="xsd:double"&gt;2081.291453&lt;/D&gt;&lt;D xsi:type="xsd:double"&gt;2068.67043&lt;/D&gt;&lt;D xsi:type="xsd:double"&gt;2044.104519&lt;/D&gt;&lt;D xsi:type="xsd:double"&gt;2024.621374&lt;/D&gt;&lt;D xsi:type="xsd:double"&gt;2085.326431&lt;/D&gt;&lt;D xsi:type="xsd:double"&gt;2118.366631&lt;/D&gt;&lt;D xsi:type="xsd:double"&gt;2141.953243&lt;/D&gt;&lt;D xsi:type="xsd:double"&gt;2119.078324&lt;/D&gt;&lt;D xsi:type="xsd:double"&gt;2181.529095&lt;/D&gt;&lt;D xsi:type="xsd:double"&gt;2215.403659&lt;/D&gt;&lt;D xsi:type="xsd:double"&gt;2175.830148&lt;/D&gt;&lt;D xsi:type="xsd:double"&gt;2163.706515&lt;/D&gt;&lt;D xsi:type="xsd:double"&gt;2176.197989&lt;/D&gt;&lt;D xsi:type="xsd:double"&gt;2184.367902&lt;/D&gt;&lt;D xsi:type="xsd:double"&gt;2171.060716&lt;/D&gt;&lt;D xsi:type="xsd:double"&gt;2209.640143&lt;/D&gt;&lt;D xsi:type="xsd:double"&gt;2180.21365&lt;/D&gt;&lt;D xsi:type="xsd:double"&gt;2177.174483&lt;/D&gt;&lt;D xsi:type="xsd:double"&gt;2209.077339&lt;/D&gt;&lt;D xsi:type="xsd:double"&gt;2256.601369&lt;/D&gt;&lt;D xsi:type="xsd:double"&gt;2286.004333&lt;/D&gt;&lt;D xsi:type="xsd:double"&gt;2306.436516&lt;/D&gt;&lt;D xsi:type="xsd:double"&gt;2306.236103&lt;/D&gt;&lt;D xsi:type="xsd:double"&gt;2314.833056&lt;/D&gt;&lt;D xsi:type="xsd:double"&gt;2294.895736&lt;/D&gt;&lt;D xsi:type="xsd:double"&gt;2311.511957&lt;/D&gt;&lt;D xsi:type="xsd:double"&gt;2318.031807&lt;/D&gt;&lt;D xsi:type="xsd:double"&gt;2316.433623&lt;/D&gt;&lt;D xsi:type="xsd:double"&gt;2300.262271&lt;/D&gt;&lt;D xsi:type="xsd:double"&gt;2281.981236&lt;/D&gt;&lt;D xsi:type="xsd:double"&gt;2287.269429&lt;/D&gt;&lt;D xsi:type="xsd:double"&gt;2292.044367&lt;/D&gt;&lt;D xsi:type="xsd:double"&gt;2281.412501&lt;/D&gt;&lt;D xsi:type="xsd:double"&gt;2269.887497&lt;/D&gt;&lt;D xsi:type="xsd:double"&gt;2271.573544&lt;/D&gt;&lt;D xsi:type="xsd:double"&gt;2258.565401&lt;/D&gt;&lt;D xsi:type="xsd:double"&gt;2242.060277&lt;/D&gt;&lt;D xsi:type="xsd:double"&gt;2222.648484&lt;/D&gt;&lt;D xsi:type="xsd:double"&gt;2199.842752&lt;/D&gt;&lt;D xsi:type="xsd:double"&gt;2217.516123&lt;/D&gt;&lt;D xsi:type="xsd:double"&gt;2225.970379&lt;/D&gt;&lt;D xsi:type="xsd:double"&gt;2230.701535&lt;/D&gt;&lt;D xsi:type="xsd:double"&gt;2237.539489&lt;/D&gt;&lt;D xsi:type="xsd:double"&gt;2252.509899&lt;/D&gt;&lt;D xsi:type="xsd:double"&gt;2247.434152&lt;/D&gt;&lt;D xsi:type="xsd:double"&gt;2249.886819&lt;/D&gt;&lt;D xsi:type="xsd:double"&gt;2246.883952&lt;/D&gt;&lt;D xsi:type="xsd:double"&gt;2217.403898&lt;/D&gt;&lt;D xsi:type="xsd:double"&gt;2191.148022&lt;/D&gt;&lt;D xsi:type="xsd:double"&gt;2191.090509&lt;/D&gt;&lt;D xsi:type="xsd:double"&gt;2205.039506&lt;/D&gt;&lt;D xsi:type="xsd:double"&gt;2192.539448&lt;/D&gt;&lt;D xsi:type="xsd:double"&gt;2212.600935&lt;/D&gt;&lt;D xsi:type="xsd:double"&gt;2237.2603&lt;/D&gt;&lt;D xsi:type="xsd:double"&gt;2263.343999&lt;/D&gt;&lt;D xsi:type="xsd:double"&gt;2266.787765&lt;/D&gt;&lt;D xsi:type="xsd:double"&gt;2258.084334&lt;/D&gt;&lt;D xsi:type="xsd:double"&gt;2243.518279&lt;/D&gt;&lt;D xsi:type="xsd:double"&gt;2222.179452&lt;/D&gt;&lt;D xsi:type="xsd:double"&gt;2231.54523&lt;/D&gt;&lt;D xsi:type="xsd:double"&gt;2218.824385&lt;/D&gt;&lt;D xsi:type="xsd:double"&gt;2223.63141&lt;/D&gt;&lt;D xsi:type="xsd:double"&gt;2244.693076&lt;/D&gt;&lt;D xsi:type="xsd:double"&gt;2226.960815&lt;/D&gt;&lt;D xsi:type="xsd:double"&gt;2221.91335&lt;/D&gt;&lt;D xsi:type="xsd:double"&gt;2223.767422&lt;/D&gt;&lt;D xsi:type="xsd:double"&gt;2212.407333&lt;/D&gt;&lt;D xsi:type="xsd:double"&gt;2217.557166&lt;/D&gt;&lt;D xsi:type="xsd:double"&gt;2224.516854&lt;/D&gt;&lt;D xsi:type="xsd:double"&gt;2217.982329&lt;/D&gt;&lt;D xsi:type="xsd:double"&gt;2215.484398&lt;/D&gt;&lt;D xsi:type="xsd:double"&gt;2210.319019&lt;/D&gt;&lt;D xsi:type="xsd:double"&gt;2229.716948&lt;/D&gt;&lt;D xsi:type="xsd:double"&gt;2219.655969&lt;/D&gt;&lt;D xsi:type="xsd:double"&gt;2242.227702&lt;/D&gt;&lt;D xsi:type="xsd:double"&gt;2225.753338&lt;/D&gt;&lt;D xsi:type="xsd:double"&gt;2209.619168&lt;/D&gt;&lt;D xsi:type="xsd:double"&gt;2207.192395&lt;/D&gt;&lt;D xsi:type="xsd:double"&gt;2194.458079&lt;/D&gt;&lt;D xsi:type="xsd:double"&gt;2205.28965&lt;/D&gt;&lt;D xsi:type="xsd:double"&gt;2204.97122&lt;/D&gt;&lt;D xsi:type="xsd:double"&gt;2208.992688&lt;/D&gt;&lt;D xsi:type="xsd:double"&gt;2213.4125&lt;/D&gt;&lt;D xsi:type="xsd:double"&gt;2203.477998&lt;/D&gt;&lt;D xsi:type="xsd:double"&gt;2211.277919&lt;/D&gt;&lt;D xsi:type="xsd:double"&gt;2216.160304&lt;/D&gt;&lt;D xsi:type="xsd:double"&gt;2197.985229&lt;/D&gt;&lt;D xsi:type="xsd:double"&gt;2211.885452&lt;/D&gt;&lt;D xsi:type="xsd:double"&gt;2208.701185&lt;/D&gt;&lt;D xsi:type="xsd:double"&gt;2205.332656&lt;/D&gt;&lt;D xsi:type="xsd:double"&gt;2178.165782&lt;/D&gt;&lt;D xsi:type="xsd:double"&gt;2172.500605&lt;/D&gt;&lt;D xsi:type="xsd:double"&gt;2171.783823&lt;/D&gt;&lt;D xsi:type="xsd:double"&gt;2173.294412&lt;/D&gt;&lt;D xsi:type="xsd:double"&gt;2153.947815&lt;/D&gt;&lt;D xsi:type="xsd:double"&gt;2159.674971&lt;/D&gt;&lt;D xsi:type="xsd:double"&gt;2154.309201&lt;/D&gt;&lt;D xsi:type="xsd:double"&gt;2141.107156&lt;/D&gt;&lt;D xsi:type="xsd:double"&gt;2121.225231&lt;/D&gt;&lt;D xsi:type="xsd:double"&gt;2116.008511&lt;/D&gt;&lt;D xsi:type="xsd:double"&gt;2118.973118&lt;/D&gt;&lt;D xsi:type="xsd:double"&gt;2110.970604&lt;/D&gt;&lt;D xsi:type="xsd:double"&gt;2117.016087&lt;/D&gt;&lt;D xsi:type="xsd:double"&gt;2122.758868&lt;/D&gt;&lt;D xsi:type="xsd:double"&gt;2129.21129&lt;/D&gt;&lt;D xsi:type="xsd:double"&gt;2125.463457&lt;/D&gt;&lt;D xsi:type="xsd:double"&gt;2090.868445&lt;/D&gt;&lt;D xsi:type="xsd:double"&gt;2082.758551&lt;/D&gt;&lt;D xsi:type="xsd:double"&gt;2067.124997&lt;/D&gt;&lt;D xsi:type="xsd:double"&gt;2043.159898&lt;/D&gt;&lt;D xsi:type="xsd:double"&gt;2040.260374&lt;/D&gt;&lt;D xsi:type="xsd:double"&gt;2007.320184&lt;/D&gt;&lt;D xsi:type="xsd:double"&gt;2055.000555&lt;/D&gt;&lt;D xsi:type="xsd:double"&gt;2072.286231&lt;/D&gt;&lt;D xsi:type="xsd:double"&gt;2063.725473&lt;/D&gt;&lt;D xsi:type="xsd:double"&gt;2060.583302&lt;/D&gt;&lt;D xsi:type="xsd:double"&gt;2038.856851&lt;/D&gt;&lt;D xsi:type="xsd:double"&gt;2027.598147&lt;/D&gt;&lt;D xsi:type="xsd:double"&gt;2002.550383&lt;/D&gt;&lt;D xsi:type="xsd:double"&gt;2043.723571&lt;/D&gt;&lt;D xsi:type="xsd:double"&gt;2051.964044&lt;/D&gt;&lt;D xsi:type="xsd:double"&gt;2070.829621&lt;/D&gt;&lt;D xsi:type="xsd:double"&gt;2115.798359&lt;/D&gt;&lt;D xsi:type="xsd:double"&gt;2150.249522&lt;/D&gt;&lt;D xsi:type="xsd:double"&gt;2140.164011&lt;/D&gt;&lt;D xsi:type="xsd:double"&gt;2125.13875&lt;/D&gt;&lt;D xsi:type="xsd:double"&gt;2119.293829&lt;/D&gt;&lt;D xsi:type="xsd:double"&gt;2132.854635&lt;/D&gt;&lt;D xsi:type="xsd:double"&gt;2129.396497&lt;/D&gt;&lt;D xsi:type="xsd:double"&gt;2133.974855&lt;/D&gt;&lt;D xsi:type="xsd:double"&gt;2122.688844&lt;/D&gt;&lt;D xsi:type="xsd:double"&gt;2093.479656&lt;/D&gt;&lt;D xsi:type="xsd:double"&gt;2079.008442&lt;/D&gt;&lt;D xsi:type="xsd:double"&gt;2092.076972&lt;/D&gt;&lt;D xsi:type="xsd:double"&gt;2085.508025&lt;/D&gt;&lt;D xsi:type="xsd:double"&gt;2097.848065&lt;/D&gt;&lt;D xsi:type="xsd:double"&gt;2088.668948&lt;/D&gt;&lt;D xsi:type="xsd:double"&gt;2076.650137&lt;/D&gt;&lt;D xsi:type="xsd:double"&gt;2084.039149&lt;/D&gt;&lt;D xsi:type="xsd:double"&gt;2083.46159&lt;/D&gt;&lt;D xsi:type="xsd:double"&gt;2056.608985&lt;/D&gt;&lt;D xsi:type="xsd:double"&gt;2060.391157&lt;/D&gt;&lt;D xsi:type="xsd:double"&gt;2050.64629&lt;/D&gt;&lt;D xsi:type="xsd:double"&gt;2044.513077&lt;/D&gt;&lt;D xsi:type="xsd:double"&gt;2064.047438&lt;/D&gt;&lt;D xsi:type="xsd:double"&gt;2070.184341&lt;/D&gt;&lt;D xsi:type="xsd:double"&gt;2061.889135&lt;/D&gt;&lt;D xsi:type="xsd:double"&gt;2051.742705&lt;/D&gt;&lt;D xsi:type="xsd:double"&gt;2050.658443&lt;/D&gt;&lt;D xsi:type="xsd:double"&gt;2041.207553&lt;/D&gt;&lt;D xsi:type="xsd:double"&gt;2042.234622&lt;/D&gt;&lt;D xsi:type="xsd:double"&gt;2039.237949&lt;/D&gt;&lt;D xsi:type="xsd:double"&gt;2034.240311&lt;/D&gt;&lt;D xsi:type="xsd:double"&gt;2011.382406&lt;/D&gt;&lt;D xsi:type="xsd:double"&gt;1997.588052&lt;/D&gt;&lt;D xsi:type="xsd:double"&gt;2022.556629&lt;/D&gt;&lt;D xsi:type="xsd:double"&gt;2018.711588&lt;/D&gt;&lt;D xsi:type="xsd:double"&gt;2018.541569&lt;/D&gt;&lt;D xsi:type="xsd:double"&gt;2045.530416&lt;/D&gt;&lt;D xsi:type="xsd:double"&gt;2060.392653&lt;/D&gt;&lt;D xsi:type="xsd:double"&gt;2045.035763&lt;/D&gt;&lt;D xsi:type="xsd:double"&gt;2044.660472&lt;/D&gt;&lt;D xsi:type="xsd:double"&gt;2040.80413&lt;/D&gt;&lt;D xsi:type="xsd:double"&gt;2023.421797&lt;/D&gt;&lt;D xsi:type="xsd:double"&gt;2026.415511&lt;/D&gt;&lt;D xsi:type="xsd:double"&gt;2033.623032&lt;/D&gt;&lt;D xsi:type="xsd:double"&gt;2037.963796&lt;/D&gt;&lt;D xsi:type="xsd:double"&gt;2025.101172&lt;/D&gt;&lt;D xsi:type="xsd:double"&gt;2029.201079&lt;/D&gt;&lt;D xsi:type="xsd:double"&gt;2032.34142&lt;/D&gt;&lt;D xsi:type="xsd:double"&gt;2033.987367&lt;/D&gt;&lt;D xsi:type="xsd:double"&gt;2026.012822&lt;/D&gt;&lt;D xsi:type="xsd:double"&gt;2019.12875&lt;/D&gt;&lt;D xsi:type="xsd:double"&gt;2010.363624&lt;/D&gt;&lt;D xsi:type="xsd:double"&gt;2015.730928&lt;/D&gt;&lt;D xsi:type="xsd:double"&gt;2016.698031&lt;/D&gt;&lt;D xsi:type="xsd:double"&gt;2010.099131&lt;/D&gt;&lt;D xsi:type="xsd:double"&gt;2002.86583&lt;/D&gt;&lt;D xsi:type="xsd:double"&gt;1995.415523&lt;/D&gt;&lt;D xsi:type="xsd:double"&gt;1987.887995&lt;/D&gt;&lt;D xsi:type="xsd:double"&gt;1989.162997&lt;/D&gt;&lt;D xsi:type="xsd:double"&gt;1977.978885&lt;/D&gt;&lt;D xsi:type="xsd:double"&gt;1951.310478&lt;/D&gt;&lt;D xsi:type="xsd:double"&gt;1955.276772&lt;/D&gt;&lt;D xsi:type="xsd:double"&gt;1969.146407&lt;/D&gt;&lt;D xsi:type="xsd:double"&gt;1965.597647&lt;/D&gt;&lt;D xsi:type="xsd:double"&gt;1944.422866&lt;/D&gt;&lt;D xsi:type="xsd:double"&gt;1937.504667&lt;/D&gt;&lt;D xsi:type="xsd:double"&gt;1948.307859&lt;/D&gt;&lt;D xsi:type="xsd:double"&gt;1956.295897&lt;/D&gt;&lt;D xsi:type="xsd:double"&gt;1957.340076&lt;/D&gt;&lt;D xsi:type="xsd:double"&gt;1951.189304&lt;/D&gt;&lt;D xsi:type="xsd:double"&gt;1946.065546&lt;/D&gt;&lt;D xsi:type="xsd:double"&gt;1955.072595&lt;/D&gt;&lt;D xsi:type="xsd:double"&gt;1949.691642&lt;/D&gt;&lt;D xsi:type="xsd:double"&gt;1952.524397&lt;/D&gt;&lt;D xsi:type="xsd:double"&gt;1964.574494&lt;/D&gt;&lt;D xsi:type="xsd:double"&gt;1944.640415&lt;/D&gt;&lt;D xsi:type="xsd:double"&gt;1930.249377&lt;/D&gt;&lt;D xsi:type="xsd:double"&gt;1934.05896&lt;/D&gt;&lt;D xsi:type="xsd:double"&gt;1940.05372&lt;/D&gt;&lt;D xsi:type="xsd:double"&gt;1935.247204&lt;/D&gt;&lt;D xsi:type="xsd:double"&gt;1929.536225&lt;/D&gt;&lt;D xsi:type="xsd:double"&gt;1941.257667&lt;/D&gt;&lt;D xsi:type="xsd:double"&gt;1938.826627&lt;/D&gt;&lt;D xsi:type="xsd:double"&gt;1926.607851&lt;/D&gt;&lt;D xsi:type="xsd:double"&gt;1916.495244&lt;/D&gt;&lt;D xsi:type="xsd:double"&gt;1915.377296&lt;/D&gt;&lt;D xsi:type="xsd:double"&gt;1913.983832&lt;/D&gt;&lt;D xsi:type="xsd:double"&gt;1906.576014&lt;/D&gt;&lt;D xsi:type="xsd:double"&gt;1896.202953&lt;/D&gt;&lt;D xsi:type="xsd:double"&gt;1888.214308&lt;/D&gt;&lt;D xsi:type="xsd:double"&gt;1900.140512&lt;/D&gt;&lt;D xsi:type="xsd:double"&gt;1886.464425&lt;/D&gt;&lt;D xsi:type="xsd:double"&gt;1882.196208&lt;/D&gt;&lt;D xsi:type="xsd:double"&gt;1873.745258&lt;/D&gt;&lt;D xsi:type="xsd:double"&gt;1875.534796&lt;/D&gt;&lt;D xsi:type="xsd:double"&gt;1873.826177&lt;/D&gt;&lt;D xsi:type="xsd:double"&gt;1871.699772&lt;/D&gt;&lt;D xsi:type="xsd:double"&gt;1884.475328&lt;/D&gt;&lt;D xsi:type="xsd:double"&gt;1864.531192&lt;/D&gt;&lt;D xsi:type="xsd:double"&gt;1865.496888&lt;/D&gt;&lt;D xsi:type="xsd:double"&gt;1875.099502&lt;/D&gt;&lt;D xsi:type="xsd:double"&gt;1862.596686&lt;/D&gt;&lt;D xsi:type="xsd:double"&gt;1864.494528&lt;/D&gt;&lt;D xsi:type="xsd:double"&gt;1862.835379&lt;/D&gt;&lt;D xsi:type="xsd:double"&gt;1839.342849&lt;/D&gt;&lt;D xsi:type="xsd:double"&gt;1833.013784&lt;/D&gt;&lt;D xsi:type="xsd:double"&gt;1841.573716&lt;/D&gt;&lt;D xsi:type="xsd:double"&gt;1852.02487&lt;/D&gt;&lt;D xsi:type="xsd:double"&gt;1840.084306&lt;/D&gt;&lt;D xsi:type="xsd:double"&gt;1836.889828&lt;/D&gt;&lt;D xsi:type="xsd:double"&gt;1840.133999&lt;/D&gt;&lt;D xsi:type="xsd:double"&gt;1835.230444&lt;/D&gt;&lt;D xsi:type="xsd:double"&gt;1844.037597&lt;/D&gt;&lt;D xsi:type="xsd:double"&gt;1832.754525&lt;/D&gt;&lt;D xsi:type="xsd:double"&gt;1828.491835&lt;/D&gt;&lt;D xsi:type="xsd:double"&gt;1816.492672&lt;/D&gt;&lt;D xsi:type="xsd:double"&gt;1835.218337&lt;/D&gt;&lt;D xsi:type="xsd:double"&gt;1837.842765&lt;/D&gt;&lt;D xsi:type="xsd:double"&gt;1864.113061&lt;/D&gt;&lt;D xsi:type="xsd:double"&gt;1886.000776&lt;/D&gt;&lt;D xsi:type="xsd:double"&gt;1874.278689&lt;/D&gt;&lt;D xsi:type="xsd:double"&gt;1867.185374&lt;/D&gt;&lt;D xsi:type="xsd:double"&gt;1866.90847&lt;/D&gt;&lt;D xsi:type="xsd:double"&gt;1853.807817&lt;/D&gt;&lt;D xsi:type="xsd:double"&gt;1849.362713&lt;/D&gt;&lt;D xsi:type="xsd:double"&gt;1844.255228&lt;/D&gt;&lt;D xsi:type="xsd:double"&gt;1852.284677&lt;/D&gt;&lt;D xsi:type="xsd:double"&gt;1856.548205&lt;/D&gt;&lt;D xsi:type="xsd:double"&gt;1863.347214&lt;/D&gt;&lt;D xsi:type="xsd:double"&gt;1865.383974&lt;/D&gt;&lt;D xsi:type="xsd:double"&gt;1859.862335&lt;/D&gt;&lt;D xsi:type="xsd:double"&gt;1866.147092&lt;/D&gt;&lt;D xsi:type="xsd:double"&gt;1861.011299&lt;/D&gt;&lt;D xsi:type="xsd:double"&gt;1840.638658&lt;/D&gt;&lt;D xsi:type="xsd:double"&gt;1822.969449&lt;/D&gt;&lt;D xsi:type="xsd:double"&gt;1812.587114&lt;/D&gt;&lt;D xsi:type="xsd:double"&gt;1815.234486&lt;/D&gt;&lt;D xsi:type="xsd:double"&gt;1835.898659&lt;/D&gt;&lt;D xsi:type="xsd:double"&gt;1820.345573&lt;/D&gt;&lt;D xsi:type="xsd:double"&gt;1813.988735&lt;/D&gt;&lt;D xsi:type="xsd:double"&gt;1839.683505&lt;/D&gt;&lt;D xsi:type="xsd:double"&gt;1814.811798&lt;/D&gt;&lt;D xsi:type="xsd:double"&gt;1827.129304&lt;/D&gt;&lt;D xsi:type="xsd:double"&gt;1805.425161&lt;/D&gt;&lt;D xsi:type="xsd:double"&gt;1820.013953&lt;/D&gt;&lt;D xsi:type="xsd:double"&gt;1820.645932&lt;/D&gt;&lt;D xsi:type="xsd:double"&gt;1803.143829&lt;/D&gt;&lt;D xsi:type="xsd:double"&gt;1768.812508&lt;/D&gt;&lt;D xsi:type="xsd:double"&gt;1767.813528&lt;/D&gt;&lt;D xsi:type="xsd:double"&gt;1758.146101&lt;/D&gt;&lt;D xsi:type="xsd:double"&gt;1744.0075&lt;/D&gt;&lt;D xsi:type="xsd:double"&gt;1753.147894&lt;/D&gt;&lt;D xsi:type="xsd:double"&gt;1728.416037&lt;/D&gt;&lt;D xsi:type="xsd:double"&gt;1695.536439&lt;/D&gt;&lt;D xsi:type="xsd:double"&gt;1712.401136&lt;/D&gt;&lt;D xsi:type="xsd:double"&gt;1733.145348&lt;/D&gt;&lt;D xsi:type="xsd:double"&gt;1764.945204&lt;/D&gt;&lt;D xsi:type="xsd:double"&gt;1785.132591&lt;/D&gt;&lt;D xsi:type="xsd:double"&gt;1798.522378&lt;/D&gt;&lt;D xsi:type="xsd:double"&gt;1810.36707&lt;/D&gt;&lt;D xsi:type="xsd:double"&gt;1810.147144&lt;/D&gt;&lt;D xsi:type="xsd:double"&gt;1800.202699&lt;/D&gt;&lt;D xsi:type="xsd:double"&gt;1787.961913&lt;/D&gt;&lt;D xsi:type="xsd:double"&gt;1811.841462&lt;/D&gt;&lt;D xsi:type="xsd:double"&gt;1804.388483&lt;/D&gt;&lt;D xsi:type="xsd:double"&gt;1745.325191&lt;/D&gt;&lt;D xsi:type="xsd:double"&gt;1713.596324&lt;/D&gt;&lt;D xsi:type="xsd:double"&gt;1725.143737&lt;/D&gt;&lt;D xsi:type="xsd:double"&gt;1727.780785&lt;/D&gt;&lt;D xsi:type="xsd:double"&gt;1726.012592&lt;/D&gt;&lt;D xsi:type="xsd:double"&gt;1731.629201&lt;/D&gt;&lt;D xsi:type="xsd:double"&gt;1723.581749&lt;/D&gt;&lt;D xsi:type="xsd:double"&gt;1715.101989&lt;/D&gt;&lt;D xsi:type="xsd:double"&gt;1710.971254&lt;/D&gt;&lt;D xsi:type="xsd:double"&gt;1718.940428&lt;/D&gt;&lt;D xsi:type="xsd:double"&gt;1709.840829&lt;/D&gt;&lt;D xsi:type="xsd:double"&gt;1676.579874&lt;/D&gt;&lt;D xsi:type="xsd:double"&gt;1666.58285&lt;/D&gt;&lt;D xsi:type="xsd:double"&gt;1717.786766&lt;/D&gt;&lt;D xsi:type="xsd:double"&gt;1732.927779&lt;/D&gt;&lt;D xsi:type="xsd:double"&gt;1704.565052&lt;/D&gt;&lt;D xsi:type="xsd:double"&gt;1765.808504&lt;/D&gt;&lt;D xsi:type="xsd:double"&gt;1775.712381&lt;/D&gt;&lt;D xsi:type="xsd:double"&gt;1827.150511&lt;/D&gt;&lt;D xsi:type="xsd:double"&gt;1839.787715&lt;/D&gt;&lt;D xsi:type="xsd:double"&gt;1814.531528&lt;/D&gt;&lt;D xsi:type="xsd:double"&gt;1810.365827&lt;/D&gt;&lt;D xsi:type="xsd:double"&gt;1817.836059&lt;/D&gt;&lt;D xsi:type="xsd:double"&gt;1824.126882&lt;/D&gt;&lt;D xsi:type="xsd:double"&gt;1799.702415&lt;/D&gt;&lt;D xsi:type="xsd:double"&gt;1784.316724&lt;/D&gt;&lt;D xsi:type="xsd:double"&gt;1807.686867&lt;/D&gt;&lt;D xsi:type="xsd:double"&gt;1783.280591&lt;/D&gt;&lt;D xsi:type="xsd:double"&gt;1813.174048&lt;/D&gt;&lt;D xsi:type="xsd:double"&gt;1828.611445&lt;/D&gt;&lt;D xsi:type="xsd:double"&gt;1846.602706&lt;/D&gt;&lt;D xsi:type="xsd:double"&gt;1882.26096&lt;/D&gt;&lt;D xsi:type="xsd:double"&gt;1887.427929&lt;/D&gt;&lt;D xsi:type="xsd:double"&gt;1916.874409&lt;/D&gt;&lt;D xsi:type="xsd:double"&gt;1944.715034&lt;/D&gt;&lt;D xsi:type="xsd:double"&gt;1952.203309&lt;/D&gt;&lt;D xsi:type="xsd:double"&gt;1958.989691&lt;/D&gt;&lt;D xsi:type="xsd:double"&gt;1948.435162&lt;/D&gt;&lt;D xsi:type="xsd:double"&gt;1940.42496&lt;/D&gt;&lt;D xsi:type="xsd:double"&gt;1917.410203&lt;/D&gt;&lt;D xsi:type="xsd:double"&gt;1906.733631&lt;/D&gt;&lt;D xsi:type="xsd:double"&gt;1920.896105&lt;/D&gt;&lt;D xsi:type="xsd:double"&gt;1903.45037&lt;/D&gt;&lt;D xsi:type="xsd:double"&gt;1890.895913&lt;/D&gt;&lt;D xsi:type="xsd:double"&gt;1895.252102&lt;/D&gt;&lt;D xsi:type="xsd:double"&gt;1888.435488&lt;/D&gt;&lt;D xsi:type="xsd:double"&gt;1879.430749&lt;/D&gt;&lt;D xsi:type="xsd:double"&gt;1873.891385&lt;/D&gt;&lt;D xsi:type="xsd:double"&gt;1882.60567&lt;/D&gt;&lt;D xsi:type="xsd:double"&gt;1864.69679&lt;/D&gt;&lt;D xsi:type="xsd:double"&gt;1865.793573&lt;/D&gt;&lt;D xsi:type="xsd:double"&gt;1843.636036&lt;/D&gt;&lt;D xsi:type="xsd:double"&gt;1834.888865&lt;/D&gt;&lt;D xsi:type="xsd:double"&gt;1817.666068&lt;/D&gt;&lt;D xsi:type="xsd:double"&gt;1815.404514&lt;/D&gt;&lt;D xsi:type="xsd:double"&gt;1827.32004&lt;/D&gt;&lt;D xsi:type="xsd:double"&gt;1840.471987&lt;/D&gt;&lt;D xsi:type="xsd:double"&gt;1839.010317&lt;/D&gt;&lt;D xsi:type="xsd:double"&gt;1854.020704&lt;/D&gt;&lt;D xsi:type="xsd:double"&gt;1844.240098&lt;/D&gt;&lt;D xsi:type="xsd:double"&gt;1836.709616&lt;/D&gt;&lt;D xsi:type="xsd:double"&gt;1827.882369&lt;/D&gt;&lt;D xsi:type="xsd:double"&gt;1808.869333&lt;/D&gt;&lt;D xsi:type="xsd:double"&gt;1823.538412&lt;/D&gt;&lt;D xsi:type="xsd:double"&gt;1791.26046&lt;/D&gt;&lt;D xsi:type="xsd:double"&gt;1795.887546&lt;/D&gt;&lt;D xsi:type="xsd:double"&gt;1798.473424&lt;/D&gt;&lt;D xsi:type="xsd:double"&gt;1800.7076&lt;/D&gt;&lt;D xsi:type="xsd:double"&gt;1788.853127&lt;/D&gt;&lt;D xsi:type="xsd:double"&gt;1804.181602&lt;/D&gt;&lt;D xsi:type="xsd:double"&gt;1800.888907&lt;/D&gt;&lt;D xsi:type="xsd:double"&gt;1810.98664&lt;/D&gt;&lt;D xsi:type="xsd:double"&gt;1803.936636&lt;/D&gt;&lt;D xsi:type="xsd:double"&gt;1796.082953&lt;/D&gt;&lt;D xsi:type="xsd:double"&gt;1787.538207&lt;/D&gt;&lt;D xsi:type="xsd:double"&gt;1781.891824&lt;/D&gt;&lt;D xsi:type="xsd:double"&gt;1766.86143&lt;/D&gt;&lt;D xsi:type="xsd:double"&gt;1745.986096&lt;/D&gt;&lt;D xsi:type="xsd:double"&gt;1745.330945&lt;/D&gt;&lt;D xsi:type="xsd:double"&gt;1727.081565&lt;/D&gt;&lt;D xsi:type="xsd:double"&gt;1737.557522&lt;/D&gt;&lt;D xsi:type="xsd:double"&gt;1760.979703&lt;/D&gt;&lt;D xsi:type="xsd:double"&gt;1756.450435&lt;/D&gt;&lt;D xsi:type="xsd:double"&gt;1760.46101&lt;/D&gt;&lt;D xsi:type="xsd:double"&gt;1763.859289&lt;/D&gt;&lt;D xsi:type="xsd:double"&gt;1759.960758&lt;/D&gt;&lt;D xsi:type="xsd:double"&gt;1767.306168&lt;/D&gt;&lt;D xsi:type="xsd:double"&gt;1758.082793&lt;/D&gt;&lt;D xsi:type="xsd:double"&gt;1756.793268&lt;/D&gt;&lt;D xsi:type="xsd:double"&gt;1742.325519&lt;/D&gt;&lt;D xsi:type="xsd:double"&gt;1739.525356&lt;/D&gt;&lt;D xsi:type="xsd:double"&gt;1731.474127&lt;/D&gt;&lt;D xsi:type="xsd:double"&gt;1731.866308&lt;/D&gt;&lt;D xsi:type="xsd:double"&gt;1725.397331&lt;/D&gt;&lt;D xsi:type="xsd:double"&gt;1725.712757&lt;/D&gt;&lt;D xsi:type="xsd:double"&gt;1722.580495&lt;/D&gt;&lt;D xsi:type="xsd:double"&gt;1729.32746&lt;/D&gt;&lt;D xsi:type="xsd:double"&gt;1740.797225&lt;/D&gt;&lt;D xsi:type="xsd:double"&gt;1723.585142&lt;/D&gt;&lt;D xsi:type="xsd:double"&gt;1740.790485&lt;/D&gt;&lt;D xsi:type="xsd:double"&gt;1748.486245&lt;/D&gt;&lt;D xsi:type="xsd:double"&gt;1745.48237&lt;/D&gt;&lt;D xsi:type="xsd:double"&gt;1758.712717&lt;/D&gt;&lt;D xsi:type="xsd:double"&gt;1769.431822&lt;/D&gt;&lt;D xsi:type="xsd:double"&gt;1768.043627&lt;/D&gt;&lt;D xsi:type="xsd:double"&gt;1757.869467&lt;/D&gt;&lt;D xsi:type="xsd:double"&gt;1760.259484&lt;/D&gt;&lt;D xsi:type="xsd:double"&gt;1745.535379&lt;/D&gt;&lt;D xsi:type="xsd:double"&gt;1730.363049&lt;/D&gt;&lt;D xsi:type="xsd:double"&gt;1720.741847&lt;/D&gt;&lt;D xsi:type="xsd:double"&gt;1719.58712&lt;/D&gt;&lt;D xsi:type="xsd:double"&gt;1710.082537&lt;/D&gt;&lt;D xsi:type="xsd:double"&gt;1716.287729&lt;/D&gt;&lt;D xsi:type="xsd:double"&gt;1695.614969&lt;/D&gt;&lt;D xsi:type="xsd:double"&gt;1716.07499&lt;/D&gt;&lt;D xsi:type="xsd:double"&gt;1740.079718&lt;/D&gt;&lt;D xsi:type="xsd:double"&gt;1744.479007&lt;/D&gt;&lt;D xsi:type="xsd:double"&gt;1743.389922&lt;/D&gt;&lt;D xsi:type="xsd:double"&gt;1729.253029&lt;/D&gt;&lt;D xsi:type="xsd:double"&gt;1743.304135&lt;/D&gt;&lt;D xsi:type="xsd:double"&gt;1746.682171&lt;/D&gt;&lt;D xsi:type="xsd:double"&gt;1729.489434&lt;/D&gt;&lt;D xsi:type="xsd:double"&gt;1728.995465&lt;/D&gt;&lt;D xsi:type="xsd:double"&gt;1698.541378&lt;/D&gt;&lt;D xsi:type="xsd:double"&gt;1663.543421&lt;/D&gt;&lt;D xsi:type="xsd:double"&gt;1678.887334&lt;/D&gt;&lt;D xsi:type="xsd:double"&gt;1677.772556&lt;/D&gt;&lt;D xsi:type="xsd:double"&gt;1669.385829&lt;/D&gt;&lt;D xsi:type="xsd:double"&gt;1671.107131&lt;/D&gt;&lt;D xsi:type="xsd:double"&gt;1669.263739&lt;/D&gt;&lt;D xsi:type="xsd:double"&gt;1663.523978&lt;/D&gt;&lt;D xsi:type="xsd:double"&gt;1659.775498&lt;/D&gt;&lt;D xsi:type="xsd:double"&gt;1663.554666&lt;/D&gt;&lt;D xsi:type="xsd:double"&gt;1663.737644&lt;/D&gt;&lt;D xsi:type="xsd:double"&gt;1650.011404&lt;/D&gt;&lt;D xsi:type="xsd:double"&gt;1664.43312&lt;/D&gt;&lt;D xsi:type="xsd:double"&gt;1655.219562&lt;/D&gt;&lt;D xsi:type="xsd:double"&gt;1653.41608&lt;/D&gt;&lt;D xsi:type="xsd:double"&gt;1634.179208&lt;/D&gt;&lt;D xsi:type="xsd:double"&gt;1628.381&lt;/D&gt;&lt;D xsi:type="xsd:double"&gt;1625.61804&lt;/D&gt;&lt;D xsi:type="xsd:double"&gt;1628.812954&lt;/D&gt;&lt;D xsi:type="xsd:double"&gt;1622.609684&lt;/D&gt;&lt;D xsi:type="xsd:double"&gt;1617.815721&lt;/D&gt;&lt;D xsi:type="xsd:double"&gt;1604.393223&lt;/D&gt;&lt;D xsi:type="xsd:double"&gt;1590.651343&lt;/D&gt;&lt;D xsi:type="xsd:double"&gt;1597.401908&lt;/D&gt;&lt;D xsi:type="xsd:double"&gt;1599.914957&lt;/D&gt;&lt;D xsi:type="xsd:double"&gt;1596.646918&lt;/D&gt;&lt;D xsi:type="xsd:double"&gt;1601.599335&lt;/D&gt;&lt;D xsi:type="xsd:double"&gt;1588.069926&lt;/D&gt;&lt;D xsi:type="xsd:double"&gt;1590.798588&lt;/D&gt;&lt;D xsi:type="xsd:double"&gt;1581.48603&lt;/D&gt;&lt;D xsi:type="xsd:double"&gt;1573.224083&lt;/D&gt;&lt;D xsi:type="xsd:double"&gt;1554.143387&lt;/D&gt;&lt;D xsi:type="xsd:double"&gt;1558.028272&lt;/D&gt;&lt;D xsi:type="xsd:double"&gt;1566.322201&lt;/D&gt;&lt;D xsi:type="xsd:double"&gt;1572.763764&lt;/D&gt;&lt;D xsi:type="xsd:double"&gt;1562.271363&lt;/D&gt;&lt;D xsi:type="xsd:double"&gt;1564.573004&lt;/D&gt;&lt;D xsi:type="xsd:double"&gt;1569.758153&lt;/D&gt;&lt;D xsi:type="xsd:double"&gt;1570.362611&lt;/D&gt;&lt;D xsi:type="xsd:double"&gt;1567.723979&lt;/D&gt;&lt;D xsi:type="xsd:double"&gt;1583.597218&lt;/D&gt;&lt;D xsi:type="xsd:double"&gt;1572.51792&lt;/D&gt;&lt;D xsi:type="xsd:double"&gt;1560.511232&lt;/D&gt;&lt;D xsi:type="xsd:double"&gt;1552.556399&lt;/D&gt;&lt;D xsi:type="xsd:double"&gt;1534.727784&lt;/D&gt;&lt;D xsi:type="xsd:double"&gt;1541.919449&lt;/D&gt;&lt;D xsi:type="xsd:double"&gt;1544.506442&lt;/D&gt;&lt;D xsi:type="xsd:double"&gt;1541.713009&lt;/D&gt;&lt;D xsi:type="xsd:double"&gt;1526.615778&lt;/D&gt;&lt;D xsi:type="xsd:double"&gt;1519.859819&lt;/D&gt;&lt;D xsi:type="xsd:double"&gt;1522.165102&lt;/D&gt;&lt;D xsi:type="xsd:double"&gt;1519.231472&lt;/D&gt;&lt;D xsi:type="xsd:double"&gt;1533.944191&lt;/D&gt;&lt;D xsi:type="xsd:double"&gt;1549.466228&lt;/D&gt;&lt;D xsi:type="xsd:double"&gt;1554.987373&lt;/D&gt;&lt;D xsi:type="xsd:double"&gt;1541.606288&lt;/D&gt;&lt;D xsi:type="xsd:double"&gt;1564.178131&lt;/D&gt;&lt;D xsi:type="xsd:double"&gt;1569.782881&lt;/D&gt;&lt;D xsi:type="xsd:double"&gt;1564.955627&lt;/D&gt;&lt;D xsi:type="xsd:double"&gt;1568.713543&lt;/D&gt;&lt;D xsi:type="xsd:double"&gt;1574.049415&lt;/D&gt;&lt;D xsi:type="xsd:double"&gt;1586.167397&lt;/D&gt;&lt;D xsi:type="xsd:double"&gt;1603.275001&lt;/D&gt;&lt;D xsi:type="xsd:double"&gt;1597.541424&lt;/D&gt;&lt;D xsi:type="xsd:double"&gt;1605.146426&lt;/D&gt;&lt;D xsi:type="xsd:double"&gt;1601.287674&lt;/D&gt;&lt;D xsi:type="xsd:double"&gt;1593.990867&lt;/D&gt;&lt;D xsi:type="xsd:double"&gt;1578.548958&lt;/D&gt;&lt;D xsi:type="xsd:double"&gt;1588.90368&lt;/D&gt;&lt;D xsi:type="xsd:double"&gt;1570.947017&lt;/D&gt;&lt;D xsi:type="xsd:double"&gt;1575.452004&lt;/D&gt;&lt;D xsi:type="xsd:double"&gt;1589.167726&lt;/D&gt;&lt;D xsi:type="xsd:double"&gt;1592.136261&lt;/D&gt;&lt;D xsi:type="xsd:double"&gt;1582.958875&lt;/D&gt;&lt;D xsi:type="xsd:double"&gt;1584.392645&lt;/D&gt;&lt;D xsi:type="xsd:double"&gt;1580.006081&lt;/D&gt;&lt;D xsi:type="xsd:double"&gt;1584.768138&lt;/D&gt;&lt;D xsi:type="xsd:double"&gt;1576.049946&lt;/D&gt;&lt;D xsi:type="xsd:double"&gt;1585.396787&lt;/D&gt;&lt;D xsi:type="xsd:double"&gt;1592.524948&lt;/D&gt;&lt;D xsi:type="xsd:double"&gt;1578.876783&lt;/D&gt;&lt;D xsi:type="xsd:double"&gt;1585.855802&lt;/D&gt;&lt;D xsi:type="xsd:double"&gt;1585.388717&lt;/D&gt;&lt;D xsi:type="xsd:double"&gt;1575.328014&lt;/D&gt;&lt;D xsi:type="xsd:double"&gt;1567.610666&lt;/D&gt;&lt;D xsi:type="xsd:double"&gt;1537.705969&lt;/D&gt;&lt;D xsi:type="xsd:double"&gt;1518.319739&lt;/D&gt;&lt;D xsi:type="xsd:double"&gt;1522.300781&lt;/D&gt;&lt;D xsi:type="xsd:double"&gt;1532.047372&lt;/D&gt;&lt;D xsi:type="xsd:double"&gt;1533.496756&lt;/D&gt;&lt;D xsi:type="xsd:double"&gt;1537.542635&lt;/D&gt;&lt;D xsi:type="xsd:double"&gt;1538.537068&lt;/D&gt;&lt;D xsi:type="xsd:double"&gt;1547.695892&lt;/D&gt;&lt;D xsi:type="xsd:double"&gt;1529.646926&lt;/D&gt;&lt;D xsi:type="xsd:double"&gt;1522.540038&lt;/D&gt;&lt;D xsi:type="xsd:double"&gt;1542.269225&lt;/D&gt;&lt;D xsi:type="xsd:double"&gt;1550.132449&lt;/D&gt;&lt;D xsi:type="xsd:double"&gt;1554.999663&lt;/D&gt;&lt;D xsi:type="xsd:double"&gt;1561.713017&lt;/D&gt;&lt;D xsi:type="xsd:double"&gt;1562.264438&lt;/D&gt;&lt;D xsi:type="xsd:double"&gt;1551.702274&lt;/D&gt;&lt;D xsi:type="xsd:double"&gt;1528.820541&lt;/D&gt;&lt;D xsi:type="xsd:double"&gt;1522.956857&lt;/D&gt;&lt;D xsi:type="xsd:double"&gt;1511.633798&lt;/D&gt;&lt;D xsi:type="xsd:double"&gt;1525.634572&lt;/D&gt;&lt;D xsi:type="xsd:double"&gt;1530.44128&lt;/D&gt;&lt;D xsi:type="xsd:double"&gt;1521.361076&lt;/D&gt;&lt;D xsi:type="xsd:double"&gt;1508.7706&lt;/D&gt;&lt;D xsi:type="xsd:double"&gt;1500.109307&lt;/D&gt;&lt;D xsi:type="xsd:double"&gt;1492.785913&lt;/D&gt;&lt;D xsi:type="xsd:double"&gt;1484.164781&lt;/D&gt;&lt;D xsi:type="xsd:double"&gt;1476.939587&lt;/D&gt;&lt;D xsi:type="xsd:double"&gt;1483.108731&lt;/D&gt;&lt;D xsi:type="xsd:double"&gt;1485.200235&lt;/D&gt;&lt;D xsi:type="xsd:double"&gt;1485.931374&lt;/D&gt;&lt;D xsi:type="xsd:double"&gt;1466.592701&lt;/D&gt;&lt;D xsi:type="xsd:double"&gt;1466.584631&lt;/D&gt;&lt;D xsi:type="xsd:double"&gt;1471.523053&lt;/D&gt;&lt;D xsi:type="xsd:double"&gt;1470.45646&lt;/D&gt;&lt;D xsi:type="xsd:double"&gt;1477.570631&lt;/D&gt;&lt;D xsi:type="xsd:double"&gt;1470.507574&lt;/D&gt;&lt;D xsi:type="xsd:double"&gt;1477.516039&lt;/D&gt;&lt;D xsi:type="xsd:double"&gt;1466.658778&lt;/D&gt;&lt;D xsi:type="xsd:double"&gt;1445.883385&lt;/D&gt;&lt;D xsi:type="xsd:double"&gt;1434.034446&lt;/D&gt;&lt;D xsi:type="xsd:double"&gt;1451.294489&lt;/D&gt;&lt;D xsi:type="xsd:double"&gt;1443.486715&lt;/D&gt;&lt;D xsi:type="xsd:double"&gt;1446.706868&lt;/D&gt;&lt;D xsi:type="xsd:double"&gt;1453.887553&lt;/D&gt;&lt;D xsi:type="xsd:double"&gt;1455.866522&lt;/D&gt;&lt;D xsi:type="xsd:double"&gt;1453.698116&lt;/D&gt;&lt;D xsi:type="xsd:double"&gt;1450.586512&lt;/D&gt;&lt;D xsi:type="xsd:double"&gt;1456.994495&lt;/D&gt;&lt;D xsi:type="xsd:double"&gt;1464.442947&lt;/D&gt;&lt;D xsi:type="xsd:double"&gt;1467.789445&lt;/D&gt;&lt;D xsi:type="xsd:double"&gt;1465.615519&lt;/D&gt;&lt;D xsi:type="xsd:double"&gt;1459.410997&lt;/D&gt;&lt;D xsi:type="xsd:double"&gt;1468.667086&lt;/D&gt;&lt;D xsi:type="xsd:double"&gt;1450.694064&lt;/D&gt;&lt;D xsi:type="xsd:double"&gt;1444.56575&lt;/D&gt;&lt;D xsi:type="xsd:double"&gt;1439.21741&lt;/D&gt;&lt;D xsi:type="xsd:double"&gt;1435.809118&lt;/D&gt;&lt;D xsi:type="xsd:double"&gt;1441.904533&lt;/D&gt;&lt;D xsi:type="xsd:double"&gt;1440.527693&lt;/D&gt;&lt;D xsi:type="xsd:double"&gt;1456.665255&lt;/D&gt;&lt;D xsi:type="xsd:double"&gt;1451.680406&lt;/D&gt;&lt;D xsi:type="xsd:double"&gt;1442.86288&lt;/D&gt;&lt;D xsi:type="xsd:double"&gt;1442.48382&lt;/D&gt;&lt;D xsi:type="xsd:double"&gt;1442.426655&lt;/D&gt;&lt;D xsi:type="xsd:double"&gt;1440.505825&lt;/D&gt;&lt;D xsi:type="xsd:double"&gt;1433.364736&lt;/D&gt;&lt;D xsi:type="xsd:double"&gt;1441.754811&lt;/D&gt;&lt;D xsi:type="xsd:double"&gt;1436.962075&lt;/D&gt;&lt;D xsi:type="xsd:double"&gt;1436.707113&lt;/D&gt;&lt;D xsi:type="xsd:double"&gt;1440.779615&lt;/D&gt;&lt;D xsi:type="xsd:double"&gt;1439.99649&lt;/D&gt;&lt;D xsi:type="xsd:double"&gt;1428.316211&lt;/D&gt;&lt;D xsi:type="xsd:double"&gt;1435.372594&lt;/D&gt;&lt;D xsi:type="xsd:double"&gt;1426.093162&lt;/D&gt;&lt;D xsi:type="xsd:double"&gt;1414.316429&lt;/D&gt;&lt;D xsi:type="xsd:double"&gt;1414.690996&lt;/D&gt;&lt;D xsi:type="xsd:double"&gt;1424.714569&lt;/D&gt;&lt;D xsi:type="xsd:double"&gt;1434.641963&lt;/D&gt;&lt;D xsi:type="xsd:double"&gt;1441.615738&lt;/D&gt;&lt;D xsi:type="xsd:double"&gt;1451.024249&lt;/D&gt;&lt;D xsi:type="xsd:double"&gt;1455.069317&lt;/D&gt;&lt;D xsi:type="xsd:double"&gt;1461.711319&lt;/D&gt;&lt;D xsi:type="xsd:double"&gt;1459.445354&lt;/D&gt;&lt;D xsi:type="xsd:double"&gt;1454.926878&lt;/D&gt;&lt;D xsi:type="xsd:double"&gt;1441.199619&lt;/D&gt;&lt;D xsi:type="xsd:double"&gt;1434.910813&lt;/D&gt;&lt;D xsi:type="xsd:double"&gt;1436.585186&lt;/D&gt;&lt;D xsi:type="xsd:double"&gt;1431.947432&lt;/D&gt;&lt;D xsi:type="xsd:double"&gt;1437.241378&lt;/D&gt;&lt;D xsi:type="xsd:double"&gt;1450.986699&lt;/D&gt;&lt;D xsi:type="xsd:double"&gt;1458.029643&lt;/D&gt;&lt;D xsi:type="xsd:double"&gt;1460.124103&lt;/D&gt;&lt;D xsi:type="xsd:double"&gt;1449.3864&lt;/D&gt;&lt;D xsi:type="xsd:double"&gt;1449.207894&lt;/D&gt;&lt;D xsi:type="xsd:double"&gt;1450.029332&lt;/D&gt;&lt;D xsi:type="xsd:double"&gt;1434.296355&lt;/D&gt;&lt;D xsi:type="xsd:double"&gt;1457.043138&lt;/D&gt;&lt;D xsi:type="xsd:double"&gt;1468.174557&lt;/D&gt;&lt;D xsi:type="xsd:double"&gt;1484.24096&lt;/D&gt;&lt;D xsi:type="xsd:double"&gt;1477.742582&lt;/D&gt;&lt;D xsi:type="xsd:double"&gt;1491.190176&lt;/D&gt;&lt;D xsi:type="xsd:double"&gt;1485.799556&lt;/D&gt;&lt;D xsi:type="xsd:double"&gt;1487.938071&lt;/D&gt;&lt;D xsi:type="xsd:double"&gt;1479.448015&lt;/D&gt;&lt;D xsi:type="xsd:double"&gt;1473.588759&lt;/D&gt;&lt;D xsi:type="xsd:double"&gt;1462.713388&lt;/D&gt;&lt;D xsi:type="xsd:double"&gt;1481.999948&lt;/D&gt;&lt;D xsi:type="xsd:double"&gt;1479.570494&lt;/D&gt;&lt;D xsi:type="xsd:double"&gt;1470.781183&lt;/D&gt;&lt;D xsi:type="xsd:double"&gt;1470.362309&lt;/D&gt;&lt;D xsi:type="xsd:double"&gt;1473.445423&lt;/D&gt;&lt;D xsi:type="xsd:double"&gt;1479.771958&lt;/D&gt;&lt;D xsi:type="xsd:double"&gt;1481.77194&lt;/D&gt;&lt;D xsi:type="xsd:double"&gt;1508.987635&lt;/D&gt;&lt;D xsi:type="xsd:double"&gt;1505.288057&lt;/D&gt;&lt;D xsi:type="xsd:double"&gt;1517.056893&lt;/D&gt;&lt;D xsi:type="xsd:double"&gt;1520.923101&lt;/D&gt;&lt;D xsi:type="xsd:double"&gt;1527.185437&lt;/D&gt;&lt;D xsi:type="xsd:double"&gt;1529.281597&lt;/D&gt;&lt;D xsi:type="xsd:double"&gt;1524.537195&lt;/D&gt;&lt;D xsi:type="xsd:double"&gt;1537.117635&lt;/D&gt;&lt;D xsi:type="xsd:double"&gt;1529.644216&lt;/D&gt;&lt;D xsi:type="xsd:double"&gt;1538.569031&lt;/D&gt;&lt;D xsi:type="xsd:double"&gt;1541.389424&lt;/D&gt;&lt;D xsi:type="xsd:double"&gt;1531.609585&lt;/D&gt;&lt;D xsi:type="xsd:double"&gt;1536.802774&lt;/D&gt;&lt;D xsi:type="xsd:double"&gt;1516.182093&lt;/D&gt;&lt;D xsi:type="xsd:double"&gt;1514.02415&lt;/D&gt;&lt;D xsi:type="xsd:double"&gt;1519.1806&lt;/D&gt;&lt;D xsi:type="xsd:double"&gt;1519.57431&lt;/D&gt;&lt;D xsi:type="xsd:double"&gt;1509.839571&lt;/D&gt;&lt;D xsi:type="xsd:double"&gt;1494.074546&lt;/D&gt;&lt;D xsi:type="xsd:double"&gt;1494.410317&lt;/D&gt;&lt;D xsi:type="xsd:double"&gt;1509.394846&lt;/D&gt;&lt;D xsi:type="xsd:double"&gt;1501.995862&lt;/D&gt;&lt;D xsi:type="xsd:double"&gt;1498.871714&lt;/D&gt;&lt;D xsi:type="xsd:double"&gt;1491.367513&lt;/D&gt;&lt;D xsi:type="xsd:double"&gt;1498.742604&lt;/D&gt;&lt;D xsi:type="xsd:double"&gt;1493.980226&lt;/D&gt;&lt;D xsi:type="xsd:double"&gt;1481.017778&lt;/D&gt;&lt;D xsi:type="xsd:double"&gt;1472.960795&lt;/D&gt;&lt;D xsi:type="xsd:double"&gt;1460.832228&lt;/D&gt;&lt;D xsi:type="xsd:double"&gt;1459.805511&lt;/D&gt;&lt;D xsi:type="xsd:double"&gt;1466.894558&lt;/D&gt;&lt;D xsi:type="xsd:double"&gt;1469.574728&lt;/D&gt;&lt;D xsi:type="xsd:double"&gt;1458.856757&lt;/D&gt;&lt;D xsi:type="xsd:double"&gt;1468.972246&lt;/D&gt;&lt;D xsi:type="xsd:double"&gt;1461.505685&lt;/D&gt;&lt;D xsi:type="xsd:double"&gt;1457.264646&lt;/D&gt;&lt;D xsi:type="xsd:double"&gt;1446.509149&lt;/D&gt;&lt;D xsi:type="xsd:double"&gt;1454.281438&lt;/D&gt;&lt;D xsi:type="xsd:double"&gt;1454.377197&lt;/D&gt;&lt;D xsi:type="xsd:double"&gt;1437.52743&lt;/D&gt;&lt;D xsi:type="xsd:double"&gt;1442.60306&lt;/D&gt;&lt;D xsi:type="xsd:double"&gt;1436.43463&lt;/D&gt;&lt;D xsi:type="xsd:double"&gt;1433.595433&lt;/D&gt;&lt;D xsi:type="xsd:double"&gt;1449.922122&lt;/D&gt;&lt;D xsi:type="xsd:double"&gt;1447.652977&lt;/D&gt;&lt;D xsi:type="xsd:double"&gt;1448.820451&lt;/D&gt;&lt;D xsi:type="xsd:double"&gt;1452.675705&lt;/D&gt;&lt;D xsi:type="xsd:double"&gt;1457.982387&lt;/D&gt;&lt;D xsi:type="xsd:double"&gt;1451.920617&lt;/D&gt;&lt;D xsi:type="xsd:double"&gt;1449.843749&lt;/D&gt;&lt;D xsi:type="xsd:double"&gt;1444.245901&lt;/D&gt;&lt;D xsi:type="xsd:double"&gt;1448.08481&lt;/D&gt;&lt;D xsi:type="xsd:double"&gt;1454.120272&lt;/D&gt;&lt;D xsi:type="xsd:double"&gt;</t>
        </r>
      </text>
    </comment>
    <comment ref="A22" authorId="0" shapeId="0">
      <text>
        <r>
          <rPr>
            <b/>
            <sz val="9"/>
            <color indexed="81"/>
            <rFont val="Tahoma"/>
            <family val="2"/>
          </rPr>
          <t>1465.443796&lt;/D&gt;&lt;D xsi:type="xsd:double"&gt;1480.448624&lt;/D&gt;&lt;D xsi:type="xsd:double"&gt;1487.234457&lt;/D&gt;&lt;D xsi:type="xsd:double"&gt;1486.762747&lt;/D&gt;&lt;D xsi:type="xsd:double"&gt;1475.756311&lt;/D&gt;&lt;D xsi:type="xsd:double"&gt;1480.867347&lt;/D&gt;&lt;D xsi:type="xsd:double"&gt;1479.897424&lt;/D&gt;&lt;D xsi:type="xsd:double"&gt;1464.201571&lt;/D&gt;&lt;D xsi:type="xsd:double"&gt;1453.939303&lt;/D&gt;&lt;D xsi:type="xsd:double"&gt;1445.04837&lt;/D&gt;&lt;D xsi:type="xsd:double"&gt;1449.778773&lt;/D&gt;&lt;D xsi:type="xsd:double"&gt;1431.689587&lt;/D&gt;&lt;D xsi:type="xsd:double"&gt;1438.225444&lt;/D&gt;&lt;D xsi:type="xsd:double"&gt;1446.283489&lt;/D&gt;&lt;D xsi:type="xsd:double"&gt;1430.191749&lt;/D&gt;&lt;D xsi:type="xsd:double"&gt;1428.026719&lt;/D&gt;&lt;D xsi:type="xsd:double"&gt;1410.951815&lt;/D&gt;&lt;D xsi:type="xsd:double"&gt;1413.063334&lt;/D&gt;&lt;D xsi:type="xsd:double"&gt;1425.102909&lt;/D&gt;&lt;D xsi:type="xsd:double"&gt;1445.571622&lt;/D&gt;&lt;D xsi:type="xsd:double"&gt;1447.122414&lt;/D&gt;&lt;D xsi:type="xsd:double"&gt;1450.232995&lt;/D&gt;&lt;D xsi:type="xsd:double"&gt;1442.636993&lt;/D&gt;&lt;D xsi:type="xsd:double"&gt;1436.568188&lt;/D&gt;&lt;D xsi:type="xsd:double"&gt;1427.833631&lt;/D&gt;&lt;D xsi:type="xsd:double"&gt;1435.252828&lt;/D&gt;&lt;D xsi:type="xsd:double"&gt;1430.736556&lt;/D&gt;&lt;D xsi:type="xsd:double"&gt;1416.335732&lt;/D&gt;&lt;D xsi:type="xsd:double"&gt;1409.228342&lt;/D&gt;&lt;D xsi:type="xsd:double"&gt;1404.715999&lt;/D&gt;&lt;D xsi:type="xsd:double"&gt;1416.342745&lt;/D&gt;&lt;D xsi:type="xsd:double"&gt;1413.645403&lt;/D&gt;&lt;D xsi:type="xsd:double"&gt;1419.232901&lt;/D&gt;&lt;D xsi:type="xsd:double"&gt;1404.71487&lt;/D&gt;&lt;D xsi:type="xsd:double"&gt;1407.657253&lt;/D&gt;&lt;D xsi:type="xsd:double"&gt;1402.541442&lt;/D&gt;&lt;D xsi:type="xsd:double"&gt;1389.218966&lt;/D&gt;&lt;D xsi:type="xsd:double"&gt;1383.416222&lt;/D&gt;&lt;D xsi:type="xsd:double"&gt;1384.192362&lt;/D&gt;&lt;D xsi:type="xsd:double"&gt;1388.632544&lt;/D&gt;&lt;D xsi:type="xsd:double"&gt;1388.911625&lt;/D&gt;&lt;D xsi:type="xsd:double"&gt;1377.23596&lt;/D&gt;&lt;D xsi:type="xsd:double"&gt;1371.05297&lt;/D&gt;&lt;D xsi:type="xsd:double"&gt;1357.84641&lt;/D&gt;&lt;D xsi:type="xsd:double"&gt;1348.590521&lt;/D&gt;&lt;D xsi:type="xsd:double"&gt;1341.196955&lt;/D&gt;&lt;D xsi:type="xsd:double"&gt;1344.986445&lt;/D&gt;&lt;D xsi:type="xsd:double"&gt;1335.871942&lt;/D&gt;&lt;D xsi:type="xsd:double"&gt;1323.822806&lt;/D&gt;&lt;D xsi:type="xsd:double"&gt;1320.592908&lt;/D&gt;&lt;D xsi:type="xsd:double"&gt;1326.242754&lt;/D&gt;&lt;D xsi:type="xsd:double"&gt;1324.10038&lt;/D&gt;&lt;D xsi:type="xsd:double"&gt;1318.396851&lt;/D&gt;&lt;D xsi:type="xsd:double"&gt;1322.560149&lt;/D&gt;&lt;D xsi:type="xsd:double"&gt;1310.766355&lt;/D&gt;&lt;D xsi:type="xsd:double"&gt;1313.098577&lt;/D&gt;&lt;D xsi:type="xsd:double"&gt;1308.068239&lt;/D&gt;&lt;D xsi:type="xsd:double"&gt;1306.406519&lt;/D&gt;&lt;D xsi:type="xsd:double"&gt;1309.540062&lt;/D&gt;&lt;D xsi:type="xsd:double"&gt;1327.211&lt;/D&gt;&lt;D xsi:type="xsd:double"&gt;1329.002994&lt;/D&gt;&lt;D xsi:type="xsd:double"&gt;1319.569903&lt;/D&gt;&lt;D xsi:type="xsd:double"&gt;1322.648326&lt;/D&gt;&lt;D xsi:type="xsd:double"&gt;1321.300628&lt;/D&gt;&lt;D xsi:type="xsd:double"&gt;1315.96233&lt;/D&gt;&lt;D xsi:type="xsd:double"&gt;1312.392484&lt;/D&gt;&lt;D xsi:type="xsd:double"&gt;1295.439113&lt;/D&gt;&lt;D xsi:type="xsd:double"&gt;1286.849772&lt;/D&gt;&lt;D xsi:type="xsd:double"&gt;1282.005132&lt;/D&gt;&lt;D xsi:type="xsd:double"&gt;1277.188951&lt;/D&gt;&lt;D xsi:type="xsd:double"&gt;1284.05751&lt;/D&gt;&lt;D xsi:type="xsd:double"&gt;1288.215769&lt;/D&gt;&lt;D xsi:type="xsd:double"&gt;1289.037751&lt;/D&gt;&lt;D xsi:type="xsd:double"&gt;1296.464075&lt;/D&gt;&lt;D xsi:type="xsd:double"&gt;1283.742213&lt;/D&gt;&lt;D xsi:type="xsd:double"&gt;1286.548964&lt;/D&gt;&lt;D xsi:type="xsd:double"&gt;1282.871297&lt;/D&gt;&lt;D xsi:type="xsd:double"&gt;1278.885254&lt;/D&gt;&lt;D xsi:type="xsd:double"&gt;1295.993313&lt;/D&gt;&lt;D xsi:type="xsd:double"&gt;1292.834112&lt;/D&gt;&lt;D xsi:type="xsd:double"&gt;1287.229649&lt;/D&gt;&lt;D xsi:type="xsd:double"&gt;1275.08604&lt;/D&gt;&lt;D xsi:type="xsd:double"&gt;1281.678898&lt;/D&gt;&lt;D xsi:type="xsd:double"&gt;1278.988123&lt;/D&gt;&lt;D xsi:type="xsd:double"&gt;1265.35831&lt;/D&gt;&lt;D xsi:type="xsd:double"&gt;1272.98317&lt;/D&gt;&lt;D xsi:type="xsd:double"&gt;1270.410365&lt;/D&gt;&lt;D xsi:type="xsd:double"&gt;1260.488983&lt;/D&gt;&lt;D xsi:type="xsd:double"&gt;1260.768956&lt;/D&gt;&lt;D xsi:type="xsd:double"&gt;1263.854079&lt;/D&gt;&lt;D xsi:type="xsd:double"&gt;1258.847198&lt;/D&gt;&lt;D xsi:type="xsd:double"&gt;1251.584479&lt;/D&gt;&lt;D xsi:type="xsd:double"&gt;1248.609654&lt;/D&gt;&lt;D xsi:type="xsd:double"&gt;1255.027355&lt;/D&gt;&lt;D xsi:type="xsd:double"&gt;1252.1005&lt;/D&gt;&lt;D xsi:type="xsd:double"&gt;1255.027475&lt;/D&gt;&lt;D xsi:type="xsd:double"&gt;1242.455146&lt;/D&gt;&lt;D xsi:type="xsd:double"&gt;1242.317033&lt;/D&gt;&lt;D xsi:type="xsd:double"&gt;1239.328844&lt;/D&gt;&lt;D xsi:type="xsd:double"&gt;1234.473287&lt;/D&gt;&lt;D xsi:type="xsd:double"&gt;1232.163697&lt;/D&gt;&lt;D xsi:type="xsd:double"&gt;1234.362034&lt;/D&gt;&lt;D xsi:type="xsd:double"&gt;1245.856126&lt;/D&gt;&lt;D xsi:type="xsd:double"&gt;1237.196991&lt;/D&gt;&lt;D xsi:type="xsd:double"&gt;1247.202859&lt;/D&gt;&lt;D xsi:type="xsd:double"&gt;1249.98253&lt;/D&gt;&lt;D xsi:type="xsd:double"&gt;1250.328823&lt;/D&gt;&lt;D xsi:type="xsd:double"&gt;1262.822554&lt;/D&gt;&lt;D xsi:type="xsd:double"&gt;1258.425923&lt;/D&gt;&lt;D xsi:type="xsd:double"&gt;1258.460196&lt;/D&gt;&lt;D xsi:type="xsd:double"&gt;1253.257528&lt;/D&gt;&lt;D xsi:type="xsd:double"&gt;1243.094084&lt;/D&gt;&lt;D xsi:type="xsd:double"&gt;1240.04052&lt;/D&gt;&lt;D xsi:type="xsd:double"&gt;1244.811711&lt;/D&gt;&lt;D xsi:type="xsd:double"&gt;1251.61679&lt;/D&gt;&lt;D xsi:type="xsd:double"&gt;1266.171223&lt;/D&gt;&lt;D xsi:type="xsd:double"&gt;1277.361922&lt;/D&gt;&lt;D xsi:type="xsd:double"&gt;1281.586759&lt;/D&gt;&lt;D xsi:type="xsd:double"&gt;1287.127609&lt;/D&gt;&lt;D xsi:type="xsd:double"&gt;1290.534145&lt;/D&gt;&lt;D xsi:type="xsd:double"&gt;1280.419005&lt;/D&gt;&lt;D xsi:type="xsd:double"&gt;1291.784062&lt;/D&gt;&lt;D xsi:type="xsd:double"&gt;1292.872856&lt;/D&gt;&lt;D xsi:type="xsd:double"&gt;1298.869242&lt;/D&gt;&lt;D xsi:type="xsd:double"&gt;1297.628221&lt;/D&gt;&lt;D xsi:type="xsd:double"&gt;1294.757164&lt;/D&gt;&lt;D xsi:type="xsd:double"&gt;1292.191288&lt;/D&gt;&lt;D xsi:type="xsd:double"&gt;1286.401189&lt;/D&gt;&lt;D xsi:type="xsd:double"&gt;1299.392848&lt;/D&gt;&lt;D xsi:type="xsd:double"&gt;1299.234541&lt;/D&gt;&lt;D xsi:type="xsd:double"&gt;1298.989693&lt;/D&gt;&lt;D xsi:type="xsd:double"&gt;1301.585093&lt;/D&gt;&lt;D xsi:type="xsd:double"&gt;1312.620565&lt;/D&gt;&lt;D xsi:type="xsd:double"&gt;1300.607973&lt;/D&gt;&lt;D xsi:type="xsd:double"&gt;1305.228783&lt;/D&gt;&lt;D xsi:type="xsd:double"&gt;1286.441217&lt;/D&gt;&lt;D xsi:type="xsd:double"&gt;1283.077294&lt;/D&gt;&lt;D xsi:type="xsd:double"&gt;1293.57899&lt;/D&gt;&lt;D xsi:type="xsd:double"&gt;1291.600361&lt;/D&gt;&lt;D xsi:type="xsd:double"&gt;1286.088725&lt;/D&gt;&lt;D xsi:type="xsd:double"&gt;1281.809086&lt;/D&gt;&lt;D xsi:type="xsd:double"&gt;1273.220765&lt;/D&gt;&lt;D xsi:type="xsd:double"&gt;1266.774002&lt;/D&gt;&lt;D xsi:type="xsd:double"&gt;1287.052967&lt;/D&gt;&lt;D xsi:type="xsd:double"&gt;1283.254753&lt;/D&gt;&lt;D xsi:type="xsd:double"&gt;1297.904721&lt;/D&gt;&lt;D xsi:type="xsd:double"&gt;1297.106628&lt;/D&gt;&lt;D xsi:type="xsd:double"&gt;1272.551148&lt;/D&gt;&lt;D xsi:type="xsd:double"&gt;1265.488129&lt;/D&gt;&lt;D xsi:type="xsd:double"&gt;1272.509343&lt;/D&gt;&lt;D xsi:type="xsd:double"&gt;1268.634556&lt;/D&gt;&lt;D xsi:type="xsd:double"&gt;1269.982597&lt;/D&gt;&lt;D xsi:type="xsd:double"&gt;1274.393667&lt;/D&gt;&lt;D xsi:type="xsd:double"&gt;1253.364154&lt;/D&gt;&lt;D xsi:type="xsd:double"&gt;1242.21435&lt;/D&gt;&lt;D xsi:type="xsd:double"&gt;1238.720252&lt;/D&gt;&lt;D xsi:type="xsd:double"&gt;1237.987505&lt;/D&gt;&lt;D xsi:type="xsd:double"&gt;1223.174078&lt;/D&gt;&lt;D xsi:type="xsd:double"&gt;1239.147944&lt;/D&gt;&lt;D xsi:type="xsd:double"&gt;1207.781964&lt;/D&gt;&lt;D xsi:type="xsd:double"&gt;1199.607868&lt;/D&gt;&lt;D xsi:type="xsd:double"&gt;1210.231245&lt;/D&gt;&lt;D xsi:type="xsd:double"&gt;1215.026302&lt;/D&gt;&lt;D xsi:type="xsd:double"&gt;1221.277268&lt;/D&gt;&lt;D xsi:type="xsd:double"&gt;1214.164047&lt;/D&gt;&lt;D xsi:type="xsd:double"&gt;1207.095413&lt;/D&gt;&lt;D xsi:type="xsd:double"&gt;1254.006378&lt;/D&gt;&lt;D xsi:type="xsd:double"&gt;1277.79976&lt;/D&gt;&lt;D xsi:type="xsd:double"&gt;1300.572253&lt;/D&gt;&lt;D xsi:type="xsd:double"&gt;1290.545193&lt;/D&gt;&lt;D xsi:type="xsd:double"&gt;1273.209904&lt;/D&gt;&lt;D xsi:type="xsd:double"&gt;1271.116171&lt;/D&gt;&lt;D xsi:type="xsd:double"&gt;1281.641866&lt;/D&gt;&lt;D xsi:type="xsd:double"&gt;1284.464137&lt;/D&gt;&lt;D xsi:type="xsd:double"&gt;1305.430899&lt;/D&gt;&lt;D xsi:type="xsd:double"&gt;1307.60377&lt;/D&gt;&lt;D xsi:type="xsd:double"&gt;1301.43971&lt;/D&gt;&lt;D xsi:type="xsd:double"&gt;1296.668449&lt;/D&gt;&lt;D xsi:type="xsd:double"&gt;1292.808063&lt;/D&gt;&lt;D xsi:type="xsd:double"&gt;1308.552734&lt;/D&gt;&lt;D xsi:type="xsd:double"&gt;1306.032151&lt;/D&gt;&lt;D xsi:type="xsd:double"&gt;1307.715852&lt;/D&gt;&lt;D xsi:type="xsd:double"&gt;1293.669654&lt;/D&gt;&lt;D xsi:type="xsd:double"&gt;1299.376954&lt;/D&gt;&lt;D xsi:type="xsd:double"&gt;1319.900049&lt;/D&gt;&lt;D xsi:type="xsd:double"&gt;1327.97677&lt;/D&gt;&lt;D xsi:type="xsd:double"&gt;1329.658065&lt;/D&gt;&lt;D xsi:type="xsd:double"&gt;1332.216167&lt;/D&gt;&lt;D xsi:type="xsd:double"&gt;1323.963749&lt;/D&gt;&lt;D xsi:type="xsd:double"&gt;1323.60424&lt;/D&gt;&lt;D xsi:type="xsd:double"&gt;1325.676575&lt;/D&gt;&lt;D xsi:type="xsd:double"&gt;1325.503889&lt;/D&gt;&lt;D xsi:type="xsd:double"&gt;1309.035845&lt;/D&gt;&lt;D xsi:type="xsd:double"&gt;1299.272346&lt;/D&gt;&lt;D xsi:type="xsd:double"&gt;1296.672857&lt;/D&gt;&lt;D xsi:type="xsd:double"&gt;1282.105053&lt;/D&gt;&lt;D xsi:type="xsd:double"&gt;1280.112017&lt;/D&gt;&lt;D xsi:type="xsd:double"&gt;1267.119262&lt;/D&gt;&lt;D xsi:type="xsd:double"&gt;1271.041196&lt;/D&gt;&lt;D xsi:type="xsd:double"&gt;1273.005865&lt;/D&gt;&lt;D xsi:type="xsd:double"&gt;1290.128182&lt;/D&gt;&lt;D xsi:type="xsd:double"&gt;1291.206604&lt;/D&gt;&lt;D xsi:type="xsd:double"&gt;1285.529371&lt;/D&gt;&lt;D xsi:type="xsd:double"&gt;1276.655008&lt;/D&gt;&lt;D xsi:type="xsd:double"&gt;1259.447319&lt;/D&gt;&lt;D xsi:type="xsd:double"&gt;1269.141767&lt;/D&gt;&lt;D xsi:type="xsd:double"&gt;1275.125605&lt;/D&gt;&lt;D xsi:type="xsd:double"&gt;1300.375166&lt;/D&gt;&lt;D xsi:type="xsd:double"&gt;1321.293416&lt;/D&gt;&lt;D xsi:type="xsd:double"&gt;1323.768133&lt;/D&gt;&lt;D xsi:type="xsd:double"&gt;1328.270911&lt;/D&gt;&lt;D xsi:type="xsd:double"&gt;1309.546404&lt;/D&gt;&lt;D xsi:type="xsd:double"&gt;1301.685339&lt;/D&gt;&lt;D xsi:type="xsd:double"&gt;1319.003369&lt;/D&gt;&lt;D xsi:type="xsd:double"&gt;1326.557498&lt;/D&gt;&lt;D xsi:type="xsd:double"&gt;1307.568189&lt;/D&gt;&lt;D xsi:type="xsd:double"&gt;1300.328739&lt;/D&gt;&lt;D xsi:type="xsd:double"&gt;1306.458979&lt;/D&gt;&lt;D xsi:type="xsd:double"&gt;1313.554772&lt;/D&gt;&lt;D xsi:type="xsd:double"&gt;1318.575203&lt;/D&gt;&lt;D xsi:type="xsd:double"&gt;1315.031544&lt;/D&gt;&lt;D xsi:type="xsd:double"&gt;1334.032855&lt;/D&gt;&lt;D xsi:type="xsd:double"&gt;1335.140699&lt;/D&gt;&lt;D xsi:type="xsd:double"&gt;1337.397306&lt;/D&gt;&lt;D xsi:type="xsd:double"&gt;1321.206948&lt;/D&gt;&lt;D xsi:type="xsd:double"&gt;1322.525734&lt;/D&gt;&lt;D xsi:type="xsd:double"&gt;1309.77871&lt;/D&gt;&lt;D xsi:type="xsd:double"&gt;1308.907614&lt;/D&gt;&lt;D xsi:type="xsd:double"&gt;1306.768828&lt;/D&gt;&lt;D xsi:type="xsd:double"&gt;1297.650422&lt;/D&gt;&lt;D xsi:type="xsd:double"&gt;1282.583112&lt;/D&gt;&lt;D xsi:type="xsd:double"&gt;1276.597713&lt;/D&gt;&lt;D xsi:type="xsd:double"&gt;1288.750144&lt;/D&gt;&lt;D xsi:type="xsd:double"&gt;1283.585402&lt;/D&gt;&lt;D xsi:type="xsd:double"&gt;1279.701908&lt;/D&gt;&lt;D xsi:type="xsd:double"&gt;1280.280797&lt;/D&gt;&lt;D xsi:type="xsd:double"&gt;1308.009165&lt;/D&gt;&lt;D xsi:type="xsd:double"&gt;1308.906231&lt;/D&gt;&lt;D xsi:type="xsd:double"&gt;1304.136356&lt;/D&gt;&lt;D xsi:type="xsd:double"&gt;1317.602769&lt;/D&gt;&lt;D xsi:type="xsd:double"&gt;1319.642246&lt;/D&gt;&lt;D xsi:type="xsd:double"&gt;1311.270978&lt;/D&gt;&lt;D xsi:type="xsd:double"&gt;1303.29428&lt;/D&gt;&lt;D xsi:type="xsd:double"&gt;1287.34604&lt;/D&gt;&lt;D xsi:type="xsd:double"&gt;1290.689078&lt;/D&gt;&lt;D xsi:type="xsd:double"&gt;1300.695933&lt;/D&gt;&lt;D xsi:type="xsd:double"&gt;1299.710604&lt;/D&gt;&lt;D xsi:type="xsd:double"&gt;1300.114121&lt;/D&gt;&lt;D xsi:type="xsd:double"&gt;1304.38352&lt;/D&gt;&lt;D xsi:type="xsd:double"&gt;1297.833989&lt;/D&gt;&lt;D xsi:type="xsd:double"&gt;1285.86927&lt;/D&gt;&lt;D xsi:type="xsd:double"&gt;1295.177054&lt;/D&gt;&lt;D xsi:type="xsd:double"&gt;1290.255306&lt;/D&gt;&lt;D xsi:type="xsd:double"&gt;1271.749276&lt;/D&gt;&lt;D xsi:type="xsd:double"&gt;1262.710154&lt;/D&gt;&lt;D xsi:type="xsd:double"&gt;1254.785455&lt;/D&gt;&lt;D xsi:type="xsd:double"&gt;1243.674528&lt;/D&gt;&lt;D xsi:type="xsd:double"&gt;1235.849052&lt;/D&gt;&lt;D xsi:type="xsd:double"&gt;1233.859876&lt;/D&gt;&lt;D xsi:type="xsd:double"&gt;1229.111576&lt;/D&gt;&lt;D xsi:type="xsd:double"&gt;1224.347137&lt;/D&gt;&lt;D xsi:type="xsd:double"&gt;1219.3608&lt;/D&gt;&lt;D xsi:type="xsd:double"&gt;1215.101719&lt;/D&gt;&lt;D xsi:type="xsd:double"&gt;1208.319607&lt;/D&gt;&lt;D xsi:type="xsd:double"&gt;1207.492099&lt;/D&gt;&lt;D xsi:type="xsd:double"&gt;1213.968809&lt;/D&gt;&lt;D xsi:type="xsd:double"&gt;1203.896611&lt;/D&gt;&lt;D xsi:type="xsd:double"&gt;1192.322114&lt;/D&gt;&lt;D xsi:type="xsd:double"&gt;1191.830696&lt;/D&gt;&lt;D xsi:type="xsd:double"&gt;1202.305094&lt;/D&gt;&lt;D xsi:type="xsd:double"&gt;1197.926834&lt;/D&gt;&lt;D xsi:type="xsd:double"&gt;1200.896697&lt;/D&gt;&lt;D xsi:type="xsd:double"&gt;1201.309318&lt;/D&gt;&lt;D xsi:type="xsd:double"&gt;1203.50473&lt;/D&gt;&lt;D xsi:type="xsd:double"&gt;1197.221024&lt;/D&gt;&lt;D xsi:type="xsd:double"&gt;1189.987562&lt;/D&gt;&lt;D xsi:type="xsd:double"&gt;1173.28544&lt;/D&gt;&lt;D xsi:type="xsd:double"&gt;1169.5289&lt;/D&gt;&lt;D xsi:type="xsd:double"&gt;1158.137639&lt;/D&gt;&lt;D xsi:type="xsd:double"&gt;1153.635567&lt;/D&gt;&lt;D xsi:type="xsd:double"&gt;1150.612157&lt;/D&gt;&lt;D xsi:type="xsd:double"&gt;1147.919068&lt;/D&gt;&lt;D xsi:type="xsd:double"&gt;1144.699645&lt;/D&gt;&lt;D xsi:type="xsd:double"&gt;1153.969487&lt;/D&gt;&lt;D xsi:type="xsd:double"&gt;1144.649217&lt;/D&gt;&lt;D xsi:type="xsd:double"&gt;1168.309368&lt;/D&gt;&lt;D xsi:type="xsd:double"&gt;1164.552544&lt;/D&gt;&lt;D xsi:type="xsd:double"&gt;1152.631288&lt;/D&gt;&lt;D xsi:type="xsd:double"&gt;1142.840176&lt;/D&gt;&lt;D xsi:type="xsd:double"&gt;1153.991804&lt;/D&gt;&lt;D xsi:type="xsd:double"&gt;1157.580297&lt;/D&gt;&lt;D xsi:type="xsd:double"&gt;1143.029654&lt;/D&gt;&lt;D xsi:type="xsd:double"&gt;1150.657203&lt;/D&gt;&lt;D xsi:type="xsd:double"&gt;1157.513506&lt;/D&gt;&lt;D xsi:type="xsd:double"&gt;1148.373156&lt;/D&gt;&lt;D xsi:type="xsd:double"&gt;1148.890601&lt;/D&gt;&lt;D xsi:type="xsd:double"&gt;1159.120568&lt;/D&gt;&lt;D xsi:type="xsd:double"&gt;1155.430251&lt;/D&gt;&lt;D xsi:type="xsd:double"&gt;1148.18311&lt;/D&gt;&lt;D xsi:type="xsd:double"&gt;1141.959892&lt;/D&gt;&lt;D xsi:type="xsd:double"&gt;1134.585235&lt;/D&gt;&lt;D xsi:type="xsd:double"&gt;1131.120004&lt;/D&gt;&lt;D xsi:type="xsd:double"&gt;1153.648499&lt;/D&gt;&lt;D xsi:type="xsd:double"&gt;1162.729847&lt;/D&gt;&lt;D xsi:type="xsd:double"&gt;1159.668421&lt;/D&gt;&lt;D xsi:type="xsd:double"&gt;1157.105249&lt;/D&gt;&lt;D xsi:type="xsd:double"&gt;1162.826371&lt;/D&gt;&lt;D xsi:type="xsd:double"&gt;1157.449725&lt;/D&gt;&lt;D xsi:type="xsd:double"&gt;1156.001672&lt;/D&gt;&lt;D xsi:type="xsd:double"&gt;1154.309082&lt;/D&gt;&lt;D xsi:type="xsd:double"&gt;1150.023146&lt;/D&gt;&lt;D xsi:type="xsd:double"&gt;1142.7089&lt;/D&gt;&lt;D xsi:type="xsd:double"&gt;1131.797125&lt;/D&gt;&lt;D xsi:type="xsd:double"&gt;1135.809809&lt;/D&gt;&lt;D xsi:type="xsd:double"&gt;1129.751525&lt;/D&gt;&lt;D xsi:type="xsd:double"&gt;1128.743551&lt;/D&gt;&lt;D xsi:type="xsd:double"&gt;1112.65667&lt;/D&gt;&lt;D xsi:type="xsd:double"&gt;1102.138694&lt;/D&gt;&lt;D xsi:type="xsd:double"&gt;1081.844796&lt;/D&gt;&lt;D xsi:type="xsd:double"&gt;1086.813538&lt;/D&gt;&lt;D xsi:type="xsd:double"&gt;1087.923526&lt;/D&gt;&lt;D xsi:type="xsd:double"&gt;1097.231105&lt;/D&gt;&lt;D xsi:type="xsd:double"&gt;1106.67742&lt;/D&gt;&lt;D xsi:type="xsd:double"&gt;1106.379333&lt;/D&gt;&lt;D xsi:type="xsd:double"&gt;1107.264953&lt;/D&gt;&lt;D xsi:type="xsd:double"&gt;1115.051234&lt;/D&gt;&lt;D xsi:type="xsd:double"&gt;1114.584827&lt;/D&gt;&lt;D xsi:type="xsd:double"&gt;1104.522815&lt;/D&gt;&lt;D xsi:type="xsd:double"&gt;1096.071909&lt;/D&gt;&lt;D xsi:type="xsd:double"&gt;1088.385899&lt;/D&gt;&lt;D xsi:type="xsd:double"&gt;1086.287122&lt;/D&gt;&lt;D xsi:type="xsd:double"&gt;1079.351667&lt;/D&gt;&lt;D xsi:type="xsd:double"&gt;1083.429949&lt;/D&gt;&lt;D xsi:type="xsd:double"&gt;1091.895061&lt;/D&gt;&lt;D xsi:type="xsd:double"&gt;1090.03396&lt;/D&gt;&lt;D xsi:type="xsd:double"&gt;1081.194398&lt;/D&gt;&lt;D xsi:type="xsd:double"&gt;1076.47147&lt;/D&gt;&lt;D xsi:type="xsd:double"&gt;1074.844501&lt;/D&gt;&lt;D xsi:type="xsd:double"&gt;1063.455218&lt;/D&gt;&lt;D xsi:type="xsd:double"&gt;1052.010359&lt;/D&gt;&lt;D xsi:type="xsd:double"&gt;1048.140443&lt;/D&gt;&lt;D xsi:type="xsd:double"&gt;1045.249449&lt;/D&gt;&lt;D xsi:type="xsd:double"&gt;1040.457265&lt;/D&gt;&lt;D xsi:type="xsd:double"&gt;1048.148826&lt;/D&gt;&lt;D xsi:type="xsd:double"&gt;1052.172651&lt;/D&gt;&lt;D xsi:type="xsd:double"&gt;1056.55871&lt;/D&gt;&lt;D xsi:type="xsd:double"&gt;1057.019391&lt;/D&gt;&lt;D xsi:type="xsd:double"&gt;1052.48831&lt;/D&gt;&lt;D xsi:type="xsd:double"&gt;1052.368492&lt;/D&gt;&lt;D xsi:type="xsd:double"&gt;1048.942366&lt;/D&gt;&lt;D xsi:type="xsd:double"&gt;1048.163652&lt;/D&gt;&lt;D xsi:type="xsd:double"&gt;1037.952381&lt;/D&gt;&lt;D xsi:type="xsd:double"&gt;1032.87147&lt;/D&gt;&lt;D xsi:type="xsd:double"&gt;1028.754291&lt;/D&gt;&lt;D xsi:type="xsd:double"&gt;1021.192794&lt;/D&gt;&lt;D xsi:type="xsd:double"&gt;1018.111411&lt;/D&gt;&lt;D xsi:type="xsd:double"&gt;1013.194703&lt;/D&gt;&lt;D xsi:type="xsd:double"&gt;1023.188185&lt;/D&gt;&lt;D xsi:type="xsd:double"&gt;1020.052185&lt;/D&gt;&lt;D xsi:type="xsd:double"&gt;1023.334374&lt;/D&gt;&lt;D xsi:type="xsd:double"&gt;1028.06194&lt;/D&gt;&lt;D xsi:type="xsd:double"&gt;1029.414813&lt;/D&gt;&lt;D xsi:type="xsd:double"&gt;1040.207212&lt;/D&gt;&lt;D xsi:type="xsd:double"&gt;1043.564464&lt;/D&gt;&lt;D xsi:type="xsd:double"&gt;1035.867822&lt;/D&gt;&lt;D xsi:type="xsd:double"&gt;1036.311819&lt;/D&gt;&lt;D xsi:type="xsd:double"&gt;1020.677377&lt;/D&gt;&lt;D xsi:type="xsd:double"&gt;1011.754117&lt;/D&gt;&lt;D xsi:type="xsd:double"&gt;1008.726544&lt;/D&gt;&lt;D xsi:type="xsd:double"&gt;1007.647309&lt;/D&gt;&lt;D xsi:type="xsd:double"&gt;1005.037073&lt;/D&gt;&lt;D xsi:type="xsd:double"&gt;1019.583043&lt;/D&gt;&lt;D xsi:type="xsd:double"&gt;1026.745243&lt;/D&gt;&lt;D xsi:type="xsd:double"&gt;1035.798915&lt;/D&gt;&lt;D xsi:type="xsd:double"&gt;1022.889527&lt;/D&gt;&lt;D xsi:type="xsd:double"&gt;1023.827796&lt;/D&gt;&lt;D xsi:type="xsd:double"&gt;1031.315397&lt;/D&gt;&lt;D xsi:type="xsd:double"&gt;1034.369051&lt;/D&gt;&lt;D xsi:type="xsd:double"&gt;1037.465012&lt;/D&gt;&lt;D xsi:type="xsd:double"&gt;1030.865753&lt;/D&gt;&lt;D xsi:type="xsd:double"&gt;1021.409224&lt;/D&gt;&lt;D xsi:type="xsd:double"&gt;1004.955141&lt;/D&gt;&lt;D xsi:type="xsd:double"&gt;1006.031259&lt;/D&gt;&lt;D xsi:type="xsd:double"&gt;1012.083954&lt;/D&gt;&lt;D xsi:type="xsd:double"&gt;1008.944522&lt;/D&gt;&lt;D xsi:type="xsd:double"&gt;1020.054315&lt;/D&gt;&lt;D xsi:type="xsd:double"&gt;1013.339718&lt;/D&gt;&lt;D xsi:type="xsd:double"&gt;1023.77396&lt;/D&gt;&lt;D xsi:type="xsd:double"&gt;1040.209985&lt;/D&gt;&lt;D xsi:type="xsd:double"&gt;1038.723687&lt;/D&gt;&lt;D xsi:type="xsd:double"&gt;1050.895741&lt;/D&gt;&lt;D xsi:type="xsd:double"&gt;1053.467825&lt;/D&gt;&lt;D xsi:type="xsd:double"&gt;1044.066696&lt;/D&gt;&lt;D xsi:type="xsd:double"&gt;1031.675688&lt;/D&gt;&lt;D xsi:type="xsd:double"&gt;1036.411873&lt;/D&gt;&lt;D xsi:type="xsd:double"&gt;1031.913148&lt;/D&gt;&lt;D xsi:type="xsd:double"&gt;1015.151623&lt;/D&gt;&lt;D xsi:type="xsd:double"&gt;1016.927936&lt;/D&gt;&lt;D xsi:type="xsd:double"&gt;1020.665474&lt;/D&gt;&lt;D xsi:type="xsd:double"&gt;1013.182048&lt;/D&gt;&lt;D xsi:type="xsd:double"&gt;1002.905354&lt;/D&gt;&lt;D xsi:type="xsd:double"&gt;995.804547&lt;/D&gt;&lt;D xsi:type="xsd:double"&gt;1001.173929&lt;/D&gt;&lt;D xsi:type="xsd:double"&gt;984.339157&lt;/D&gt;&lt;D xsi:type="xsd:double"&gt;989.015793&lt;/D&gt;&lt;D xsi:type="xsd:double"&gt;978.985721&lt;/D&gt;&lt;D xsi:type="xsd:double"&gt;973.175474&lt;/D&gt;&lt;D xsi:type="xsd:double"&gt;969.174138&lt;/D&gt;&lt;D xsi:type="xsd:double"&gt;964.210589&lt;/D&gt;&lt;D xsi:type="xsd:double"&gt;954.685125&lt;/D&gt;&lt;D xsi:type="xsd:double"&gt;959.635883&lt;/D&gt;&lt;D xsi:type="xsd:double"&gt;958.313038&lt;/D&gt;&lt;D xsi:type="xsd:double"&gt;974.456395&lt;/D&gt;&lt;D xsi:type="xsd:double"&gt;968.134971&lt;/D&gt;&lt;D xsi:type="xsd:double"&gt;964.630317&lt;/D&gt;&lt;D xsi:type="xsd:double"&gt;962.567092&lt;/D&gt;&lt;D xsi:type="xsd:double"&gt;962.496251&lt;/D&gt;&lt;D xsi:type="xsd:double"&gt;955.498137&lt;/D&gt;&lt;D xsi:type="xsd:double"&gt;947.313215&lt;/D&gt;&lt;D xsi:type="xsd:double"&gt;958.982711&lt;/D&gt;&lt;D xsi:type="xsd:double"&gt;963.905332&lt;/D&gt;&lt;D xsi:type="xsd:double"&gt;945.933497&lt;/D&gt;&lt;D xsi:type="xsd:double"&gt;936.666052&lt;/D&gt;&lt;D xsi:type="xsd:double"&gt;935.032242&lt;/D&gt;&lt;D xsi:type="xsd:double"&gt;930.24678&lt;/D&gt;&lt;D xsi:type="xsd:double"&gt;915.400547&lt;/D&gt;&lt;D xsi:type="xsd:double"&gt;915.302&lt;/D&gt;&lt;D xsi:type="xsd:double"&gt;904.261&lt;/D&gt;&lt;D xsi:type="xsd:double"&gt;915.985&lt;/D&gt;&lt;D xsi:type="xsd:double"&gt;920.493&lt;/D&gt;&lt;D xsi:type="xsd:double"&gt;913.094&lt;/D&gt;&lt;D xsi:type="xsd:double"&gt;903.999&lt;/D&gt;&lt;D xsi:type="xsd:double"&gt;907.482&lt;/D&gt;&lt;D xsi:type="xsd:double"&gt;899.591&lt;/D&gt;&lt;D xsi:type="xsd:double"&gt;902.272&lt;/D&gt;&lt;D xsi:type="xsd:double"&gt;888.297&lt;/D&gt;&lt;D xsi:type="xsd:double"&gt;882.049&lt;/D&gt;&lt;D xsi:type="xsd:double"&gt;884.764&lt;/D&gt;&lt;D xsi:type="xsd:double"&gt;889.039&lt;/D&gt;&lt;D xsi:type="xsd:double"&gt;890.848&lt;/D&gt;&lt;D xsi:type="xsd:double"&gt;899.477&lt;/D&gt;&lt;D xsi:type="xsd:double"&gt;879.983&lt;/D&gt;&lt;D xsi:type="xsd:double"&gt;874.66&lt;/D&gt;&lt;D xsi:type="xsd:double"&gt;873.081&lt;/D&gt;&lt;D xsi:type="xsd:double"&gt;859.284&lt;/D&gt;&lt;D xsi:type="xsd:double"&gt;851.892&lt;/D&gt;&lt;D xsi:type="xsd:double"&gt;868.897&lt;/D&gt;&lt;D xsi:type="xsd:double"&gt;871.737&lt;/D&gt;&lt;D xsi:type="xsd:double"&gt;878.984&lt;/D&gt;&lt;D xsi:type="xsd:double"&gt;876.807&lt;/D&gt;&lt;D xsi:type="xsd:double"&gt;872.191&lt;/D&gt;&lt;D xsi:type="xsd:double"&gt;885.526&lt;/D&gt;&lt;D xsi:type="xsd:double"&gt;872.266&lt;/D&gt;&lt;D xsi:type="xsd:double"&gt;869.768&lt;/D&gt;&lt;D xsi:type="xsd:double"&gt;863.792&lt;/D&gt;&lt;D xsi:type="xsd:double"&gt;861.894&lt;/D&gt;&lt;D xsi:type="xsd:double"&gt;848.843&lt;/D&gt;&lt;D xsi:type="xsd:double"&gt;829.418&lt;/D&gt;&lt;D xsi:type="xsd:double"&gt;809.32&lt;/D&gt;&lt;D xsi:type="xsd:double"&gt;827.985&lt;/D&gt;&lt;D xsi:type="xsd:double"&gt;832.621&lt;/D&gt;&lt;D xsi:type="xsd:double"&gt;848.088&lt;/D&gt;&lt;D xsi:type="xsd:double"&gt;860.15&lt;/D&gt;&lt;D xsi:type="xsd:double"&gt;867.574&lt;/D&gt;&lt;D xsi:type="xsd:double"&gt;870.282&lt;/D&gt;&lt;D xsi:type="xsd:double"&gt;880.314&lt;/D&gt;&lt;D xsi:type="xsd:double"&gt;872.293&lt;/D&gt;&lt;D xsi:type="xsd:double"&gt;861.674&lt;/D&gt;&lt;D xsi:type="xsd:double"&gt;860.545&lt;/D&gt;&lt;D xsi:type="xsd:double"&gt;862.316&lt;/D&gt;&lt;D xsi:type="xsd:double"&gt;884.749&lt;/D&gt;&lt;D xsi:type="xsd:double"&gt;891.595&lt;/D&gt;&lt;D xsi:type="xsd:double"&gt;889.465&lt;/D&gt;&lt;D xsi:type="xsd:double"&gt;889.41&lt;/D&gt;&lt;D xsi:type="xsd:double"&gt;899.969&lt;/D&gt;&lt;D xsi:type="xsd:double"&gt;885.915&lt;/D&gt;&lt;D xsi:type="xsd:double"&gt;877.873&lt;/D&gt;&lt;D xsi:type="xsd:double"&gt;876.832&lt;/D&gt;&lt;D xsi:type="xsd:double"&gt;883.294&lt;/D&gt;&lt;D xsi:type="xsd:double"&gt;873.625&lt;/D&gt;&lt;D xsi:type="xsd:double"&gt;880.668&lt;/D&gt;&lt;D xsi:type="xsd:double"&gt;887.529&lt;/D&gt;&lt;D xsi:type="xsd:double"&gt;902.547&lt;/D&gt;&lt;D xsi:type="xsd:double"&gt;894.215&lt;/D&gt;&lt;D xsi:type="xsd:double"&gt;904.313&lt;/D&gt;&lt;D xsi:type="xsd:double"&gt;891.439&lt;/D&gt;&lt;D xsi:type="xsd:double"&gt;893.405&lt;/D&gt;&lt;D xsi:type="xsd:double"&gt;886.718&lt;/D&gt;&lt;D xsi:type="xsd:double"&gt;885.182&lt;/D&gt;&lt;D xsi:type="xsd:double"&gt;886.441&lt;/D&gt;&lt;D xsi:type="xsd:double"&gt;911.955&lt;/D&gt;&lt;D xsi:type="xsd:double"&gt;916.657&lt;/D&gt;&lt;D xsi:type="xsd:double"&gt;913.19&lt;/D&gt;&lt;D xsi:type="xsd:double"&gt;924.886&lt;/D&gt;&lt;D xsi:type="xsd:double"&gt;940.519&lt;/D&gt;&lt;D xsi:type="xsd:double"&gt;949.853&lt;/D&gt;&lt;D xsi:type="xsd:double"&gt;950.958&lt;/D&gt;&lt;D xsi:type="xsd:double"&gt;957.815&lt;/D&gt;&lt;D xsi:type="xsd:double"&gt;949.863&lt;/D&gt;&lt;D xsi:type="xsd:double"&gt;947.545&lt;/D&gt;&lt;D xsi:type="xsd:double"&gt;942.13&lt;/D&gt;&lt;D xsi:type="xsd:double"&gt;931.799&lt;/D&gt;&lt;D xsi:type="xsd:double"&gt;947.173&lt;/D&gt;&lt;D xsi:type="xsd:double"&gt;958.944&lt;/D&gt;&lt;D xsi:type="xsd:double"&gt;945.779&lt;/D&gt;&lt;D xsi:type="xsd:double"&gt;938.548&lt;/D&gt;&lt;D xsi:type="xsd:double"&gt;927.278&lt;/D&gt;&lt;D xsi:type="xsd:double"&gt;920.7&lt;/D&gt;&lt;D xsi:type="xsd:double"&gt;911.179&lt;/D&gt;&lt;D xsi:type="xsd:double"&gt;925.922&lt;/D&gt;&lt;D xsi:type="xsd:double"&gt;922.567&lt;/D&gt;&lt;D xsi:type="xsd:double"&gt;918.219&lt;/D&gt;&lt;D xsi:type="xsd:double"&gt;915.023&lt;/D&gt;&lt;D xsi:type="xsd:double"&gt;908.309&lt;/D&gt;&lt;D xsi:type="xsd:double"&gt;908.837&lt;/D&gt;&lt;D xsi:type="xsd:double"&gt;927.208&lt;/D&gt;&lt;D xsi:type="xsd:double"&gt;928.87&lt;/D&gt;&lt;D xsi:type="xsd:double"&gt;915.45&lt;/D&gt;&lt;D xsi:type="xsd:double"&gt;920.145&lt;/D&gt;&lt;D xsi:type="xsd:double"&gt;923.755&lt;/D&gt;&lt;D xsi:type="xsd:double"&gt;918.609&lt;/D&gt;&lt;D xsi:type="xsd:double"&gt;915.703&lt;/D&gt;&lt;D xsi:type="xsd:double"&gt;930.447&lt;/D&gt;&lt;D xsi:type="xsd:double"&gt;927.701&lt;/D&gt;&lt;D xsi:type="xsd:double"&gt;937.508&lt;/D&gt;&lt;D xsi:type="xsd:double"&gt;944.22&lt;/D&gt;&lt;D xsi:type="xsd:double"&gt;956.593&lt;/D&gt;&lt;D xsi:type="xsd:double"&gt;958.859&lt;/D&gt;&lt;D xsi:type="xsd:double"&gt;947.46&lt;/D&gt;&lt;D xsi:type="xsd:double"&gt;934.759&lt;/D&gt;&lt;D xsi:type="xsd:double"&gt;948.624&lt;/D&gt;&lt;D xsi:type="xsd:double"&gt;953.912&lt;/D&gt;&lt;D xsi:type="xsd:double"&gt;951.158&lt;/D&gt;&lt;D xsi:type="xsd:double"&gt;928.485&lt;/D&gt;&lt;D xsi:type="xsd:double"&gt;932.526&lt;/D&gt;&lt;D xsi:type="xsd:double"&gt;935.836&lt;/D&gt;&lt;D xsi:type="xsd:double"&gt;933.225&lt;/D&gt;&lt;D xsi:type="xsd:double"&gt;922.737&lt;/D&gt;&lt;D xsi:type="xsd:double"&gt;915.632&lt;/D&gt;&lt;D xsi:type="xsd:double"&gt;923.656&lt;/D&gt;&lt;D xsi:type="xsd:double"&gt;915.673&lt;/D&gt;&lt;D xsi:type="xsd:double"&gt;927.228&lt;/D&gt;&lt;D xsi:type="xsd:double"&gt;934.116&lt;/D&gt;&lt;D xsi:type="xsd:double"&gt;939.394&lt;/D&gt;&lt;D xsi:type="xsd:double"&gt;947.553&lt;/D&gt;&lt;D xsi:type="xsd:double"&gt;937.333&lt;/D&gt;&lt;D xsi:type="xsd:double"&gt;915.323&lt;/D&gt;&lt;D xsi:type="xsd:double"&gt;917.691&lt;/D&gt;&lt;D xsi:type="xsd:double"&gt;906.104&lt;/D&gt;&lt;D xsi:type="xsd:double"&gt;891.584&lt;/D&gt;&lt;D xsi:type="xsd:double"&gt;916.642&lt;/D&gt;&lt;D xsi:type="xsd:double"&gt;905.124&lt;/D&gt;&lt;D xsi:type="xsd:double"&gt;903.173&lt;/D&gt;&lt;D xsi:type="xsd:double"&gt;890.639&lt;/D&gt;&lt;D xsi:type="xsd:double"&gt;906.259&lt;/D&gt;&lt;D xsi:type="xsd:double"&gt;916.367&lt;/D&gt;&lt;D xsi:type="xsd:double"&gt;914.718&lt;/D&gt;&lt;D xsi:type="xsd:double"&gt;916.1&lt;/D&gt;&lt;D xsi:type="xsd:double"&gt;900.736&lt;/D&gt;&lt;D xsi:type="xsd:double"&gt;908.946&lt;/D&gt;&lt;D xsi:type="xsd:double"&gt;869.355&lt;/D&gt;&lt;D xsi:type="xsd:double"&gt;873.95&lt;/D&gt;&lt;D xsi:type="xsd:double"&gt;842.5&lt;/D&gt;&lt;D xsi:type="xsd:double"&gt;832.418&lt;/D&gt;&lt;D xsi:type="xsd:double"&gt;836.443&lt;/D&gt;&lt;D xsi:type="xsd:double"&gt;846.878&lt;/D&gt;&lt;D xsi:type="xsd:double"&gt;863.538&lt;/D&gt;&lt;D xsi:type="xsd:double"&gt;877.337&lt;/D&gt;&lt;D xsi:type="xsd:double"&gt;886.529&lt;/D&gt;&lt;D xsi:type="xsd:double"&gt;874.01&lt;/D&gt;&lt;D xsi:type="xsd:double"&gt;872.493&lt;/D&gt;&lt;D xsi:type="xsd:double"&gt;893.665&lt;/D&gt;&lt;D xsi:type="xsd:double"&gt;890.309&lt;/D&gt;&lt;D xsi:type="xsd:double"&gt;862.275&lt;/D&gt;&lt;D xsi:type="xsd:double"&gt;857.243&lt;/D&gt;&lt;D xsi:type="xsd:double"&gt;869.951&lt;/D&gt;&lt;D xsi:type="xsd:double"&gt;891.593&lt;/D&gt;&lt;D xsi:type="xsd:double"&gt;897.851&lt;/D&gt;&lt;D xsi:type="xsd:double"&gt;901.873&lt;/D&gt;&lt;D xsi:type="xsd:double"&gt;919.863&lt;/D&gt;&lt;D xsi:type="xsd:double"&gt;922.406&lt;/D&gt;&lt;D xsi:type="xsd:double"&gt;929.613&lt;/D&gt;&lt;D xsi:type="xsd:double"&gt;944.885&lt;/D&gt;&lt;D xsi:type="xsd:double"&gt;964.282&lt;/D&gt;&lt;D xsi:type="xsd:double"&gt;952.846&lt;/D&gt;&lt;D xsi:type="xsd:double"&gt;941.985&lt;/D&gt;&lt;D xsi:type="xsd:double"&gt;948.915&lt;/D&gt;&lt;D xsi:type="xsd:double"&gt;936.87&lt;/D&gt;&lt;D xsi:type="xsd:double"&gt;938.335&lt;/D&gt;&lt;D xsi:type="xsd:double"&gt;943.036&lt;/D&gt;&lt;D xsi:type="xsd:double"&gt;977.546&lt;/D&gt;&lt;D xsi:type="xsd:double"&gt;974.003&lt;/D&gt;&lt;D xsi:type="xsd:double"&gt;986.462&lt;/D&gt;&lt;D xsi:type="xsd:double"&gt;1014.759&lt;/D&gt;&lt;D xsi:type="xsd:double"&gt;999.802&lt;/D&gt;&lt;D xsi:type="xsd:double"&gt;1000.667&lt;/D&gt;&lt;D xsi:type="xsd:double"&gt;1009.655&lt;/D&gt;&lt;D xsi:type="xsd:double"&gt;999.581&lt;/D&gt;&lt;D xsi:type="xsd:double"&gt;988.933&lt;/D&gt;&lt;D xsi:type="xsd:double"&gt;999.296&lt;/D&gt;&lt;D xsi:type="xsd:double"&gt;990.901&lt;/D&gt;&lt;D xsi:type="xsd:double"&gt;985.31&lt;/D&gt;&lt;D xsi:type="xsd:double"&gt;968.616&lt;/D&gt;&lt;D xsi:type="xsd:double"&gt;974.788&lt;/D&gt;&lt;D xsi:type="xsd:double"&gt;969.138&lt;/D&gt;&lt;D xsi:type="xsd:double"&gt;982.667&lt;/D&gt;&lt;D xsi:type="xsd:double"&gt;965.428&lt;/D&gt;&lt;D xsi:type="xsd:double"&gt;943.216&lt;/D&gt;&lt;D xsi:type="xsd:double"&gt;937.477&lt;/D&gt;&lt;D xsi:type="xsd:double"&gt;933.83&lt;/D&gt;&lt;D xsi:type="xsd:double"&gt;954.025&lt;/D&gt;&lt;D xsi:type="xsd:double"&gt;954.297&lt;/D&gt;&lt;D xsi:type="xsd:double"&gt;981.421&lt;/D&gt;&lt;D xsi:type="xsd:double"&gt;983.593&lt;/D&gt;&lt;D xsi:type="xsd:double"&gt;974.394&lt;/D&gt;&lt;D xsi:type="xsd:double"&gt;943.566&lt;/D&gt;&lt;D xsi:type="xsd:double"&gt;954.764&lt;/D&gt;&lt;D xsi:type="xsd:double"&gt;931.278&lt;/D&gt;&lt;D xsi:type="xsd:double"&gt;941.868&lt;/D&gt;&lt;D xsi:type="xsd:double"&gt;965.117&lt;/D&gt;&lt;D xsi:type="xsd:double"&gt;1005.223&lt;/D&gt;&lt;D xsi:type="xsd:double"&gt;1038.236&lt;/D&gt;&lt;D xsi:type="xsd:double"&gt;1023.693&lt;/D&gt;&lt;D xsi:type="xsd:double"&gt;1005.306&lt;/D&gt;&lt;D xsi:type="xsd:double"&gt;1007.136&lt;/D&gt;&lt;D xsi:type="xsd:double"&gt;1035.791&lt;/D&gt;&lt;D xsi:type="xsd:double"&gt;1034.138&lt;/D&gt;&lt;D xsi:type="xsd:double"&gt;1063.421&lt;/D&gt;&lt;D xsi:type="xsd:double"&gt;1094.57&lt;/D&gt;&lt;D xsi:type="xsd:double"&gt;1093.388&lt;/D&gt;&lt;D xsi:type="xsd:double"&gt;1084.928&lt;/D&gt;&lt;D xsi:type="xsd:double"&gt;1048.003&lt;/D&gt;&lt;D xsi:type="xsd:double"&gt;1067.859&lt;/D&gt;&lt;D xsi:type="xsd:double"&gt;1092.165&lt;/D&gt;&lt;D xsi:type="xsd:double"&gt;1090.626&lt;/D&gt;&lt;D xsi:type="xsd:double"&gt;1057.659&lt;/D&gt;&lt;D xsi:type="xsd:double"&gt;1050.58&lt;/D&gt;&lt;D xsi:type="xsd:double"&gt;1056.426&lt;/D&gt;&lt;D xsi:type="xsd:double"&gt;1045.193&lt;/D&gt;&lt;D xsi:type="xsd:double"&gt;1055.223&lt;/D&gt;&lt;D xsi:type="xsd:double"&gt;1055.766&lt;/D&gt;&lt;D xsi:type="xsd:double"&gt;1061.081&lt;/D&gt;&lt;D xsi:type="xsd:double"&gt;1073.94&lt;/D&gt;&lt;D xsi:type="xsd:double"&gt;1070.687&lt;/D&gt;&lt;D xsi:type="xsd:double"&gt;1056.026&lt;/D&gt;&lt;D xsi:type="xsd:double"&gt;1077.665&lt;/D&gt;&lt;D xsi:type="xsd:double"&gt;1090.745&lt;/D&gt;&lt;D xsi:type="xsd:double"&gt;1105.885&lt;/D&gt;&lt;D xsi:type="xsd:double"&gt;1101.428&lt;/D&gt;&lt;D xsi:type="xsd:double"&gt;1102.402&lt;/D&gt;&lt;D xsi:type="xsd:double"&gt;1114.433&lt;/D&gt;&lt;D xsi:type="xsd:double"&gt;1112.739&lt;/D&gt;&lt;D xsi:type="xsd:double"&gt;1124.448&lt;/D&gt;&lt;D xsi:type="xsd:double"&gt;1138.523&lt;/D&gt;&lt;D xsi:type="xsd:double"&gt;1138.761&lt;/D&gt;&lt;D xsi:type="xsd:double"&gt;1138.905&lt;/D&gt;&lt;D xsi:type="xsd:double"&gt;1144.016&lt;/D&gt;&lt;D xsi:type="xsd:double"&gt;1145.81&lt;/D&gt;&lt;D xsi:type="xsd:double"&gt;1148.665&lt;/D&gt;&lt;D xsi:type="xsd:double"&gt;1145.995&lt;/D&gt;&lt;D xsi:type="xsd:double"&gt;1149.804&lt;/D&gt;&lt;D xsi:type="xsd:double"&gt;1150.88&lt;/D&gt;&lt;D xsi:type="xsd:double"&gt;1153.454&lt;/D&gt;&lt;D xsi:type="xsd:double"&gt;1156.468&lt;/D&gt;&lt;D xsi:type="xsd:double"&gt;1146.204&lt;/D&gt;&lt;D xsi:type="xsd:double"&gt;1143.757&lt;/D&gt;&lt;D xsi:type="xsd:double"&gt;1129.072&lt;/D&gt;&lt;D xsi:type="xsd:double"&gt;1129.463&lt;/D&gt;&lt;D xsi:type="xsd:double"&gt;1126.078&lt;/D&gt;&lt;D xsi:type="xsd:double"&gt;1130.754&lt;/D&gt;&lt;D xsi:type="xsd:double"&gt;1132.083&lt;/D&gt;&lt;D xsi:type="xsd:double"&gt;1116.71&lt;/D&gt;&lt;D xsi:type="xsd:double"&gt;1131.581&lt;/D&gt;&lt;D xsi:type="xsd:double"&gt;1133.901&lt;/D&gt;&lt;D xsi:type="xsd:double"&gt;1129.196&lt;/D&gt;&lt;D xsi:type="xsd:double"&gt;1132.827&lt;/D&gt;&lt;D xsi:type="xsd:double"&gt;1127.691&lt;/D&gt;&lt;D xsi:type="xsd:double"&gt;1124.82&lt;/D&gt;&lt;D xsi:type="xsd:double"&gt;1126.589&lt;/D&gt;&lt;D xsi:type="xsd:double"&gt;1132.23&lt;/D&gt;&lt;D xsi:type="xsd:double"&gt;1132.464&lt;/D&gt;&lt;D xsi:type="xsd:double"&gt;1133.705&lt;/D&gt;&lt;D xsi:type="xsd:double"&gt;1136.124&lt;/D&gt;&lt;D xsi:type="xsd:double"&gt;1138.889&lt;/D&gt;&lt;D xsi:type="xsd:double"&gt;1140.261&lt;/D&gt;&lt;D xsi:type="xsd:double"&gt;1140.972&lt;/D&gt;&lt;D xsi:type="xsd:double"&gt;1131.825&lt;/D&gt;&lt;D xsi:type="xsd:double"&gt;1113.47&lt;/D&gt;&lt;D xsi:type="xsd:double"&gt;1103.679&lt;/D&gt;&lt;D xsi:type="xsd:double"&gt;1106.152&lt;/D&gt;&lt;D xsi:type="xsd:double"&gt;1118.314&lt;/D&gt;&lt;D xsi:type="xsd:double"&gt;1107.156&lt;/D&gt;&lt;D xsi:type="xsd:double"&gt;1108.345&lt;/D&gt;&lt;D xsi:type="xsd:double"&gt;1122.805&lt;/D&gt;&lt;D xsi:type="xsd:double"&gt;1124.935&lt;/D&gt;&lt;D xsi:type="xsd:double"&gt;1129.476&lt;/D&gt;&lt;D xsi:type="xsd:double"&gt;1127.748&lt;/D&gt;&lt;D xsi:type="xsd:double"&gt;1128.228&lt;/D&gt;&lt;D xsi:type="xsd:double"&gt;1128.331&lt;/D&gt;&lt;D xsi:type="xsd:double"&gt;1117.456&lt;/D&gt;&lt;D xsi:type="xsd:double"&gt;1116.3&lt;/D&gt;&lt;D xsi:type="xsd:double"&gt;1117.046&lt;/D&gt;&lt;D xsi:type="xsd:double"&gt;1126.999&lt;/D&gt;&lt;D xsi:type="xsd:double"&gt;1131.401&lt;/D&gt;&lt;D xsi:type="xsd:double"&gt;1137.127&lt;/D&gt;&lt;D xsi:type="xsd:double"&gt;1146.523&lt;/D&gt;&lt;D xsi:type="xsd:double"&gt;1137.73&lt;/D&gt;&lt;D xsi:type="xsd:double"&gt;1140.55&lt;/D&gt;&lt;D xsi:type="xsd:double"&gt;1131.08&lt;/D&gt;&lt;D xsi:type="xsd:double"&gt;1121.177&lt;/D&gt;&lt;D xsi:type="xsd:double"&gt;1125.567&lt;/D&gt;&lt;D xsi:type="xsd:double"&gt;1142.594&lt;/D&gt;&lt;D xsi:type="xsd:double"&gt;1143.078&lt;/D&gt;&lt;D xsi:type="xsd:double"&gt;1142.728&lt;/D&gt;&lt;D xsi:type="xsd:double"&gt;1120.913&lt;/D&gt;&lt;D xsi:type="xsd:double"&gt;1112.269&lt;/D&gt;&lt;D xsi:type="xsd:double"&gt;1116.261&lt;/D&gt;&lt;D xsi:type="xsd:double"&gt;1082.357&lt;/D&gt;&lt;D xsi:type="xsd:double"&gt;1069.65&lt;/D&gt;&lt;D xsi:type="xsd:double"&gt;1067.534&lt;/D&gt;&lt;D xsi:type="xsd:double"&gt;1055.534&lt;/D&gt;&lt;D xsi:type="xsd:double"&gt;1053.659&lt;/D&gt;&lt;D xsi:type="xsd:double"&gt;1048.338&lt;/D&gt;&lt;D xsi:type="xsd:double"&gt;1050.172&lt;/D&gt;&lt;D xsi:type="xsd:double"&gt;1038.196&lt;/D&gt;&lt;D xsi:type="xsd:double"&gt;1046.716&lt;/D&gt;&lt;D xsi:type="xsd:double"&gt;1070.989&lt;/D&gt;&lt;D xsi:type="xsd:double"&gt;1075.759&lt;/D&gt;&lt;D xsi:type="xsd:double"&gt;1067.353&lt;/D&gt;&lt;D xsi:type="xsd:double"&gt;1063.258&lt;/D&gt;&lt;D xsi:type="xsd:double"&gt;1060.352&lt;/D&gt;&lt;D xsi:type="xsd:double"&gt;1046.517&lt;/D&gt;&lt;D xsi:type="xsd:double"&gt;1042.466&lt;/D&gt;&lt;D xsi:type="xsd:double"&gt;1032.302&lt;/D&gt;&lt;D xsi:type="xsd:double"&gt;1040.294&lt;/D&gt;&lt;D xsi:type="xsd:double"&gt;1056.422&lt;/D&gt;&lt;D xsi:type="xsd:double"&gt;1062.45&lt;/D&gt;&lt;D xsi:type="xsd:double"&gt;1064.496&lt;/D&gt;&lt;D xsi:type="xsd:double"&gt;1053.496&lt;/D&gt;&lt;D xsi:type="xsd:double"&gt;1066.196&lt;/D&gt;&lt;D xsi:type="xsd:double"&gt;1080.252&lt;/D&gt;&lt;D xsi:type="xsd:double"&gt;1073.906&lt;/D&gt;&lt;D xsi:type="xsd:double"&gt;1085.785&lt;/D&gt;&lt;D xsi:type="xsd:double"&gt;1078.218&lt;/D&gt;&lt;D xsi:type="xsd:double"&gt;1074.384&lt;/D&gt;&lt;D xsi:type="xsd:double"&gt;1084.921&lt;/D&gt;&lt;D xsi:type="xsd:double"&gt;1083.007&lt;/D&gt;&lt;D xsi:type="xsd:double"&gt;1077.756&lt;/D&gt;&lt;D xsi:type="xsd:double"&gt;1092.276&lt;/D&gt;&lt;D xsi:type="xsd:double"&gt;1092.537&lt;/D&gt;&lt;D xsi:type="xsd:double"&gt;1106.233&lt;/D&gt;&lt;D xsi:type="xsd:double"&gt;1105.177&lt;/D&gt;&lt;D xsi:type="xsd:double"&gt;1113.543&lt;/D&gt;&lt;D xsi:type="xsd:double"&gt;1116.868&lt;/D&gt;&lt;D xsi:type="xsd:double"&gt;1131.625&lt;/D&gt;&lt;D xsi:type="xsd:double"&gt;1139.547&lt;/D&gt;&lt;D xsi:type="xsd:double"&gt;1134.402&lt;/D&gt;&lt;D xsi:type="xsd:double"&gt;1121.224&lt;/D&gt;&lt;D xsi:type="xsd:double"&gt;1122.051&lt;/D&gt;&lt;D xsi:type="xsd:double"&gt;1116.284&lt;/D&gt;&lt;D xsi:type="xsd:double"&gt;1110.137&lt;/D&gt;&lt;D xsi:type="xsd:double"&gt;1089.371&lt;/D&gt;&lt;D xsi:type="xsd:double"&gt;1090.649&lt;/D&gt;&lt;D xsi:type="xsd:double"&gt;1095.779&lt;/D&gt;&lt;D xsi:type="xsd:double"&gt;1093.663&lt;/D&gt;&lt;D xsi:type="xsd:double"&gt;1098.142&lt;/D&gt;&lt;D xsi:type="xsd:double"&gt;1107.182&lt;/D&gt;&lt;D xsi:type="xsd:double"&gt;1107.11&lt;/D&gt;&lt;D xsi:type="xsd:double"&gt;1091.798&lt;/D&gt;&lt;D xsi:type="xsd:double"&gt;1096.724&lt;/D&gt;&lt;D xsi:type="xsd:double"&gt;1115.155&lt;/D&gt;&lt;D xsi:type="xsd:double"&gt;1110.97&lt;/D&gt;&lt;D xsi:type="xsd:double"&gt;1112.466&lt;/D&gt;&lt;D xsi:type="xsd:double"&gt;1132.821&lt;/D&gt;&lt;D xsi:type="xsd:double"&gt;1144.601&lt;/D&gt;&lt;D xsi:type="xsd:double"&gt;1137.629&lt;/D&gt;&lt;D xsi:type="xsd:double"&gt;1110.906&lt;/D&gt;&lt;D xsi:type="xsd:double"&gt;1100.336&lt;/D&gt;&lt;D xsi:type="xsd:double"&gt;1115.179&lt;/D&gt;&lt;D xsi:type="xsd:double"&gt;1101.818&lt;/D&gt;&lt;D xsi:type="xsd:double"&gt;1101.537&lt;/D&gt;&lt;D xsi:type="xsd:double"&gt;1112.825&lt;/D&gt;&lt;D xsi:type="xsd:double"&gt;1119.683&lt;/D&gt;&lt;D xsi:type="xsd:double"&gt;1112.721&lt;/D&gt;&lt;D xsi:type="xsd:double"&gt;1111.168&lt;/D&gt;&lt;D xsi:type="xsd:double"&gt;1118.15&lt;/D&gt;&lt;D xsi:type="xsd:double"&gt;1124.763&lt;/D&gt;&lt;D xsi:type="xsd:double"&gt;1117.163&lt;/D&gt;&lt;D xsi:type="xsd:double"&gt;1107.927&lt;/D&gt;&lt;D xsi:type="xsd:double"&gt;1103.008&lt;/D&gt;&lt;D xsi:type="xsd:double"&gt;1100.884&lt;/D&gt;&lt;D xsi:type="xsd:double"&gt;1091.619&lt;/D&gt;&lt;D xsi:type="xsd:double"&gt;1109.335&lt;/D&gt;&lt;D xsi:type="xsd:double"&gt;1117.469&lt;/D&gt;&lt;D xsi:type="xsd:double"&gt;1105.328&lt;/D&gt;&lt;D xsi:type="xsd:double"&gt;1104.161&lt;/D&gt;&lt;D xsi:type="xsd:double"&gt;1099.203&lt;/D&gt;&lt;D xsi:type="xsd:double"&gt;1086.13&lt;/D&gt;&lt;D xsi:type="xsd:double"&gt;1085.122&lt;/D&gt;&lt;D xsi:type="xsd:double"&gt;1073.807&lt;/D&gt;&lt;D xsi:type="xsd:double"&gt;1072.254&lt;/D&gt;&lt;D xsi:type="xsd:double"&gt;1089.828&lt;/D&gt;&lt;D xsi:type="xsd:double"&gt;1100.963&lt;/D&gt;&lt;D xsi:type="xsd:double"&gt;1089.376&lt;/D&gt;&lt;D xsi:type="xsd:double"&gt;1097.596&lt;/D&gt;&lt;D xsi:type="xsd:double"&gt;1092.182&lt;/D&gt;&lt;D xsi:type="xsd:double"&gt;1073.21&lt;/D&gt;&lt;D xsi:type="xsd:double"&gt;1067.699&lt;/D&gt;&lt;D xsi:type="xsd:double"&gt;1083.032&lt;/D&gt;&lt;D xsi:type="xsd:double"&gt;1103.769&lt;/D&gt;&lt;D xsi:type="xsd:double"&gt;1087.028&lt;/D&gt;&lt;D xsi:type="xsd:double"&gt;1078.05&lt;/D&gt;&lt;D xsi:type="xsd:double"&gt;1093.917&lt;/D&gt;&lt;D xsi:type="xsd:double"&gt;1089.863&lt;/D&gt;&lt;D xsi:type="xsd:double"&gt;1080.055&lt;/D&gt;&lt;D xsi:type="xsd:double"&gt;1070.797&lt;/D&gt;&lt;D xsi:type="xsd:double"&gt;1078.983&lt;/D&gt;&lt;D xsi:type="xsd:double"&gt;1079.471&lt;/D&gt;&lt;D xsi:type="xsd:double"&gt;1078.133&lt;/D&gt;&lt;D xsi:type="xsd:double"&gt;1053.061&lt;/D&gt;&lt;D xsi:type="xsd:double"&gt;1051.387&lt;/D&gt;&lt;D xsi:type="xsd:double"&gt;1040.489&lt;/D&gt;&lt;D xsi:type="xsd:double"&gt;1048.444&lt;/D&gt;&lt;D xsi:type="xsd:double"&gt;1026.78&lt;/D&gt;&lt;D xsi:type="xsd:double"&gt;1020.126&lt;/D&gt;&lt;D xsi:type="xsd:double"&gt;1016.616&lt;/D&gt;&lt;D xsi:type="xsd:double"&gt;1000.317&lt;/D&gt;&lt;D xsi:type="xsd:double"&gt;967.443&lt;/D&gt;&lt;D xsi:type="xsd:double"&gt;1002.075&lt;/D&gt;&lt;D xsi:type="xsd:double"&gt;1034.147&lt;/D&gt;&lt;D xsi:type="xsd:double"&gt;1038.598&lt;/D&gt;&lt;D xsi:type="xsd:double"&gt;1042.182&lt;/D&gt;&lt;D xsi:type="xsd:double"&gt;1092.466&lt;/D&gt;&lt;D xsi:type="xsd:double"&gt;1110.328&lt;/D&gt;&lt;D xsi:type="xsd:double"&gt;1120.561&lt;/D&gt;&lt;D xsi:type="xsd:double"&gt;1137.309&lt;/D&gt;&lt;D xsi:type="xsd:double"&gt;1155.986&lt;/D&gt;&lt;D xsi:type="xsd:double"&gt;1167.798&lt;/D&gt;&lt;D xsi:type="xsd:double"&gt;1168.777&lt;/D&gt;&lt;D xsi:type="xsd:double"&gt;1190.453&lt;/D&gt;&lt;D xsi:type="xsd:double"&gt;1195.273&lt;/D&gt;&lt;D xsi:type="xsd:double"&gt;1207.486&lt;/D&gt;&lt;D xsi:type="xsd:double"&gt;1207.047&lt;/D&gt;&lt;D xsi:type="xsd:double"&gt;1194.795&lt;/D&gt;&lt;D xsi:type="xsd:double"&gt;1203.272&lt;/D&gt;&lt;D xsi:type="xsd:double"&gt;1195.65&lt;/D&gt;&lt;D xsi:type="xsd:double"&gt;1184.62&lt;/D&gt;&lt;D xsi:type="xsd:double"&gt;1192.194&lt;/D&gt;&lt;D xsi:type="xsd:double"&gt;1203.353&lt;/D&gt;&lt;D xsi:type="xsd:double"&gt;1215.692&lt;/D&gt;&lt;D xsi:type="xsd:double"&gt;1206.041&lt;/D&gt;&lt;D xsi:type="xsd:double"&gt;1188.707&lt;/D&gt;&lt;D xsi:type="xsd:double"&gt;1186.723&lt;/D&gt;&lt;D xsi:type="xsd:double"&gt;1185.874&lt;/D&gt;&lt;D xsi:type="xsd:double"&gt;1198.181&lt;/D&gt;&lt;D xsi:type="xsd:double"&gt;1210.306&lt;/D&gt;&lt;D xsi:type="xsd:double"&gt;1210.155&lt;/D&gt;&lt;D xsi:type="xsd:double"&gt;1215.167&lt;/D&gt;&lt;D xsi:type="xsd:double"&gt;1223.179&lt;/D&gt;&lt;D xsi:type="xsd:double"&gt;1211.644&lt;/D&gt;&lt;D xs</t>
        </r>
      </text>
    </comment>
    <comment ref="A23" authorId="0" shapeId="0">
      <text>
        <r>
          <rPr>
            <b/>
            <sz val="9"/>
            <color indexed="81"/>
            <rFont val="Tahoma"/>
            <family val="2"/>
          </rPr>
          <t>i:type="xsd:double"&gt;1201.945&lt;/D&gt;&lt;D xsi:type="xsd:double"&gt;1185.959&lt;/D&gt;&lt;D xsi:type="xsd:double"&gt;1181.492&lt;/D&gt;&lt;D xsi:type="xsd:double"&gt;1170.247&lt;/D&gt;&lt;D xsi:type="xsd:double"&gt;1166.778&lt;/D&gt;&lt;D xsi:type="xsd:double"&gt;1169.946&lt;/D&gt;&lt;D xsi:type="xsd:double"&gt;1172.577&lt;/D&gt;&lt;D xsi:type="xsd:double"&gt;1183.018&lt;/D&gt;&lt;D xsi:type="xsd:double"&gt;1186.389&lt;/D&gt;&lt;D xsi:type="xsd:double"&gt;1174.802&lt;/D&gt;&lt;D xsi:type="xsd:double"&gt;1171.701&lt;/D&gt;&lt;D xsi:type="xsd:double"&gt;1185.128&lt;/D&gt;&lt;D xsi:type="xsd:double"&gt;1187.811&lt;/D&gt;&lt;D xsi:type="xsd:double"&gt;1185.996&lt;/D&gt;&lt;D xsi:type="xsd:double"&gt;1177.252&lt;/D&gt;&lt;D xsi:type="xsd:double"&gt;1185.787&lt;/D&gt;&lt;D xsi:type="xsd:double"&gt;1182.255&lt;/D&gt;&lt;D xsi:type="xsd:double"&gt;1180.201&lt;/D&gt;&lt;D xsi:type="xsd:double"&gt;1198.826&lt;/D&gt;&lt;D xsi:type="xsd:double"&gt;1225.736&lt;/D&gt;&lt;D xsi:type="xsd:double"&gt;1233.724&lt;/D&gt;&lt;D xsi:type="xsd:double"&gt;1223.964&lt;/D&gt;&lt;D xsi:type="xsd:double"&gt;1211.188&lt;/D&gt;&lt;D xsi:type="xsd:double"&gt;1214.503&lt;/D&gt;&lt;D xsi:type="xsd:double"&gt;1218.711&lt;/D&gt;&lt;D xsi:type="xsd:double"&gt;1230.48&lt;/D&gt;&lt;D xsi:type="xsd:double"&gt;1227.599&lt;/D&gt;&lt;D xsi:type="xsd:double"&gt;1220.869&lt;/D&gt;&lt;D xsi:type="xsd:double"&gt;1214.837&lt;/D&gt;&lt;D xsi:type="xsd:double"&gt;1223.705&lt;/D&gt;&lt;D xsi:type="xsd:double"&gt;1225.507&lt;/D&gt;&lt;D xsi:type="xsd:double"&gt;1237.763&lt;/D&gt;&lt;D xsi:type="xsd:double"&gt;1246.092&lt;/D&gt;&lt;D xsi:type="xsd:double"&gt;1250.089&lt;/D&gt;&lt;D xsi:type="xsd:double"&gt;1241.545&lt;/D&gt;&lt;D xsi:type="xsd:double"&gt;1259.727&lt;/D&gt;&lt;D xsi:type="xsd:double"&gt;1278.883&lt;/D&gt;&lt;D xsi:type="xsd:double"&gt;1282.933&lt;/D&gt;&lt;D xsi:type="xsd:double"&gt;1279.565&lt;/D&gt;&lt;D xsi:type="xsd:double"&gt;1287.106&lt;/D&gt;&lt;D xsi:type="xsd:double"&gt;1280.122&lt;/D&gt;&lt;D xsi:type="xsd:double"&gt;1275.796&lt;/D&gt;&lt;D xsi:type="xsd:double"&gt;1277.88&lt;/D&gt;&lt;D xsi:type="xsd:double"&gt;1285.524&lt;/D&gt;&lt;D xsi:type="xsd:double"&gt;1302.435&lt;/D&gt;&lt;D xsi:type="xsd:double"&gt;1308.831&lt;/D&gt;&lt;D xsi:type="xsd:double"&gt;1317.238&lt;/D&gt;&lt;D xsi:type="xsd:double"&gt;1321.122&lt;/D&gt;&lt;D xsi:type="xsd:double"&gt;1329.705&lt;/D&gt;&lt;D xsi:type="xsd:double"&gt;1331.198&lt;/D&gt;&lt;D xsi:type="xsd:double"&gt;1322.013&lt;/D&gt;&lt;D xsi:type="xsd:double"&gt;1323.621&lt;/D&gt;&lt;D xsi:type="xsd:double"&gt;1310.34&lt;/D&gt;&lt;D xsi:type="xsd:double"&gt;1309.222&lt;/D&gt;&lt;D xsi:type="xsd:double"&gt;1293.19&lt;/D&gt;&lt;D xsi:type="xsd:double"&gt;1316.333&lt;/D&gt;&lt;D xsi:type="xsd:double"&gt;1327.31&lt;/D&gt;&lt;D xsi:type="xsd:double"&gt;1314.762&lt;/D&gt;&lt;D xsi:type="xsd:double"&gt;1324.97&lt;/D&gt;&lt;D xsi:type="xsd:double"&gt;1338.406&lt;/D&gt;&lt;D xsi:type="xsd:double"&gt;1334.304&lt;/D&gt;&lt;D xsi:type="xsd:double"&gt;1327.829&lt;/D&gt;&lt;D xsi:type="xsd:double"&gt;1341.174&lt;/D&gt;&lt;D xsi:type="xsd:double"&gt;1341.045&lt;/D&gt;&lt;D xsi:type="xsd:double"&gt;1325.205&lt;/D&gt;&lt;D xsi:type="xsd:double"&gt;1320.73&lt;/D&gt;&lt;D xsi:type="xsd:double"&gt;1317.159&lt;/D&gt;&lt;D xsi:type="xsd:double"&gt;1304.534&lt;/D&gt;&lt;D xsi:type="xsd:double"&gt;1300.539&lt;/D&gt;&lt;D xsi:type="xsd:double"&gt;1302.731&lt;/D&gt;&lt;D xsi:type="xsd:double"&gt;1313.964&lt;/D&gt;&lt;D xsi:type="xsd:double"&gt;1313.366&lt;/D&gt;&lt;D xsi:type="xsd:double"&gt;1293.241&lt;/D&gt;&lt;D xsi:type="xsd:double"&gt;1265.456&lt;/D&gt;&lt;D xsi:type="xsd:double"&gt;1271.554&lt;/D&gt;&lt;D xsi:type="xsd:double"&gt;1283.763&lt;/D&gt;&lt;D xsi:type="xsd:double"&gt;1270.543&lt;/D&gt;&lt;D xsi:type="xsd:double"&gt;1266.376&lt;/D&gt;&lt;D xsi:type="xsd:double"&gt;1258.395&lt;/D&gt;&lt;D xsi:type="xsd:double"&gt;1257.522&lt;/D&gt;&lt;D xsi:type="xsd:double"&gt;1255.181&lt;/D&gt;&lt;D xsi:type="xsd:double"&gt;1235.841&lt;/D&gt;&lt;D xsi:type="xsd:double"&gt;1215.644&lt;/D&gt;&lt;D xsi:type="xsd:double"&gt;1231.888&lt;/D&gt;&lt;D xsi:type="xsd:double"&gt;1241.334&lt;/D&gt;&lt;D xsi:type="xsd:double"&gt;1241.047&lt;/D&gt;&lt;D xsi:type="xsd:double"&gt;1260.749&lt;/D&gt;&lt;D xsi:type="xsd:double"&gt;1278.007&lt;/D&gt;&lt;D xsi:type="xsd:double"&gt;1260.298&lt;/D&gt;&lt;D xsi:type="xsd:double"&gt;1219.115&lt;/D&gt;&lt;D xsi:type="xsd:double"&gt;1184.756&lt;/D&gt;&lt;D xsi:type="xsd:double"&gt;1238.387&lt;/D&gt;&lt;D xsi:type="xsd:double"&gt;1244.63&lt;/D&gt;&lt;D xsi:type="xsd:double"&gt;1230.084&lt;/D&gt;&lt;D xsi:type="xsd:double"&gt;1231.619&lt;/D&gt;&lt;D xsi:type="xsd:double"&gt;1263.64&lt;/D&gt;&lt;D xsi:type="xsd:double"&gt;1249.393&lt;/D&gt;&lt;D xsi:type="xsd:double"&gt;1273.162&lt;/D&gt;&lt;D xsi:type="xsd:double"&gt;1300.936&lt;/D&gt;&lt;D xsi:type="xsd:double"&gt;1336.556&lt;/D&gt;&lt;D xsi:type="xsd:double"&gt;1348.004&lt;/D&gt;&lt;D xsi:type="xsd:double"&gt;1349.126&lt;/D&gt;&lt;D xsi:type="xsd:double"&gt;1350.833&lt;/D&gt;&lt;D xsi:type="xsd:double"&gt;1330.364&lt;/D&gt;&lt;D xsi:type="xsd:double"&gt;1325.343&lt;/D&gt;&lt;D xsi:type="xsd:double"&gt;1332.217&lt;/D&gt;&lt;D xsi:type="xsd:double"&gt;1335.023&lt;/D&gt;&lt;D xsi:type="xsd:double"&gt;1341.198&lt;/D&gt;&lt;D xsi:type="xsd:double"&gt;1332.912&lt;/D&gt;&lt;D xsi:type="xsd:double"&gt;1322.773&lt;/D&gt;&lt;D xsi:type="xsd:double"&gt;1334.202&lt;/D&gt;&lt;D xsi:type="xsd:double"&gt;1340.047&lt;/D&gt;&lt;D xsi:type="xsd:double"&gt;1351.124&lt;/D&gt;&lt;D xsi:type="xsd:double"&gt;1369.182&lt;/D&gt;&lt;D xsi:type="xsd:double"&gt;1384.046&lt;/D&gt;&lt;D xsi:type="xsd:double"&gt;1384.802&lt;/D&gt;&lt;D xsi:type="xsd:double"&gt;1398.295&lt;/D&gt;&lt;D xsi:type="xsd:double"&gt;1406.614&lt;/D&gt;&lt;D xsi:type="xsd:double"&gt;1393.325&lt;/D&gt;&lt;D xsi:type="xsd:double"&gt;1402.049&lt;/D&gt;&lt;D xsi:type="xsd:double"&gt;1419.213&lt;/D&gt;&lt;D xsi:type="xsd:double"&gt;1432.588&lt;/D&gt;&lt;D xsi:type="xsd:double"&gt;1437.27&lt;/D&gt;&lt;D xsi:type="xsd:double"&gt;1437.365&lt;/D&gt;&lt;D xsi:type="xsd:double"&gt;1455.012&lt;/D&gt;&lt;D xsi:type="xsd:double"&gt;1451.202&lt;/D&gt;&lt;D xsi:type="xsd:double"&gt;1440.733&lt;/D&gt;&lt;D xsi:type="xsd:double"&gt;1434.954&lt;/D&gt;&lt;D xsi:type="xsd:double"&gt;1433.186&lt;/D&gt;&lt;D xsi:type="xsd:double"&gt;1434.994&lt;/D&gt;&lt;D xsi:type="xsd:double"&gt;1432.843&lt;/D&gt;&lt;D xsi:type="xsd:double"&gt;1443.855&lt;/D&gt;&lt;D xsi:type="xsd:double"&gt;1442.22&lt;/D&gt;&lt;D xsi:type="xsd:double"&gt;1440.672&lt;/D&gt;&lt;D xsi:type="xsd:double"&gt;1445.569&lt;/D&gt;&lt;D xsi:type="xsd:double"&gt;1431.326&lt;/D&gt;&lt;D xsi:type="xsd:double"&gt;1415.823&lt;/D&gt;&lt;D xsi:type="xsd:double"&gt;1426.059&lt;/D&gt;&lt;D xsi:type="xsd:double"&gt;1420.765&lt;/D&gt;&lt;D xsi:type="xsd:double"&gt;1409.378&lt;/D&gt;&lt;D xsi:type="xsd:double"&gt;1418.276&lt;/D&gt;&lt;D xsi:type="xsd:double"&gt;1442.362&lt;/D&gt;&lt;D xsi:type="xsd:double"&gt;1449.753&lt;/D&gt;&lt;D xsi:type="xsd:double"&gt;1447.515&lt;/D&gt;&lt;D xsi:type="xsd:double"&gt;1430.917&lt;/D&gt;&lt;D xsi:type="xsd:double"&gt;1441.628&lt;/D&gt;&lt;D xsi:type="xsd:double"&gt;1448.888&lt;/D&gt;&lt;D xsi:type="xsd:double"&gt;1435.162&lt;/D&gt;&lt;D xsi:type="xsd:double"&gt;1433.935&lt;/D&gt;&lt;D xsi:type="xsd:double"&gt;1418.659&lt;/D&gt;&lt;D xsi:type="xsd:double"&gt;1406.781&lt;/D&gt;&lt;D xsi:type="xsd:double"&gt;1395.816&lt;/D&gt;&lt;D xsi:type="xsd:double"&gt;1405.056&lt;/D&gt;&lt;D xsi:type="xsd:double"&gt;1424.343&lt;/D&gt;&lt;D xsi:type="xsd:double"&gt;1425.969&lt;/D&gt;&lt;D xsi:type="xsd:double"&gt;1424.207&lt;/D&gt;&lt;D xsi:type="xsd:double"&gt;1439.778&lt;/D&gt;&lt;D xsi:type="xsd:double"&gt;1446.049&lt;/D&gt;&lt;D xsi:type="xsd:double"&gt;1455.07&lt;/D&gt;&lt;D xsi:type="xsd:double"&gt;1461.246&lt;/D&gt;&lt;D xsi:type="xsd:double"&gt;1442.723&lt;/D&gt;&lt;D xsi:type="xsd:double"&gt;1438.968&lt;/D&gt;&lt;D xsi:type="xsd:double"&gt;1443.34&lt;/D&gt;&lt;D xsi:type="xsd:double"&gt;1443.087&lt;/D&gt;&lt;D xsi:type="xsd:double"&gt;1424.462&lt;/D&gt;&lt;D xsi:type="xsd:double"&gt;1421.002&lt;/D&gt;&lt;D xsi:type="xsd:double"&gt;1401.389&lt;/D&gt;&lt;D xsi:type="xsd:double"&gt;1406.771&lt;/D&gt;&lt;D xsi:type="xsd:double"&gt;1413.315&lt;/D&gt;&lt;D xsi:type="xsd:double"&gt;1421.577&lt;/D&gt;&lt;D xsi:type="xsd:double"&gt;1398.627&lt;/D&gt;&lt;D xsi:type="xsd:double"&gt;1383.746&lt;/D&gt;&lt;D xsi:type="xsd:double"&gt;1410.05&lt;/D&gt;&lt;D xsi:type="xsd:double"&gt;1412.622&lt;/D&gt;&lt;D xsi:type="xsd:double"&gt;1434.197&lt;/D&gt;&lt;D xsi:type="xsd:double"&gt;1440.276&lt;/D&gt;&lt;D xsi:type="xsd:double"&gt;1460.074&lt;/D&gt;&lt;D xsi:type="xsd:double"&gt;1454.39&lt;/D&gt;&lt;D xsi:type="xsd:double"&gt;1434.776&lt;/D&gt;&lt;D xsi:type="xsd:double"&gt;1458.249&lt;/D&gt;&lt;D xsi:type="xsd:double"&gt;1471.847&lt;/D&gt;&lt;D xsi:type="xsd:double"&gt;1484.972&lt;/D&gt;&lt;D xsi:type="xsd:double"&gt;1494.381&lt;/D&gt;&lt;D xsi:type="xsd:double"&gt;1497.44&lt;/D&gt;&lt;D xsi:type="xsd:double"&gt;1493.77&lt;/D&gt;&lt;D xsi:type="xsd:double"&gt;1484.422&lt;/D&gt;&lt;D xsi:type="xsd:double"&gt;1483.134&lt;/D&gt;&lt;D xsi:type="xsd:double"&gt;1461.792&lt;/D&gt;&lt;D xsi:type="xsd:double"&gt;1448.023&lt;/D&gt;&lt;D xsi:type="xsd:double"&gt;1447.479&lt;/D&gt;&lt;D xsi:type="xsd:double"&gt;1426.437&lt;/D&gt;&lt;D xsi:type="xsd:double"&gt;1434.925&lt;/D&gt;&lt;D xsi:type="xsd:double"&gt;1461.563&lt;/D&gt;&lt;D xsi:type="xsd:double"&gt;1442.889&lt;/D&gt;&lt;D xsi:type="xsd:double"&gt;1438.103&lt;/D&gt;&lt;D xsi:type="xsd:double"&gt;1425.171&lt;/D&gt;&lt;D xsi:type="xsd:double"&gt;1410.357&lt;/D&gt;&lt;D xsi:type="xsd:double"&gt;1429.487&lt;/D&gt;&lt;D xsi:type="xsd:double"&gt;1445.472&lt;/D&gt;&lt;D xsi:type="xsd:double"&gt;1448.985&lt;/D&gt;&lt;D xsi:type="xsd:double"&gt;1445.305&lt;/D&gt;&lt;D xsi:type="xsd:double"&gt;1454.957&lt;/D&gt;&lt;D xsi:type="xsd:double"&gt;1477.292&lt;/D&gt;&lt;D xsi:type="xsd:double"&gt;1477.87&lt;/D&gt;&lt;D xsi:type="xsd:double"&gt;1499.895&lt;/D&gt;&lt;D xsi:type="xsd:double"&gt;1511.323&lt;/D&gt;&lt;D xsi:type="xsd:double"&gt;1508.025&lt;/D&gt;&lt;D xsi:type="xsd:double"&gt;1516.226&lt;/D&gt;&lt;D xsi:type="xsd:double"&gt;1513.284&lt;/D&gt;&lt;D xsi:type="xsd:double"&gt;1504.294&lt;/D&gt;&lt;D xsi:type="xsd:double"&gt;1497.982&lt;/D&gt;&lt;D xsi:type="xsd:double"&gt;1496.168&lt;/D&gt;&lt;D xsi:type="xsd:double"&gt;1500.505&lt;/D&gt;&lt;D xsi:type="xsd:double"&gt;1506.052&lt;/D&gt;&lt;D xsi:type="xsd:double"&gt;1497.853&lt;/D&gt;&lt;D xsi:type="xsd:double"&gt;1482.418&lt;/D&gt;&lt;D xsi:type="xsd:double"&gt;1495.549&lt;/D&gt;&lt;D xsi:type="xsd:double"&gt;1506.014&lt;/D&gt;&lt;D xsi:type="xsd:double"&gt;1503.235&lt;/D&gt;&lt;D xsi:type="xsd:double"&gt;1523.429&lt;/D&gt;&lt;D xsi:type="xsd:double"&gt;1530.671&lt;/D&gt;&lt;D xsi:type="xsd:double"&gt;1523.859&lt;/D&gt;&lt;D xsi:type="xsd:double"&gt;1527.021&lt;/D&gt;&lt;D xsi:type="xsd:double"&gt;1540.058&lt;/D&gt;&lt;D xsi:type="xsd:double"&gt;1554.982&lt;/D&gt;&lt;D xsi:type="xsd:double"&gt;1575.932&lt;/D&gt;&lt;D xsi:type="xsd:double"&gt;1582.028&lt;/D&gt;&lt;D xsi:type="xsd:double"&gt;1602.269&lt;/D&gt;&lt;D xsi:type="xsd:double"&gt;1623.017&lt;/D&gt;&lt;D xsi:type="xsd:double"&gt;1588.111&lt;/D&gt;&lt;D xsi:type="xsd:double"&gt;1589.077&lt;/D&gt;&lt;D xsi:type="xsd:double"&gt;1600.06&lt;/D&gt;&lt;D xsi:type="xsd:double"&gt;1607.921&lt;/D&gt;&lt;D xsi:type="xsd:double"&gt;1605.843&lt;/D&gt;&lt;D xsi:type="xsd:double"&gt;1594.189&lt;/D&gt;&lt;D xsi:type="xsd:double"&gt;1586.558&lt;/D&gt;&lt;D xsi:type="xsd:double"&gt;1587.693&lt;/D&gt;&lt;D xsi:type="xsd:double"&gt;1584.95&lt;/D&gt;&lt;D xsi:type="xsd:double"&gt;1593.691&lt;/D&gt;&lt;D xsi:type="xsd:double"&gt;1596.427&lt;/D&gt;&lt;D xsi:type="xsd:double"&gt;1602.351&lt;/D&gt;&lt;D xsi:type="xsd:double"&gt;1596.6&lt;/D&gt;&lt;D xsi:type="xsd:double"&gt;1584.281&lt;/D&gt;&lt;D xsi:type="xsd:double"&gt;1577.487&lt;/D&gt;&lt;D xsi:type="xsd:double"&gt;1579.572&lt;/D&gt;&lt;D xsi:type="xsd:double"&gt;1572.739&lt;/D&gt;&lt;D xsi:type="xsd:double"&gt;1560.709&lt;/D&gt;&lt;D xsi:type="xsd:double"&gt;1567.346&lt;/D&gt;&lt;D xsi:type="xsd:double"&gt;1553.856&lt;/D&gt;&lt;D xsi:type="xsd:double"&gt;1543.017&lt;/D&gt;&lt;D xsi:type="xsd:double"&gt;1566.656&lt;/D&gt;&lt;D xsi:type="xsd:double"&gt;1573.059&lt;/D&gt;&lt;D xsi:type="xsd:double"&gt;1569.162&lt;/D&gt;&lt;D xsi:type="xsd:double"&gt;1558.576&lt;/D&gt;&lt;D xsi:type="xsd:double"&gt;1586.183&lt;/D&gt;&lt;D xsi:type="xsd:double"&gt;1614.941&lt;/D&gt;&lt;D xsi:type="xsd:double"&gt;1613.85&lt;/D&gt;&lt;D xsi:type="xsd:double"&gt;1610.297&lt;/D&gt;&lt;D xsi:type="xsd:double"&gt;1612.812&lt;/D&gt;&lt;D xsi:type="xsd:double"&gt;1625.49&lt;/D&gt;&lt;D xsi:type="xsd:double"&gt;1617.024&lt;/D&gt;&lt;D xsi:type="xsd:double"&gt;1626.382&lt;/D&gt;&lt;D xsi:type="xsd:double"&gt;1648.22&lt;/D&gt;&lt;D xsi:type="xsd:double"&gt;1646.027&lt;/D&gt;&lt;D xsi:type="xsd:double"&gt;1639.205&lt;/D&gt;&lt;D xsi:type="xsd:double"&gt;1651.018&lt;/D&gt;&lt;D xsi:type="xsd:double"&gt;1653.308&lt;/D&gt;&lt;D xsi:type="xsd:double"&gt;1656.894&lt;/D&gt;&lt;D xsi:type="xsd:double"&gt;1649.235&lt;/D&gt;&lt;D xsi:type="xsd:double"&gt;1635.303&lt;/D&gt;&lt;D xsi:type="xsd:double"&gt;1639.181&lt;/D&gt;&lt;D xsi:type="xsd:double"&gt;1645.25&lt;/D&gt;&lt;D xsi:type="xsd:double"&gt;1633.145&lt;/D&gt;&lt;D xsi:type="xsd:double"&gt;1618.539&lt;/D&gt;&lt;D xsi:type="xsd:double"&gt;1631.186&lt;/D&gt;&lt;D xsi:type="xsd:double"&gt;1621.674&lt;/D&gt;&lt;D xsi:type="xsd:double"&gt;1614.344&lt;/D&gt;&lt;D xsi:type="xsd:double"&gt;1620.083&lt;/D&gt;&lt;D xsi:type="xsd:double"&gt;1629.827&lt;/D&gt;&lt;D xsi:type="xsd:double"&gt;1640.145&lt;/D&gt;&lt;D xsi:type="xsd:double"&gt;1653.421&lt;/D&gt;&lt;D xsi:type="xsd:double"&gt;1640.331&lt;/D&gt;&lt;D xsi:type="xsd:double"&gt;1634.97&lt;/D&gt;&lt;D xsi:type="xsd:double"&gt;1628.532&lt;/D&gt;&lt;D xsi:type="xsd:double"&gt;1649.79&lt;/D&gt;&lt;D xsi:type="xsd:double"&gt;1643.723&lt;/D&gt;&lt;D xsi:type="xsd:double"&gt;1643.031&lt;/D&gt;&lt;D xsi:type="xsd:double"&gt;1637.252&lt;/D&gt;&lt;D xsi:type="xsd:double"&gt;1642.474&lt;/D&gt;&lt;D xsi:type="xsd:double"&gt;1646.671&lt;/D&gt;&lt;D xsi:type="xsd:double"&gt;1658.213&lt;/D&gt;&lt;D xsi:type="xsd:double"&gt;1644.33&lt;/D&gt;&lt;D xsi:type="xsd:double"&gt;1639.653&lt;/D&gt;&lt;D xsi:type="xsd:double"&gt;1589.42&lt;/D&gt;&lt;D xsi:type="xsd:double"&gt;1567.088&lt;/D&gt;&lt;D xsi:type="xsd:double"&gt;1573.415&lt;/D&gt;&lt;D xsi:type="xsd:double"&gt;1536.519&lt;/D&gt;&lt;D xsi:type="xsd:double"&gt;1529.348&lt;/D&gt;&lt;D xsi:type="xsd:double"&gt;1507.62&lt;/D&gt;&lt;D xsi:type="xsd:double"&gt;1521.596&lt;/D&gt;&lt;D xsi:type="xsd:double"&gt;1510.298&lt;/D&gt;&lt;D xsi:type="xsd:double"&gt;1530.461&lt;/D&gt;&lt;D xsi:type="xsd:double"&gt;1561.826&lt;/D&gt;&lt;D xsi:type="xsd:double"&gt;1560.868&lt;/D&gt;&lt;D xsi:type="xsd:double"&gt;1594.875&lt;/D&gt;&lt;D xsi:type="xsd:double"&gt;1580.41&lt;/D&gt;&lt;D xsi:type="xsd:double"&gt;1583.558&lt;/D&gt;&lt;D xsi:type="xsd:double"&gt;1557.701&lt;/D&gt;&lt;D xsi:type="xsd:double"&gt;1559.919&lt;/D&gt;&lt;D xsi:type="xsd:double"&gt;1573.302&lt;/D&gt;&lt;D xsi:type="xsd:double"&gt;1590.803&lt;/D&gt;&lt;D xsi:type="xsd:double"&gt;1599.921&lt;/D&gt;&lt;D xsi:type="xsd:double"&gt;1597.962&lt;/D&gt;&lt;D xsi:type="xsd:double"&gt;1597.726&lt;/D&gt;&lt;D xsi:type="xsd:double"&gt;1634.443&lt;/D&gt;&lt;D xsi:type="xsd:double"&gt;1614.646&lt;/D&gt;&lt;D xsi:type="xsd:double"&gt;1607.601&lt;/D&gt;&lt;D xsi:type="xsd:double"&gt;1593.704&lt;/D&gt;&lt;D xsi:type="xsd:double"&gt;1619.897&lt;/D&gt;&lt;D xsi:type="xsd:double"&gt;1614.178&lt;/D&gt;&lt;D xsi:type="xsd:double"&gt;1613.893&lt;/D&gt;&lt;D xsi:type="xsd:double"&gt;1607.061&lt;/D&gt;&lt;D xsi:type="xsd:double"&gt;1601.978&lt;/D&gt;&lt;D xsi:type="xsd:double"&gt;1592.934&lt;/D&gt;&lt;D xsi:type="xsd:double"&gt;1572.504&lt;/D&gt;&lt;D xsi:type="xsd:double"&gt;1613.94&lt;/D&gt;&lt;D xsi:type="xsd:double"&gt;1645.461&lt;/D&gt;&lt;D xsi:type="xsd:double"&gt;1658.343&lt;/D&gt;&lt;D xsi:type="xsd:double"&gt;1660.448&lt;/D&gt;&lt;D xsi:type="xsd:double"&gt;1683.158&lt;/D&gt;&lt;D xsi:type="xsd:double"&gt;1679.643&lt;/D&gt;&lt;D xsi:type="xsd:double"&gt;1667.335&lt;/D&gt;&lt;D xsi:type="xsd:double"&gt;1656.812&lt;/D&gt;&lt;D xsi:type="xsd:double"&gt;1671.17&lt;/D&gt;&lt;D xsi:type="xsd:double"&gt;1675.701&lt;/D&gt;&lt;D xsi:type="xsd:double"&gt;1697.192&lt;/D&gt;&lt;D xsi:type="xsd:double"&gt;1678.877&lt;/D&gt;&lt;D xsi:type="xsd:double"&gt;1712.834&lt;/D&gt;&lt;D xsi:type="xsd:double"&gt;1718.529&lt;/D&gt;&lt;D xsi:type="xsd:double"&gt;1708.778&lt;/D&gt;&lt;D xsi:type="xsd:double"&gt;1703.552&lt;/D&gt;&lt;D xsi:type="xsd:double"&gt;1676.541&lt;/D&gt;&lt;D xsi:type="xsd:double"&gt;1672.662&lt;/D&gt;&lt;D xsi:type="xsd:double"&gt;1682.263&lt;/D&gt;&lt;D xsi:type="xsd:double"&gt;1678.419&lt;/D&gt;&lt;D xsi:type="xsd:double"&gt;1666.342&lt;/D&gt;&lt;D xsi:type="xsd:double"&gt;1656.249&lt;/D&gt;&lt;D xsi:type="xsd:double"&gt;1625.273&lt;/D&gt;&lt;D xsi:type="xsd:double"&gt;1647.014&lt;/D&gt;&lt;D xsi:type="xsd:double"&gt;1648.181&lt;/D&gt;&lt;D xsi:type="xsd:double"&gt;1684.686&lt;/D&gt;&lt;D xsi:type="xsd:double"&gt;1680.122&lt;/D&gt;&lt;D xsi:type="xsd:double"&gt;1665.786&lt;/D&gt;&lt;D xsi:type="xsd:double"&gt;1683.096&lt;/D&gt;&lt;D xsi:type="xsd:double"&gt;1688.515&lt;/D&gt;&lt;D xsi:type="xsd:double"&gt;1684.881&lt;/D&gt;&lt;D xsi:type="xsd:double"&gt;1683.16&lt;/D&gt;&lt;D xsi:type="xsd:double"&gt;1663.638&lt;/D&gt;&lt;D xsi:type="xsd:double"&gt;1631.812&lt;/D&gt;&lt;D xsi:type="xsd:double"&gt;1628.676&lt;/D&gt;&lt;D xsi:type="xsd:double"&gt;1649.054&lt;/D&gt;&lt;D xsi:type="xsd:double"&gt;1640.214&lt;/D&gt;&lt;D xsi:type="xsd:double"&gt;1643.316&lt;/D&gt;&lt;D xsi:type="xsd:double"&gt;1627.532&lt;/D&gt;&lt;D xsi:type="xsd:double"&gt;1639.926&lt;/D&gt;&lt;D xsi:type="xsd:double"&gt;1650.343&lt;/D&gt;&lt;D xsi:type="xsd:double"&gt;1633.95&lt;/D&gt;&lt;D xsi:type="xsd:double"&gt;1621.914&lt;/D&gt;&lt;D xsi:type="xsd:double"&gt;1646.866&lt;/D&gt;&lt;D xsi:type="xsd:double"&gt;1662.411&lt;/D&gt;&lt;D xsi:type="xsd:double"&gt;1666.146&lt;/D&gt;&lt;D xsi:type="xsd:double"&gt;1673.576&lt;/D&gt;&lt;D xsi:type="xsd:double"&gt;1663.347&lt;/D&gt;&lt;D xsi:type="xsd:double"&gt;1639.417&lt;/D&gt;&lt;D xsi:type="xsd:double"&gt;1654.393&lt;/D&gt;&lt;D xsi:type="xsd:double"&gt;1647.437&lt;/D&gt;&lt;D xsi:type="xsd:double"&gt;1612.546&lt;/D&gt;&lt;D xsi:type="xsd:double"&gt;1592.617&lt;/D&gt;&lt;D xsi:type="xsd:double"&gt;1588.323&lt;/D&gt;&lt;/FQL&gt;&lt;FQL&gt;&lt;Q&gt;991000^JULIAN(FG_PRICE(2/27/2026,1/31/2000,,USD).DATES)&lt;/Q&gt;&lt;R&gt;6559&lt;/R&gt;&lt;C&gt;1&lt;/C&gt;&lt;D xsi:type="xsd:long"&gt;46080&lt;/D&gt;&lt;D xsi:type="xsd:long"&gt;46079&lt;/D&gt;&lt;D xsi:type="xsd:long"&gt;46078&lt;/D&gt;&lt;D xsi:type="xsd:long"&gt;46077&lt;/D&gt;&lt;D xsi:type="xsd:long"&gt;46076&lt;/D&gt;&lt;D xsi:type="xsd:long"&gt;46073&lt;/D&gt;&lt;D xsi:type="xsd:long"&gt;46072&lt;/D&gt;&lt;D xsi:type="xsd:long"&gt;46071&lt;/D&gt;&lt;D xsi:type="xsd:long"&gt;46070&lt;/D&gt;&lt;D xsi:type="xsd:long"&gt;46066&lt;/D&gt;&lt;D xsi:type="xsd:long"&gt;46065&lt;/D&gt;&lt;D xsi:type="xsd:long"&gt;46064&lt;/D&gt;&lt;D xsi:type="xsd:long"&gt;46063&lt;/D&gt;&lt;D xsi:type="xsd:long"&gt;46062&lt;/D&gt;&lt;D xsi:type="xsd:long"&gt;46059&lt;/D&gt;&lt;D xsi:type="xsd:long"&gt;46058&lt;/D&gt;&lt;D xsi:type="xsd:long"&gt;46057&lt;/D&gt;&lt;D xsi:type="xsd:long"&gt;46056&lt;/D&gt;&lt;D xsi:type="xsd:long"&gt;46055&lt;/D&gt;&lt;D xsi:type="xsd:long"&gt;46052&lt;/D&gt;&lt;D xsi:type="xsd:long"&gt;46051&lt;/D&gt;&lt;D xsi:type="xsd:long"&gt;46050&lt;/D&gt;&lt;D xsi:type="xsd:long"&gt;46049&lt;/D&gt;&lt;D xsi:type="xsd:long"&gt;46048&lt;/D&gt;&lt;D xsi:type="xsd:long"&gt;46045&lt;/D&gt;&lt;D xsi:type="xsd:long"&gt;46044&lt;/D&gt;&lt;D xsi:type="xsd:long"&gt;46043&lt;/D&gt;&lt;D xsi:type="xsd:long"&gt;46042&lt;/D&gt;&lt;D xsi:type="xsd:long"&gt;46038&lt;/D&gt;&lt;D xsi:type="xsd:long"&gt;46037&lt;/D&gt;&lt;D xsi:type="xsd:long"&gt;46036&lt;/D&gt;&lt;D xsi:type="xsd:long"&gt;46035&lt;/D&gt;&lt;D xsi:type="xsd:long"&gt;46034&lt;/D&gt;&lt;D xsi:type="xsd:long"&gt;46031&lt;/D&gt;&lt;D xsi:type="xsd:long"&gt;46030&lt;/D&gt;&lt;D xsi:type="xsd:long"&gt;46029&lt;/D&gt;&lt;D xsi:type="xsd:long"&gt;46028&lt;/D&gt;&lt;D xsi:type="xsd:long"&gt;46027&lt;/D&gt;&lt;D xsi:type="xsd:long"&gt;46024&lt;/D&gt;&lt;D xsi:type="xsd:long"&gt;46022&lt;/D&gt;&lt;D xsi:type="xsd:long"&gt;46021&lt;/D&gt;&lt;D xsi:type="xsd:long"&gt;46020&lt;/D&gt;&lt;D xsi:type="xsd:long"&gt;46017&lt;/D&gt;&lt;D xsi:type="xsd:long"&gt;46015&lt;/D&gt;&lt;D xsi:type="xsd:long"&gt;46014&lt;/D&gt;&lt;D xsi:type="xsd:long"&gt;46013&lt;/D&gt;&lt;D xsi:type="xsd:long"&gt;46010&lt;/D&gt;&lt;D xsi:type="xsd:long"&gt;46009&lt;/D&gt;&lt;D xsi:type="xsd:long"&gt;46008&lt;/D&gt;&lt;D xsi:type="xsd:long"&gt;46007&lt;/D&gt;&lt;D xsi:type="xsd:long"&gt;46006&lt;/D&gt;&lt;D xsi:type="xsd:long"&gt;46003&lt;/D&gt;&lt;D xsi:type="xsd:long"&gt;46002&lt;/D&gt;&lt;D xsi:type="xsd:long"&gt;46001&lt;/D&gt;&lt;D xsi:type="xsd:long"&gt;46000&lt;/D&gt;&lt;D xsi:type="xsd:long"&gt;45999&lt;/D&gt;&lt;D xsi:type="xsd:long"&gt;45996&lt;/D&gt;&lt;D xsi:type="xsd:long"&gt;45995&lt;/D&gt;&lt;D xsi:type="xsd:long"&gt;45994&lt;/D&gt;&lt;D xsi:type="xsd:long"&gt;45993&lt;/D&gt;&lt;D xsi:type="xsd:long"&gt;45992&lt;/D&gt;&lt;D xsi:type="xsd:long"&gt;45989&lt;/D&gt;&lt;D xsi:type="xsd:long"&gt;45987&lt;/D&gt;&lt;D xsi:type="xsd:long"&gt;45986&lt;/D&gt;&lt;D xsi:type="xsd:long"&gt;45985&lt;/D&gt;&lt;D xsi:type="xsd:long"&gt;45982&lt;/D&gt;&lt;D xsi:type="xsd:long"&gt;45981&lt;/D&gt;&lt;D xsi:type="xsd:long"&gt;45980&lt;/D&gt;&lt;D xsi:type="xsd:long"&gt;45979&lt;/D&gt;&lt;D xsi:type="xsd:long"&gt;45978&lt;/D&gt;&lt;D xsi:type="xsd:long"&gt;45975&lt;/D&gt;&lt;D xsi:type="xsd:long"&gt;45974&lt;/D&gt;&lt;D xsi:type="xsd:long"&gt;45973&lt;/D&gt;&lt;D xsi:type="xsd:long"&gt;45972&lt;/D&gt;&lt;D xsi:type="xsd:long"&gt;45971&lt;/D&gt;&lt;D xsi:type="xsd:long"&gt;45968&lt;/D&gt;&lt;D xsi:type="xsd:long"&gt;45967&lt;/D&gt;&lt;D xsi:type="xsd:long"&gt;45966&lt;/D&gt;&lt;D xsi:type="xsd:long"&gt;45965&lt;/D&gt;&lt;D xsi:type="xsd:long"&gt;45964&lt;/D&gt;&lt;D xsi:type="xsd:long"&gt;45961&lt;/D&gt;&lt;D xsi:type="xsd:long"&gt;45960&lt;/D&gt;&lt;D xsi:type="xsd:long"&gt;45959&lt;/D&gt;&lt;D xsi:type="xsd:long"&gt;45958&lt;/D&gt;&lt;D xsi:type="xsd:long"&gt;45957&lt;/D&gt;&lt;D xsi:type="xsd:long"&gt;45954&lt;/D&gt;&lt;D xsi:type="xsd:long"&gt;45953&lt;/D&gt;&lt;D xsi:type="xsd:long"&gt;45952&lt;/D&gt;&lt;D xsi:type="xsd:long"&gt;45951&lt;/D&gt;&lt;D xsi:type="xsd:long"&gt;45950&lt;/D&gt;&lt;D xsi:type="xsd:long"&gt;45947&lt;/D&gt;&lt;D xsi:type="xsd:long"&gt;45946&lt;/D&gt;&lt;D xsi:type="xsd:long"&gt;45945&lt;/D&gt;&lt;D xsi:type="xsd:long"&gt;45944&lt;/D&gt;&lt;D xsi:type="xsd:long"&gt;45943&lt;/D&gt;&lt;D xsi:type="xsd:long"&gt;45940&lt;/D&gt;&lt;D xsi:type="xsd:long"&gt;45939&lt;/D&gt;&lt;D xsi:type="xsd:long"&gt;45938&lt;/D&gt;&lt;D xsi:type="xsd:long"&gt;45937&lt;/D&gt;&lt;D xsi:type="xsd:long"&gt;45936&lt;/D&gt;&lt;D xsi:type="xsd:long"&gt;45933&lt;/D&gt;&lt;D xsi:type="xsd:long"&gt;45932&lt;/D&gt;&lt;D xsi:type="xsd:long"&gt;45931&lt;/D&gt;&lt;D xsi:type="xsd:long"&gt;45930&lt;/D&gt;&lt;D xsi:type="xsd:long"&gt;45929&lt;/D&gt;&lt;D xsi:type="xsd:long"&gt;45926&lt;/D&gt;&lt;D xsi:type="xsd:long"&gt;45925&lt;/D&gt;&lt;D xsi:type="xsd:long"&gt;45924&lt;/D&gt;&lt;D xsi:type="xsd:long"&gt;45923&lt;/D&gt;&lt;D xsi:type="xsd:long"&gt;45922&lt;/D&gt;&lt;D xsi:type="xsd:long"&gt;45919&lt;/D&gt;&lt;D xsi:type="xsd:long"&gt;45918&lt;/D&gt;&lt;D xsi:type="xsd:long"&gt;45917&lt;/D&gt;&lt;D xsi:type="xsd:long"&gt;45916&lt;/D&gt;&lt;D xsi:type="xsd:long"&gt;45915&lt;/D&gt;&lt;D xsi:type="xsd:long"&gt;45912&lt;/D&gt;&lt;D xsi:type="xsd:long"&gt;45911&lt;/D&gt;&lt;D xsi:type="xsd:long"&gt;45910&lt;/D&gt;&lt;D xsi:type="xsd:long"&gt;45909&lt;/D&gt;&lt;D xsi:type="xsd:long"&gt;45908&lt;/D&gt;&lt;D xsi:type="xsd:long"&gt;45905&lt;/D&gt;&lt;D xsi:type="xsd:long"&gt;45904&lt;/D&gt;&lt;D xsi:type="xsd:long"&gt;45903&lt;/D&gt;&lt;D xsi:type="xsd:long"&gt;45902&lt;/D&gt;&lt;D xsi:type="xsd:long"&gt;45898&lt;/D&gt;&lt;D xsi:type="xsd:long"&gt;45897&lt;/D&gt;&lt;D xsi:type="xsd:long"&gt;45896&lt;/D&gt;&lt;D xsi:type="xsd:long"&gt;45895&lt;/D&gt;&lt;D xsi:type="xsd:long"&gt;45894&lt;/D&gt;&lt;D xsi:type="xsd:long"&gt;45891&lt;/D&gt;&lt;D xsi:type="xsd:long"&gt;45890&lt;/D&gt;&lt;D xsi:type="xsd:long"&gt;45889&lt;/D&gt;&lt;D xsi:type="xsd:long"&gt;45888&lt;/D&gt;&lt;D xsi:type="xsd:long"&gt;45887&lt;/D&gt;&lt;D xsi:type="xsd:long"&gt;45884&lt;/D&gt;&lt;D xsi:type="xsd:long"&gt;45883&lt;/D&gt;&lt;D xsi:type="xsd:long"&gt;45882&lt;/D&gt;&lt;D xsi:type="xsd:long"&gt;45881&lt;/D&gt;&lt;D xsi:type="xsd:long"&gt;45880&lt;/D&gt;&lt;D xsi:type="xsd:long"&gt;45877&lt;/D&gt;&lt;D xsi:type="xsd:long"&gt;45876&lt;/D&gt;&lt;D xsi:type="xsd:long"&gt;45875&lt;/D&gt;&lt;D xsi:type="xsd:long"&gt;45874&lt;/D&gt;&lt;D xsi:type="xsd:long"&gt;45873&lt;/D&gt;&lt;D xsi:type="xsd:long"&gt;45870&lt;/D&gt;&lt;D xsi:type="xsd:long"&gt;45869&lt;/D&gt;&lt;D xsi:type="xsd:long"&gt;45868&lt;/D&gt;&lt;D xsi:type="xsd:long"&gt;45867&lt;/D&gt;&lt;D xsi:type="xsd:long"&gt;45866&lt;/D&gt;&lt;D xsi:type="xsd:long"&gt;45863&lt;/D&gt;&lt;D xsi:type="xsd:long"&gt;45862&lt;/D&gt;&lt;D xsi:type="xsd:long"&gt;45861&lt;/D&gt;&lt;D xsi:type="xsd:long"&gt;45860&lt;/D&gt;&lt;D xsi:type="xsd:long"&gt;45859&lt;/D&gt;&lt;D xsi:type="xsd:long"&gt;45856&lt;/D&gt;&lt;D xsi:type="xsd:long"&gt;45855&lt;/D&gt;&lt;D xsi:type="xsd:long"&gt;45854&lt;/D&gt;&lt;D xsi:type="xsd:long"&gt;45853&lt;/D&gt;&lt;D xsi:type="xsd:long"&gt;45852&lt;/D&gt;&lt;D xsi:type="xsd:long"&gt;45849&lt;/D&gt;&lt;D xsi:type="xsd:long"&gt;45848&lt;/D&gt;&lt;D xsi:type="xsd:long"&gt;45847&lt;/D&gt;&lt;D xsi:type="xsd:long"&gt;45846&lt;/D&gt;&lt;D xsi:type="xsd:long"&gt;45845&lt;/D&gt;&lt;D xsi:type="xsd:long"&gt;45841&lt;/D&gt;&lt;D xsi:type="xsd:long"&gt;45840&lt;/D&gt;&lt;D xsi:type="xsd:long"&gt;45839&lt;/D&gt;&lt;D xsi:type="xsd:long"&gt;45838&lt;/D&gt;&lt;D xsi:type="xsd:long"&gt;45835&lt;/D&gt;&lt;D xsi:type="xsd:long"&gt;45834&lt;/D&gt;&lt;D xsi:type="xsd:long"&gt;45833&lt;/D&gt;&lt;D xsi:type="xsd:long"&gt;45832&lt;/D&gt;&lt;D xsi:type="xsd:long"&gt;45831&lt;/D&gt;&lt;D xsi:type="xsd:long"&gt;45828&lt;/D&gt;&lt;D xsi:type="xsd:long"&gt;45826&lt;/D&gt;&lt;D xsi:type="xsd:long"&gt;45825&lt;/D&gt;&lt;D xsi:type="xsd:long"&gt;45824&lt;/D&gt;&lt;D xsi:type="xsd:long"&gt;45821&lt;/D&gt;&lt;D xsi:type="xsd:long"&gt;45820&lt;/D&gt;&lt;D xsi:type="xsd:long"&gt;45819&lt;/D&gt;&lt;D xsi:type="xsd:long"&gt;45818&lt;/D&gt;&lt;D xsi:type="xsd:long"&gt;45817&lt;/D&gt;&lt;D xsi:type="xsd:long"&gt;45814&lt;/D&gt;&lt;D xsi:type="xsd:long"&gt;45813&lt;/D&gt;&lt;D xsi:type="xsd:long"&gt;45812&lt;/D&gt;&lt;D xsi:type="xsd:long"&gt;45811&lt;/D&gt;&lt;D xsi:type="xsd:long"&gt;45810&lt;/D&gt;&lt;D xsi:type="xsd:long"&gt;45807&lt;/D&gt;&lt;D xsi:type="xsd:long"&gt;45806&lt;/D&gt;&lt;D xsi:type="xsd:long"&gt;45805&lt;/D&gt;&lt;D xsi:type="xsd:long"&gt;45804&lt;/D&gt;&lt;D xsi:type="xsd:long"&gt;45800&lt;/D&gt;&lt;D xsi:type="xsd:long"&gt;45799&lt;/D&gt;&lt;D xsi:type="xsd:long"&gt;45798&lt;/D&gt;&lt;D xsi:type="xsd:long"&gt;45797&lt;/D&gt;&lt;D xsi:type="xsd:long"&gt;45796&lt;/D&gt;&lt;D xsi:type="xsd:long"&gt;45793&lt;/D&gt;&lt;D xsi:type="xsd:long"&gt;45792&lt;/D&gt;&lt;D xsi:type="xsd:long"&gt;45791&lt;/D&gt;&lt;D xsi:type="xsd:long"&gt;45790&lt;/D&gt;&lt;D xsi:type="xsd:long"&gt;45789&lt;/D&gt;&lt;D xsi:type="xsd:long"&gt;45786&lt;/D&gt;&lt;D xsi:type="xsd:long"&gt;45785&lt;/D&gt;&lt;D xsi:type="xsd:long"&gt;45784&lt;/D&gt;&lt;D xsi:type="xsd:long"&gt;45783&lt;/D&gt;&lt;D xsi:type="xsd:long"&gt;45782&lt;/D&gt;&lt;D xsi:type="xsd:long"&gt;45779&lt;/D&gt;&lt;D xsi:type="xsd:long"&gt;45778&lt;/D&gt;&lt;D xsi:type="xsd:long"&gt;45777&lt;/D&gt;&lt;D xsi:type="xsd:long"&gt;45776&lt;/D&gt;&lt;D xsi:type="xsd:long"&gt;45775&lt;/D&gt;&lt;D xsi:type="xsd:long"&gt;45772&lt;/D&gt;&lt;D xsi:type="xsd:long"&gt;45771&lt;/D&gt;&lt;D xsi:type="xsd:long"&gt;45770&lt;/D&gt;&lt;D xsi:type="xsd:long"&gt;45769&lt;/D&gt;&lt;D xsi:type="xsd:long"&gt;45768&lt;/D&gt;&lt;D xsi:type="xsd:long"&gt;45764&lt;/D&gt;&lt;D xsi:type="xsd:long"&gt;45763&lt;/D&gt;&lt;D xsi:type="xsd:long"&gt;45762&lt;/D&gt;&lt;D xsi:type="xsd:long"&gt;45761&lt;/D&gt;&lt;D xsi:type="xsd:long"&gt;45758&lt;/D&gt;&lt;D xsi:type="xsd:long"&gt;45757&lt;/D&gt;&lt;D xsi:type="xsd:long"&gt;45756&lt;/D&gt;&lt;D xsi:type="xsd:long"&gt;45755&lt;/D&gt;&lt;D xsi:type="xsd:long"&gt;45754&lt;/D&gt;&lt;D xsi:type="xsd:long"&gt;45751&lt;/D&gt;&lt;D xsi:type="xsd:long"&gt;45750&lt;/D&gt;&lt;D xsi:type="xsd:long"&gt;45749&lt;/D&gt;&lt;D xsi:type="xsd:long"&gt;45748&lt;/D&gt;&lt;D xsi:type="xsd:long"&gt;45747&lt;/D&gt;&lt;D xsi:type="xsd:long"&gt;45744&lt;/D&gt;&lt;D xsi:type="xsd:long"&gt;45743&lt;/D&gt;&lt;D xsi:type="xsd:long"&gt;45742&lt;/D&gt;&lt;D xsi:type="xsd:long"&gt;45741&lt;/D&gt;&lt;D xsi:type="xsd:long"&gt;45740&lt;/D&gt;&lt;D xsi:type="xsd:long"&gt;45737&lt;/D&gt;&lt;D xsi:type="xsd:long"&gt;45736&lt;/D&gt;&lt;D xsi:type="xsd:long"&gt;45735&lt;/D&gt;&lt;D xsi:type="xsd:long"&gt;45734&lt;/D&gt;&lt;D xsi:type="xsd:long"&gt;45733&lt;/D&gt;&lt;D xsi:type="xsd:long"&gt;45730&lt;/D&gt;&lt;D xsi:type="xsd:long"&gt;45729&lt;/D&gt;&lt;D xsi:type="xsd:long"&gt;45728&lt;/D&gt;&lt;D xsi:type="xsd:long"&gt;45727&lt;/D&gt;&lt;D xsi:type="xsd:long"&gt;45726&lt;/D&gt;&lt;D xsi:type="xsd:long"&gt;45723&lt;/D&gt;&lt;D xsi:type="xsd:long"&gt;45722&lt;/D&gt;&lt;D xsi:type="xsd:long"&gt;45721&lt;/D&gt;&lt;D xsi:type="xsd:long"&gt;45720&lt;/D&gt;&lt;D xsi:type="xsd:long"&gt;45719&lt;/D&gt;&lt;D xsi:type="xsd:long"&gt;45716&lt;/D&gt;&lt;D xsi:type="xsd:long"&gt;45715&lt;/D&gt;&lt;D xsi:type="xsd:long"&gt;45714&lt;/D&gt;&lt;D xsi:type="xsd:long"&gt;45713&lt;/D&gt;&lt;D xsi:type="xsd:long"&gt;45712&lt;/D&gt;&lt;D xsi:type="xsd:long"&gt;45709&lt;/D&gt;&lt;D xsi:type="xsd:long"&gt;45708&lt;/D&gt;&lt;D xsi:type="xsd:long"&gt;45707&lt;/D&gt;&lt;D xsi:type="xsd:long"&gt;45706&lt;/D&gt;&lt;D xsi:type="xsd:long"&gt;45702&lt;/D&gt;&lt;D xsi:type="xsd:long"&gt;45701&lt;/D&gt;&lt;D xsi:type="xsd:long"&gt;45700&lt;/D&gt;&lt;D xsi:type="xsd:long"&gt;45699&lt;/D&gt;&lt;D xsi:type="xsd:long"&gt;45698&lt;/D&gt;&lt;D xsi:type="xsd:long"&gt;45695&lt;/D&gt;&lt;D xsi:type="xsd:long"&gt;45694&lt;/D&gt;&lt;D xsi:type="xsd:long"&gt;45693&lt;/D&gt;&lt;D xsi:type="xsd:long"&gt;45692&lt;/D&gt;&lt;D xsi:type="xsd:long"&gt;45691&lt;/D&gt;&lt;D xsi:type="xsd:long"&gt;45688&lt;/D&gt;&lt;D xsi:type="xsd:long"&gt;45687&lt;/D&gt;&lt;D xsi:type="xsd:long"&gt;45686&lt;/D&gt;&lt;D xsi:type="xsd:long"&gt;45685&lt;/D&gt;&lt;D xsi:type="xsd:long"&gt;45684&lt;/D&gt;&lt;D xsi:type="xsd:long"&gt;45681&lt;/D&gt;&lt;D xsi:type="xsd:long"&gt;45680&lt;/D&gt;&lt;D xsi:type="xsd:long"&gt;45679&lt;/D&gt;&lt;D xsi:type="xsd:long"&gt;45678&lt;/D&gt;&lt;D xsi:type="xsd:long"&gt;45674&lt;/D&gt;&lt;D xsi:type="xsd:long"&gt;45673&lt;/D&gt;&lt;D xsi:type="xsd:long"&gt;45672&lt;/D&gt;&lt;D xsi:type="xsd:long"&gt;45671&lt;/D&gt;&lt;D xsi:type="xsd:long"&gt;45670&lt;/D&gt;&lt;D xsi:type="xsd:long"&gt;45667&lt;/D&gt;&lt;D xsi:type="xsd:long"&gt;45665&lt;/D&gt;&lt;D xsi:type="xsd:long"&gt;45664&lt;/D&gt;&lt;D xsi:type="xsd:long"&gt;45663&lt;/D&gt;&lt;D xsi:type="xsd:long"&gt;45660&lt;/D&gt;&lt;D xsi:type="xsd:long"&gt;45659&lt;/D&gt;&lt;D xsi:type="xsd:long"&gt;45657&lt;/D&gt;&lt;D xsi:type="xsd:long"&gt;45656&lt;/D&gt;&lt;D xsi:type="xsd:long"&gt;45653&lt;/D&gt;&lt;D xsi:type="xsd:long"&gt;45652&lt;/D&gt;&lt;D xsi:type="xsd:long"&gt;45650&lt;/D&gt;&lt;D xsi:type="xsd:long"&gt;45649&lt;/D&gt;&lt;D xsi:type="xsd:long"&gt;45646&lt;/D&gt;&lt;D xsi:type="xsd:long"&gt;45645&lt;/D&gt;&lt;D xsi:type="xsd:long"&gt;45644&lt;/D&gt;&lt;D xsi:type="xsd:long"&gt;45643&lt;/D&gt;&lt;D xsi:type="xsd:long"&gt;45642&lt;/D&gt;&lt;D xsi:type="xsd:long"&gt;45639&lt;/D&gt;&lt;D xsi:type="xsd:long"&gt;45638&lt;/D&gt;&lt;D xsi:type="xsd:long"&gt;45637&lt;/D&gt;&lt;D xsi:type="xsd:long"&gt;45636&lt;/D&gt;&lt;D xsi:type="xsd:long"&gt;45635&lt;/D&gt;&lt;D xsi:type="xsd:long"&gt;45632&lt;/D&gt;&lt;D xsi:type="xsd:long"&gt;45631&lt;/D&gt;&lt;D xsi:type="xsd:long"&gt;45630&lt;/D&gt;&lt;D xsi:type="xsd:long"&gt;45629&lt;/D&gt;&lt;D xsi:type="xsd:long"&gt;45628&lt;/D&gt;&lt;D xsi:type="xsd:long"&gt;45625&lt;/D&gt;&lt;D xsi:type="xsd:long"&gt;45623&lt;/D&gt;&lt;D xsi:type="xsd:long"&gt;45622&lt;/D&gt;&lt;D xsi:type="xsd:long"&gt;45621&lt;/D&gt;&lt;D xsi:type="xsd:long"&gt;45618&lt;/D&gt;&lt;D xsi:type="xsd:long"&gt;45617&lt;/D&gt;&lt;D xsi:type="xsd:long"&gt;45616&lt;/D&gt;&lt;D xsi:type="xsd:long"&gt;45615&lt;/D&gt;&lt;D xsi:type="xsd:long"&gt;45614&lt;/D&gt;&lt;D xsi:type="xsd:long"&gt;45611&lt;/D&gt;&lt;D xsi:type="xsd:long"&gt;45610&lt;/D&gt;&lt;D xsi:type="xsd:long"&gt;45609&lt;/D&gt;&lt;D xsi:type="xsd:long"&gt;45608&lt;/D&gt;&lt;D xsi:type="xsd:long"&gt;45607&lt;/D&gt;&lt;D xsi:type="xsd:long"&gt;45604&lt;/D&gt;&lt;D xsi:type="xsd:long"&gt;45603&lt;/D&gt;&lt;D xsi:type="xsd:long"&gt;45602&lt;/D&gt;&lt;D xsi:type="xsd:long"&gt;45601&lt;/D&gt;&lt;D xsi:type="xsd:long"&gt;45600&lt;/D&gt;&lt;D xsi:type="xsd:long"&gt;45597&lt;/D&gt;&lt;D xsi:type="xsd:long"&gt;45596&lt;/D&gt;&lt;D xsi:type="xsd:long"&gt;45595&lt;/D&gt;&lt;D xsi:type="xsd:long"&gt;45594&lt;/D&gt;&lt;D xsi:type="xsd:long"&gt;45593&lt;/D&gt;&lt;D xsi:type="xsd:long"&gt;45590&lt;/D&gt;&lt;D xsi:type="xsd:long"&gt;45589&lt;/D&gt;&lt;D xsi:type="xsd:long"&gt;45588&lt;/D&gt;&lt;D xsi:type="xsd:long"&gt;45587&lt;/D&gt;&lt;D xsi:type="xsd:long"&gt;45586&lt;/D&gt;&lt;D xsi:type="xsd:long"&gt;45583&lt;/D&gt;&lt;D xsi:type="xsd:long"&gt;45582&lt;/D&gt;&lt;D xsi:type="xsd:long"&gt;45581&lt;/D&gt;&lt;D xsi:type="xsd:long"&gt;45580&lt;/D&gt;&lt;D xsi:type="xsd:long"&gt;45579&lt;/D&gt;&lt;D xsi:type="xsd:long"&gt;45576&lt;/D&gt;&lt;D xsi:type="xsd:long"&gt;45575&lt;/D&gt;&lt;D xsi:type="xsd:long"&gt;45574&lt;/D&gt;&lt;D xsi:type="xsd:long"&gt;45573&lt;/D&gt;&lt;D xsi:type="xsd:long"&gt;45572&lt;/D&gt;&lt;D xsi:type="xsd:long"&gt;45569&lt;/D&gt;&lt;D xsi:type="xsd:long"&gt;45568&lt;/D&gt;&lt;D xsi:type="xsd:long"&gt;45567&lt;/D&gt;&lt;D xsi:type="xsd:long"&gt;45566&lt;/D&gt;&lt;D xsi:type="xsd:long"&gt;45565&lt;/D&gt;&lt;D xsi:type="xsd:long"&gt;45562&lt;/D&gt;&lt;D xsi:type="xsd:long"&gt;45561&lt;/D&gt;&lt;D xsi:type="xsd:long"&gt;45560&lt;/D&gt;&lt;D xsi:type="xsd:long"&gt;45559&lt;/D&gt;&lt;D xsi:type="xsd:long"&gt;45558&lt;/D&gt;&lt;D xsi:type="xsd:long"&gt;45555&lt;/D&gt;&lt;D xsi:type="xsd:long"&gt;45554&lt;/D&gt;&lt;D xsi:type="xsd:long"&gt;45553&lt;/D&gt;&lt;D xsi:type="xsd:long"&gt;45552&lt;/D&gt;&lt;D xsi:type="xsd:long"&gt;45551&lt;/D&gt;&lt;D xsi:type="xsd:long"&gt;45548&lt;/D&gt;&lt;D xsi:type="xsd:long"&gt;45547&lt;/D&gt;&lt;D xsi:type="xsd:long"&gt;45546&lt;/D&gt;&lt;D xsi:type="xsd:long"&gt;45545&lt;/D&gt;&lt;D xsi:type="xsd:long"&gt;45544&lt;/D&gt;&lt;D xsi:type="xsd:long"&gt;45541&lt;/D&gt;&lt;D xsi:type="xsd:long"&gt;45540&lt;/D&gt;&lt;D xsi:type="xsd:long"&gt;45539&lt;/D&gt;&lt;D xsi:type="xsd:long"&gt;45538&lt;/D&gt;&lt;D xsi:type="xsd:long"&gt;45534&lt;/D&gt;&lt;D xsi:type="xsd:long"&gt;45533&lt;/D&gt;&lt;D xsi:type="xsd:long"&gt;45532&lt;/D&gt;&lt;D xsi:type="xsd:long"&gt;45531&lt;/D&gt;&lt;D xsi:type="xsd:long"&gt;45530&lt;/D&gt;&lt;D xsi:type="xsd:long"&gt;45527&lt;/D&gt;&lt;D xsi:type="xsd:long"&gt;45526&lt;/D&gt;&lt;D xsi:type="xsd:long"&gt;45525&lt;/D&gt;&lt;D xsi:type="xsd:long"&gt;45524&lt;/D&gt;&lt;D xsi:type="xsd:long"&gt;45523&lt;/D&gt;&lt;D xsi:type="xsd:long"&gt;45520&lt;/D&gt;&lt;D xsi:type="xsd:long"&gt;45519&lt;/D&gt;&lt;D xsi:type="xsd:long"&gt;45518&lt;/D&gt;&lt;D xsi:type="xsd:long"&gt;45517&lt;/D&gt;&lt;D xsi:type="xsd:long"&gt;45516&lt;/D&gt;&lt;D xsi:type="xsd:long"&gt;45513&lt;/D&gt;&lt;D xsi:type="xsd:long"&gt;45512&lt;/D&gt;&lt;D xsi:type="xsd:long"&gt;45511&lt;/D&gt;&lt;D xsi:type="xsd:long"&gt;45510&lt;/D&gt;&lt;D xsi:type="xsd:long"&gt;45509&lt;/D&gt;&lt;D xsi:type="xsd:long"&gt;45506&lt;/D&gt;&lt;D xsi:type="xsd:long"&gt;45505&lt;/D&gt;&lt;D xsi:type="xsd:long"&gt;45504&lt;/D&gt;&lt;D xsi:type="xsd:long"&gt;45503&lt;/D&gt;&lt;D xsi:type="xsd:long"&gt;45502&lt;/D&gt;&lt;D xsi:type="xsd:long"&gt;45499&lt;/D&gt;&lt;D xsi:type="xsd:long"&gt;45498&lt;/D&gt;&lt;D xsi:type="xsd:long"&gt;45497&lt;/D&gt;&lt;D xsi:type="xsd:long"&gt;45496&lt;/D&gt;&lt;D xsi:type="xsd:long"&gt;45495&lt;/D&gt;&lt;D xsi:type="xsd:long"&gt;45492&lt;/D&gt;&lt;D xsi:type="xsd:long"&gt;45491&lt;/D&gt;&lt;D xsi:type="xsd:long"&gt;45490&lt;/D&gt;&lt;D xsi:type="xsd:long"&gt;45489&lt;/D&gt;&lt;D xsi:type="xsd:long"&gt;45488&lt;/D&gt;&lt;D xsi:type="xsd:long"&gt;45485&lt;/D&gt;&lt;D xsi:type="xsd:long"&gt;45484&lt;/D&gt;&lt;D xsi:type="xsd:long"&gt;45483&lt;/D&gt;&lt;D xsi:type="xsd:long"&gt;45482&lt;/D&gt;&lt;D xsi:type="xsd:long"&gt;45481&lt;/D&gt;&lt;D xsi:type="xsd:long"&gt;45478&lt;/D&gt;&lt;D xsi:type="xsd:long"&gt;45476&lt;/D&gt;&lt;D xsi:type="xsd:long"&gt;45475&lt;/D&gt;&lt;D xsi:type="xsd:long"&gt;45474&lt;/D&gt;&lt;D xsi:type="xsd:long"&gt;45471&lt;/D&gt;&lt;D xsi:type="xsd:long"&gt;45470&lt;/D&gt;&lt;D xsi:type="xsd:long"&gt;45469&lt;/D&gt;&lt;D xsi:type="xsd:long"&gt;45468&lt;/D&gt;&lt;D xsi:type="xsd:long"&gt;45467&lt;/D&gt;&lt;D xsi:type="xsd:long"&gt;45464&lt;/D&gt;&lt;D xsi:type="xsd:long"&gt;45463&lt;/D&gt;&lt;D xsi:type="xsd:long"&gt;45461&lt;/D&gt;&lt;D xsi:type="xsd:long"&gt;45460&lt;/D&gt;&lt;D xsi:type="xsd:long"&gt;45457&lt;/D&gt;&lt;D xsi:type="xsd:long"&gt;45456&lt;/D&gt;&lt;D xsi:type="xsd:long"&gt;45455&lt;/D&gt;&lt;D xsi:type="xsd:long"&gt;45454&lt;/D&gt;&lt;D xsi:type="xsd:long"&gt;45453&lt;/D&gt;&lt;D xsi:type="xsd:long"&gt;45450&lt;/D&gt;&lt;D xsi:type="xsd:long"&gt;45449&lt;/D&gt;&lt;D xsi:type="xsd:long"&gt;45448&lt;/D&gt;&lt;D xsi:type="xsd:long"&gt;45447&lt;/D&gt;&lt;D xsi:type="xsd:long"&gt;45446&lt;/D&gt;&lt;D xsi:type="xsd:long"&gt;45443&lt;/D&gt;&lt;D xsi:type="xsd:long"&gt;45442&lt;/D&gt;&lt;D xsi:type="xsd:long"&gt;45441&lt;/D&gt;&lt;D xsi:type="xsd:long"&gt;45440&lt;/D&gt;&lt;D xsi:type="xsd:long"&gt;45436&lt;/D&gt;&lt;D xsi:type="xsd:long"&gt;45435&lt;/D&gt;&lt;D xsi:type="xsd:long"&gt;45434&lt;/D&gt;&lt;D xsi:type="xsd:long"&gt;45433&lt;/D&gt;&lt;D xsi:type="xsd:long"&gt;45432&lt;/D&gt;&lt;D xsi:type="xsd:long"&gt;45429&lt;/D&gt;&lt;D xsi:type="xsd:long"&gt;45428&lt;/D&gt;&lt;D xsi:type="xsd:long"&gt;45427&lt;/D&gt;&lt;D xsi:type="xsd:long"&gt;45426&lt;/D&gt;&lt;D xsi:type="xsd:long"&gt;45425&lt;/D&gt;&lt;D xsi:type="xsd:long"&gt;45422&lt;/D&gt;&lt;D xsi:type="xsd:long"&gt;45421&lt;/D&gt;&lt;D xsi:type="xsd:long"&gt;45420&lt;/D&gt;&lt;D xsi:type="xsd:long"&gt;45419&lt;/D&gt;&lt;D xsi:type="xsd:long"&gt;45418&lt;/D&gt;&lt;D xsi:type="xsd:long"&gt;45415&lt;/D&gt;&lt;D xsi:type="xsd:long"&gt;45414&lt;/D&gt;&lt;D xsi:type="xsd:long"&gt;45413&lt;/D&gt;&lt;D xsi:type="xsd:long"&gt;45412&lt;/D&gt;&lt;D xsi:type="xsd:long"&gt;45411&lt;/D&gt;&lt;D xsi:type="xsd:long"&gt;45408&lt;/D&gt;&lt;D xsi:type="xsd:long"&gt;45407&lt;/D&gt;&lt;D xsi:type="xsd:long"&gt;45406&lt;/D&gt;&lt;D xsi:type="xsd:long"&gt;45405&lt;/D&gt;&lt;D xsi:type="xsd:long"&gt;45404&lt;/D&gt;&lt;D xsi:type="xsd:long"&gt;45401&lt;/D&gt;&lt;D xsi:type="xsd:long"&gt;45400&lt;/D&gt;&lt;D xsi:type="xsd:long"&gt;45399&lt;/D&gt;&lt;D xsi:type="xsd:long"&gt;45398&lt;/D&gt;&lt;D xsi:type="xsd:long"&gt;45397&lt;/D&gt;&lt;D xsi:type="xsd:long"&gt;45394&lt;/D&gt;&lt;D xsi:type="xsd:long"&gt;45393&lt;/D&gt;&lt;D xsi:type="xsd:long"&gt;45392&lt;/D&gt;&lt;D xsi:type="xsd:long"&gt;45391&lt;/D&gt;&lt;D xsi:type="xsd:long"&gt;45390&lt;/D&gt;&lt;D xsi:type="xsd:long"&gt;45387&lt;/D&gt;&lt;D xsi:type="xsd:long"&gt;45386&lt;/D&gt;&lt;D xsi:type="xsd:long"&gt;45385&lt;/D&gt;&lt;D xsi:type="xsd:long"&gt;45384&lt;/D&gt;&lt;D xsi:type="xsd:long"&gt;45383&lt;/D&gt;&lt;D xsi:type="xsd:long"&gt;45379&lt;/D&gt;&lt;D xsi:type="xsd:long"&gt;45378&lt;/D&gt;&lt;D xsi:type="xsd:long"&gt;45377&lt;/D&gt;&lt;D xsi:type="xsd:long"&gt;45376&lt;/D&gt;&lt;D xsi:type="xsd:long"&gt;45373&lt;/D&gt;&lt;D xsi:type="xsd:long"&gt;45372&lt;/D&gt;&lt;D xsi:type="xsd:long"&gt;45371&lt;/D&gt;&lt;D xsi:type="xsd:long"&gt;45370&lt;/D&gt;&lt;D xsi:type="xsd:long"&gt;45369&lt;/D&gt;&lt;D xsi:type="xsd:long"&gt;45366&lt;/D&gt;&lt;D xsi:type="xsd:long"&gt;45365&lt;/D&gt;&lt;D xsi:type="xsd:long"&gt;45364&lt;/D&gt;&lt;D xsi:type="xsd:long"&gt;45363&lt;/D&gt;&lt;D xsi:type="xsd:long"&gt;45362&lt;/D&gt;&lt;D xsi:type="xsd:long"&gt;45359&lt;/D&gt;&lt;D xsi:type="xsd:long"&gt;45358&lt;/D&gt;&lt;D xsi:type="xsd:long"&gt;45357&lt;/D&gt;&lt;D xsi:type="xsd:long"&gt;45356&lt;/D&gt;&lt;D xsi:type="xsd:long"&gt;45355&lt;/D&gt;&lt;D xsi:type="xsd:long"&gt;45352&lt;/D&gt;&lt;D xsi:type="xsd:long"&gt;45351&lt;/D&gt;&lt;D xsi:type="xsd:long"&gt;45350&lt;/D&gt;&lt;D xsi:type="xsd:long"&gt;45349&lt;/D&gt;&lt;D xsi:type="xsd:long"&gt;45348&lt;/D&gt;&lt;D xsi:type="xsd:long"&gt;45345&lt;/D&gt;&lt;D xsi:type="xsd:long"&gt;45344&lt;/D&gt;&lt;D xsi:type="xsd:long"&gt;45343&lt;/D&gt;&lt;D xsi:type="xsd:long"&gt;45342&lt;/D&gt;&lt;D xsi:type="xsd:long"&gt;45338&lt;/D&gt;&lt;D xsi:type="xsd:long"&gt;45337&lt;/D&gt;&lt;D xsi:type="xsd:long"&gt;45336&lt;/D&gt;&lt;D xsi:type="xsd:long"&gt;45335&lt;/D&gt;&lt;D xsi:type="xsd:long"&gt;45334&lt;/D&gt;&lt;D xsi:type="xsd:long"&gt;45331&lt;/D&gt;&lt;D xsi:type="xsd:long"&gt;45330&lt;/D&gt;&lt;D xsi:type="xsd:long"&gt;45329&lt;/D&gt;&lt;D xsi:type="xsd:long"&gt;45328&lt;/D&gt;&lt;D xsi:type="xsd:long"&gt;45327&lt;/D&gt;&lt;D xsi:type="xsd:long"&gt;45324&lt;/D&gt;&lt;D xsi:type="xsd:long"&gt;45323&lt;/D&gt;&lt;D xsi:type="xsd:long"&gt;45322&lt;/D&gt;&lt;D xsi:type="xsd:long"&gt;45321&lt;/D&gt;&lt;D xsi:type="xsd:long"&gt;45320&lt;/D&gt;&lt;D xsi:type="xsd:long"&gt;45317&lt;/D&gt;&lt;D xsi:type="xsd:long"&gt;45316&lt;/D&gt;&lt;D xsi:type="xsd:long"&gt;45315&lt;/D&gt;&lt;D xsi:type="xsd:long"&gt;45314&lt;/D&gt;&lt;D xsi:type="xsd:long"&gt;45313&lt;/D&gt;&lt;D xsi:type="xsd:long"&gt;45310&lt;/D&gt;&lt;D xsi:type="xsd:long"&gt;45309&lt;/D&gt;&lt;D xsi:type="xsd:long"&gt;45308&lt;/D&gt;&lt;D xsi:type="xsd:long"&gt;45307&lt;/D&gt;&lt;D xsi:type="xsd:long"&gt;45303&lt;/D&gt;&lt;D xsi:type="xsd:long"&gt;45302&lt;/D&gt;&lt;D xsi:type="xsd:long"&gt;45301&lt;/D&gt;&lt;D xsi:type="xsd:long"&gt;45300&lt;/D&gt;&lt;D xsi:type="xsd:long"&gt;45299&lt;/D&gt;&lt;D xsi:type="xsd:long"&gt;45296&lt;/D&gt;&lt;D xsi:type="xsd:long"&gt;45295&lt;/D&gt;&lt;D xsi:type="xsd:long"&gt;45294&lt;/D&gt;&lt;D xsi:type="xsd:long"&gt;45293&lt;/D&gt;&lt;D xsi:type="xsd:long"&gt;45289&lt;/D&gt;&lt;D xsi:type="xsd:long"&gt;45288&lt;/D&gt;&lt;D xsi:type="xsd:long"&gt;45287&lt;/D&gt;&lt;D xsi:type="xsd:long"&gt;45286&lt;/D&gt;&lt;D xsi:type="xsd:long"&gt;45282&lt;/D&gt;&lt;D xsi:type="xsd:long"&gt;45281&lt;/D&gt;&lt;D xsi:type="xsd:long"&gt;45280&lt;/D&gt;&lt;D xsi:type="xsd:long"&gt;45279&lt;/D&gt;&lt;D xsi:type="xsd:long"&gt;45278&lt;/D&gt;&lt;D xsi:type="xsd:long"&gt;45275&lt;/D&gt;&lt;D xsi:type="xsd:long"&gt;45274&lt;/D&gt;&lt;D xsi:type="xsd:long"&gt;45273&lt;/D&gt;&lt;D xsi:type="xsd:long"&gt;45272&lt;/D&gt;&lt;D xsi:type="xsd:long"&gt;45271&lt;/D&gt;&lt;D xsi:type="xsd:long"&gt;45268&lt;/D&gt;&lt;D xsi:type="xsd:long"&gt;45267&lt;/D&gt;&lt;D xsi:type="xsd:long"&gt;45266&lt;/D&gt;&lt;D xsi:type="xsd:long"&gt;45265&lt;/D&gt;&lt;D xsi:type="xsd:long"&gt;45264&lt;/D&gt;&lt;D xsi:type="xsd:long"&gt;45261&lt;/D&gt;&lt;D xsi:type="xsd:long"&gt;45260&lt;/D&gt;&lt;D xsi:type="xsd:long"&gt;45259&lt;/D&gt;&lt;D xsi:type="xsd:long"&gt;45258&lt;/D&gt;&lt;D xsi:type="xsd:long"&gt;45257&lt;/D&gt;&lt;D xsi:type="xsd:long"&gt;45254&lt;/D&gt;&lt;D xsi:type="xsd:long"&gt;45252&lt;/D&gt;&lt;D xsi:type="xsd:long"&gt;45251&lt;/D&gt;&lt;D xsi:type="xsd:long"&gt;45250&lt;/D&gt;&lt;D xsi:type="xsd:long"&gt;45247&lt;/D&gt;&lt;D xsi:type="xsd:long"&gt;45246&lt;/D&gt;&lt;D xsi:type="xsd:long"&gt;45245&lt;/D&gt;&lt;D xsi:type="xsd:long"&gt;45244&lt;/D&gt;&lt;D xsi:type="xsd:long"&gt;45243&lt;/D&gt;&lt;D xsi:type="xsd:long"&gt;45240&lt;/D&gt;&lt;D xsi:type="xsd:long"&gt;45239&lt;/D&gt;&lt;D xsi:type="xsd:long"&gt;45238&lt;/D&gt;&lt;D xsi:type="xsd:long"&gt;45237&lt;/D&gt;&lt;D xsi:type="xsd:long"&gt;45236&lt;/D&gt;&lt;D xsi:type="xsd:long"&gt;45233&lt;/D&gt;&lt;D xsi:type="xsd:long"&gt;45232&lt;/D&gt;&lt;D xsi:type="xsd:long"&gt;45231&lt;/D&gt;&lt;D xsi:type="xsd:long"&gt;45230&lt;/D&gt;&lt;D xsi:type="xsd:long"&gt;45229&lt;/D&gt;&lt;D x</t>
        </r>
      </text>
    </comment>
    <comment ref="A24" authorId="0" shapeId="0">
      <text>
        <r>
          <rPr>
            <b/>
            <sz val="9"/>
            <color indexed="81"/>
            <rFont val="Tahoma"/>
            <family val="2"/>
          </rPr>
          <t>si:type="xsd:long"&gt;45226&lt;/D&gt;&lt;D xsi:type="xsd:long"&gt;45225&lt;/D&gt;&lt;D xsi:type="xsd:long"&gt;45224&lt;/D&gt;&lt;D xsi:type="xsd:long"&gt;45223&lt;/D&gt;&lt;D xsi:type="xsd:long"&gt;45222&lt;/D&gt;&lt;D xsi:type="xsd:long"&gt;45219&lt;/D&gt;&lt;D xsi:type="xsd:long"&gt;45218&lt;/D&gt;&lt;D xsi:type="xsd:long"&gt;45217&lt;/D&gt;&lt;D xsi:type="xsd:long"&gt;45216&lt;/D&gt;&lt;D xsi:type="xsd:long"&gt;45215&lt;/D&gt;&lt;D xsi:type="xsd:long"&gt;45212&lt;/D&gt;&lt;D xsi:type="xsd:long"&gt;45211&lt;/D&gt;&lt;D xsi:type="xsd:long"&gt;45210&lt;/D&gt;&lt;D xsi:type="xsd:long"&gt;45209&lt;/D&gt;&lt;D xsi:type="xsd:long"&gt;45208&lt;/D&gt;&lt;D xsi:type="xsd:long"&gt;45205&lt;/D&gt;&lt;D xsi:type="xsd:long"&gt;45204&lt;/D&gt;&lt;D xsi:type="xsd:long"&gt;45203&lt;/D&gt;&lt;D xsi:type="xsd:long"&gt;45202&lt;/D&gt;&lt;D xsi:type="xsd:long"&gt;45201&lt;/D&gt;&lt;D xsi:type="xsd:long"&gt;45198&lt;/D&gt;&lt;D xsi:type="xsd:long"&gt;45197&lt;/D&gt;&lt;D xsi:type="xsd:long"&gt;45196&lt;/D&gt;&lt;D xsi:type="xsd:long"&gt;45195&lt;/D&gt;&lt;D xsi:type="xsd:long"&gt;45194&lt;/D&gt;&lt;D xsi:type="xsd:long"&gt;45191&lt;/D&gt;&lt;D xsi:type="xsd:long"&gt;45190&lt;/D&gt;&lt;D xsi:type="xsd:long"&gt;45189&lt;/D&gt;&lt;D xsi:type="xsd:long"&gt;45188&lt;/D&gt;&lt;D xsi:type="xsd:long"&gt;45187&lt;/D&gt;&lt;D xsi:type="xsd:long"&gt;45184&lt;/D&gt;&lt;D xsi:type="xsd:long"&gt;45183&lt;/D&gt;&lt;D xsi:type="xsd:long"&gt;45182&lt;/D&gt;&lt;D xsi:type="xsd:long"&gt;45181&lt;/D&gt;&lt;D xsi:type="xsd:long"&gt;45180&lt;/D&gt;&lt;D xsi:type="xsd:long"&gt;45177&lt;/D&gt;&lt;D xsi:type="xsd:long"&gt;45176&lt;/D&gt;&lt;D xsi:type="xsd:long"&gt;45175&lt;/D&gt;&lt;D xsi:type="xsd:long"&gt;45174&lt;/D&gt;&lt;D xsi:type="xsd:long"&gt;45170&lt;/D&gt;&lt;D xsi:type="xsd:long"&gt;45169&lt;/D&gt;&lt;D xsi:type="xsd:long"&gt;45168&lt;/D&gt;&lt;D xsi:type="xsd:long"&gt;45167&lt;/D&gt;&lt;D xsi:type="xsd:long"&gt;45166&lt;/D&gt;&lt;D xsi:type="xsd:long"&gt;45163&lt;/D&gt;&lt;D xsi:type="xsd:long"&gt;45162&lt;/D&gt;&lt;D xsi:type="xsd:long"&gt;45161&lt;/D&gt;&lt;D xsi:type="xsd:long"&gt;45160&lt;/D&gt;&lt;D xsi:type="xsd:long"&gt;45159&lt;/D&gt;&lt;D xsi:type="xsd:long"&gt;45156&lt;/D&gt;&lt;D xsi:type="xsd:long"&gt;45155&lt;/D&gt;&lt;D xsi:type="xsd:long"&gt;45154&lt;/D&gt;&lt;D xsi:type="xsd:long"&gt;45153&lt;/D&gt;&lt;D xsi:type="xsd:long"&gt;45152&lt;/D&gt;&lt;D xsi:type="xsd:long"&gt;45149&lt;/D&gt;&lt;D xsi:type="xsd:long"&gt;45148&lt;/D&gt;&lt;D xsi:type="xsd:long"&gt;45147&lt;/D&gt;&lt;D xsi:type="xsd:long"&gt;45146&lt;/D&gt;&lt;D xsi:type="xsd:long"&gt;45145&lt;/D&gt;&lt;D xsi:type="xsd:long"&gt;45142&lt;/D&gt;&lt;D xsi:type="xsd:long"&gt;45141&lt;/D&gt;&lt;D xsi:type="xsd:long"&gt;45140&lt;/D&gt;&lt;D xsi:type="xsd:long"&gt;45139&lt;/D&gt;&lt;D xsi:type="xsd:long"&gt;45138&lt;/D&gt;&lt;D xsi:type="xsd:long"&gt;45135&lt;/D&gt;&lt;D xsi:type="xsd:long"&gt;45134&lt;/D&gt;&lt;D xsi:type="xsd:long"&gt;45133&lt;/D&gt;&lt;D xsi:type="xsd:long"&gt;45132&lt;/D&gt;&lt;D xsi:type="xsd:long"&gt;45131&lt;/D&gt;&lt;D xsi:type="xsd:long"&gt;45128&lt;/D&gt;&lt;D xsi:type="xsd:long"&gt;45127&lt;/D&gt;&lt;D xsi:type="xsd:long"&gt;45126&lt;/D&gt;&lt;D xsi:type="xsd:long"&gt;45125&lt;/D&gt;&lt;D xsi:type="xsd:long"&gt;45124&lt;/D&gt;&lt;D xsi:type="xsd:long"&gt;45121&lt;/D&gt;&lt;D xsi:type="xsd:long"&gt;45120&lt;/D&gt;&lt;D xsi:type="xsd:long"&gt;45119&lt;/D&gt;&lt;D xsi:type="xsd:long"&gt;45118&lt;/D&gt;&lt;D xsi:type="xsd:long"&gt;45117&lt;/D&gt;&lt;D xsi:type="xsd:long"&gt;45114&lt;/D&gt;&lt;D xsi:type="xsd:long"&gt;45113&lt;/D&gt;&lt;D xsi:type="xsd:long"&gt;45112&lt;/D&gt;&lt;D xsi:type="xsd:long"&gt;45110&lt;/D&gt;&lt;D xsi:type="xsd:long"&gt;45107&lt;/D&gt;&lt;D xsi:type="xsd:long"&gt;45106&lt;/D&gt;&lt;D xsi:type="xsd:long"&gt;45105&lt;/D&gt;&lt;D xsi:type="xsd:long"&gt;45104&lt;/D&gt;&lt;D xsi:type="xsd:long"&gt;45103&lt;/D&gt;&lt;D xsi:type="xsd:long"&gt;45100&lt;/D&gt;&lt;D xsi:type="xsd:long"&gt;45099&lt;/D&gt;&lt;D xsi:type="xsd:long"&gt;45098&lt;/D&gt;&lt;D xsi:type="xsd:long"&gt;45097&lt;/D&gt;&lt;D xsi:type="xsd:long"&gt;45093&lt;/D&gt;&lt;D xsi:type="xsd:long"&gt;45092&lt;/D&gt;&lt;D xsi:type="xsd:long"&gt;45091&lt;/D&gt;&lt;D xsi:type="xsd:long"&gt;45090&lt;/D&gt;&lt;D xsi:type="xsd:long"&gt;45089&lt;/D&gt;&lt;D xsi:type="xsd:long"&gt;45086&lt;/D&gt;&lt;D xsi:type="xsd:long"&gt;45085&lt;/D&gt;&lt;D xsi:type="xsd:long"&gt;45084&lt;/D&gt;&lt;D xsi:type="xsd:long"&gt;45083&lt;/D&gt;&lt;D xsi:type="xsd:long"&gt;45082&lt;/D&gt;&lt;D xsi:type="xsd:long"&gt;45079&lt;/D&gt;&lt;D xsi:type="xsd:long"&gt;45078&lt;/D&gt;&lt;D xsi:type="xsd:long"&gt;45077&lt;/D&gt;&lt;D xsi:type="xsd:long"&gt;45076&lt;/D&gt;&lt;D xsi:type="xsd:long"&gt;45072&lt;/D&gt;&lt;D xsi:type="xsd:long"&gt;45071&lt;/D&gt;&lt;D xsi:type="xsd:long"&gt;45070&lt;/D&gt;&lt;D xsi:type="xsd:long"&gt;45069&lt;/D&gt;&lt;D xsi:type="xsd:long"&gt;45068&lt;/D&gt;&lt;D xsi:type="xsd:long"&gt;45065&lt;/D&gt;&lt;D xsi:type="xsd:long"&gt;45064&lt;/D&gt;&lt;D xsi:type="xsd:long"&gt;45063&lt;/D&gt;&lt;D xsi:type="xsd:long"&gt;45062&lt;/D&gt;&lt;D xsi:type="xsd:long"&gt;45061&lt;/D&gt;&lt;D xsi:type="xsd:long"&gt;45058&lt;/D&gt;&lt;D xsi:type="xsd:long"&gt;45057&lt;/D&gt;&lt;D xsi:type="xsd:long"&gt;45056&lt;/D&gt;&lt;D xsi:type="xsd:long"&gt;45055&lt;/D&gt;&lt;D xsi:type="xsd:long"&gt;45054&lt;/D&gt;&lt;D xsi:type="xsd:long"&gt;45051&lt;/D&gt;&lt;D xsi:type="xsd:long"&gt;45050&lt;/D&gt;&lt;D xsi:type="xsd:long"&gt;45049&lt;/D&gt;&lt;D xsi:type="xsd:long"&gt;45048&lt;/D&gt;&lt;D xsi:type="xsd:long"&gt;45047&lt;/D&gt;&lt;D xsi:type="xsd:long"&gt;45044&lt;/D&gt;&lt;D xsi:type="xsd:long"&gt;45043&lt;/D&gt;&lt;D xsi:type="xsd:long"&gt;45042&lt;/D&gt;&lt;D xsi:type="xsd:long"&gt;45041&lt;/D&gt;&lt;D xsi:type="xsd:long"&gt;45040&lt;/D&gt;&lt;D xsi:type="xsd:long"&gt;45037&lt;/D&gt;&lt;D xsi:type="xsd:long"&gt;45036&lt;/D&gt;&lt;D xsi:type="xsd:long"&gt;45035&lt;/D&gt;&lt;D xsi:type="xsd:long"&gt;45034&lt;/D&gt;&lt;D xsi:type="xsd:long"&gt;45033&lt;/D&gt;&lt;D xsi:type="xsd:long"&gt;45030&lt;/D&gt;&lt;D xsi:type="xsd:long"&gt;45029&lt;/D&gt;&lt;D xsi:type="xsd:long"&gt;45028&lt;/D&gt;&lt;D xsi:type="xsd:long"&gt;45027&lt;/D&gt;&lt;D xsi:type="xsd:long"&gt;45026&lt;/D&gt;&lt;D xsi:type="xsd:long"&gt;45022&lt;/D&gt;&lt;D xsi:type="xsd:long"&gt;45021&lt;/D&gt;&lt;D xsi:type="xsd:long"&gt;45020&lt;/D&gt;&lt;D xsi:type="xsd:long"&gt;45019&lt;/D&gt;&lt;D xsi:type="xsd:long"&gt;45016&lt;/D&gt;&lt;D xsi:type="xsd:long"&gt;45015&lt;/D&gt;&lt;D xsi:type="xsd:long"&gt;45014&lt;/D&gt;&lt;D xsi:type="xsd:long"&gt;45013&lt;/D&gt;&lt;D xsi:type="xsd:long"&gt;45012&lt;/D&gt;&lt;D xsi:type="xsd:long"&gt;45009&lt;/D&gt;&lt;D xsi:type="xsd:long"&gt;45008&lt;/D&gt;&lt;D xsi:type="xsd:long"&gt;45007&lt;/D&gt;&lt;D xsi:type="xsd:long"&gt;45006&lt;/D&gt;&lt;D xsi:type="xsd:long"&gt;45005&lt;/D&gt;&lt;D xsi:type="xsd:long"&gt;45002&lt;/D&gt;&lt;D xsi:type="xsd:long"&gt;45001&lt;/D&gt;&lt;D xsi:type="xsd:long"&gt;45000&lt;/D&gt;&lt;D xsi:type="xsd:long"&gt;44999&lt;/D&gt;&lt;D xsi:type="xsd:long"&gt;44998&lt;/D&gt;&lt;D xsi:type="xsd:long"&gt;44995&lt;/D&gt;&lt;D xsi:type="xsd:long"&gt;44994&lt;/D&gt;&lt;D xsi:type="xsd:long"&gt;44993&lt;/D&gt;&lt;D xsi:type="xsd:long"&gt;44992&lt;/D&gt;&lt;D xsi:type="xsd:long"&gt;44991&lt;/D&gt;&lt;D xsi:type="xsd:long"&gt;44988&lt;/D&gt;&lt;D xsi:type="xsd:long"&gt;44987&lt;/D&gt;&lt;D xsi:type="xsd:long"&gt;44986&lt;/D&gt;&lt;D xsi:type="xsd:long"&gt;44985&lt;/D&gt;&lt;D xsi:type="xsd:long"&gt;44984&lt;/D&gt;&lt;D xsi:type="xsd:long"&gt;44981&lt;/D&gt;&lt;D xsi:type="xsd:long"&gt;44980&lt;/D&gt;&lt;D xsi:type="xsd:long"&gt;44979&lt;/D&gt;&lt;D xsi:type="xsd:long"&gt;44978&lt;/D&gt;&lt;D xsi:type="xsd:long"&gt;44974&lt;/D&gt;&lt;D xsi:type="xsd:long"&gt;44973&lt;/D&gt;&lt;D xsi:type="xsd:long"&gt;44972&lt;/D&gt;&lt;D xsi:type="xsd:long"&gt;44971&lt;/D&gt;&lt;D xsi:type="xsd:long"&gt;44970&lt;/D&gt;&lt;D xsi:type="xsd:long"&gt;44967&lt;/D&gt;&lt;D xsi:type="xsd:long"&gt;44966&lt;/D&gt;&lt;D xsi:type="xsd:long"&gt;44965&lt;/D&gt;&lt;D xsi:type="xsd:long"&gt;44964&lt;/D&gt;&lt;D xsi:type="xsd:long"&gt;44963&lt;/D&gt;&lt;D xsi:type="xsd:long"&gt;44960&lt;/D&gt;&lt;D xsi:type="xsd:long"&gt;44959&lt;/D&gt;&lt;D xsi:type="xsd:long"&gt;44958&lt;/D&gt;&lt;D xsi:type="xsd:long"&gt;44957&lt;/D&gt;&lt;D xsi:type="xsd:long"&gt;44956&lt;/D&gt;&lt;D xsi:type="xsd:long"&gt;44953&lt;/D&gt;&lt;D xsi:type="xsd:long"&gt;44952&lt;/D&gt;&lt;D xsi:type="xsd:long"&gt;44951&lt;/D&gt;&lt;D xsi:type="xsd:long"&gt;44950&lt;/D&gt;&lt;D xsi:type="xsd:long"&gt;44949&lt;/D&gt;&lt;D xsi:type="xsd:long"&gt;44946&lt;/D&gt;&lt;D xsi:type="xsd:long"&gt;44945&lt;/D&gt;&lt;D xsi:type="xsd:long"&gt;44944&lt;/D&gt;&lt;D xsi:type="xsd:long"&gt;44943&lt;/D&gt;&lt;D xsi:type="xsd:long"&gt;44939&lt;/D&gt;&lt;D xsi:type="xsd:long"&gt;44938&lt;/D&gt;&lt;D xsi:type="xsd:long"&gt;44937&lt;/D&gt;&lt;D xsi:type="xsd:long"&gt;44936&lt;/D&gt;&lt;D xsi:type="xsd:long"&gt;44935&lt;/D&gt;&lt;D xsi:type="xsd:long"&gt;44932&lt;/D&gt;&lt;D xsi:type="xsd:long"&gt;44931&lt;/D&gt;&lt;D xsi:type="xsd:long"&gt;44930&lt;/D&gt;&lt;D xsi:type="xsd:long"&gt;44929&lt;/D&gt;&lt;D xsi:type="xsd:long"&gt;44925&lt;/D&gt;&lt;D xsi:type="xsd:long"&gt;44924&lt;/D&gt;&lt;D xsi:type="xsd:long"&gt;44923&lt;/D&gt;&lt;D xsi:type="xsd:long"&gt;44922&lt;/D&gt;&lt;D xsi:type="xsd:long"&gt;44918&lt;/D&gt;&lt;D xsi:type="xsd:long"&gt;44917&lt;/D&gt;&lt;D xsi:type="xsd:long"&gt;44916&lt;/D&gt;&lt;D xsi:type="xsd:long"&gt;44915&lt;/D&gt;&lt;D xsi:type="xsd:long"&gt;44914&lt;/D&gt;&lt;D xsi:type="xsd:long"&gt;44911&lt;/D&gt;&lt;D xsi:type="xsd:long"&gt;44910&lt;/D&gt;&lt;D xsi:type="xsd:long"&gt;44909&lt;/D&gt;&lt;D xsi:type="xsd:long"&gt;44908&lt;/D&gt;&lt;D xsi:type="xsd:long"&gt;44907&lt;/D&gt;&lt;D xsi:type="xsd:long"&gt;44904&lt;/D&gt;&lt;D xsi:type="xsd:long"&gt;44903&lt;/D&gt;&lt;D xsi:type="xsd:long"&gt;44902&lt;/D&gt;&lt;D xsi:type="xsd:long"&gt;44901&lt;/D&gt;&lt;D xsi:type="xsd:long"&gt;44900&lt;/D&gt;&lt;D xsi:type="xsd:long"&gt;44897&lt;/D&gt;&lt;D xsi:type="xsd:long"&gt;44896&lt;/D&gt;&lt;D xsi:type="xsd:long"&gt;44895&lt;/D&gt;&lt;D xsi:type="xsd:long"&gt;44894&lt;/D&gt;&lt;D xsi:type="xsd:long"&gt;44893&lt;/D&gt;&lt;D xsi:type="xsd:long"&gt;44890&lt;/D&gt;&lt;D xsi:type="xsd:long"&gt;44888&lt;/D&gt;&lt;D xsi:type="xsd:long"&gt;44887&lt;/D&gt;&lt;D xsi:type="xsd:long"&gt;44886&lt;/D&gt;&lt;D xsi:type="xsd:long"&gt;44883&lt;/D&gt;&lt;D xsi:type="xsd:long"&gt;44882&lt;/D&gt;&lt;D xsi:type="xsd:long"&gt;44881&lt;/D&gt;&lt;D xsi:type="xsd:long"&gt;44880&lt;/D&gt;&lt;D xsi:type="xsd:long"&gt;44879&lt;/D&gt;&lt;D xsi:type="xsd:long"&gt;44876&lt;/D&gt;&lt;D xsi:type="xsd:long"&gt;44875&lt;/D&gt;&lt;D xsi:type="xsd:long"&gt;44874&lt;/D&gt;&lt;D xsi:type="xsd:long"&gt;44873&lt;/D&gt;&lt;D xsi:type="xsd:long"&gt;44872&lt;/D&gt;&lt;D xsi:type="xsd:long"&gt;44869&lt;/D&gt;&lt;D xsi:type="xsd:long"&gt;44868&lt;/D&gt;&lt;D xsi:type="xsd:long"&gt;44867&lt;/D&gt;&lt;D xsi:type="xsd:long"&gt;44866&lt;/D&gt;&lt;D xsi:type="xsd:long"&gt;44865&lt;/D&gt;&lt;D xsi:type="xsd:long"&gt;44862&lt;/D&gt;&lt;D xsi:type="xsd:long"&gt;44861&lt;/D&gt;&lt;D xsi:type="xsd:long"&gt;44860&lt;/D&gt;&lt;D xsi:type="xsd:long"&gt;44859&lt;/D&gt;&lt;D xsi:type="xsd:long"&gt;44858&lt;/D&gt;&lt;D xsi:type="xsd:long"&gt;44855&lt;/D&gt;&lt;D xsi:type="xsd:long"&gt;44854&lt;/D&gt;&lt;D xsi:type="xsd:long"&gt;44853&lt;/D&gt;&lt;D xsi:type="xsd:long"&gt;44852&lt;/D&gt;&lt;D xsi:type="xsd:long"&gt;44851&lt;/D&gt;&lt;D xsi:type="xsd:long"&gt;44848&lt;/D&gt;&lt;D xsi:type="xsd:long"&gt;44847&lt;/D&gt;&lt;D xsi:type="xsd:long"&gt;44846&lt;/D&gt;&lt;D xsi:type="xsd:long"&gt;44845&lt;/D&gt;&lt;D xsi:type="xsd:long"&gt;44844&lt;/D&gt;&lt;D xsi:type="xsd:long"&gt;44841&lt;/D&gt;&lt;D xsi:type="xsd:long"&gt;44840&lt;/D&gt;&lt;D xsi:type="xsd:long"&gt;44839&lt;/D&gt;&lt;D xsi:type="xsd:long"&gt;44838&lt;/D&gt;&lt;D xsi:type="xsd:long"&gt;44837&lt;/D&gt;&lt;D xsi:type="xsd:long"&gt;44834&lt;/D&gt;&lt;D xsi:type="xsd:long"&gt;44833&lt;/D&gt;&lt;D xsi:type="xsd:long"&gt;44832&lt;/D&gt;&lt;D xsi:type="xsd:long"&gt;44831&lt;/D&gt;&lt;D xsi:type="xsd:long"&gt;44830&lt;/D&gt;&lt;D xsi:type="xsd:long"&gt;44827&lt;/D&gt;&lt;D xsi:type="xsd:long"&gt;44826&lt;/D&gt;&lt;D xsi:type="xsd:long"&gt;44825&lt;/D&gt;&lt;D xsi:type="xsd:long"&gt;44824&lt;/D&gt;&lt;D xsi:type="xsd:long"&gt;44823&lt;/D&gt;&lt;D xsi:type="xsd:long"&gt;44820&lt;/D&gt;&lt;D xsi:type="xsd:long"&gt;44819&lt;/D&gt;&lt;D xsi:type="xsd:long"&gt;44818&lt;/D&gt;&lt;D xsi:type="xsd:long"&gt;44817&lt;/D&gt;&lt;D xsi:type="xsd:long"&gt;44816&lt;/D&gt;&lt;D xsi:type="xsd:long"&gt;44813&lt;/D&gt;&lt;D xsi:type="xsd:long"&gt;44812&lt;/D&gt;&lt;D xsi:type="xsd:long"&gt;44811&lt;/D&gt;&lt;D xsi:type="xsd:long"&gt;44810&lt;/D&gt;&lt;D xsi:type="xsd:long"&gt;44806&lt;/D&gt;&lt;D xsi:type="xsd:long"&gt;44805&lt;/D&gt;&lt;D xsi:type="xsd:long"&gt;44804&lt;/D&gt;&lt;D xsi:type="xsd:long"&gt;44803&lt;/D&gt;&lt;D xsi:type="xsd:long"&gt;44802&lt;/D&gt;&lt;D xsi:type="xsd:long"&gt;44799&lt;/D&gt;&lt;D xsi:type="xsd:long"&gt;44798&lt;/D&gt;&lt;D xsi:type="xsd:long"&gt;44797&lt;/D&gt;&lt;D xsi:type="xsd:long"&gt;44796&lt;/D&gt;&lt;D xsi:type="xsd:long"&gt;44795&lt;/D&gt;&lt;D xsi:type="xsd:long"&gt;44792&lt;/D&gt;&lt;D xsi:type="xsd:long"&gt;44791&lt;/D&gt;&lt;D xsi:type="xsd:long"&gt;44790&lt;/D&gt;&lt;D xsi:type="xsd:long"&gt;44789&lt;/D&gt;&lt;D xsi:type="xsd:long"&gt;44788&lt;/D&gt;&lt;D xsi:type="xsd:long"&gt;44785&lt;/D&gt;&lt;D xsi:type="xsd:long"&gt;44784&lt;/D&gt;&lt;D xsi:type="xsd:long"&gt;44783&lt;/D&gt;&lt;D xsi:type="xsd:long"&gt;44782&lt;/D&gt;&lt;D xsi:type="xsd:long"&gt;44781&lt;/D&gt;&lt;D xsi:type="xsd:long"&gt;44778&lt;/D&gt;&lt;D xsi:type="xsd:long"&gt;44777&lt;/D&gt;&lt;D xsi:type="xsd:long"&gt;44776&lt;/D&gt;&lt;D xsi:type="xsd:long"&gt;44775&lt;/D&gt;&lt;D xsi:type="xsd:long"&gt;44774&lt;/D&gt;&lt;D xsi:type="xsd:long"&gt;44771&lt;/D&gt;&lt;D xsi:type="xsd:long"&gt;44770&lt;/D&gt;&lt;D xsi:type="xsd:long"&gt;44769&lt;/D&gt;&lt;D xsi:type="xsd:long"&gt;44768&lt;/D&gt;&lt;D xsi:type="xsd:long"&gt;44767&lt;/D&gt;&lt;D xsi:type="xsd:long"&gt;44764&lt;/D&gt;&lt;D xsi:type="xsd:long"&gt;44763&lt;/D&gt;&lt;D xsi:type="xsd:long"&gt;44762&lt;/D&gt;&lt;D xsi:type="xsd:long"&gt;44761&lt;/D&gt;&lt;D xsi:type="xsd:long"&gt;44760&lt;/D&gt;&lt;D xsi:type="xsd:long"&gt;44757&lt;/D&gt;&lt;D xsi:type="xsd:long"&gt;44756&lt;/D&gt;&lt;D xsi:type="xsd:long"&gt;44755&lt;/D&gt;&lt;D xsi:type="xsd:long"&gt;44754&lt;/D&gt;&lt;D xsi:type="xsd:long"&gt;44753&lt;/D&gt;&lt;D xsi:type="xsd:long"&gt;44750&lt;/D&gt;&lt;D xsi:type="xsd:long"&gt;44749&lt;/D&gt;&lt;D xsi:type="xsd:long"&gt;44748&lt;/D&gt;&lt;D xsi:type="xsd:long"&gt;44747&lt;/D&gt;&lt;D xsi:type="xsd:long"&gt;44743&lt;/D&gt;&lt;D xsi:type="xsd:long"&gt;44742&lt;/D&gt;&lt;D xsi:type="xsd:long"&gt;44741&lt;/D&gt;&lt;D xsi:type="xsd:long"&gt;44740&lt;/D&gt;&lt;D xsi:type="xsd:long"&gt;44739&lt;/D&gt;&lt;D xsi:type="xsd:long"&gt;44736&lt;/D&gt;&lt;D xsi:type="xsd:long"&gt;44735&lt;/D&gt;&lt;D xsi:type="xsd:long"&gt;44734&lt;/D&gt;&lt;D xsi:type="xsd:long"&gt;44733&lt;/D&gt;&lt;D xsi:type="xsd:long"&gt;44729&lt;/D&gt;&lt;D xsi:type="xsd:long"&gt;44728&lt;/D&gt;&lt;D xsi:type="xsd:long"&gt;44727&lt;/D&gt;&lt;D xsi:type="xsd:long"&gt;44726&lt;/D&gt;&lt;D xsi:type="xsd:long"&gt;44725&lt;/D&gt;&lt;D xsi:type="xsd:long"&gt;44722&lt;/D&gt;&lt;D xsi:type="xsd:long"&gt;44721&lt;/D&gt;&lt;D xsi:type="xsd:long"&gt;44720&lt;/D&gt;&lt;D xsi:type="xsd:long"&gt;44719&lt;/D&gt;&lt;D xsi:type="xsd:long"&gt;44718&lt;/D&gt;&lt;D xsi:type="xsd:long"&gt;44715&lt;/D&gt;&lt;D xsi:type="xsd:long"&gt;44714&lt;/D&gt;&lt;D xsi:type="xsd:long"&gt;44713&lt;/D&gt;&lt;D xsi:type="xsd:long"&gt;44712&lt;/D&gt;&lt;D xsi:type="xsd:long"&gt;44708&lt;/D&gt;&lt;D xsi:type="xsd:long"&gt;44707&lt;/D&gt;&lt;D xsi:type="xsd:long"&gt;44706&lt;/D&gt;&lt;D xsi:type="xsd:long"&gt;44705&lt;/D&gt;&lt;D xsi:type="xsd:long"&gt;44704&lt;/D&gt;&lt;D xsi:type="xsd:long"&gt;44701&lt;/D&gt;&lt;D xsi:type="xsd:long"&gt;44700&lt;/D&gt;&lt;D xsi:type="xsd:long"&gt;44699&lt;/D&gt;&lt;D xsi:type="xsd:long"&gt;44698&lt;/D&gt;&lt;D xsi:type="xsd:long"&gt;44697&lt;/D&gt;&lt;D xsi:type="xsd:long"&gt;44694&lt;/D&gt;&lt;D xsi:type="xsd:long"&gt;44693&lt;/D&gt;&lt;D xsi:type="xsd:long"&gt;44692&lt;/D&gt;&lt;D xsi:type="xsd:long"&gt;44691&lt;/D&gt;&lt;D xsi:type="xsd:long"&gt;44690&lt;/D&gt;&lt;D xsi:type="xsd:long"&gt;44687&lt;/D&gt;&lt;D xsi:type="xsd:long"&gt;44686&lt;/D&gt;&lt;D xsi:type="xsd:long"&gt;44685&lt;/D&gt;&lt;D xsi:type="xsd:long"&gt;44684&lt;/D&gt;&lt;D xsi:type="xsd:long"&gt;44683&lt;/D&gt;&lt;D xsi:type="xsd:long"&gt;44680&lt;/D&gt;&lt;D xsi:type="xsd:long"&gt;44679&lt;/D&gt;&lt;D xsi:type="xsd:long"&gt;44678&lt;/D&gt;&lt;D xsi:type="xsd:long"&gt;44677&lt;/D&gt;&lt;D xsi:type="xsd:long"&gt;44676&lt;/D&gt;&lt;D xsi:type="xsd:long"&gt;44673&lt;/D&gt;&lt;D xsi:type="xsd:long"&gt;44672&lt;/D&gt;&lt;D xsi:type="xsd:long"&gt;44671&lt;/D&gt;&lt;D xsi:type="xsd:long"&gt;44670&lt;/D&gt;&lt;D xsi:type="xsd:long"&gt;44669&lt;/D&gt;&lt;D xsi:type="xsd:long"&gt;44665&lt;/D&gt;&lt;D xsi:type="xsd:long"&gt;44664&lt;/D&gt;&lt;D xsi:type="xsd:long"&gt;44663&lt;/D&gt;&lt;D xsi:type="xsd:long"&gt;44662&lt;/D&gt;&lt;D xsi:type="xsd:long"&gt;44659&lt;/D&gt;&lt;D xsi:type="xsd:long"&gt;44658&lt;/D&gt;&lt;D xsi:type="xsd:long"&gt;44657&lt;/D&gt;&lt;D xsi:type="xsd:long"&gt;44656&lt;/D&gt;&lt;D xsi:type="xsd:long"&gt;44655&lt;/D&gt;&lt;D xsi:type="xsd:long"&gt;44652&lt;/D&gt;&lt;D xsi:type="xsd:long"&gt;44651&lt;/D&gt;&lt;D xsi:type="xsd:long"&gt;44650&lt;/D&gt;&lt;D xsi:type="xsd:long"&gt;44649&lt;/D&gt;&lt;D xsi:type="xsd:long"&gt;44648&lt;/D&gt;&lt;D xsi:type="xsd:long"&gt;44645&lt;/D&gt;&lt;D xsi:type="xsd:long"&gt;44644&lt;/D&gt;&lt;D xsi:type="xsd:long"&gt;44643&lt;/D&gt;&lt;D xsi:type="xsd:long"&gt;44642&lt;/D&gt;&lt;D xsi:type="xsd:long"&gt;44641&lt;/D&gt;&lt;D xsi:type="xsd:long"&gt;44638&lt;/D&gt;&lt;D xsi:type="xsd:long"&gt;44637&lt;/D&gt;&lt;D xsi:type="xsd:long"&gt;44636&lt;/D&gt;&lt;D xsi:type="xsd:long"&gt;44635&lt;/D&gt;&lt;D xsi:type="xsd:long"&gt;44634&lt;/D&gt;&lt;D xsi:type="xsd:long"&gt;44631&lt;/D&gt;&lt;D xsi:type="xsd:long"&gt;44630&lt;/D&gt;&lt;D xsi:type="xsd:long"&gt;44629&lt;/D&gt;&lt;D xsi:type="xsd:long"&gt;44628&lt;/D&gt;&lt;D xsi:type="xsd:long"&gt;44627&lt;/D&gt;&lt;D xsi:type="xsd:long"&gt;44624&lt;/D&gt;&lt;D xsi:type="xsd:long"&gt;44623&lt;/D&gt;&lt;D xsi:type="xsd:long"&gt;44622&lt;/D&gt;&lt;D xsi:type="xsd:long"&gt;44621&lt;/D&gt;&lt;D xsi:type="xsd:long"&gt;44620&lt;/D&gt;&lt;D xsi:type="xsd:long"&gt;44617&lt;/D&gt;&lt;D xsi:type="xsd:long"&gt;44616&lt;/D&gt;&lt;D xsi:type="xsd:long"&gt;44615&lt;/D&gt;&lt;D xsi:type="xsd:long"&gt;44614&lt;/D&gt;&lt;D xsi:type="xsd:long"&gt;44610&lt;/D&gt;&lt;D xsi:type="xsd:long"&gt;44609&lt;/D&gt;&lt;D xsi:type="xsd:long"&gt;44608&lt;/D&gt;&lt;D xsi:type="xsd:long"&gt;44607&lt;/D&gt;&lt;D xsi:type="xsd:long"&gt;44606&lt;/D&gt;&lt;D xsi:type="xsd:long"&gt;44603&lt;/D&gt;&lt;D xsi:type="xsd:long"&gt;44602&lt;/D&gt;&lt;D xsi:type="xsd:long"&gt;44601&lt;/D&gt;&lt;D xsi:type="xsd:long"&gt;44600&lt;/D&gt;&lt;D xsi:type="xsd:long"&gt;44599&lt;/D&gt;&lt;D xsi:type="xsd:long"&gt;44596&lt;/D&gt;&lt;D xsi:type="xsd:long"&gt;44595&lt;/D&gt;&lt;D xsi:type="xsd:long"&gt;44594&lt;/D&gt;&lt;D xsi:type="xsd:long"&gt;44593&lt;/D&gt;&lt;D xsi:type="xsd:long"&gt;44592&lt;/D&gt;&lt;D xsi:type="xsd:long"&gt;44589&lt;/D&gt;&lt;D xsi:type="xsd:long"&gt;44588&lt;/D&gt;&lt;D xsi:type="xsd:long"&gt;44587&lt;/D&gt;&lt;D xsi:type="xsd:long"&gt;44586&lt;/D&gt;&lt;D xsi:type="xsd:long"&gt;44585&lt;/D&gt;&lt;D xsi:type="xsd:long"&gt;44582&lt;/D&gt;&lt;D xsi:type="xsd:long"&gt;44581&lt;/D&gt;&lt;D xsi:type="xsd:long"&gt;44580&lt;/D&gt;&lt;D xsi:type="xsd:long"&gt;44579&lt;/D&gt;&lt;D xsi:type="xsd:long"&gt;44575&lt;/D&gt;&lt;D xsi:type="xsd:long"&gt;44574&lt;/D&gt;&lt;D xsi:type="xsd:long"&gt;44573&lt;/D&gt;&lt;D xsi:type="xsd:long"&gt;44572&lt;/D&gt;&lt;D xsi:type="xsd:long"&gt;44571&lt;/D&gt;&lt;D xsi:type="xsd:long"&gt;44568&lt;/D&gt;&lt;D xsi:type="xsd:long"&gt;44567&lt;/D&gt;&lt;D xsi:type="xsd:long"&gt;44566&lt;/D&gt;&lt;D xsi:type="xsd:long"&gt;44565&lt;/D&gt;&lt;D xsi:type="xsd:long"&gt;44564&lt;/D&gt;&lt;D xsi:type="xsd:long"&gt;44561&lt;/D&gt;&lt;D xsi:type="xsd:long"&gt;44560&lt;/D&gt;&lt;D xsi:type="xsd:long"&gt;44559&lt;/D&gt;&lt;D xsi:type="xsd:long"&gt;44558&lt;/D&gt;&lt;D xsi:type="xsd:long"&gt;44557&lt;/D&gt;&lt;D xsi:type="xsd:long"&gt;44553&lt;/D&gt;&lt;D xsi:type="xsd:long"&gt;44552&lt;/D&gt;&lt;D xsi:type="xsd:long"&gt;44551&lt;/D&gt;&lt;D xsi:type="xsd:long"&gt;44550&lt;/D&gt;&lt;D xsi:type="xsd:long"&gt;44547&lt;/D&gt;&lt;D xsi:type="xsd:long"&gt;44546&lt;/D&gt;&lt;D xsi:type="xsd:long"&gt;44545&lt;/D&gt;&lt;D xsi:type="xsd:long"&gt;44544&lt;/D&gt;&lt;D xsi:type="xsd:long"&gt;44543&lt;/D&gt;&lt;D xsi:type="xsd:long"&gt;44540&lt;/D&gt;&lt;D xsi:type="xsd:long"&gt;44539&lt;/D&gt;&lt;D xsi:type="xsd:long"&gt;44538&lt;/D&gt;&lt;D xsi:type="xsd:long"&gt;44537&lt;/D&gt;&lt;D xsi:type="xsd:long"&gt;44536&lt;/D&gt;&lt;D xsi:type="xsd:long"&gt;44533&lt;/D&gt;&lt;D xsi:type="xsd:long"&gt;44532&lt;/D&gt;&lt;D xsi:type="xsd:long"&gt;44531&lt;/D&gt;&lt;D xsi:type="xsd:long"&gt;44530&lt;/D&gt;&lt;D xsi:type="xsd:long"&gt;44529&lt;/D&gt;&lt;D xsi:type="xsd:long"&gt;44526&lt;/D&gt;&lt;D xsi:type="xsd:long"&gt;44524&lt;/D&gt;&lt;D xsi:type="xsd:long"&gt;44523&lt;/D&gt;&lt;D xsi:type="xsd:long"&gt;44522&lt;/D&gt;&lt;D xsi:type="xsd:long"&gt;44519&lt;/D&gt;&lt;D xsi:type="xsd:long"&gt;44518&lt;/D&gt;&lt;D xsi:type="xsd:long"&gt;44517&lt;/D&gt;&lt;D xsi:type="xsd:long"&gt;44516&lt;/D&gt;&lt;D xsi:type="xsd:long"&gt;44515&lt;/D&gt;&lt;D xsi:type="xsd:long"&gt;44512&lt;/D&gt;&lt;D xsi:type="xsd:long"&gt;44511&lt;/D&gt;&lt;D xsi:type="xsd:long"&gt;44510&lt;/D&gt;&lt;D xsi:type="xsd:long"&gt;44509&lt;/D&gt;&lt;D xsi:type="xsd:long"&gt;44508&lt;/D&gt;&lt;D xsi:type="xsd:long"&gt;44505&lt;/D&gt;&lt;D xsi:type="xsd:long"&gt;44504&lt;/D&gt;&lt;D xsi:type="xsd:long"&gt;44503&lt;/D&gt;&lt;D xsi:type="xsd:long"&gt;44502&lt;/D&gt;&lt;D xsi:type="xsd:long"&gt;44501&lt;/D&gt;&lt;D xsi:type="xsd:long"&gt;44498&lt;/D&gt;&lt;D xsi:type="xsd:long"&gt;44497&lt;/D&gt;&lt;D xsi:type="xsd:long"&gt;44496&lt;/D&gt;&lt;D xsi:type="xsd:long"&gt;44495&lt;/D&gt;&lt;D xsi:type="xsd:long"&gt;44494&lt;/D&gt;&lt;D xsi:type="xsd:long"&gt;44491&lt;/D&gt;&lt;D xsi:type="xsd:long"&gt;44490&lt;/D&gt;&lt;D xsi:type="xsd:long"&gt;44489&lt;/D&gt;&lt;D xsi:type="xsd:long"&gt;44488&lt;/D&gt;&lt;D xsi:type="xsd:long"&gt;44487&lt;/D&gt;&lt;D xsi:type="xsd:long"&gt;44484&lt;/D&gt;&lt;D xsi:type="xsd:long"&gt;44483&lt;/D&gt;&lt;D xsi:type="xsd:long"&gt;44482&lt;/D&gt;&lt;D xsi:type="xsd:long"&gt;44481&lt;/D&gt;&lt;D xsi:type="xsd:long"&gt;44480&lt;/D&gt;&lt;D xsi:type="xsd:long"&gt;44477&lt;/D&gt;&lt;D xsi:type="xsd:long"&gt;44476&lt;/D&gt;&lt;D xsi:type="xsd:long"&gt;44475&lt;/D&gt;&lt;D xsi:type="xsd:long"&gt;44474&lt;/D&gt;&lt;D xsi:type="xsd:long"&gt;44473&lt;/D&gt;&lt;D xsi:type="xsd:long"&gt;44470&lt;/D&gt;&lt;D xsi:type="xsd:long"&gt;44469&lt;/D&gt;&lt;D xsi:type="xsd:long"&gt;44468&lt;/D&gt;&lt;D xsi:type="xsd:long"&gt;44467&lt;/D&gt;&lt;D xsi:type="xsd:long"&gt;44466&lt;/D&gt;&lt;D xsi:type="xsd:long"&gt;44463&lt;/D&gt;&lt;D xsi:type="xsd:long"&gt;44462&lt;/D&gt;&lt;D xsi:type="xsd:long"&gt;44461&lt;/D&gt;&lt;D xsi:type="xsd:long"&gt;44460&lt;/D&gt;&lt;D xsi:type="xsd:long"&gt;44459&lt;/D&gt;&lt;D xsi:type="xsd:long"&gt;44456&lt;/D&gt;&lt;D xsi:type="xsd:long"&gt;44455&lt;/D&gt;&lt;D xsi:type="xsd:long"&gt;44454&lt;/D&gt;&lt;D xsi:type="xsd:long"&gt;44453&lt;/D&gt;&lt;D xsi:type="xsd:long"&gt;44452&lt;/D&gt;&lt;D xsi:type="xsd:long"&gt;44449&lt;/D&gt;&lt;D xsi:type="xsd:long"&gt;44448&lt;/D&gt;&lt;D xsi:type="xsd:long"&gt;44447&lt;/D&gt;&lt;D xsi:type="xsd:long"&gt;44446&lt;/D&gt;&lt;D xsi:type="xsd:long"&gt;44442&lt;/D&gt;&lt;D xsi:type="xsd:long"&gt;44441&lt;/D&gt;&lt;D xsi:type="xsd:long"&gt;44440&lt;/D&gt;&lt;D xsi:type="xsd:long"&gt;44439&lt;/D&gt;&lt;D xsi:type="xsd:long"&gt;44438&lt;/D&gt;&lt;D xsi:type="xsd:long"&gt;44435&lt;/D&gt;&lt;D xsi:type="xsd:long"&gt;44434&lt;/D&gt;&lt;D xsi:type="xsd:long"&gt;44433&lt;/D&gt;&lt;D xsi:type="xsd:long"&gt;44432&lt;/D&gt;&lt;D xsi:type="xsd:long"&gt;44431&lt;/D&gt;&lt;D xsi:type="xsd:long"&gt;44428&lt;/D&gt;&lt;D xsi:type="xsd:long"&gt;44427&lt;/D&gt;&lt;D xsi:type="xsd:long"&gt;44426&lt;/D&gt;&lt;D xsi:type="xsd:long"&gt;44425&lt;/D&gt;&lt;D xsi:type="xsd:long"&gt;44424&lt;/D&gt;&lt;D xsi:type="xsd:long"&gt;44421&lt;/D&gt;&lt;D xsi:type="xsd:long"&gt;44420&lt;/D&gt;&lt;D xsi:type="xsd:long"&gt;44419&lt;/D&gt;&lt;D xsi:type="xsd:long"&gt;44418&lt;/D&gt;&lt;D xsi:type="xsd:long"&gt;44417&lt;/D&gt;&lt;D xsi:type="xsd:long"&gt;44414&lt;/D&gt;&lt;D xsi:type="xsd:long"&gt;44413&lt;/D&gt;&lt;D xsi:type="xsd:long"&gt;44412&lt;/D&gt;&lt;D xsi:type="xsd:long"&gt;44411&lt;/D&gt;&lt;D xsi:type="xsd:long"&gt;44410&lt;/D&gt;&lt;D xsi:type="xsd:long"&gt;44407&lt;/D&gt;&lt;D xsi:type="xsd:long"&gt;44406&lt;/D&gt;&lt;D xsi:type="xsd:long"&gt;44405&lt;/D&gt;&lt;D xsi:type="xsd:long"&gt;44404&lt;/D&gt;&lt;D xsi:type="xsd:long"&gt;44403&lt;/D&gt;&lt;D xsi:type="xsd:long"&gt;44400&lt;/D&gt;&lt;D xsi:type="xsd:long"&gt;44399&lt;/D&gt;&lt;D xsi:type="xsd:long"&gt;44398&lt;/D&gt;&lt;D xsi:type="xsd:long"&gt;44397&lt;/D&gt;&lt;D xsi:type="xsd:long"&gt;44396&lt;/D&gt;&lt;D xsi:type="xsd:long"&gt;44393&lt;/D&gt;&lt;D xsi:type="xsd:long"&gt;44392&lt;/D&gt;&lt;D xsi:type="xsd:long"&gt;44391&lt;/D&gt;&lt;D xsi:type="xsd:long"&gt;44390&lt;/D&gt;&lt;D xsi:type="xsd:long"&gt;44389&lt;/D&gt;&lt;D xsi:type="xsd:long"&gt;44386&lt;/D&gt;&lt;D xsi:type="xsd:long"&gt;44385&lt;/D&gt;&lt;D xsi:type="xsd:long"&gt;44384&lt;/D&gt;&lt;D xsi:type="xsd:long"&gt;44383&lt;/D&gt;&lt;D xsi:type="xsd:long"&gt;44379&lt;/D&gt;&lt;D xsi:type="xsd:long"&gt;44378&lt;/D&gt;&lt;D xsi:type="xsd:long"&gt;44377&lt;/D&gt;&lt;D xsi:type="xsd:long"&gt;44376&lt;/D&gt;&lt;D xsi:type="xsd:long"&gt;44375&lt;/D&gt;&lt;D xsi:type="xsd:long"&gt;44372&lt;/D&gt;&lt;D xsi:type="xsd:long"&gt;44371&lt;/D&gt;&lt;D xsi:type="xsd:long"&gt;44370&lt;/D&gt;&lt;D xsi:type="xsd:long"&gt;44369&lt;/D&gt;&lt;D xsi:type="xsd:long"&gt;44368&lt;/D&gt;&lt;D xsi:type="xsd:long"&gt;44365&lt;/D&gt;&lt;D xsi:type="xsd:long"&gt;44364&lt;/D&gt;&lt;D xsi:type="xsd:long"&gt;44363&lt;/D&gt;&lt;D xsi:type="xsd:long"&gt;44362&lt;/D&gt;&lt;D xsi:type="xsd:long"&gt;44361&lt;/D&gt;&lt;D xsi:type="xsd:long"&gt;44358&lt;/D&gt;&lt;D xsi:type="xsd:long"&gt;44357&lt;/D&gt;&lt;D xsi:type="xsd:long"&gt;44356&lt;/D&gt;&lt;D xsi:type="xsd:long"&gt;44355&lt;/D&gt;&lt;D xsi:type="xsd:long"&gt;44354&lt;/D&gt;&lt;D xsi:type="xsd:long"&gt;44351&lt;/D&gt;&lt;D xsi:type="xsd:long"&gt;44350&lt;/D&gt;&lt;D xsi:type="xsd:long"&gt;44349&lt;/D&gt;&lt;D xsi:type="xsd:long"&gt;44348&lt;/D&gt;&lt;D xsi:type="xsd:long"&gt;44344&lt;/D&gt;&lt;D xsi:type="xsd:long"&gt;44343&lt;/D&gt;&lt;D xsi:type="xsd:long"&gt;44342&lt;/D&gt;&lt;D xsi:type="xsd:long"&gt;44341&lt;/D&gt;&lt;D xsi:type="xsd:long"&gt;44340&lt;/D&gt;&lt;D xsi:type="xsd:long"&gt;44337&lt;/D&gt;&lt;D xsi:type="xsd:long"&gt;44336&lt;/D&gt;&lt;D xsi:type="xsd:long"&gt;44335&lt;/D&gt;&lt;D xsi:type="xsd:long"&gt;44334&lt;/D&gt;&lt;D xsi:type="xsd:long"&gt;44333&lt;/D&gt;&lt;D xsi:type="xsd:long"&gt;44330&lt;/D&gt;&lt;D xsi:type="xsd:long"&gt;44329&lt;/D&gt;&lt;D xsi:type="xsd:long"&gt;44328&lt;/D&gt;&lt;D xsi:type="xsd:long"&gt;44327&lt;/D&gt;&lt;D xsi:type="xsd:long"&gt;44326&lt;/D&gt;&lt;D xsi:type="xsd:long"&gt;44323&lt;/D&gt;&lt;D xsi:type="xsd:long"&gt;44322&lt;/D&gt;&lt;D xsi:type="xsd:long"&gt;44321&lt;/D&gt;&lt;D xsi:type="xsd:long"&gt;44320&lt;/D&gt;&lt;D xsi:type="xsd:long"&gt;44319&lt;/D&gt;&lt;D xsi:type="xsd:long"&gt;44316&lt;/D&gt;&lt;D xsi:type="xsd:long"&gt;44315&lt;/D&gt;&lt;D xsi:type="xsd:long"&gt;44314&lt;/D&gt;&lt;D xsi:type="xsd:long"&gt;44313&lt;/D&gt;&lt;D xsi:type="xsd:long"&gt;44312&lt;/D&gt;&lt;D xsi:type="xsd:long"&gt;44309&lt;/D&gt;&lt;D xsi:type="xsd:long"&gt;44308&lt;/D&gt;&lt;D xsi:type="xsd:long"&gt;44307&lt;/D&gt;&lt;D xsi:type="xsd:long"&gt;44306&lt;/D&gt;&lt;D xsi:type="xsd:long"&gt;44305&lt;/D&gt;&lt;D xsi:type="xsd:long"&gt;44302&lt;/D&gt;&lt;D xsi:type="xsd:long"&gt;44301&lt;/D&gt;&lt;D xsi:type="xsd:long"&gt;44300&lt;/D&gt;&lt;D xsi:type="xsd:long"&gt;44299&lt;/D&gt;&lt;D xsi:type="xsd:long"&gt;44298&lt;/D&gt;&lt;D xsi:type="xsd:long"&gt;44295&lt;/D&gt;&lt;D xsi:type="xsd:long"&gt;44294&lt;/D&gt;&lt;D xsi:type="xsd:long"&gt;44293&lt;/D&gt;&lt;D xsi:type="xsd:long"&gt;44292&lt;/D&gt;&lt;D xsi:type="xsd:long"&gt;44291&lt;/D&gt;&lt;D xsi:type="xsd:long"&gt;44287&lt;/D&gt;&lt;D xsi:type="xsd:long"&gt;44286&lt;/D&gt;&lt;D xsi:type="xsd:long"&gt;44285&lt;/D&gt;&lt;D xsi:type="xsd:long"&gt;44284&lt;/D&gt;&lt;D xsi:type="xsd:long"&gt;44281&lt;/D&gt;&lt;D xsi:type="xsd:long"&gt;44280&lt;/D&gt;&lt;D xsi:type="xsd:long"&gt;44279&lt;/D&gt;&lt;D xsi:type="xsd:long"&gt;44278&lt;/D&gt;&lt;D xsi:type="xsd:long"&gt;44277&lt;/D&gt;&lt;D xsi:type="xsd:long"&gt;44274&lt;/D&gt;&lt;D xsi:type="xsd:long"&gt;44273&lt;/D&gt;&lt;D xsi:type="xsd:long"&gt;44272&lt;/D&gt;&lt;D xsi:type="xsd:long"&gt;44271&lt;/D&gt;&lt;D xsi:type="xsd:long"&gt;44270&lt;/D&gt;&lt;D xsi:type="xsd:long"&gt;44267&lt;/D&gt;&lt;D xsi:type="xsd:long"&gt;44266&lt;/D&gt;&lt;D xsi:type="xsd:long"&gt;44265&lt;/D&gt;&lt;D xsi:type="xsd:long"&gt;44264&lt;/D&gt;&lt;D xsi:type="xsd:long"&gt;44263&lt;/D&gt;&lt;D xsi:type="xsd:long"&gt;44260&lt;/D&gt;&lt;D xsi:type="xsd:long"&gt;44259&lt;/D&gt;&lt;D xsi:type="xsd:long"&gt;44258&lt;/D&gt;&lt;D xsi:type="xsd:long"&gt;44257&lt;/D&gt;&lt;D xsi:type="xsd:long"&gt;44256&lt;/D&gt;&lt;D xsi:type="xsd:long"&gt;44253&lt;/D&gt;&lt;D xsi:type="xsd:long"&gt;44252&lt;/D&gt;&lt;D xsi:type="xsd:long"&gt;44251&lt;/D&gt;&lt;D xsi:type="xsd:long"&gt;44250&lt;/D&gt;&lt;D xsi:type="xsd:long"&gt;44249&lt;/D&gt;&lt;D xsi:type="xsd:long"&gt;44246&lt;/D&gt;&lt;D xsi:type="xsd:long"&gt;44245&lt;/D&gt;&lt;D xsi:type="xsd:long"&gt;44244&lt;/D&gt;&lt;D xsi:type="xsd:long"&gt;44243&lt;/D&gt;&lt;D xsi:type="xsd:long"&gt;44239&lt;/D&gt;&lt;D xsi:type="xsd:long"&gt;44238&lt;/D&gt;&lt;D xsi:type="xsd:long"&gt;44237&lt;/D&gt;&lt;D xsi:type="xsd:long"&gt;44236&lt;/D&gt;&lt;D xsi:type="xsd:long"&gt;44235&lt;/D&gt;&lt;D xsi:type="xsd:long"&gt;44232&lt;/D&gt;&lt;D xsi:type="xsd:long"&gt;44231&lt;/D&gt;&lt;D xsi:type="xsd:long"&gt;44230&lt;/D&gt;&lt;D xsi:type="xsd:long"&gt;44229&lt;/D&gt;&lt;D xsi:type="xsd:long"&gt;44228&lt;/D&gt;&lt;D xsi:type="xsd:long"&gt;44225&lt;/D&gt;&lt;D xsi:type="xsd:long"&gt;44224&lt;/D&gt;&lt;D xsi:type="xsd:long"&gt;44223&lt;/D&gt;&lt;D xsi:type="xsd:long"&gt;44222&lt;/D&gt;&lt;D xsi:type="xsd:long"&gt;44221&lt;/D&gt;&lt;D xsi:type="xsd:long"&gt;44218&lt;/D&gt;&lt;D xsi:type="xsd:long"&gt;44217&lt;/D&gt;&lt;D xsi:type="xsd:long"&gt;44216&lt;/D&gt;&lt;D xsi:type="xsd:long"&gt;44215&lt;/D&gt;&lt;D xsi:type="xsd:long"&gt;44211&lt;/D&gt;&lt;D xsi:type="xsd:long"&gt;44210&lt;/D&gt;&lt;D xsi:type="xsd:long"&gt;44209&lt;/D&gt;&lt;D xsi:type="xsd:long"&gt;44208&lt;/D&gt;&lt;D xsi:type="xsd:long"&gt;44207&lt;/D&gt;&lt;D xsi:type="xsd:long"&gt;44204&lt;/D&gt;&lt;D xsi:type="xsd:long"&gt;44203&lt;/D&gt;&lt;D xsi:type="xsd:long"&gt;44202&lt;/D&gt;&lt;D xsi:type="xsd:long"&gt;44201&lt;/D&gt;&lt;D xsi:type="xsd:long"&gt;44200&lt;/D&gt;&lt;D xsi:type="xsd:long"&gt;44196&lt;/D&gt;&lt;D xsi:type="xsd:long"&gt;44195&lt;/D&gt;&lt;D xsi:type="xsd:long"&gt;44194&lt;/D&gt;&lt;D xsi:type="xsd:long"&gt;44193&lt;/D&gt;&lt;D xsi:type="xsd:long"&gt;44189&lt;/D&gt;&lt;D xsi:type="xsd:long"&gt;44188&lt;/D&gt;&lt;D xsi:type="xsd:long"&gt;44187&lt;/D&gt;&lt;D xsi:type="xsd:long"&gt;44186&lt;/D&gt;&lt;D xsi:type="xsd:long"&gt;44183&lt;/D&gt;&lt;D xsi:type="xsd:long"&gt;44182&lt;/D&gt;&lt;D xsi:type="xsd:long"&gt;44181&lt;/D&gt;&lt;D xsi:type="xsd:long"&gt;44180&lt;/D&gt;&lt;D xsi:type="xsd:long"&gt;44179&lt;/D&gt;&lt;D xsi:type="xsd:long"&gt;44176&lt;/D&gt;&lt;D xsi:type="xsd:long"&gt;44175&lt;/D&gt;&lt;D xsi:type="xsd:long"&gt;44174&lt;/D&gt;&lt;D xsi:type="xsd:long"&gt;44173&lt;/D&gt;&lt;D xsi:type="xsd:long"&gt;44172&lt;/D&gt;&lt;D xsi:type="xsd:long"&gt;44169&lt;/D&gt;&lt;D xsi:type="xsd:long"&gt;44168&lt;/D&gt;&lt;D xsi:type="xsd:long"&gt;44167&lt;/D&gt;&lt;D xsi:type="xsd:long"&gt;44166&lt;/D&gt;&lt;D xsi:type="xsd:long"&gt;44165&lt;/D&gt;&lt;D xsi:type="xsd:long"&gt;44162&lt;/D&gt;&lt;D xsi:type="xsd:long"&gt;44160&lt;/D&gt;&lt;D xsi:type="xsd:long"&gt;44159&lt;/D&gt;&lt;D xsi:type="xsd:long"&gt;44158&lt;/D&gt;&lt;D xsi:type="xsd:long"&gt;44155&lt;/D&gt;&lt;D xsi:type="xsd:long"&gt;44154&lt;/D&gt;&lt;D xsi:type="xsd:long"&gt;44153&lt;/D&gt;&lt;D xsi:type="xsd:long"&gt;44152&lt;/D&gt;&lt;D xsi:type="xsd:long"&gt;44151&lt;/D&gt;&lt;D xsi:type="xsd:long"&gt;44148&lt;/D&gt;&lt;D xsi:type="xsd:long"&gt;44147&lt;/D&gt;&lt;D xsi:type="xsd:long"&gt;44146&lt;/D&gt;&lt;D xsi:type="xsd:long"&gt;44145&lt;/D&gt;&lt;D xsi:type="xsd:long"&gt;44144&lt;/D&gt;&lt;D xsi:type="xsd:long"&gt;44141&lt;/D&gt;&lt;D xsi:type="xsd:long"&gt;44140&lt;/D&gt;&lt;D xsi:type="xsd:long"&gt;44139&lt;/D&gt;&lt;D xsi:type="xsd:long"&gt;44138&lt;/D&gt;&lt;D xsi:type="xsd:long"&gt;44137&lt;/D&gt;&lt;D xsi:type="xsd:long"&gt;44134&lt;/D&gt;&lt;D xsi:type="xsd:long"&gt;44133&lt;/D&gt;&lt;D xsi:type="xsd:long"&gt;44132&lt;/D&gt;&lt;D xsi:type="xsd:long"&gt;44131&lt;/D&gt;&lt;D xsi:type="xsd:long"&gt;44130&lt;/D&gt;&lt;D xsi:type="xsd:long"&gt;44127&lt;/D&gt;&lt;D xsi:type="xsd:long"&gt;44126&lt;/D&gt;&lt;D xsi:type="xsd:long"&gt;44125&lt;/D&gt;&lt;D xsi:type="xsd:long"&gt;44124&lt;/D&gt;&lt;D xsi:type="xsd:long"&gt;44123&lt;/D&gt;&lt;D xsi:type="xsd:long"&gt;44120&lt;/D&gt;&lt;D xsi:type="xsd:long"&gt;44119&lt;/D&gt;&lt;D xsi:type="xsd:long"&gt;44118&lt;/D&gt;&lt;D xsi:type="xsd:long"&gt;44117&lt;/D&gt;&lt;D xsi:type="xsd:long"&gt;44116&lt;/D&gt;&lt;D xsi:type="xsd:long"&gt;44113&lt;/D&gt;&lt;D xsi:type="xsd:long"&gt;44112&lt;/D&gt;&lt;D xsi:type="xsd:long"&gt;44111&lt;/D&gt;&lt;D xsi:type="xsd:long"&gt;44110&lt;/D&gt;&lt;D xsi:type="xsd:long"&gt;44109&lt;/D&gt;&lt;D xsi:type="xsd:long"&gt;44106&lt;/D&gt;&lt;D xsi:type="xsd:long"&gt;44105&lt;/D&gt;&lt;D xsi:type="xsd:long"&gt;44104&lt;/D&gt;&lt;D xsi:type="xsd:long"&gt;44103&lt;/D&gt;&lt;D xsi:type="xsd:long"&gt;44102&lt;/D&gt;&lt;D xsi:type="xsd:long"&gt;44099&lt;/D&gt;&lt;D xsi:type="xsd:long"&gt;44098&lt;/D&gt;&lt;D xsi:type="xsd:long"&gt;44097&lt;/D&gt;&lt;D xsi:type="xsd:long"&gt;44096&lt;/D&gt;&lt;D xsi:type="xsd:long"&gt;44095&lt;/D&gt;&lt;D xsi:type="xsd:long"&gt;44092&lt;/D&gt;&lt;D xsi:type="xsd:long"&gt;44091&lt;/D&gt;&lt;D xsi:type="xsd:long"&gt;44090&lt;/D&gt;&lt;D xsi:type="xsd:long"&gt;44089&lt;/D&gt;&lt;D xsi:type="xsd:long"&gt;44088&lt;/D&gt;&lt;D xsi:type="xsd:long"&gt;44085&lt;/D&gt;&lt;D xsi:type="xsd:long"&gt;44084&lt;/D&gt;&lt;D xsi:type="xsd:long"&gt;44083&lt;/D&gt;&lt;D xsi:type="xsd:long"&gt;44082&lt;/D&gt;&lt;D xsi:type="xsd:long"&gt;44078&lt;/D&gt;&lt;D xsi:type="xsd:long"&gt;44077&lt;/D&gt;&lt;D xsi:type="xsd:long"&gt;44076&lt;/D&gt;&lt;D xsi:type="xsd:long"&gt;44075&lt;/D&gt;&lt;D xsi:type="xsd:long"&gt;44074&lt;/D&gt;&lt;D xsi:type="xsd:long"&gt;44071&lt;/D&gt;&lt;D xsi:type="xsd:long"&gt;44070&lt;/D&gt;&lt;D xsi:type="xsd:long"&gt;44069&lt;/D&gt;&lt;D xsi:type="xsd:long"&gt;44068&lt;/D&gt;&lt;D xsi:type="xsd:long"&gt;44067&lt;/D&gt;&lt;D xsi:type="xsd:long"&gt;44064&lt;/D&gt;&lt;D xsi:type="xsd:long"&gt;44063&lt;/D&gt;&lt;D xsi:type="xsd:long"&gt;44062&lt;/D&gt;&lt;D xsi:type="xsd:long"&gt;44061&lt;/D&gt;&lt;D xsi:type="xsd:long"&gt;44060&lt;/D&gt;&lt;D xsi:type="xsd:long"&gt;44057&lt;/D&gt;&lt;D xsi:type="xsd:long"&gt;44056&lt;/D&gt;&lt;D xsi:type="xsd:long"&gt;44055&lt;/D&gt;&lt;D xsi:type="xsd:long"&gt;44054&lt;/D&gt;&lt;D xsi:type="xsd:long"&gt;44053&lt;/D&gt;&lt;D xsi:type="xsd:long"&gt;44050&lt;/D&gt;&lt;D xsi:type="xsd:long"&gt;44049&lt;/D&gt;&lt;D xsi:type="xsd:long"&gt;44048&lt;/D&gt;&lt;D xsi:type="xsd:long"&gt;44047&lt;/D&gt;&lt;D xsi:type="xsd:long"&gt;44046&lt;/D&gt;&lt;D xsi:type="xsd:long"&gt;44043&lt;/D&gt;&lt;D xsi:type="xsd:long"&gt;44042&lt;/D&gt;&lt;D xsi:type="xsd:long"&gt;44041&lt;/D&gt;&lt;D xsi:type="xsd:long"&gt;44040&lt;/D&gt;&lt;D xsi:type="xsd:long"&gt;44039&lt;/D&gt;&lt;D xsi:type="xsd:long"&gt;44036&lt;/D&gt;&lt;D xsi:type="xsd:long"&gt;44035&lt;/D&gt;&lt;D xsi:type="xsd:long"&gt;44034&lt;/D&gt;&lt;D xsi:type="xsd:long"&gt;44033&lt;/D&gt;&lt;D xsi:type="xsd:long"&gt;44032&lt;/D&gt;&lt;D xsi:type="xsd:long"&gt;44029&lt;/D&gt;&lt;D xsi:type="xsd:long"&gt;44028&lt;/D&gt;&lt;D xsi:type="xsd:long"&gt;44027&lt;/D&gt;&lt;D xsi:type="xsd:long"&gt;44026&lt;/D&gt;&lt;D xsi:type="xsd:long"&gt;44025&lt;/D&gt;&lt;D xsi:type="xsd:long"&gt;44022&lt;/D&gt;&lt;D xsi:type="xsd:long"&gt;44021&lt;/D&gt;&lt;D xsi:type="xsd:long"&gt;44020&lt;/D&gt;&lt;D xsi:type="xsd:long"&gt;44019&lt;/D&gt;&lt;D xsi:type="xsd:long"&gt;44018&lt;/D&gt;&lt;D xsi:type="xsd:long"&gt;44014&lt;/D&gt;&lt;D xsi:type="xsd:long"&gt;44013&lt;/D&gt;&lt;D xsi:type="xsd:long"&gt;44012&lt;/D&gt;&lt;D xsi:type="xsd:long"&gt;44011&lt;/D&gt;&lt;D xsi:type="xsd:long"&gt;44008&lt;/D&gt;&lt;D xsi:type="xsd:long"&gt;44007&lt;/D&gt;&lt;D xsi:type="xsd:long"&gt;44006&lt;/D&gt;&lt;D xsi:type="xsd:long"&gt;44005&lt;/D&gt;&lt;D xsi:type="xsd:long"&gt;44004&lt;/D&gt;&lt;D xsi:type="xsd:long"&gt;44001&lt;/D&gt;&lt;D xsi:type="xsd:long"&gt;44000&lt;/D&gt;&lt;D xsi:type="xsd:long"&gt;43999&lt;/D&gt;&lt;D xsi:type="xsd:long"&gt;43998&lt;/D&gt;&lt;D xsi:type="xsd:long"&gt;43997&lt;/D&gt;&lt;D xsi:type="xsd:long"&gt;43994&lt;/D&gt;&lt;D xsi:type="xsd:long"&gt;43993&lt;/D&gt;&lt;D xsi:type="xsd:long"&gt;43992&lt;/D&gt;&lt;D xsi:type="xsd:long"&gt;43991&lt;/D&gt;&lt;D xsi:type="xsd:long"&gt;43990&lt;/D&gt;&lt;D xsi:type="xsd:long"&gt;43987&lt;/D&gt;&lt;D xsi:type="xsd:long"&gt;43986&lt;/D&gt;&lt;D xsi:type="xsd:long"&gt;43985&lt;/D&gt;&lt;D xsi:type="xsd:long"&gt;43984&lt;/D&gt;&lt;D xsi:type="xsd:long"&gt;43983&lt;/D&gt;&lt;D xsi:type="xsd:long"&gt;43980&lt;/D&gt;&lt;D xsi:type="xsd:long"&gt;43979&lt;/D&gt;&lt;D xsi:type="xsd:long"&gt;43978&lt;/D&gt;&lt;D xsi:type="xsd:long"&gt;43977&lt;/D&gt;&lt;D xsi:type="xsd:long"&gt;43973&lt;/D&gt;&lt;D xsi:type="xsd:long"&gt;43972&lt;/D&gt;&lt;D xsi:type="xsd:long"&gt;43971&lt;/D&gt;&lt;D xsi:type="xsd:long"&gt;43970&lt;/D&gt;&lt;D xsi:type="xsd:long"&gt;43969&lt;/D&gt;&lt;D xsi:type="xsd:long"&gt;43966&lt;/D&gt;&lt;D xsi:type="xsd:long"&gt;43965&lt;/D&gt;&lt;D xsi:type="xsd:long"&gt;43964&lt;/D&gt;&lt;D xsi:type="xsd:long"&gt;43963&lt;/D&gt;&lt;D xsi:type="xsd:long"&gt;43962&lt;/D&gt;&lt;D xsi:type="xsd:long"&gt;43959&lt;/D&gt;&lt;D xsi:type="xsd:long"&gt;43958&lt;/D&gt;&lt;D xsi:type="xsd:long"&gt;43957&lt;/D&gt;&lt;D xsi:type="xsd:long"&gt;43956&lt;/D&gt;&lt;D xsi:type="xsd:long"&gt;43955&lt;/D&gt;&lt;D xsi:type="xsd:long"&gt;43952&lt;/D&gt;&lt;D xsi:type="xsd:long"&gt;43951&lt;/D&gt;&lt;D xsi:type="xsd:long"&gt;43950&lt;/D&gt;&lt;D xsi:type="xsd:long"&gt;43949&lt;/D&gt;&lt;D xsi:type="xsd:long"&gt;43948&lt;/D&gt;&lt;D xsi:type="xsd:long"&gt;43945&lt;/D&gt;&lt;D xsi:type="xsd:long"&gt;43944&lt;/D&gt;&lt;D xsi:type="xsd:long"&gt;43943&lt;/D&gt;&lt;D xsi:type="xsd:long"&gt;43942&lt;/D&gt;&lt;D xsi:type="xsd:long"&gt;43941&lt;/D&gt;&lt;D xsi:type="xsd:long"&gt;43938&lt;/D&gt;&lt;D xsi:type="xsd:long"&gt;43937&lt;/D&gt;&lt;D xsi:type="xsd:long"&gt;43936&lt;/D&gt;&lt;D xsi:type="xsd:long"&gt;43935&lt;/D&gt;&lt;D xsi:type="xsd:long"&gt;43934&lt;/D&gt;&lt;D xsi:type="xsd:long"&gt;43930&lt;/D&gt;&lt;D xsi:type="xsd:long"&gt;43929&lt;/D&gt;&lt;D xsi:type="xsd:long"&gt;43928&lt;/D&gt;&lt;D xsi:type="xsd:long"&gt;43927&lt;/D&gt;&lt;D xsi:type="xsd:long"&gt;43924&lt;/D&gt;&lt;D xsi:type="xsd:long"&gt;43923&lt;/D&gt;&lt;D xsi:type="xsd:long"&gt;43922&lt;/D&gt;&lt;D xsi:type="xsd:long"&gt;43921&lt;/D&gt;&lt;D xsi:type="xsd:long"&gt;43920&lt;/D&gt;&lt;D xsi:type="xsd:long"&gt;43917&lt;/D&gt;&lt;D xsi:type="xsd:long"&gt;43916&lt;/D&gt;&lt;D xsi:type="xsd:long"&gt;43915&lt;/D&gt;&lt;D xsi:type="xsd:long"&gt;43914&lt;/D&gt;&lt;D xsi:type="xsd:long"&gt;43913&lt;/D&gt;&lt;D xsi:type="xsd:long"&gt;43910&lt;/D&gt;&lt;D xsi:type="xsd:long"&gt;43909&lt;/D&gt;&lt;D xsi:type="xsd:long"&gt;43908&lt;/D&gt;&lt;D xsi:type="xsd:long"&gt;43907&lt;/D&gt;&lt;D xsi:type="xsd:long"&gt;43906&lt;/D&gt;&lt;D xsi:type="xsd:long"&gt;43903&lt;/D&gt;&lt;D xsi:type="xsd:long"&gt;43902&lt;/D&gt;&lt;D xsi:type="xsd:long"&gt;43901&lt;/D&gt;&lt;D xsi:type="xsd:long"&gt;43900&lt;/D&gt;&lt;D xsi:type="xsd:long"&gt;43899&lt;/D&gt;&lt;D xsi:type="xsd:long"&gt;43896&lt;/D&gt;&lt;D xsi:type="xsd:long"&gt;43895&lt;/D&gt;&lt;D xsi:type="xsd:long"&gt;43894&lt;/D&gt;&lt;D xsi:type="xsd:long"&gt;43893&lt;/D&gt;&lt;D xsi:type="xsd:long"&gt;43892&lt;/D&gt;&lt;D xsi:type="xsd:long"&gt;43889&lt;/D&gt;&lt;D xsi:type="xsd:long"&gt;43888&lt;/D&gt;&lt;D xsi:type="xsd:long"&gt;43887&lt;/D&gt;&lt;D xsi:type="xsd:long"&gt;43886&lt;/D&gt;&lt;D xsi:type="xsd:long"&gt;43885&lt;/D&gt;&lt;D xsi:type="xsd:long"&gt;43882&lt;/D&gt;&lt;D xsi:type="xsd:long"&gt;43881&lt;/D&gt;&lt;D xsi:type="xsd:long"&gt;43880&lt;/D&gt;&lt;D xsi:type="xsd:long"&gt;43879&lt;/D&gt;&lt;D xsi:type="xsd:long"&gt;43875&lt;/D&gt;&lt;D xsi:type="xsd:long"&gt;43874&lt;/D&gt;&lt;D xsi:type="xsd:long"&gt;43873&lt;/D&gt;&lt;D xsi:type="xsd:long"&gt;43872&lt;/D&gt;&lt;D xsi:type="xsd:long"&gt;43871&lt;/D&gt;&lt;D xsi:type="xsd:long"&gt;43868&lt;/D&gt;&lt;D xsi:type="xsd:long"&gt;43867&lt;/D&gt;&lt;D xsi:type="xsd:long"&gt;43866&lt;/D&gt;&lt;D xsi:type="xsd:long"&gt;43865&lt;/D&gt;&lt;D xsi:type="xsd:long"&gt;43864&lt;/D&gt;&lt;D xsi:type="xsd:long"&gt;43861&lt;/D&gt;&lt;D xsi:type="xsd:long"&gt;43860&lt;/D&gt;&lt;D xsi:type="xsd:long"&gt;43859&lt;/D&gt;&lt;D xsi:type="xsd:long"&gt;43858&lt;/D&gt;&lt;D xsi:type="xsd:long"&gt;43857&lt;/D&gt;&lt;D xsi:type="xsd:long"&gt;43854&lt;/D&gt;&lt;D xsi:type="xsd:long"&gt;43853&lt;/D&gt;&lt;D xsi:type="xsd:long"&gt;43852&lt;/D&gt;&lt;D xsi:type="xsd:long"&gt;43851&lt;/D&gt;&lt;D xsi:type="xsd:long"&gt;43847&lt;/D&gt;&lt;D xsi:type="xsd:long"&gt;43846&lt;/D&gt;&lt;D xsi:type="xsd:long"&gt;43845&lt;/D&gt;&lt;D xsi:type="xsd:long"&gt;43844&lt;/D&gt;&lt;D xsi:type="xsd:long"&gt;43843&lt;/D&gt;&lt;D xsi:type="xsd:long"&gt;43840&lt;/D&gt;&lt;D xsi:type="xsd:long"&gt;43839&lt;/D&gt;&lt;D xsi:type="xsd:long"&gt;43838&lt;/D&gt;&lt;D xsi:type="xsd:long"&gt;43837&lt;/D&gt;&lt;D xsi:type="xsd:long"&gt;43836&lt;/D&gt;&lt;D xsi:type="xsd:long"&gt;43833&lt;/D&gt;&lt;D xsi:type="xsd:long"&gt;43832&lt;/D&gt;&lt;D xsi:type="xsd:long"&gt;43830&lt;/D&gt;&lt;D xsi:type="xsd:long"&gt;43829&lt;/D&gt;&lt;D xsi:type="xsd:long"&gt;43826&lt;/D&gt;&lt;D xsi:type="xsd:long"&gt;43825&lt;/D&gt;&lt;D xsi:type="xsd:long"&gt;43823&lt;/D&gt;&lt;D xsi:type="xsd:long"&gt;43822&lt;/D&gt;&lt;D xsi:type="xsd:long"&gt;43819&lt;/D&gt;&lt;D xsi:type="xsd:long"&gt;43818&lt;/D&gt;&lt;D xsi:type="xsd:long"&gt;43817&lt;/D&gt;&lt;D xsi:type="xsd:long"&gt;43816&lt;/D&gt;&lt;D xsi:type="xsd:long"&gt;43815&lt;/D&gt;&lt;D xsi:type="xsd:long"&gt;43812&lt;/D&gt;&lt;D xsi:type="xsd:long"&gt;43811&lt;/D&gt;&lt;D xsi:type="xsd:long"&gt;43810&lt;/D&gt;&lt;D xsi:type="xsd:long"&gt;43809&lt;/D&gt;&lt;D xsi:type="xsd:long"&gt;43808&lt;/D&gt;&lt;D xsi:type="xsd:long"&gt;43805&lt;/D&gt;&lt;D xsi:type="xsd:long"&gt;43804&lt;/D&gt;&lt;D xsi:type="xsd:long"&gt;43803&lt;/D&gt;&lt;D xsi:type="xsd:long"&gt;43802&lt;/D&gt;&lt;D xsi:type="xsd:long"&gt;43801&lt;/D&gt;&lt;D xsi:type="xsd:long"&gt;43798&lt;/D&gt;&lt;D xsi:type="xsd:long"&gt;43796&lt;/D&gt;&lt;D xsi:type="xsd:long"&gt;43795&lt;/D&gt;&lt;D xsi:type="xsd:long"&gt;43794&lt;/D&gt;&lt;D xsi:type="xsd:long"&gt;43791&lt;/D&gt;&lt;D xsi:type="xsd:long"&gt;43790&lt;/D&gt;&lt;D xsi:type="xsd:long"&gt;43789&lt;/D&gt;&lt;D xsi:type="xsd:long"&gt;43788&lt;/D&gt;&lt;D xsi:type="xsd:long"&gt;43787&lt;/D&gt;&lt;D xsi:type="xsd:long"&gt;43784&lt;/D&gt;&lt;D xsi:type="xsd:long"&gt;43783&lt;/D&gt;&lt;D xsi:type="xsd:long"&gt;43782&lt;/D&gt;&lt;D xsi:type="xsd:long"&gt;43781&lt;/D&gt;&lt;D xsi:type="xsd:long"&gt;43780&lt;/D&gt;&lt;D xsi:type="xsd:long"&gt;43777&lt;/D&gt;&lt;D xsi:type="xsd:long"&gt;43776&lt;/D&gt;&lt;D xsi:type="xsd:long"&gt;43775&lt;/D&gt;&lt;D xsi:type="xsd:long"&gt;43774&lt;/D&gt;&lt;D xsi:type="xsd:long"&gt;43773&lt;/D&gt;&lt;D xsi:type="xsd:long"&gt;43770&lt;/D&gt;&lt;D xsi:type="xsd:long"&gt;43769&lt;/D&gt;&lt;D xsi:type="xsd:long"&gt;43768&lt;/D&gt;&lt;D xsi:type="xsd:long"&gt;43767&lt;/D&gt;&lt;D xsi:type="xsd:long"&gt;43766&lt;/D&gt;&lt;D xsi:type="xsd:long"&gt;43763&lt;/D&gt;&lt;D xsi:type="xsd:long"&gt;43762&lt;/D&gt;&lt;D xsi:type="xsd:long"&gt;43761&lt;/D&gt;&lt;D xsi:type="xsd:long"&gt;43760&lt;/D&gt;&lt;D xsi:type="xsd:long"&gt;43759&lt;/D&gt;&lt;D xsi:type="xsd:long"&gt;43756&lt;/D&gt;&lt;D xsi:type="xsd:long"&gt;43755&lt;/D&gt;&lt;D xsi:type="xsd:long"&gt;43754&lt;/D&gt;&lt;D xsi:type="xsd:long"&gt;43753&lt;/D&gt;&lt;D xsi:type="xsd:long"&gt;43752&lt;/D&gt;&lt;D xsi:type="xsd:long"&gt;43749&lt;/D&gt;&lt;D xsi:type="xsd:long"&gt;43748&lt;/D&gt;&lt;D xsi:type="xsd:long"&gt;43747&lt;/D&gt;&lt;D xsi:type="xsd:long"&gt;43746&lt;/D&gt;&lt;D xsi:type="xsd:long"&gt;43745&lt;/D&gt;&lt;D xsi:type="xsd:long"&gt;43742&lt;/D&gt;&lt;D</t>
        </r>
      </text>
    </comment>
    <comment ref="A25" authorId="0" shapeId="0">
      <text>
        <r>
          <rPr>
            <b/>
            <sz val="9"/>
            <color indexed="81"/>
            <rFont val="Tahoma"/>
            <family val="2"/>
          </rPr>
          <t xml:space="preserve"> xsi:type="xsd:long"&gt;43741&lt;/D&gt;&lt;D xsi:type="xsd:long"&gt;43740&lt;/D&gt;&lt;D xsi:type="xsd:long"&gt;43739&lt;/D&gt;&lt;D xsi:type="xsd:long"&gt;43738&lt;/D&gt;&lt;D xsi:type="xsd:long"&gt;43735&lt;/D&gt;&lt;D xsi:type="xsd:long"&gt;43734&lt;/D&gt;&lt;D xsi:type="xsd:long"&gt;43733&lt;/D&gt;&lt;D xsi:type="xsd:long"&gt;43732&lt;/D&gt;&lt;D xsi:type="xsd:long"&gt;43731&lt;/D&gt;&lt;D xsi:type="xsd:long"&gt;43728&lt;/D&gt;&lt;D xsi:type="xsd:long"&gt;43727&lt;/D&gt;&lt;D xsi:type="xsd:long"&gt;43726&lt;/D&gt;&lt;D xsi:type="xsd:long"&gt;43725&lt;/D&gt;&lt;D xsi:type="xsd:long"&gt;43724&lt;/D&gt;&lt;D xsi:type="xsd:long"&gt;43721&lt;/D&gt;&lt;D xsi:type="xsd:long"&gt;43720&lt;/D&gt;&lt;D xsi:type="xsd:long"&gt;43719&lt;/D&gt;&lt;D xsi:type="xsd:long"&gt;43718&lt;/D&gt;&lt;D xsi:type="xsd:long"&gt;43717&lt;/D&gt;&lt;D xsi:type="xsd:long"&gt;43714&lt;/D&gt;&lt;D xsi:type="xsd:long"&gt;43713&lt;/D&gt;&lt;D xsi:type="xsd:long"&gt;43712&lt;/D&gt;&lt;D xsi:type="xsd:long"&gt;43711&lt;/D&gt;&lt;D xsi:type="xsd:long"&gt;43707&lt;/D&gt;&lt;D xsi:type="xsd:long"&gt;43706&lt;/D&gt;&lt;D xsi:type="xsd:long"&gt;43705&lt;/D&gt;&lt;D xsi:type="xsd:long"&gt;43704&lt;/D&gt;&lt;D xsi:type="xsd:long"&gt;43703&lt;/D&gt;&lt;D xsi:type="xsd:long"&gt;43700&lt;/D&gt;&lt;D xsi:type="xsd:long"&gt;43699&lt;/D&gt;&lt;D xsi:type="xsd:long"&gt;43698&lt;/D&gt;&lt;D xsi:type="xsd:long"&gt;43697&lt;/D&gt;&lt;D xsi:type="xsd:long"&gt;43696&lt;/D&gt;&lt;D xsi:type="xsd:long"&gt;43693&lt;/D&gt;&lt;D xsi:type="xsd:long"&gt;43692&lt;/D&gt;&lt;D xsi:type="xsd:long"&gt;43691&lt;/D&gt;&lt;D xsi:type="xsd:long"&gt;43690&lt;/D&gt;&lt;D xsi:type="xsd:long"&gt;43689&lt;/D&gt;&lt;D xsi:type="xsd:long"&gt;43686&lt;/D&gt;&lt;D xsi:type="xsd:long"&gt;43685&lt;/D&gt;&lt;D xsi:type="xsd:long"&gt;43684&lt;/D&gt;&lt;D xsi:type="xsd:long"&gt;43683&lt;/D&gt;&lt;D xsi:type="xsd:long"&gt;43682&lt;/D&gt;&lt;D xsi:type="xsd:long"&gt;43679&lt;/D&gt;&lt;D xsi:type="xsd:long"&gt;43678&lt;/D&gt;&lt;D xsi:type="xsd:long"&gt;43677&lt;/D&gt;&lt;D xsi:type="xsd:long"&gt;43676&lt;/D&gt;&lt;D xsi:type="xsd:long"&gt;43675&lt;/D&gt;&lt;D xsi:type="xsd:long"&gt;43672&lt;/D&gt;&lt;D xsi:type="xsd:long"&gt;43671&lt;/D&gt;&lt;D xsi:type="xsd:long"&gt;43670&lt;/D&gt;&lt;D xsi:type="xsd:long"&gt;43669&lt;/D&gt;&lt;D xsi:type="xsd:long"&gt;43668&lt;/D&gt;&lt;D xsi:type="xsd:long"&gt;43665&lt;/D&gt;&lt;D xsi:type="xsd:long"&gt;43664&lt;/D&gt;&lt;D xsi:type="xsd:long"&gt;43663&lt;/D&gt;&lt;D xsi:type="xsd:long"&gt;43662&lt;/D&gt;&lt;D xsi:type="xsd:long"&gt;43661&lt;/D&gt;&lt;D xsi:type="xsd:long"&gt;43658&lt;/D&gt;&lt;D xsi:type="xsd:long"&gt;43657&lt;/D&gt;&lt;D xsi:type="xsd:long"&gt;43656&lt;/D&gt;&lt;D xsi:type="xsd:long"&gt;43655&lt;/D&gt;&lt;D xsi:type="xsd:long"&gt;43654&lt;/D&gt;&lt;D xsi:type="xsd:long"&gt;43651&lt;/D&gt;&lt;D xsi:type="xsd:long"&gt;43649&lt;/D&gt;&lt;D xsi:type="xsd:long"&gt;43648&lt;/D&gt;&lt;D xsi:type="xsd:long"&gt;43647&lt;/D&gt;&lt;D xsi:type="xsd:long"&gt;43644&lt;/D&gt;&lt;D xsi:type="xsd:long"&gt;43643&lt;/D&gt;&lt;D xsi:type="xsd:long"&gt;43642&lt;/D&gt;&lt;D xsi:type="xsd:long"&gt;43641&lt;/D&gt;&lt;D xsi:type="xsd:long"&gt;43640&lt;/D&gt;&lt;D xsi:type="xsd:long"&gt;43637&lt;/D&gt;&lt;D xsi:type="xsd:long"&gt;43636&lt;/D&gt;&lt;D xsi:type="xsd:long"&gt;43635&lt;/D&gt;&lt;D xsi:type="xsd:long"&gt;43634&lt;/D&gt;&lt;D xsi:type="xsd:long"&gt;43633&lt;/D&gt;&lt;D xsi:type="xsd:long"&gt;43630&lt;/D&gt;&lt;D xsi:type="xsd:long"&gt;43629&lt;/D&gt;&lt;D xsi:type="xsd:long"&gt;43628&lt;/D&gt;&lt;D xsi:type="xsd:long"&gt;43627&lt;/D&gt;&lt;D xsi:type="xsd:long"&gt;43626&lt;/D&gt;&lt;D xsi:type="xsd:long"&gt;43623&lt;/D&gt;&lt;D xsi:type="xsd:long"&gt;43622&lt;/D&gt;&lt;D xsi:type="xsd:long"&gt;43621&lt;/D&gt;&lt;D xsi:type="xsd:long"&gt;43620&lt;/D&gt;&lt;D xsi:type="xsd:long"&gt;43619&lt;/D&gt;&lt;D xsi:type="xsd:long"&gt;43616&lt;/D&gt;&lt;D xsi:type="xsd:long"&gt;43615&lt;/D&gt;&lt;D xsi:type="xsd:long"&gt;43614&lt;/D&gt;&lt;D xsi:type="xsd:long"&gt;43613&lt;/D&gt;&lt;D xsi:type="xsd:long"&gt;43609&lt;/D&gt;&lt;D xsi:type="xsd:long"&gt;43608&lt;/D&gt;&lt;D xsi:type="xsd:long"&gt;43607&lt;/D&gt;&lt;D xsi:type="xsd:long"&gt;43606&lt;/D&gt;&lt;D xsi:type="xsd:long"&gt;43605&lt;/D&gt;&lt;D xsi:type="xsd:long"&gt;43602&lt;/D&gt;&lt;D xsi:type="xsd:long"&gt;43601&lt;/D&gt;&lt;D xsi:type="xsd:long"&gt;43600&lt;/D&gt;&lt;D xsi:type="xsd:long"&gt;43599&lt;/D&gt;&lt;D xsi:type="xsd:long"&gt;43598&lt;/D&gt;&lt;D xsi:type="xsd:long"&gt;43595&lt;/D&gt;&lt;D xsi:type="xsd:long"&gt;43594&lt;/D&gt;&lt;D xsi:type="xsd:long"&gt;43593&lt;/D&gt;&lt;D xsi:type="xsd:long"&gt;43592&lt;/D&gt;&lt;D xsi:type="xsd:long"&gt;43591&lt;/D&gt;&lt;D xsi:type="xsd:long"&gt;43588&lt;/D&gt;&lt;D xsi:type="xsd:long"&gt;43587&lt;/D&gt;&lt;D xsi:type="xsd:long"&gt;43586&lt;/D&gt;&lt;D xsi:type="xsd:long"&gt;43585&lt;/D&gt;&lt;D xsi:type="xsd:long"&gt;43584&lt;/D&gt;&lt;D xsi:type="xsd:long"&gt;43581&lt;/D&gt;&lt;D xsi:type="xsd:long"&gt;43580&lt;/D&gt;&lt;D xsi:type="xsd:long"&gt;43579&lt;/D&gt;&lt;D xsi:type="xsd:long"&gt;43578&lt;/D&gt;&lt;D xsi:type="xsd:long"&gt;43577&lt;/D&gt;&lt;D xsi:type="xsd:long"&gt;43573&lt;/D&gt;&lt;D xsi:type="xsd:long"&gt;43572&lt;/D&gt;&lt;D xsi:type="xsd:long"&gt;43571&lt;/D&gt;&lt;D xsi:type="xsd:long"&gt;43570&lt;/D&gt;&lt;D xsi:type="xsd:long"&gt;43567&lt;/D&gt;&lt;D xsi:type="xsd:long"&gt;43566&lt;/D&gt;&lt;D xsi:type="xsd:long"&gt;43565&lt;/D&gt;&lt;D xsi:type="xsd:long"&gt;43564&lt;/D&gt;&lt;D xsi:type="xsd:long"&gt;43563&lt;/D&gt;&lt;D xsi:type="xsd:long"&gt;43560&lt;/D&gt;&lt;D xsi:type="xsd:long"&gt;43559&lt;/D&gt;&lt;D xsi:type="xsd:long"&gt;43558&lt;/D&gt;&lt;D xsi:type="xsd:long"&gt;43557&lt;/D&gt;&lt;D xsi:type="xsd:long"&gt;43556&lt;/D&gt;&lt;D xsi:type="xsd:long"&gt;43553&lt;/D&gt;&lt;D xsi:type="xsd:long"&gt;43552&lt;/D&gt;&lt;D xsi:type="xsd:long"&gt;43551&lt;/D&gt;&lt;D xsi:type="xsd:long"&gt;43550&lt;/D&gt;&lt;D xsi:type="xsd:long"&gt;43549&lt;/D&gt;&lt;D xsi:type="xsd:long"&gt;43546&lt;/D&gt;&lt;D xsi:type="xsd:long"&gt;43545&lt;/D&gt;&lt;D xsi:type="xsd:long"&gt;43544&lt;/D&gt;&lt;D xsi:type="xsd:long"&gt;43543&lt;/D&gt;&lt;D xsi:type="xsd:long"&gt;43542&lt;/D&gt;&lt;D xsi:type="xsd:long"&gt;43539&lt;/D&gt;&lt;D xsi:type="xsd:long"&gt;43538&lt;/D&gt;&lt;D xsi:type="xsd:long"&gt;43537&lt;/D&gt;&lt;D xsi:type="xsd:long"&gt;43536&lt;/D&gt;&lt;D xsi:type="xsd:long"&gt;43535&lt;/D&gt;&lt;D xsi:type="xsd:long"&gt;43532&lt;/D&gt;&lt;D xsi:type="xsd:long"&gt;43531&lt;/D&gt;&lt;D xsi:type="xsd:long"&gt;43530&lt;/D&gt;&lt;D xsi:type="xsd:long"&gt;43529&lt;/D&gt;&lt;D xsi:type="xsd:long"&gt;43528&lt;/D&gt;&lt;D xsi:type="xsd:long"&gt;43525&lt;/D&gt;&lt;D xsi:type="xsd:long"&gt;43524&lt;/D&gt;&lt;D xsi:type="xsd:long"&gt;43523&lt;/D&gt;&lt;D xsi:type="xsd:long"&gt;43522&lt;/D&gt;&lt;D xsi:type="xsd:long"&gt;43521&lt;/D&gt;&lt;D xsi:type="xsd:long"&gt;43518&lt;/D&gt;&lt;D xsi:type="xsd:long"&gt;43517&lt;/D&gt;&lt;D xsi:type="xsd:long"&gt;43516&lt;/D&gt;&lt;D xsi:type="xsd:long"&gt;43515&lt;/D&gt;&lt;D xsi:type="xsd:long"&gt;43511&lt;/D&gt;&lt;D xsi:type="xsd:long"&gt;43510&lt;/D&gt;&lt;D xsi:type="xsd:long"&gt;43509&lt;/D&gt;&lt;D xsi:type="xsd:long"&gt;43508&lt;/D&gt;&lt;D xsi:type="xsd:long"&gt;43507&lt;/D&gt;&lt;D xsi:type="xsd:long"&gt;43504&lt;/D&gt;&lt;D xsi:type="xsd:long"&gt;43503&lt;/D&gt;&lt;D xsi:type="xsd:long"&gt;43502&lt;/D&gt;&lt;D xsi:type="xsd:long"&gt;43501&lt;/D&gt;&lt;D xsi:type="xsd:long"&gt;43500&lt;/D&gt;&lt;D xsi:type="xsd:long"&gt;43497&lt;/D&gt;&lt;D xsi:type="xsd:long"&gt;43496&lt;/D&gt;&lt;D xsi:type="xsd:long"&gt;43495&lt;/D&gt;&lt;D xsi:type="xsd:long"&gt;43494&lt;/D&gt;&lt;D xsi:type="xsd:long"&gt;43493&lt;/D&gt;&lt;D xsi:type="xsd:long"&gt;43490&lt;/D&gt;&lt;D xsi:type="xsd:long"&gt;43489&lt;/D&gt;&lt;D xsi:type="xsd:long"&gt;43488&lt;/D&gt;&lt;D xsi:type="xsd:long"&gt;43487&lt;/D&gt;&lt;D xsi:type="xsd:long"&gt;43483&lt;/D&gt;&lt;D xsi:type="xsd:long"&gt;43482&lt;/D&gt;&lt;D xsi:type="xsd:long"&gt;43481&lt;/D&gt;&lt;D xsi:type="xsd:long"&gt;43480&lt;/D&gt;&lt;D xsi:type="xsd:long"&gt;43479&lt;/D&gt;&lt;D xsi:type="xsd:long"&gt;43476&lt;/D&gt;&lt;D xsi:type="xsd:long"&gt;43475&lt;/D&gt;&lt;D xsi:type="xsd:long"&gt;43474&lt;/D&gt;&lt;D xsi:type="xsd:long"&gt;43473&lt;/D&gt;&lt;D xsi:type="xsd:long"&gt;43472&lt;/D&gt;&lt;D xsi:type="xsd:long"&gt;43469&lt;/D&gt;&lt;D xsi:type="xsd:long"&gt;43468&lt;/D&gt;&lt;D xsi:type="xsd:long"&gt;43467&lt;/D&gt;&lt;D xsi:type="xsd:long"&gt;43465&lt;/D&gt;&lt;D xsi:type="xsd:long"&gt;43462&lt;/D&gt;&lt;D xsi:type="xsd:long"&gt;43461&lt;/D&gt;&lt;D xsi:type="xsd:long"&gt;43460&lt;/D&gt;&lt;D xsi:type="xsd:long"&gt;43458&lt;/D&gt;&lt;D xsi:type="xsd:long"&gt;43455&lt;/D&gt;&lt;D xsi:type="xsd:long"&gt;43454&lt;/D&gt;&lt;D xsi:type="xsd:long"&gt;43453&lt;/D&gt;&lt;D xsi:type="xsd:long"&gt;43452&lt;/D&gt;&lt;D xsi:type="xsd:long"&gt;43451&lt;/D&gt;&lt;D xsi:type="xsd:long"&gt;43448&lt;/D&gt;&lt;D xsi:type="xsd:long"&gt;43447&lt;/D&gt;&lt;D xsi:type="xsd:long"&gt;43446&lt;/D&gt;&lt;D xsi:type="xsd:long"&gt;43445&lt;/D&gt;&lt;D xsi:type="xsd:long"&gt;43444&lt;/D&gt;&lt;D xsi:type="xsd:long"&gt;43441&lt;/D&gt;&lt;D xsi:type="xsd:long"&gt;43440&lt;/D&gt;&lt;D xsi:type="xsd:long"&gt;43438&lt;/D&gt;&lt;D xsi:type="xsd:long"&gt;43437&lt;/D&gt;&lt;D xsi:type="xsd:long"&gt;43434&lt;/D&gt;&lt;D xsi:type="xsd:long"&gt;43433&lt;/D&gt;&lt;D xsi:type="xsd:long"&gt;43432&lt;/D&gt;&lt;D xsi:type="xsd:long"&gt;43431&lt;/D&gt;&lt;D xsi:type="xsd:long"&gt;43430&lt;/D&gt;&lt;D xsi:type="xsd:long"&gt;43427&lt;/D&gt;&lt;D xsi:type="xsd:long"&gt;43425&lt;/D&gt;&lt;D xsi:type="xsd:long"&gt;43424&lt;/D&gt;&lt;D xsi:type="xsd:long"&gt;43423&lt;/D&gt;&lt;D xsi:type="xsd:long"&gt;43420&lt;/D&gt;&lt;D xsi:type="xsd:long"&gt;43419&lt;/D&gt;&lt;D xsi:type="xsd:long"&gt;43418&lt;/D&gt;&lt;D xsi:type="xsd:long"&gt;43417&lt;/D&gt;&lt;D xsi:type="xsd:long"&gt;43416&lt;/D&gt;&lt;D xsi:type="xsd:long"&gt;43413&lt;/D&gt;&lt;D xsi:type="xsd:long"&gt;43412&lt;/D&gt;&lt;D xsi:type="xsd:long"&gt;43411&lt;/D&gt;&lt;D xsi:type="xsd:long"&gt;43410&lt;/D&gt;&lt;D xsi:type="xsd:long"&gt;43409&lt;/D&gt;&lt;D xsi:type="xsd:long"&gt;43406&lt;/D&gt;&lt;D xsi:type="xsd:long"&gt;43405&lt;/D&gt;&lt;D xsi:type="xsd:long"&gt;43404&lt;/D&gt;&lt;D xsi:type="xsd:long"&gt;43403&lt;/D&gt;&lt;D xsi:type="xsd:long"&gt;43402&lt;/D&gt;&lt;D xsi:type="xsd:long"&gt;43399&lt;/D&gt;&lt;D xsi:type="xsd:long"&gt;43398&lt;/D&gt;&lt;D xsi:type="xsd:long"&gt;43397&lt;/D&gt;&lt;D xsi:type="xsd:long"&gt;43396&lt;/D&gt;&lt;D xsi:type="xsd:long"&gt;43395&lt;/D&gt;&lt;D xsi:type="xsd:long"&gt;43392&lt;/D&gt;&lt;D xsi:type="xsd:long"&gt;43391&lt;/D&gt;&lt;D xsi:type="xsd:long"&gt;43390&lt;/D&gt;&lt;D xsi:type="xsd:long"&gt;43389&lt;/D&gt;&lt;D xsi:type="xsd:long"&gt;43388&lt;/D&gt;&lt;D xsi:type="xsd:long"&gt;43385&lt;/D&gt;&lt;D xsi:type="xsd:long"&gt;43384&lt;/D&gt;&lt;D xsi:type="xsd:long"&gt;43383&lt;/D&gt;&lt;D xsi:type="xsd:long"&gt;43382&lt;/D&gt;&lt;D xsi:type="xsd:long"&gt;43381&lt;/D&gt;&lt;D xsi:type="xsd:long"&gt;43378&lt;/D&gt;&lt;D xsi:type="xsd:long"&gt;43377&lt;/D&gt;&lt;D xsi:type="xsd:long"&gt;43376&lt;/D&gt;&lt;D xsi:type="xsd:long"&gt;43375&lt;/D&gt;&lt;D xsi:type="xsd:long"&gt;43374&lt;/D&gt;&lt;D xsi:type="xsd:long"&gt;43371&lt;/D&gt;&lt;D xsi:type="xsd:long"&gt;43370&lt;/D&gt;&lt;D xsi:type="xsd:long"&gt;43369&lt;/D&gt;&lt;D xsi:type="xsd:long"&gt;43368&lt;/D&gt;&lt;D xsi:type="xsd:long"&gt;43367&lt;/D&gt;&lt;D xsi:type="xsd:long"&gt;43364&lt;/D&gt;&lt;D xsi:type="xsd:long"&gt;43363&lt;/D&gt;&lt;D xsi:type="xsd:long"&gt;43362&lt;/D&gt;&lt;D xsi:type="xsd:long"&gt;43361&lt;/D&gt;&lt;D xsi:type="xsd:long"&gt;43360&lt;/D&gt;&lt;D xsi:type="xsd:long"&gt;43357&lt;/D&gt;&lt;D xsi:type="xsd:long"&gt;43356&lt;/D&gt;&lt;D xsi:type="xsd:long"&gt;43355&lt;/D&gt;&lt;D xsi:type="xsd:long"&gt;43354&lt;/D&gt;&lt;D xsi:type="xsd:long"&gt;43353&lt;/D&gt;&lt;D xsi:type="xsd:long"&gt;43350&lt;/D&gt;&lt;D xsi:type="xsd:long"&gt;43349&lt;/D&gt;&lt;D xsi:type="xsd:long"&gt;43348&lt;/D&gt;&lt;D xsi:type="xsd:long"&gt;43347&lt;/D&gt;&lt;D xsi:type="xsd:long"&gt;43343&lt;/D&gt;&lt;D xsi:type="xsd:long"&gt;43342&lt;/D&gt;&lt;D xsi:type="xsd:long"&gt;43341&lt;/D&gt;&lt;D xsi:type="xsd:long"&gt;43340&lt;/D&gt;&lt;D xsi:type="xsd:long"&gt;43339&lt;/D&gt;&lt;D xsi:type="xsd:long"&gt;43336&lt;/D&gt;&lt;D xsi:type="xsd:long"&gt;43335&lt;/D&gt;&lt;D xsi:type="xsd:long"&gt;43334&lt;/D&gt;&lt;D xsi:type="xsd:long"&gt;43333&lt;/D&gt;&lt;D xsi:type="xsd:long"&gt;43332&lt;/D&gt;&lt;D xsi:type="xsd:long"&gt;43329&lt;/D&gt;&lt;D xsi:type="xsd:long"&gt;43328&lt;/D&gt;&lt;D xsi:type="xsd:long"&gt;43327&lt;/D&gt;&lt;D xsi:type="xsd:long"&gt;43326&lt;/D&gt;&lt;D xsi:type="xsd:long"&gt;43325&lt;/D&gt;&lt;D xsi:type="xsd:long"&gt;43322&lt;/D&gt;&lt;D xsi:type="xsd:long"&gt;43321&lt;/D&gt;&lt;D xsi:type="xsd:long"&gt;43320&lt;/D&gt;&lt;D xsi:type="xsd:long"&gt;43319&lt;/D&gt;&lt;D xsi:type="xsd:long"&gt;43318&lt;/D&gt;&lt;D xsi:type="xsd:long"&gt;43315&lt;/D&gt;&lt;D xsi:type="xsd:long"&gt;43314&lt;/D&gt;&lt;D xsi:type="xsd:long"&gt;43313&lt;/D&gt;&lt;D xsi:type="xsd:long"&gt;43312&lt;/D&gt;&lt;D xsi:type="xsd:long"&gt;43311&lt;/D&gt;&lt;D xsi:type="xsd:long"&gt;43308&lt;/D&gt;&lt;D xsi:type="xsd:long"&gt;43307&lt;/D&gt;&lt;D xsi:type="xsd:long"&gt;43306&lt;/D&gt;&lt;D xsi:type="xsd:long"&gt;43305&lt;/D&gt;&lt;D xsi:type="xsd:long"&gt;43304&lt;/D&gt;&lt;D xsi:type="xsd:long"&gt;43301&lt;/D&gt;&lt;D xsi:type="xsd:long"&gt;43300&lt;/D&gt;&lt;D xsi:type="xsd:long"&gt;43299&lt;/D&gt;&lt;D xsi:type="xsd:long"&gt;43298&lt;/D&gt;&lt;D xsi:type="xsd:long"&gt;43297&lt;/D&gt;&lt;D xsi:type="xsd:long"&gt;43294&lt;/D&gt;&lt;D xsi:type="xsd:long"&gt;43293&lt;/D&gt;&lt;D xsi:type="xsd:long"&gt;43292&lt;/D&gt;&lt;D xsi:type="xsd:long"&gt;43291&lt;/D&gt;&lt;D xsi:type="xsd:long"&gt;43290&lt;/D&gt;&lt;D xsi:type="xsd:long"&gt;43287&lt;/D&gt;&lt;D xsi:type="xsd:long"&gt;43286&lt;/D&gt;&lt;D xsi:type="xsd:long"&gt;43284&lt;/D&gt;&lt;D xsi:type="xsd:long"&gt;43283&lt;/D&gt;&lt;D xsi:type="xsd:long"&gt;43280&lt;/D&gt;&lt;D xsi:type="xsd:long"&gt;43279&lt;/D&gt;&lt;D xsi:type="xsd:long"&gt;43278&lt;/D&gt;&lt;D xsi:type="xsd:long"&gt;43277&lt;/D&gt;&lt;D xsi:type="xsd:long"&gt;43276&lt;/D&gt;&lt;D xsi:type="xsd:long"&gt;43273&lt;/D&gt;&lt;D xsi:type="xsd:long"&gt;43272&lt;/D&gt;&lt;D xsi:type="xsd:long"&gt;43271&lt;/D&gt;&lt;D xsi:type="xsd:long"&gt;43270&lt;/D&gt;&lt;D xsi:type="xsd:long"&gt;43269&lt;/D&gt;&lt;D xsi:type="xsd:long"&gt;43266&lt;/D&gt;&lt;D xsi:type="xsd:long"&gt;43265&lt;/D&gt;&lt;D xsi:type="xsd:long"&gt;43264&lt;/D&gt;&lt;D xsi:type="xsd:long"&gt;43263&lt;/D&gt;&lt;D xsi:type="xsd:long"&gt;43262&lt;/D&gt;&lt;D xsi:type="xsd:long"&gt;43259&lt;/D&gt;&lt;D xsi:type="xsd:long"&gt;43258&lt;/D&gt;&lt;D xsi:type="xsd:long"&gt;43257&lt;/D&gt;&lt;D xsi:type="xsd:long"&gt;43256&lt;/D&gt;&lt;D xsi:type="xsd:long"&gt;43255&lt;/D&gt;&lt;D xsi:type="xsd:long"&gt;43252&lt;/D&gt;&lt;D xsi:type="xsd:long"&gt;43251&lt;/D&gt;&lt;D xsi:type="xsd:long"&gt;43250&lt;/D&gt;&lt;D xsi:type="xsd:long"&gt;43249&lt;/D&gt;&lt;D xsi:type="xsd:long"&gt;43245&lt;/D&gt;&lt;D xsi:type="xsd:long"&gt;43244&lt;/D&gt;&lt;D xsi:type="xsd:long"&gt;43243&lt;/D&gt;&lt;D xsi:type="xsd:long"&gt;43242&lt;/D&gt;&lt;D xsi:type="xsd:long"&gt;43241&lt;/D&gt;&lt;D xsi:type="xsd:long"&gt;43238&lt;/D&gt;&lt;D xsi:type="xsd:long"&gt;43237&lt;/D&gt;&lt;D xsi:type="xsd:long"&gt;43236&lt;/D&gt;&lt;D xsi:type="xsd:long"&gt;43235&lt;/D&gt;&lt;D xsi:type="xsd:long"&gt;43234&lt;/D&gt;&lt;D xsi:type="xsd:long"&gt;43231&lt;/D&gt;&lt;D xsi:type="xsd:long"&gt;43230&lt;/D&gt;&lt;D xsi:type="xsd:long"&gt;43229&lt;/D&gt;&lt;D xsi:type="xsd:long"&gt;43228&lt;/D&gt;&lt;D xsi:type="xsd:long"&gt;43227&lt;/D&gt;&lt;D xsi:type="xsd:long"&gt;43224&lt;/D&gt;&lt;D xsi:type="xsd:long"&gt;43223&lt;/D&gt;&lt;D xsi:type="xsd:long"&gt;43222&lt;/D&gt;&lt;D xsi:type="xsd:long"&gt;43221&lt;/D&gt;&lt;D xsi:type="xsd:long"&gt;43220&lt;/D&gt;&lt;D xsi:type="xsd:long"&gt;43217&lt;/D&gt;&lt;D xsi:type="xsd:long"&gt;43216&lt;/D&gt;&lt;D xsi:type="xsd:long"&gt;43215&lt;/D&gt;&lt;D xsi:type="xsd:long"&gt;43214&lt;/D&gt;&lt;D xsi:type="xsd:long"&gt;43213&lt;/D&gt;&lt;D xsi:type="xsd:long"&gt;43210&lt;/D&gt;&lt;D xsi:type="xsd:long"&gt;43209&lt;/D&gt;&lt;D xsi:type="xsd:long"&gt;43208&lt;/D&gt;&lt;D xsi:type="xsd:long"&gt;43207&lt;/D&gt;&lt;D xsi:type="xsd:long"&gt;43206&lt;/D&gt;&lt;D xsi:type="xsd:long"&gt;43203&lt;/D&gt;&lt;D xsi:type="xsd:long"&gt;43202&lt;/D&gt;&lt;D xsi:type="xsd:long"&gt;43201&lt;/D&gt;&lt;D xsi:type="xsd:long"&gt;43200&lt;/D&gt;&lt;D xsi:type="xsd:long"&gt;43199&lt;/D&gt;&lt;D xsi:type="xsd:long"&gt;43196&lt;/D&gt;&lt;D xsi:type="xsd:long"&gt;43195&lt;/D&gt;&lt;D xsi:type="xsd:long"&gt;43194&lt;/D&gt;&lt;D xsi:type="xsd:long"&gt;43193&lt;/D&gt;&lt;D xsi:type="xsd:long"&gt;43192&lt;/D&gt;&lt;D xsi:type="xsd:long"&gt;43188&lt;/D&gt;&lt;D xsi:type="xsd:long"&gt;43187&lt;/D&gt;&lt;D xsi:type="xsd:long"&gt;43186&lt;/D&gt;&lt;D xsi:type="xsd:long"&gt;43185&lt;/D&gt;&lt;D xsi:type="xsd:long"&gt;43182&lt;/D&gt;&lt;D xsi:type="xsd:long"&gt;43181&lt;/D&gt;&lt;D xsi:type="xsd:long"&gt;43180&lt;/D&gt;&lt;D xsi:type="xsd:long"&gt;43179&lt;/D&gt;&lt;D xsi:type="xsd:long"&gt;43178&lt;/D&gt;&lt;D xsi:type="xsd:long"&gt;43175&lt;/D&gt;&lt;D xsi:type="xsd:long"&gt;43174&lt;/D&gt;&lt;D xsi:type="xsd:long"&gt;43173&lt;/D&gt;&lt;D xsi:type="xsd:long"&gt;43172&lt;/D&gt;&lt;D xsi:type="xsd:long"&gt;43171&lt;/D&gt;&lt;D xsi:type="xsd:long"&gt;43168&lt;/D&gt;&lt;D xsi:type="xsd:long"&gt;43167&lt;/D&gt;&lt;D xsi:type="xsd:long"&gt;43166&lt;/D&gt;&lt;D xsi:type="xsd:long"&gt;43165&lt;/D&gt;&lt;D xsi:type="xsd:long"&gt;43164&lt;/D&gt;&lt;D xsi:type="xsd:long"&gt;43161&lt;/D&gt;&lt;D xsi:type="xsd:long"&gt;43160&lt;/D&gt;&lt;D xsi:type="xsd:long"&gt;43159&lt;/D&gt;&lt;D xsi:type="xsd:long"&gt;43158&lt;/D&gt;&lt;D xsi:type="xsd:long"&gt;43157&lt;/D&gt;&lt;D xsi:type="xsd:long"&gt;43154&lt;/D&gt;&lt;D xsi:type="xsd:long"&gt;43153&lt;/D&gt;&lt;D xsi:type="xsd:long"&gt;43152&lt;/D&gt;&lt;D xsi:type="xsd:long"&gt;43151&lt;/D&gt;&lt;D xsi:type="xsd:long"&gt;43147&lt;/D&gt;&lt;D xsi:type="xsd:long"&gt;43146&lt;/D&gt;&lt;D xsi:type="xsd:long"&gt;43145&lt;/D&gt;&lt;D xsi:type="xsd:long"&gt;43144&lt;/D&gt;&lt;D xsi:type="xsd:long"&gt;43143&lt;/D&gt;&lt;D xsi:type="xsd:long"&gt;43140&lt;/D&gt;&lt;D xsi:type="xsd:long"&gt;43139&lt;/D&gt;&lt;D xsi:type="xsd:long"&gt;43138&lt;/D&gt;&lt;D xsi:type="xsd:long"&gt;43137&lt;/D&gt;&lt;D xsi:type="xsd:long"&gt;43136&lt;/D&gt;&lt;D xsi:type="xsd:long"&gt;43133&lt;/D&gt;&lt;D xsi:type="xsd:long"&gt;43132&lt;/D&gt;&lt;D xsi:type="xsd:long"&gt;43131&lt;/D&gt;&lt;D xsi:type="xsd:long"&gt;43130&lt;/D&gt;&lt;D xsi:type="xsd:long"&gt;43129&lt;/D&gt;&lt;D xsi:type="xsd:long"&gt;43126&lt;/D&gt;&lt;D xsi:type="xsd:long"&gt;43125&lt;/D&gt;&lt;D xsi:type="xsd:long"&gt;43124&lt;/D&gt;&lt;D xsi:type="xsd:long"&gt;43123&lt;/D&gt;&lt;D xsi:type="xsd:long"&gt;43122&lt;/D&gt;&lt;D xsi:type="xsd:long"&gt;43119&lt;/D&gt;&lt;D xsi:type="xsd:long"&gt;43118&lt;/D&gt;&lt;D xsi:type="xsd:long"&gt;43117&lt;/D&gt;&lt;D xsi:type="xsd:long"&gt;43116&lt;/D&gt;&lt;D xsi:type="xsd:long"&gt;43112&lt;/D&gt;&lt;D xsi:type="xsd:long"&gt;43111&lt;/D&gt;&lt;D xsi:type="xsd:long"&gt;43110&lt;/D&gt;&lt;D xsi:type="xsd:long"&gt;43109&lt;/D&gt;&lt;D xsi:type="xsd:long"&gt;43108&lt;/D&gt;&lt;D xsi:type="xsd:long"&gt;43105&lt;/D&gt;&lt;D xsi:type="xsd:long"&gt;43104&lt;/D&gt;&lt;D xsi:type="xsd:long"&gt;43103&lt;/D&gt;&lt;D xsi:type="xsd:long"&gt;43102&lt;/D&gt;&lt;D xsi:type="xsd:long"&gt;43098&lt;/D&gt;&lt;D xsi:type="xsd:long"&gt;43097&lt;/D&gt;&lt;D xsi:type="xsd:long"&gt;43096&lt;/D&gt;&lt;D xsi:type="xsd:long"&gt;43095&lt;/D&gt;&lt;D xsi:type="xsd:long"&gt;43091&lt;/D&gt;&lt;D xsi:type="xsd:long"&gt;43090&lt;/D&gt;&lt;D xsi:type="xsd:long"&gt;43089&lt;/D&gt;&lt;D xsi:type="xsd:long"&gt;43088&lt;/D&gt;&lt;D xsi:type="xsd:long"&gt;43087&lt;/D&gt;&lt;D xsi:type="xsd:long"&gt;43084&lt;/D&gt;&lt;D xsi:type="xsd:long"&gt;43083&lt;/D&gt;&lt;D xsi:type="xsd:long"&gt;43082&lt;/D&gt;&lt;D xsi:type="xsd:long"&gt;43081&lt;/D&gt;&lt;D xsi:type="xsd:long"&gt;43080&lt;/D&gt;&lt;D xsi:type="xsd:long"&gt;43077&lt;/D&gt;&lt;D xsi:type="xsd:long"&gt;43076&lt;/D&gt;&lt;D xsi:type="xsd:long"&gt;43075&lt;/D&gt;&lt;D xsi:type="xsd:long"&gt;43074&lt;/D&gt;&lt;D xsi:type="xsd:long"&gt;43073&lt;/D&gt;&lt;D xsi:type="xsd:long"&gt;43070&lt;/D&gt;&lt;D xsi:type="xsd:long"&gt;43069&lt;/D&gt;&lt;D xsi:type="xsd:long"&gt;43068&lt;/D&gt;&lt;D xsi:type="xsd:long"&gt;43067&lt;/D&gt;&lt;D xsi:type="xsd:long"&gt;43066&lt;/D&gt;&lt;D xsi:type="xsd:long"&gt;43063&lt;/D&gt;&lt;D xsi:type="xsd:long"&gt;43061&lt;/D&gt;&lt;D xsi:type="xsd:long"&gt;43060&lt;/D&gt;&lt;D xsi:type="xsd:long"&gt;43059&lt;/D&gt;&lt;D xsi:type="xsd:long"&gt;43056&lt;/D&gt;&lt;D xsi:type="xsd:long"&gt;43055&lt;/D&gt;&lt;D xsi:type="xsd:long"&gt;43054&lt;/D&gt;&lt;D xsi:type="xsd:long"&gt;43053&lt;/D&gt;&lt;D xsi:type="xsd:long"&gt;43052&lt;/D&gt;&lt;D xsi:type="xsd:long"&gt;43049&lt;/D&gt;&lt;D xsi:type="xsd:long"&gt;43048&lt;/D&gt;&lt;D xsi:type="xsd:long"&gt;43047&lt;/D&gt;&lt;D xsi:type="xsd:long"&gt;43046&lt;/D&gt;&lt;D xsi:type="xsd:long"&gt;43045&lt;/D&gt;&lt;D xsi:type="xsd:long"&gt;43042&lt;/D&gt;&lt;D xsi:type="xsd:long"&gt;43041&lt;/D&gt;&lt;D xsi:type="xsd:long"&gt;43040&lt;/D&gt;&lt;D xsi:type="xsd:long"&gt;43039&lt;/D&gt;&lt;D xsi:type="xsd:long"&gt;43038&lt;/D&gt;&lt;D xsi:type="xsd:long"&gt;43035&lt;/D&gt;&lt;D xsi:type="xsd:long"&gt;43034&lt;/D&gt;&lt;D xsi:type="xsd:long"&gt;43033&lt;/D&gt;&lt;D xsi:type="xsd:long"&gt;43032&lt;/D&gt;&lt;D xsi:type="xsd:long"&gt;43031&lt;/D&gt;&lt;D xsi:type="xsd:long"&gt;43028&lt;/D&gt;&lt;D xsi:type="xsd:long"&gt;43027&lt;/D&gt;&lt;D xsi:type="xsd:long"&gt;43026&lt;/D&gt;&lt;D xsi:type="xsd:long"&gt;43025&lt;/D&gt;&lt;D xsi:type="xsd:long"&gt;43024&lt;/D&gt;&lt;D xsi:type="xsd:long"&gt;43021&lt;/D&gt;&lt;D xsi:type="xsd:long"&gt;43020&lt;/D&gt;&lt;D xsi:type="xsd:long"&gt;43019&lt;/D&gt;&lt;D xsi:type="xsd:long"&gt;43018&lt;/D&gt;&lt;D xsi:type="xsd:long"&gt;43017&lt;/D&gt;&lt;D xsi:type="xsd:long"&gt;43014&lt;/D&gt;&lt;D xsi:type="xsd:long"&gt;43013&lt;/D&gt;&lt;D xsi:type="xsd:long"&gt;43012&lt;/D&gt;&lt;D xsi:type="xsd:long"&gt;43011&lt;/D&gt;&lt;D xsi:type="xsd:long"&gt;43010&lt;/D&gt;&lt;D xsi:type="xsd:long"&gt;43007&lt;/D&gt;&lt;D xsi:type="xsd:long"&gt;43006&lt;/D&gt;&lt;D xsi:type="xsd:long"&gt;43005&lt;/D&gt;&lt;D xsi:type="xsd:long"&gt;43004&lt;/D&gt;&lt;D xsi:type="xsd:long"&gt;43003&lt;/D&gt;&lt;D xsi:type="xsd:long"&gt;43000&lt;/D&gt;&lt;D xsi:type="xsd:long"&gt;42999&lt;/D&gt;&lt;D xsi:type="xsd:long"&gt;42998&lt;/D&gt;&lt;D xsi:type="xsd:long"&gt;42997&lt;/D&gt;&lt;D xsi:type="xsd:long"&gt;42996&lt;/D&gt;&lt;D xsi:type="xsd:long"&gt;42993&lt;/D&gt;&lt;D xsi:type="xsd:long"&gt;42992&lt;/D&gt;&lt;D xsi:type="xsd:long"&gt;42991&lt;/D&gt;&lt;D xsi:type="xsd:long"&gt;42990&lt;/D&gt;&lt;D xsi:type="xsd:long"&gt;42989&lt;/D&gt;&lt;D xsi:type="xsd:long"&gt;42986&lt;/D&gt;&lt;D xsi:type="xsd:long"&gt;42985&lt;/D&gt;&lt;D xsi:type="xsd:long"&gt;42984&lt;/D&gt;&lt;D xsi:type="xsd:long"&gt;42983&lt;/D&gt;&lt;D xsi:type="xsd:long"&gt;42979&lt;/D&gt;&lt;D xsi:type="xsd:long"&gt;42978&lt;/D&gt;&lt;D xsi:type="xsd:long"&gt;42977&lt;/D&gt;&lt;D xsi:type="xsd:long"&gt;42976&lt;/D&gt;&lt;D xsi:type="xsd:long"&gt;42975&lt;/D&gt;&lt;D xsi:type="xsd:long"&gt;42972&lt;/D&gt;&lt;D xsi:type="xsd:long"&gt;42971&lt;/D&gt;&lt;D xsi:type="xsd:long"&gt;42970&lt;/D&gt;&lt;D xsi:type="xsd:long"&gt;42969&lt;/D&gt;&lt;D xsi:type="xsd:long"&gt;42968&lt;/D&gt;&lt;D xsi:type="xsd:long"&gt;42965&lt;/D&gt;&lt;D xsi:type="xsd:long"&gt;42964&lt;/D&gt;&lt;D xsi:type="xsd:long"&gt;42963&lt;/D&gt;&lt;D xsi:type="xsd:long"&gt;42962&lt;/D&gt;&lt;D xsi:type="xsd:long"&gt;42961&lt;/D&gt;&lt;D xsi:type="xsd:long"&gt;42958&lt;/D&gt;&lt;D xsi:type="xsd:long"&gt;42957&lt;/D&gt;&lt;D xsi:type="xsd:long"&gt;42956&lt;/D&gt;&lt;D xsi:type="xsd:long"&gt;42955&lt;/D&gt;&lt;D xsi:type="xsd:long"&gt;42954&lt;/D&gt;&lt;D xsi:type="xsd:long"&gt;42951&lt;/D&gt;&lt;D xsi:type="xsd:long"&gt;42950&lt;/D&gt;&lt;D xsi:type="xsd:long"&gt;42949&lt;/D&gt;&lt;D xsi:type="xsd:long"&gt;42948&lt;/D&gt;&lt;D xsi:type="xsd:long"&gt;42947&lt;/D&gt;&lt;D xsi:type="xsd:long"&gt;42944&lt;/D&gt;&lt;D xsi:type="xsd:long"&gt;42943&lt;/D&gt;&lt;D xsi:type="xsd:long"&gt;42942&lt;/D&gt;&lt;D xsi:type="xsd:long"&gt;42941&lt;/D&gt;&lt;D xsi:type="xsd:long"&gt;42940&lt;/D&gt;&lt;D xsi:type="xsd:long"&gt;42937&lt;/D&gt;&lt;D xsi:type="xsd:long"&gt;42936&lt;/D&gt;&lt;D xsi:type="xsd:long"&gt;42935&lt;/D&gt;&lt;D xsi:type="xsd:long"&gt;42934&lt;/D&gt;&lt;D xsi:type="xsd:long"&gt;42933&lt;/D&gt;&lt;D xsi:type="xsd:long"&gt;42930&lt;/D&gt;&lt;D xsi:type="xsd:long"&gt;42929&lt;/D&gt;&lt;D xsi:type="xsd:long"&gt;42928&lt;/D&gt;&lt;D xsi:type="xsd:long"&gt;42927&lt;/D&gt;&lt;D xsi:type="xsd:long"&gt;42926&lt;/D&gt;&lt;D xsi:type="xsd:long"&gt;42923&lt;/D&gt;&lt;D xsi:type="xsd:long"&gt;42922&lt;/D&gt;&lt;D xsi:type="xsd:long"&gt;42921&lt;/D&gt;&lt;D xsi:type="xsd:long"&gt;42919&lt;/D&gt;&lt;D xsi:type="xsd:long"&gt;42916&lt;/D&gt;&lt;D xsi:type="xsd:long"&gt;42915&lt;/D&gt;&lt;D xsi:type="xsd:long"&gt;42914&lt;/D&gt;&lt;D xsi:type="xsd:long"&gt;42913&lt;/D&gt;&lt;D xsi:type="xsd:long"&gt;42912&lt;/D&gt;&lt;D xsi:type="xsd:long"&gt;42909&lt;/D&gt;&lt;D xsi:type="xsd:long"&gt;42908&lt;/D&gt;&lt;D xsi:type="xsd:long"&gt;42907&lt;/D&gt;&lt;D xsi:type="xsd:long"&gt;42906&lt;/D&gt;&lt;D xsi:type="xsd:long"&gt;42905&lt;/D&gt;&lt;D xsi:type="xsd:long"&gt;42902&lt;/D&gt;&lt;D xsi:type="xsd:long"&gt;42901&lt;/D&gt;&lt;D xsi:type="xsd:long"&gt;42900&lt;/D&gt;&lt;D xsi:type="xsd:long"&gt;42899&lt;/D&gt;&lt;D xsi:type="xsd:long"&gt;42898&lt;/D&gt;&lt;D xsi:type="xsd:long"&gt;42895&lt;/D&gt;&lt;D xsi:type="xsd:long"&gt;42894&lt;/D&gt;&lt;D xsi:type="xsd:long"&gt;42893&lt;/D&gt;&lt;D xsi:type="xsd:long"&gt;42892&lt;/D&gt;&lt;D xsi:type="xsd:long"&gt;42891&lt;/D&gt;&lt;D xsi:type="xsd:long"&gt;42888&lt;/D&gt;&lt;D xsi:type="xsd:long"&gt;42887&lt;/D&gt;&lt;D xsi:type="xsd:long"&gt;42886&lt;/D&gt;&lt;D xsi:type="xsd:long"&gt;42885&lt;/D&gt;&lt;D xsi:type="xsd:long"&gt;42881&lt;/D&gt;&lt;D xsi:type="xsd:long"&gt;42880&lt;/D&gt;&lt;D xsi:type="xsd:long"&gt;42879&lt;/D&gt;&lt;D xsi:type="xsd:long"&gt;42878&lt;/D&gt;&lt;D xsi:type="xsd:long"&gt;42877&lt;/D&gt;&lt;D xsi:type="xsd:long"&gt;42874&lt;/D&gt;&lt;D xsi:type="xsd:long"&gt;42873&lt;/D&gt;&lt;D xsi:type="xsd:long"&gt;42872&lt;/D&gt;&lt;D xsi:type="xsd:long"&gt;42871&lt;/D&gt;&lt;D xsi:type="xsd:long"&gt;42870&lt;/D&gt;&lt;D xsi:type="xsd:long"&gt;42867&lt;/D&gt;&lt;D xsi:type="xsd:long"&gt;42866&lt;/D&gt;&lt;D xsi:type="xsd:long"&gt;42865&lt;/D&gt;&lt;D xsi:type="xsd:long"&gt;42864&lt;/D&gt;&lt;D xsi:type="xsd:long"&gt;42863&lt;/D&gt;&lt;D xsi:type="xsd:long"&gt;42860&lt;/D&gt;&lt;D xsi:type="xsd:long"&gt;42859&lt;/D&gt;&lt;D xsi:type="xsd:long"&gt;42858&lt;/D&gt;&lt;D xsi:type="xsd:long"&gt;42857&lt;/D&gt;&lt;D xsi:type="xsd:long"&gt;42856&lt;/D&gt;&lt;D xsi:type="xsd:long"&gt;42853&lt;/D&gt;&lt;D xsi:type="xsd:long"&gt;42852&lt;/D&gt;&lt;D xsi:type="xsd:long"&gt;42851&lt;/D&gt;&lt;D xsi:type="xsd:long"&gt;42850&lt;/D&gt;&lt;D xsi:type="xsd:long"&gt;42849&lt;/D&gt;&lt;D xsi:type="xsd:long"&gt;42846&lt;/D&gt;&lt;D xsi:type="xsd:long"&gt;42845&lt;/D&gt;&lt;D xsi:type="xsd:long"&gt;42844&lt;/D&gt;&lt;D xsi:type="xsd:long"&gt;42843&lt;/D&gt;&lt;D xsi:type="xsd:long"&gt;42842&lt;/D&gt;&lt;D xsi:type="xsd:long"&gt;42838&lt;/D&gt;&lt;D xsi:type="xsd:long"&gt;42837&lt;/D&gt;&lt;D xsi:type="xsd:long"&gt;42836&lt;/D&gt;&lt;D xsi:type="xsd:long"&gt;42835&lt;/D&gt;&lt;D xsi:type="xsd:long"&gt;42832&lt;/D&gt;&lt;D xsi:type="xsd:long"&gt;42831&lt;/D&gt;&lt;D xsi:type="xsd:long"&gt;42830&lt;/D&gt;&lt;D xsi:type="xsd:long"&gt;42829&lt;/D&gt;&lt;D xsi:type="xsd:long"&gt;42828&lt;/D&gt;&lt;D xsi:type="xsd:long"&gt;42825&lt;/D&gt;&lt;D xsi:type="xsd:long"&gt;42824&lt;/D&gt;&lt;D xsi:type="xsd:long"&gt;42823&lt;/D&gt;&lt;D xsi:type="xsd:long"&gt;42822&lt;/D&gt;&lt;D xsi:type="xsd:long"&gt;42821&lt;/D&gt;&lt;D xsi:type="xsd:long"&gt;42818&lt;/D&gt;&lt;D xsi:type="xsd:long"&gt;42817&lt;/D&gt;&lt;D xsi:type="xsd:long"&gt;42816&lt;/D&gt;&lt;D xsi:type="xsd:long"&gt;42815&lt;/D&gt;&lt;D xsi:type="xsd:long"&gt;42814&lt;/D&gt;&lt;D xsi:type="xsd:long"&gt;42811&lt;/D&gt;&lt;D xsi:type="xsd:long"&gt;42810&lt;/D&gt;&lt;D xsi:type="xsd:long"&gt;42809&lt;/D&gt;&lt;D xsi:type="xsd:long"&gt;42808&lt;/D&gt;&lt;D xsi:type="xsd:long"&gt;42807&lt;/D&gt;&lt;D xsi:type="xsd:long"&gt;42804&lt;/D&gt;&lt;D xsi:type="xsd:long"&gt;42803&lt;/D&gt;&lt;D xsi:type="xsd:long"&gt;42802&lt;/D&gt;&lt;D xsi:type="xsd:long"&gt;42801&lt;/D&gt;&lt;D xsi:type="xsd:long"&gt;42800&lt;/D&gt;&lt;D xsi:type="xsd:long"&gt;42797&lt;/D&gt;&lt;D xsi:type="xsd:long"&gt;42796&lt;/D&gt;&lt;D xsi:type="xsd:long"&gt;42795&lt;/D&gt;&lt;D xsi:type="xsd:long"&gt;42794&lt;/D&gt;&lt;D xsi:type="xsd:long"&gt;42793&lt;/D&gt;&lt;D xsi:type="xsd:long"&gt;42790&lt;/D&gt;&lt;D xsi:type="xsd:long"&gt;42789&lt;/D&gt;&lt;D xsi:type="xsd:long"&gt;42788&lt;/D&gt;&lt;D xsi:type="xsd:long"&gt;42787&lt;/D&gt;&lt;D xsi:type="xsd:long"&gt;42783&lt;/D&gt;&lt;D xsi:type="xsd:long"&gt;42782&lt;/D&gt;&lt;D xsi:type="xsd:long"&gt;42781&lt;/D&gt;&lt;D xsi:type="xsd:long"&gt;42780&lt;/D&gt;&lt;D xsi:type="xsd:long"&gt;42779&lt;/D&gt;&lt;D xsi:type="xsd:long"&gt;42776&lt;/D&gt;&lt;D xsi:type="xsd:long"&gt;42775&lt;/D&gt;&lt;D xsi:type="xsd:long"&gt;42774&lt;/D&gt;&lt;D xsi:type="xsd:long"&gt;42773&lt;/D&gt;&lt;D xsi:type="xsd:long"&gt;42772&lt;/D&gt;&lt;D xsi:type="xsd:long"&gt;42769&lt;/D&gt;&lt;D xsi:type="xsd:long"&gt;42768&lt;/D&gt;&lt;D xsi:type="xsd:long"&gt;42767&lt;/D&gt;&lt;D xsi:type="xsd:long"&gt;42766&lt;/D&gt;&lt;D xsi:type="xsd:long"&gt;42765&lt;/D&gt;&lt;D xsi:type="xsd:long"&gt;42762&lt;/D&gt;&lt;D xsi:type="xsd:long"&gt;42761&lt;/D&gt;&lt;D xsi:type="xsd:long"&gt;42760&lt;/D&gt;&lt;D xsi:type="xsd:long"&gt;42759&lt;/D&gt;&lt;D xsi:type="xsd:long"&gt;42758&lt;/D&gt;&lt;D xsi:type="xsd:long"&gt;42755&lt;/D&gt;&lt;D xsi:type="xsd:long"&gt;42754&lt;/D&gt;&lt;D xsi:type="xsd:long"&gt;42753&lt;/D&gt;&lt;D xsi:type="xsd:long"&gt;42752&lt;/D&gt;&lt;D xsi:type="xsd:long"&gt;42748&lt;/D&gt;&lt;D xsi:type="xsd:long"&gt;42747&lt;/D&gt;&lt;D xsi:type="xsd:long"&gt;42746&lt;/D&gt;&lt;D xsi:type="xsd:long"&gt;42745&lt;/D&gt;&lt;D xsi:type="xsd:long"&gt;42744&lt;/D&gt;&lt;D xsi:type="xsd:long"&gt;42741&lt;/D&gt;&lt;D xsi:type="xsd:long"&gt;42740&lt;/D&gt;&lt;D xsi:type="xsd:long"&gt;42739&lt;/D&gt;&lt;D xsi:type="xsd:long"&gt;42738&lt;/D&gt;&lt;D xsi:type="xsd:long"&gt;42734&lt;/D&gt;&lt;D xsi:type="xsd:long"&gt;42733&lt;/D&gt;&lt;D xsi:type="xsd:long"&gt;42732&lt;/D&gt;&lt;D xsi:type="xsd:long"&gt;42731&lt;/D&gt;&lt;D xsi:type="xsd:long"&gt;42727&lt;/D&gt;&lt;D xsi:type="xsd:long"&gt;42726&lt;/D&gt;&lt;D xsi:type="xsd:long"&gt;42725&lt;/D&gt;&lt;D xsi:type="xsd:long"&gt;42724&lt;/D&gt;&lt;D xsi:type="xsd:long"&gt;42723&lt;/D&gt;&lt;D xsi:type="xsd:long"&gt;42720&lt;/D&gt;&lt;D xsi:type="xsd:long"&gt;42719&lt;/D&gt;&lt;D xsi:type="xsd:long"&gt;42718&lt;/D&gt;&lt;D xsi:type="xsd:long"&gt;42717&lt;/D&gt;&lt;D xsi:type="xsd:long"&gt;42716&lt;/D&gt;&lt;D xsi:type="xsd:long"&gt;42713&lt;/D&gt;&lt;D xsi:type="xsd:long"&gt;42712&lt;/D&gt;&lt;D xsi:type="xsd:long"&gt;42711&lt;/D&gt;&lt;D xsi:type="xsd:long"&gt;42710&lt;/D&gt;&lt;D xsi:type="xsd:long"&gt;42709&lt;/D&gt;&lt;D xsi:type="xsd:long"&gt;42706&lt;/D&gt;&lt;D xsi:type="xsd:long"&gt;42705&lt;/D&gt;&lt;D xsi:type="xsd:long"&gt;42704&lt;/D&gt;&lt;D xsi:type="xsd:long"&gt;42703&lt;/D&gt;&lt;D xsi:type="xsd:long"&gt;42702&lt;/D&gt;&lt;D xsi:type="xsd:long"&gt;42699&lt;/D&gt;&lt;D xsi:type="xsd:long"&gt;42697&lt;/D&gt;&lt;D xsi:type="xsd:long"&gt;42696&lt;/D&gt;&lt;D xsi:type="xsd:long"&gt;42695&lt;/D&gt;&lt;D xsi:type="xsd:long"&gt;42692&lt;/D&gt;&lt;D xsi:type="xsd:long"&gt;42691&lt;/D&gt;&lt;D xsi:type="xsd:long"&gt;42690&lt;/D&gt;&lt;D xsi:type="xsd:long"&gt;42689&lt;/D&gt;&lt;D xsi:type="xsd:long"&gt;42688&lt;/D&gt;&lt;D xsi:type="xsd:long"&gt;42685&lt;/D&gt;&lt;D xsi:type="xsd:long"&gt;42684&lt;/D&gt;&lt;D xsi:type="xsd:long"&gt;42683&lt;/D&gt;&lt;D xsi:type="xsd:long"&gt;42682&lt;/D&gt;&lt;D xsi:type="xsd:long"&gt;42681&lt;/D&gt;&lt;D xsi:type="xsd:long"&gt;42678&lt;/D&gt;&lt;D xsi:type="xsd:long"&gt;42677&lt;/D&gt;&lt;D xsi:type="xsd:long"&gt;42676&lt;/D&gt;&lt;D xsi:type="xsd:long"&gt;42675&lt;/D&gt;&lt;D xsi:type="xsd:long"&gt;42674&lt;/D&gt;&lt;D xsi:type="xsd:long"&gt;42671&lt;/D&gt;&lt;D xsi:type="xsd:long"&gt;42670&lt;/D&gt;&lt;D xsi:type="xsd:long"&gt;42669&lt;/D&gt;&lt;D xsi:type="xsd:long"&gt;42668&lt;/D&gt;&lt;D xsi:type="xsd:long"&gt;42667&lt;/D&gt;&lt;D xsi:type="xsd:long"&gt;42664&lt;/D&gt;&lt;D xsi:type="xsd:long"&gt;42663&lt;/D&gt;&lt;D xsi:type="xsd:long"&gt;42662&lt;/D&gt;&lt;D xsi:type="xsd:long"&gt;42661&lt;/D&gt;&lt;D xsi:type="xsd:long"&gt;42660&lt;/D&gt;&lt;D xsi:type="xsd:long"&gt;42657&lt;/D&gt;&lt;D xsi:type="xsd:long"&gt;42656&lt;/D&gt;&lt;D xsi:type="xsd:long"&gt;42655&lt;/D&gt;&lt;D xsi:type="xsd:long"&gt;42654&lt;/D&gt;&lt;D xsi:type="xsd:long"&gt;42653&lt;/D&gt;&lt;D xsi:type="xsd:long"&gt;42650&lt;/D&gt;&lt;D xsi:type="xsd:long"&gt;42649&lt;/D&gt;&lt;D xsi:type="xsd:long"&gt;42648&lt;/D&gt;&lt;D xsi:type="xsd:long"&gt;42647&lt;/D&gt;&lt;D xsi:type="xsd:long"&gt;42646&lt;/D&gt;&lt;D xsi:type="xsd:long"&gt;42643&lt;/D&gt;&lt;D xsi:type="xsd:long"&gt;42642&lt;/D&gt;&lt;D xsi:type="xsd:long"&gt;42641&lt;/D&gt;&lt;D xsi:type="xsd:long"&gt;42640&lt;/D&gt;&lt;D xsi:type="xsd:long"&gt;42639&lt;/D&gt;&lt;D xsi:type="xsd:long"&gt;42636&lt;/D&gt;&lt;D xsi:type="xsd:long"&gt;42635&lt;/D&gt;&lt;D xsi:type="xsd:long"&gt;42634&lt;/D&gt;&lt;D xsi:type="xsd:long"&gt;42633&lt;/D&gt;&lt;D xsi:type="xsd:long"&gt;42632&lt;/D&gt;&lt;D xsi:type="xsd:long"&gt;42629&lt;/D&gt;&lt;D xsi:type="xsd:long"&gt;42628&lt;/D&gt;&lt;D xsi:type="xsd:long"&gt;42627&lt;/D&gt;&lt;D xsi:type="xsd:long"&gt;42626&lt;/D&gt;&lt;D xsi:type="xsd:long"&gt;42625&lt;/D&gt;&lt;D xsi:type="xsd:long"&gt;42622&lt;/D&gt;&lt;D xsi:type="xsd:long"&gt;42621&lt;/D&gt;&lt;D xsi:type="xsd:long"&gt;42620&lt;/D&gt;&lt;D xsi:type="xsd:long"&gt;42619&lt;/D&gt;&lt;D xsi:type="xsd:long"&gt;42615&lt;/D&gt;&lt;D xsi:type="xsd:long"&gt;42614&lt;/D&gt;&lt;D xsi:type="xsd:long"&gt;42613&lt;/D&gt;&lt;D xsi:type="xsd:long"&gt;42612&lt;/D&gt;&lt;D xsi:type="xsd:long"&gt;42611&lt;/D&gt;&lt;D xsi:type="xsd:long"&gt;42608&lt;/D&gt;&lt;D xsi:type="xsd:long"&gt;42607&lt;/D&gt;&lt;D xsi:type="xsd:long"&gt;42606&lt;/D&gt;&lt;D xsi:type="xsd:long"&gt;42605&lt;/D&gt;&lt;D xsi:type="xsd:long"&gt;42604&lt;/D&gt;&lt;D xsi:type="xsd:long"&gt;42601&lt;/D&gt;&lt;D xsi:type="xsd:long"&gt;42600&lt;/D&gt;&lt;D xsi:type="xsd:long"&gt;42599&lt;/D&gt;&lt;D xsi:type="xsd:long"&gt;42598&lt;/D&gt;&lt;D xsi:type="xsd:long"&gt;42597&lt;/D&gt;&lt;D xsi:type="xsd:long"&gt;42594&lt;/D&gt;&lt;D xsi:type="xsd:long"&gt;42593&lt;/D&gt;&lt;D xsi:type="xsd:long"&gt;42592&lt;/D&gt;&lt;D xsi:type="xsd:long"&gt;42591&lt;/D&gt;&lt;D xsi:type="xsd:long"&gt;42590&lt;/D&gt;&lt;D xsi:type="xsd:long"&gt;42587&lt;/D&gt;&lt;D xsi:type="xsd:long"&gt;42586&lt;/D&gt;&lt;D xsi:type="xsd:long"&gt;42585&lt;/D&gt;&lt;D xsi:type="xsd:long"&gt;42584&lt;/D&gt;&lt;D xsi:type="xsd:long"&gt;42583&lt;/D&gt;&lt;D xsi:type="xsd:long"&gt;42580&lt;/D&gt;&lt;D xsi:type="xsd:long"&gt;42579&lt;/D&gt;&lt;D xsi:type="xsd:long"&gt;42578&lt;/D&gt;&lt;D xsi:type="xsd:long"&gt;42577&lt;/D&gt;&lt;D xsi:type="xsd:long"&gt;42576&lt;/D&gt;&lt;D xsi:type="xsd:long"&gt;42573&lt;/D&gt;&lt;D xsi:type="xsd:long"&gt;42572&lt;/D&gt;&lt;D xsi:type="xsd:long"&gt;42571&lt;/D&gt;&lt;D xsi:type="xsd:long"&gt;42570&lt;/D&gt;&lt;D xsi:type="xsd:long"&gt;42569&lt;/D&gt;&lt;D xsi:type="xsd:long"&gt;42566&lt;/D&gt;&lt;D xsi:type="xsd:long"&gt;42565&lt;/D&gt;&lt;D xsi:type="xsd:long"&gt;42564&lt;/D&gt;&lt;D xsi:type="xsd:long"&gt;42563&lt;/D&gt;&lt;D xsi:type="xsd:long"&gt;42562&lt;/D&gt;&lt;D xsi:type="xsd:long"&gt;42559&lt;/D&gt;&lt;D xsi:type="xsd:long"&gt;42558&lt;/D&gt;&lt;D xsi:type="xsd:long"&gt;42557&lt;/D&gt;&lt;D xsi:type="xsd:long"&gt;42556&lt;/D&gt;&lt;D xsi:type="xsd:long"&gt;42552&lt;/D&gt;&lt;D xsi:type="xsd:long"&gt;42551&lt;/D&gt;&lt;D xsi:type="xsd:long"&gt;42550&lt;/D&gt;&lt;D xsi:type="xsd:long"&gt;42549&lt;/D&gt;&lt;D xsi:type="xsd:long"&gt;42548&lt;/D&gt;&lt;D xsi:type="xsd:long"&gt;42545&lt;/D&gt;&lt;D xsi:type="xsd:long"&gt;42544&lt;/D&gt;&lt;D xsi:type="xsd:long"&gt;42543&lt;/D&gt;&lt;D xsi:type="xsd:long"&gt;42542&lt;/D&gt;&lt;D xsi:type="xsd:long"&gt;42541&lt;/D&gt;&lt;D xsi:type="xsd:long"&gt;42538&lt;/D&gt;&lt;D xsi:type="xsd:long"&gt;42537&lt;/D&gt;&lt;D xsi:type="xsd:long"&gt;42536&lt;/D&gt;&lt;D xsi:type="xsd:long"&gt;42535&lt;/D&gt;&lt;D xsi:type="xsd:long"&gt;42534&lt;/D&gt;&lt;D xsi:type="xsd:long"&gt;42531&lt;/D&gt;&lt;D xsi:type="xsd:long"&gt;42530&lt;/D&gt;&lt;D xsi:type="xsd:long"&gt;42529&lt;/D&gt;&lt;D xsi:type="xsd:long"&gt;42528&lt;/D&gt;&lt;D xsi:type="xsd:long"&gt;42527&lt;/D&gt;&lt;D xsi:type="xsd:long"&gt;42524&lt;/D&gt;&lt;D xsi:type="xsd:long"&gt;42523&lt;/D&gt;&lt;D xsi:type="xsd:long"&gt;42522&lt;/D&gt;&lt;D xsi:type="xsd:long"&gt;42521&lt;/D&gt;&lt;D xsi:type="xsd:long"&gt;42517&lt;/D&gt;&lt;D xsi:type="xsd:long"&gt;42516&lt;/D&gt;&lt;D xsi:type="xsd:long"&gt;42515&lt;/D&gt;&lt;D xsi:type="xsd:long"&gt;42514&lt;/D&gt;&lt;D xsi:type="xsd:long"&gt;42513&lt;/D&gt;&lt;D xsi:type="xsd:long"&gt;42510&lt;/D&gt;&lt;D xsi:type="xsd:long"&gt;42509&lt;/D&gt;&lt;D xsi:type="xsd:long"&gt;42508&lt;/D&gt;&lt;D xsi:type="xsd:long"&gt;42507&lt;/D&gt;&lt;D xsi:type="xsd:long"&gt;42506&lt;/D&gt;&lt;D xsi:type="xsd:long"&gt;42503&lt;/D&gt;&lt;D xsi:type="xsd:long"&gt;42502&lt;/D&gt;&lt;D xsi:type="xsd:long"&gt;42501&lt;/D&gt;&lt;D xsi:type="xsd:long"&gt;42500&lt;/D&gt;&lt;D xsi:type="xsd:long"&gt;42499&lt;/D&gt;&lt;D xsi:type="xsd:long"&gt;42496&lt;/D&gt;&lt;D xsi:type="xsd:long"&gt;42495&lt;/D&gt;&lt;D xsi:type="xsd:long"&gt;42494&lt;/D&gt;&lt;D xsi:type="xsd:long"&gt;42493&lt;/D&gt;&lt;D xsi:type="xsd:long"&gt;42492&lt;/D&gt;&lt;D xsi:type="xsd:long"&gt;42489&lt;/D&gt;&lt;D xsi:type="xsd:long"&gt;42488&lt;/D&gt;&lt;D xsi:type="xsd:long"&gt;42487&lt;/D&gt;&lt;D xsi:type="xsd:long"&gt;42486&lt;/D&gt;&lt;D xsi:type="xsd:long"&gt;42485&lt;/D&gt;&lt;D xsi:type="xsd:long"&gt;42482&lt;/D&gt;&lt;D xsi:type="xsd:long"&gt;42481&lt;/D&gt;&lt;D xsi:type="xsd:long"&gt;42480&lt;/D&gt;&lt;D xsi:type="xsd:long"&gt;42479&lt;/D&gt;&lt;D xsi:type="xsd:long"&gt;42478&lt;/D&gt;&lt;D xsi:type="xsd:long"&gt;42475&lt;/D&gt;&lt;D xsi:type="xsd:long"&gt;42474&lt;/D&gt;&lt;D xsi:type="xsd:long"&gt;42473&lt;/D&gt;&lt;D xsi:type="xsd:long"&gt;42472&lt;/D&gt;&lt;D xsi:type="xsd:long"&gt;42471&lt;/D&gt;&lt;D xsi:type="xsd:long"&gt;42468&lt;/D&gt;&lt;D xsi:type="xsd:long"&gt;42467&lt;/D&gt;&lt;D xsi:type="xsd:long"&gt;42466&lt;/D&gt;&lt;D xsi:type="xsd:long"&gt;42465&lt;/D&gt;&lt;D xsi:type="xsd:long"&gt;42464&lt;/D&gt;&lt;D xsi:type="xsd:long"&gt;42461&lt;/D&gt;&lt;D xsi:type="xsd:long"&gt;42460&lt;/D&gt;&lt;D xsi:type="xsd:long"&gt;42459&lt;/D&gt;&lt;D xsi:type="xsd:long"&gt;42458&lt;/D&gt;&lt;D xsi:type="xsd:long"&gt;42457&lt;/D&gt;&lt;D xsi:type="xsd:long"&gt;42453&lt;/D&gt;&lt;D xsi:type="xsd:long"&gt;42452&lt;/D&gt;&lt;D xsi:type="xsd:long"&gt;42451&lt;/D&gt;&lt;D xsi:type="xsd:long"&gt;42450&lt;/D&gt;&lt;D xsi:type="xsd:long"&gt;42447&lt;/D&gt;&lt;D xsi:type="xsd:long"&gt;42446&lt;/D&gt;&lt;D xsi:type="xsd:long"&gt;42445&lt;/D&gt;&lt;D xsi:type="xsd:long"&gt;42444&lt;/D&gt;&lt;D xsi:type="xsd:long"&gt;42443&lt;/D&gt;&lt;D xsi:type="xsd:long"&gt;42440&lt;/D&gt;&lt;D xsi:type="xsd:long"&gt;42439&lt;/D&gt;&lt;D xsi:type="xsd:long"&gt;42438&lt;/D&gt;&lt;D xsi:type="xsd:long"&gt;42437&lt;/D&gt;&lt;D xsi:type="xsd:long"&gt;42436&lt;/D&gt;&lt;D xsi:type="xsd:long"&gt;42433&lt;/D&gt;&lt;D xsi:type="xsd:long"&gt;42432&lt;/D&gt;&lt;D xsi:type="xsd:long"&gt;42431&lt;/D&gt;&lt;D xsi:type="xsd:long"&gt;42430&lt;/D&gt;&lt;D xsi:type="xsd:long"&gt;42429&lt;/D&gt;&lt;D xsi:type="xsd:long"&gt;42426&lt;/D&gt;&lt;D xsi:type="xsd:long"&gt;42425&lt;/D&gt;&lt;D xsi:type="xsd:long"&gt;42424&lt;/D&gt;&lt;D xsi:type="xsd:long"&gt;42423&lt;/D&gt;&lt;D xsi:type="xsd:long"&gt;42422&lt;/D&gt;&lt;D xsi:type="xsd:long"&gt;42419&lt;/D&gt;&lt;D xsi:type="xsd:long"&gt;42418&lt;/D&gt;&lt;D xsi:type="xsd:long"&gt;42417&lt;/D&gt;&lt;D xsi:type="xsd:long"&gt;42416&lt;/D&gt;&lt;D xsi:type="xsd:long"&gt;42412&lt;/D&gt;&lt;D xsi:type="xsd:long"&gt;42411&lt;/D&gt;&lt;D xsi:type="xsd:long"&gt;42410&lt;/D&gt;&lt;D xsi:type="xsd:long"&gt;42409&lt;/D&gt;&lt;D xsi:type="xsd:long"&gt;42408&lt;/D&gt;&lt;D xsi:type="xsd:long"&gt;42405&lt;/D&gt;&lt;D xsi:type="xsd:long"&gt;42404&lt;/D&gt;&lt;D xsi:type="xsd:long"&gt;42403&lt;/D&gt;&lt;D xsi:type="xsd:long"&gt;42402&lt;/D&gt;&lt;D xsi:type="xsd:long"&gt;42401&lt;/D&gt;&lt;D xsi:type="xsd:long"&gt;42398&lt;/D&gt;&lt;D xsi:type="xsd:long"&gt;42397&lt;/D&gt;&lt;D xsi:type="xsd:long"&gt;42396&lt;/D&gt;&lt;D xsi:type="xsd:long"&gt;42395&lt;/D&gt;&lt;D xsi:type="xsd:long"&gt;42394&lt;/D&gt;&lt;D xsi:type="xsd:long"&gt;42391&lt;/D&gt;&lt;D xsi:type="xsd:long"&gt;42390&lt;/D&gt;&lt;D xsi:type="xsd:long"&gt;42389&lt;/D&gt;&lt;D xsi:type="xsd:long"&gt;42388&lt;/D&gt;&lt;D xsi:type="xsd:long"&gt;42384&lt;/D&gt;&lt;D xsi:type="xsd:long"&gt;42383&lt;/D&gt;&lt;D xsi:type="xsd:long"&gt;42382&lt;/D&gt;&lt;D xsi:type="xsd:long"&gt;42381&lt;/D&gt;&lt;D xsi:type="xsd:long"&gt;42380&lt;/D&gt;&lt;D xsi:type="xsd:long"&gt;42377&lt;/D&gt;&lt;D xsi:type="xsd:long"&gt;42376&lt;/D&gt;&lt;D xsi:type="xsd:long"&gt;42375&lt;/D&gt;&lt;D xsi:type="xsd:long"&gt;42374&lt;/D&gt;&lt;D xsi:type="xsd:long"&gt;42373&lt;/D&gt;&lt;D xsi:type="xsd:long"&gt;42369&lt;/D&gt;&lt;D xsi:type="xsd:long"&gt;42368&lt;/D&gt;&lt;D xsi:type="xsd:long"&gt;42367&lt;/D&gt;&lt;D xsi:type="xsd:long"&gt;42366&lt;/D&gt;&lt;D xsi:type="xsd:long"&gt;42362&lt;/D&gt;&lt;D xsi:type="xsd:long"&gt;42361&lt;/D&gt;&lt;D xsi:type="xsd:long"&gt;42360&lt;/D&gt;&lt;D xsi:type="xsd:long"&gt;42359&lt;/D&gt;&lt;D xsi:type="xsd:long"&gt;42356&lt;/D&gt;&lt;D xsi:type="xsd:long"&gt;42355&lt;/D&gt;&lt;D xsi:type="xsd:long"&gt;42354&lt;/D&gt;&lt;D xsi:type="xsd:long"&gt;42353&lt;/D&gt;&lt;D xsi:type="xsd:long"&gt;42352&lt;/D&gt;&lt;D xsi:type="xsd:long"&gt;42349&lt;/D&gt;&lt;D xsi:type="xsd:long"&gt;42348&lt;/D&gt;&lt;D xsi:type="xsd:long"&gt;42347&lt;/D&gt;&lt;D xsi:type="xsd:long"&gt;42346&lt;/D&gt;&lt;D xsi:type="xsd:long"&gt;42345&lt;/D&gt;&lt;D xsi:type="xsd:long"&gt;42342&lt;/D&gt;&lt;D xsi:type="xsd:long"&gt;42341&lt;/D&gt;&lt;D xsi:type="xsd:long"&gt;42340&lt;/D&gt;&lt;D xsi:type="xsd:long"&gt;42339&lt;/D&gt;&lt;D xsi:type="xsd:long"&gt;42338&lt;/D&gt;&lt;D xsi:type="xsd:long"&gt;42335&lt;/D&gt;&lt;D xsi:type="xsd:long"&gt;42333&lt;/D&gt;&lt;D xsi:type="xsd:long"&gt;42332&lt;/D&gt;&lt;D xsi:type="xsd:long"&gt;42331&lt;/D&gt;&lt;D xsi:type="xsd:long"&gt;42328&lt;/D&gt;&lt;D xsi:type="xsd:long"&gt;42327&lt;/D&gt;&lt;D xsi:type="xsd:long"&gt;42326&lt;/D&gt;&lt;D xsi:type="xsd:long"&gt;42325&lt;/D&gt;&lt;D xsi:type="xsd:long"&gt;42324&lt;/D&gt;&lt;D xsi:type="xsd:long"&gt;42321&lt;/D&gt;&lt;D xsi:type="xsd:long"&gt;42320&lt;/D&gt;&lt;D xsi:type="xsd:long"&gt;42319&lt;/D&gt;&lt;D xsi:type="xsd:long"&gt;42318&lt;/D&gt;&lt;D xsi:type="xsd:long"&gt;42317&lt;/D&gt;&lt;D xsi:type="xsd:long"&gt;42314&lt;/D&gt;&lt;D xsi:type="xsd:long"&gt;42313&lt;/D&gt;&lt;D xsi:type="xsd:long"&gt;42312&lt;/D&gt;&lt;D xsi:type="xsd:long"&gt;42311&lt;/D&gt;&lt;D xsi:type="xsd:long"&gt;42310&lt;/D&gt;&lt;D xsi:type="xsd:long"&gt;42307&lt;/D&gt;&lt;D xsi:type="xsd:long"&gt;42306&lt;/D&gt;&lt;D xsi:type="xsd:long"&gt;42305&lt;/D&gt;&lt;D xsi:type="xsd:long"&gt;42304&lt;/D&gt;&lt;D xsi:type="xsd:long"&gt;42303&lt;/D&gt;&lt;D xsi:type="xsd:long"&gt;42300&lt;/D&gt;&lt;D xsi:type="xsd:long"&gt;42299&lt;/D&gt;&lt;D xsi:type="xsd:long"&gt;42298&lt;/D&gt;&lt;D xsi:type="xsd:long"&gt;42297&lt;/D&gt;&lt;D xsi:type="xsd:long"&gt;42296&lt;/D&gt;&lt;D xsi:type="xsd:long"&gt;42293&lt;/D&gt;&lt;D xsi:type="xsd:long"&gt;42292&lt;/D&gt;&lt;D xsi:type="xsd:long"&gt;42291&lt;/D&gt;&lt;D xsi:type="xsd:long"&gt;42290&lt;/D&gt;&lt;D xsi:type="xsd:long"&gt;42289&lt;/D&gt;&lt;D xsi:type="xsd:long"&gt;42286&lt;/D&gt;&lt;D xsi:type="xsd:long"&gt;42285&lt;/D&gt;&lt;D xsi:type="xsd:long"&gt;42284&lt;/D&gt;&lt;D xsi:type="xsd:long"&gt;42283&lt;/D&gt;&lt;D xsi:type="xsd:long"&gt;42282&lt;/D&gt;&lt;D xsi:type="xsd:long"&gt;42279&lt;/D&gt;&lt;D xsi:type="xsd:long"&gt;42278&lt;/D&gt;&lt;D xsi:type="xsd:long"&gt;42277&lt;/D&gt;&lt;D xsi:type="xsd:long"&gt;42276&lt;/D&gt;&lt;D xsi:type="xsd:long"&gt;42275&lt;/D&gt;&lt;D xsi:type="xsd:long"&gt;42272&lt;/D&gt;&lt;D xsi:type="xsd:long"&gt;42271&lt;/D&gt;&lt;D xsi:type="xsd:long"&gt;42270&lt;/D&gt;&lt;D xsi:type="xsd:long"&gt;42269&lt;/D&gt;&lt;D xsi:type="xsd:long"&gt;42268&lt;/D&gt;&lt;D xsi:type="xsd:long"&gt;42265&lt;/D&gt;&lt;D xsi:type="xsd:long"&gt;42264&lt;/D&gt;&lt;D xsi:type="xsd:long"&gt;42263&lt;/D&gt;&lt;D xsi:type="xsd:long"&gt;42262&lt;/D&gt;&lt;D xsi:type="xsd:long"&gt;42261&lt;/D&gt;&lt;D xsi:type="xsd:long"&gt;42258&lt;/D&gt;&lt;D xsi:type="xsd:long"&gt;42257&lt;/D&gt;</t>
        </r>
      </text>
    </comment>
    <comment ref="A26" authorId="0" shapeId="0">
      <text>
        <r>
          <rPr>
            <b/>
            <sz val="9"/>
            <color indexed="81"/>
            <rFont val="Tahoma"/>
            <family val="2"/>
          </rPr>
          <t>&lt;D xsi:type="xsd:long"&gt;42256&lt;/D&gt;&lt;D xsi:type="xsd:long"&gt;42255&lt;/D&gt;&lt;D xsi:type="xsd:long"&gt;42251&lt;/D&gt;&lt;D xsi:type="xsd:long"&gt;42250&lt;/D&gt;&lt;D xsi:type="xsd:long"&gt;42249&lt;/D&gt;&lt;D xsi:type="xsd:long"&gt;42248&lt;/D&gt;&lt;D xsi:type="xsd:long"&gt;42247&lt;/D&gt;&lt;D xsi:type="xsd:long"&gt;42244&lt;/D&gt;&lt;D xsi:type="xsd:long"&gt;42243&lt;/D&gt;&lt;D xsi:type="xsd:long"&gt;42242&lt;/D&gt;&lt;D xsi:type="xsd:long"&gt;42241&lt;/D&gt;&lt;D xsi:type="xsd:long"&gt;42240&lt;/D&gt;&lt;D xsi:type="xsd:long"&gt;42237&lt;/D&gt;&lt;D xsi:type="xsd:long"&gt;42236&lt;/D&gt;&lt;D xsi:type="xsd:long"&gt;42235&lt;/D&gt;&lt;D xsi:type="xsd:long"&gt;42234&lt;/D&gt;&lt;D xsi:type="xsd:long"&gt;42233&lt;/D&gt;&lt;D xsi:type="xsd:long"&gt;42230&lt;/D&gt;&lt;D xsi:type="xsd:long"&gt;42229&lt;/D&gt;&lt;D xsi:type="xsd:long"&gt;42228&lt;/D&gt;&lt;D xsi:type="xsd:long"&gt;42227&lt;/D&gt;&lt;D xsi:type="xsd:long"&gt;42226&lt;/D&gt;&lt;D xsi:type="xsd:long"&gt;42223&lt;/D&gt;&lt;D xsi:type="xsd:long"&gt;42222&lt;/D&gt;&lt;D xsi:type="xsd:long"&gt;42221&lt;/D&gt;&lt;D xsi:type="xsd:long"&gt;42220&lt;/D&gt;&lt;D xsi:type="xsd:long"&gt;42219&lt;/D&gt;&lt;D xsi:type="xsd:long"&gt;42216&lt;/D&gt;&lt;D xsi:type="xsd:long"&gt;42215&lt;/D&gt;&lt;D xsi:type="xsd:long"&gt;42214&lt;/D&gt;&lt;D xsi:type="xsd:long"&gt;42213&lt;/D&gt;&lt;D xsi:type="xsd:long"&gt;42212&lt;/D&gt;&lt;D xsi:type="xsd:long"&gt;42209&lt;/D&gt;&lt;D xsi:type="xsd:long"&gt;42208&lt;/D&gt;&lt;D xsi:type="xsd:long"&gt;42207&lt;/D&gt;&lt;D xsi:type="xsd:long"&gt;42206&lt;/D&gt;&lt;D xsi:type="xsd:long"&gt;42205&lt;/D&gt;&lt;D xsi:type="xsd:long"&gt;42202&lt;/D&gt;&lt;D xsi:type="xsd:long"&gt;42201&lt;/D&gt;&lt;D xsi:type="xsd:long"&gt;42200&lt;/D&gt;&lt;D xsi:type="xsd:long"&gt;42199&lt;/D&gt;&lt;D xsi:type="xsd:long"&gt;42198&lt;/D&gt;&lt;D xsi:type="xsd:long"&gt;42195&lt;/D&gt;&lt;D xsi:type="xsd:long"&gt;42194&lt;/D&gt;&lt;D xsi:type="xsd:long"&gt;42193&lt;/D&gt;&lt;D xsi:type="xsd:long"&gt;42192&lt;/D&gt;&lt;D xsi:type="xsd:long"&gt;42191&lt;/D&gt;&lt;D xsi:type="xsd:long"&gt;42187&lt;/D&gt;&lt;D xsi:type="xsd:long"&gt;42186&lt;/D&gt;&lt;D xsi:type="xsd:long"&gt;42185&lt;/D&gt;&lt;D xsi:type="xsd:long"&gt;42184&lt;/D&gt;&lt;D xsi:type="xsd:long"&gt;42181&lt;/D&gt;&lt;D xsi:type="xsd:long"&gt;42180&lt;/D&gt;&lt;D xsi:type="xsd:long"&gt;42179&lt;/D&gt;&lt;D xsi:type="xsd:long"&gt;42178&lt;/D&gt;&lt;D xsi:type="xsd:long"&gt;42177&lt;/D&gt;&lt;D xsi:type="xsd:long"&gt;42174&lt;/D&gt;&lt;D xsi:type="xsd:long"&gt;42173&lt;/D&gt;&lt;D xsi:type="xsd:long"&gt;42172&lt;/D&gt;&lt;D xsi:type="xsd:long"&gt;42171&lt;/D&gt;&lt;D xsi:type="xsd:long"&gt;42170&lt;/D&gt;&lt;D xsi:type="xsd:long"&gt;42167&lt;/D&gt;&lt;D xsi:type="xsd:long"&gt;42166&lt;/D&gt;&lt;D xsi:type="xsd:long"&gt;42165&lt;/D&gt;&lt;D xsi:type="xsd:long"&gt;42164&lt;/D&gt;&lt;D xsi:type="xsd:long"&gt;42163&lt;/D&gt;&lt;D xsi:type="xsd:long"&gt;42160&lt;/D&gt;&lt;D xsi:type="xsd:long"&gt;42159&lt;/D&gt;&lt;D xsi:type="xsd:long"&gt;42158&lt;/D&gt;&lt;D xsi:type="xsd:long"&gt;42157&lt;/D&gt;&lt;D xsi:type="xsd:long"&gt;42156&lt;/D&gt;&lt;D xsi:type="xsd:long"&gt;42153&lt;/D&gt;&lt;D xsi:type="xsd:long"&gt;42152&lt;/D&gt;&lt;D xsi:type="xsd:long"&gt;42151&lt;/D&gt;&lt;D xsi:type="xsd:long"&gt;42150&lt;/D&gt;&lt;D xsi:type="xsd:long"&gt;42146&lt;/D&gt;&lt;D xsi:type="xsd:long"&gt;42145&lt;/D&gt;&lt;D xsi:type="xsd:long"&gt;42144&lt;/D&gt;&lt;D xsi:type="xsd:long"&gt;42143&lt;/D&gt;&lt;D xsi:type="xsd:long"&gt;42142&lt;/D&gt;&lt;D xsi:type="xsd:long"&gt;42139&lt;/D&gt;&lt;D xsi:type="xsd:long"&gt;42138&lt;/D&gt;&lt;D xsi:type="xsd:long"&gt;42137&lt;/D&gt;&lt;D xsi:type="xsd:long"&gt;42136&lt;/D&gt;&lt;D xsi:type="xsd:long"&gt;42135&lt;/D&gt;&lt;D xsi:type="xsd:long"&gt;42132&lt;/D&gt;&lt;D xsi:type="xsd:long"&gt;42131&lt;/D&gt;&lt;D xsi:type="xsd:long"&gt;42130&lt;/D&gt;&lt;D xsi:type="xsd:long"&gt;42129&lt;/D&gt;&lt;D xsi:type="xsd:long"&gt;42128&lt;/D&gt;&lt;D xsi:type="xsd:long"&gt;42125&lt;/D&gt;&lt;D xsi:type="xsd:long"&gt;42124&lt;/D&gt;&lt;D xsi:type="xsd:long"&gt;42123&lt;/D&gt;&lt;D xsi:type="xsd:long"&gt;42122&lt;/D&gt;&lt;D xsi:type="xsd:long"&gt;42121&lt;/D&gt;&lt;D xsi:type="xsd:long"&gt;42118&lt;/D&gt;&lt;D xsi:type="xsd:long"&gt;42117&lt;/D&gt;&lt;D xsi:type="xsd:long"&gt;42116&lt;/D&gt;&lt;D xsi:type="xsd:long"&gt;42115&lt;/D&gt;&lt;D xsi:type="xsd:long"&gt;42114&lt;/D&gt;&lt;D xsi:type="xsd:long"&gt;42111&lt;/D&gt;&lt;D xsi:type="xsd:long"&gt;42110&lt;/D&gt;&lt;D xsi:type="xsd:long"&gt;42109&lt;/D&gt;&lt;D xsi:type="xsd:long"&gt;42108&lt;/D&gt;&lt;D xsi:type="xsd:long"&gt;42107&lt;/D&gt;&lt;D xsi:type="xsd:long"&gt;42104&lt;/D&gt;&lt;D xsi:type="xsd:long"&gt;42103&lt;/D&gt;&lt;D xsi:type="xsd:long"&gt;42102&lt;/D&gt;&lt;D xsi:type="xsd:long"&gt;42101&lt;/D&gt;&lt;D xsi:type="xsd:long"&gt;42100&lt;/D&gt;&lt;D xsi:type="xsd:long"&gt;42096&lt;/D&gt;&lt;D xsi:type="xsd:long"&gt;42095&lt;/D&gt;&lt;D xsi:type="xsd:long"&gt;42094&lt;/D&gt;&lt;D xsi:type="xsd:long"&gt;42093&lt;/D&gt;&lt;D xsi:type="xsd:long"&gt;42090&lt;/D&gt;&lt;D xsi:type="xsd:long"&gt;42089&lt;/D&gt;&lt;D xsi:type="xsd:long"&gt;42088&lt;/D&gt;&lt;D xsi:type="xsd:long"&gt;42087&lt;/D&gt;&lt;D xsi:type="xsd:long"&gt;42086&lt;/D&gt;&lt;D xsi:type="xsd:long"&gt;42083&lt;/D&gt;&lt;D xsi:type="xsd:long"&gt;42082&lt;/D&gt;&lt;D xsi:type="xsd:long"&gt;42081&lt;/D&gt;&lt;D xsi:type="xsd:long"&gt;42080&lt;/D&gt;&lt;D xsi:type="xsd:long"&gt;42079&lt;/D&gt;&lt;D xsi:type="xsd:long"&gt;42076&lt;/D&gt;&lt;D xsi:type="xsd:long"&gt;42075&lt;/D&gt;&lt;D xsi:type="xsd:long"&gt;42074&lt;/D&gt;&lt;D xsi:type="xsd:long"&gt;42073&lt;/D&gt;&lt;D xsi:type="xsd:long"&gt;42072&lt;/D&gt;&lt;D xsi:type="xsd:long"&gt;42069&lt;/D&gt;&lt;D xsi:type="xsd:long"&gt;42068&lt;/D&gt;&lt;D xsi:type="xsd:long"&gt;42067&lt;/D&gt;&lt;D xsi:type="xsd:long"&gt;42066&lt;/D&gt;&lt;D xsi:type="xsd:long"&gt;42065&lt;/D&gt;&lt;D xsi:type="xsd:long"&gt;42062&lt;/D&gt;&lt;D xsi:type="xsd:long"&gt;42061&lt;/D&gt;&lt;D xsi:type="xsd:long"&gt;42060&lt;/D&gt;&lt;D xsi:type="xsd:long"&gt;42059&lt;/D&gt;&lt;D xsi:type="xsd:long"&gt;42058&lt;/D&gt;&lt;D xsi:type="xsd:long"&gt;42055&lt;/D&gt;&lt;D xsi:type="xsd:long"&gt;42054&lt;/D&gt;&lt;D xsi:type="xsd:long"&gt;42053&lt;/D&gt;&lt;D xsi:type="xsd:long"&gt;42052&lt;/D&gt;&lt;D xsi:type="xsd:long"&gt;42048&lt;/D&gt;&lt;D xsi:type="xsd:long"&gt;42047&lt;/D&gt;&lt;D xsi:type="xsd:long"&gt;42046&lt;/D&gt;&lt;D xsi:type="xsd:long"&gt;42045&lt;/D&gt;&lt;D xsi:type="xsd:long"&gt;42044&lt;/D&gt;&lt;D xsi:type="xsd:long"&gt;42041&lt;/D&gt;&lt;D xsi:type="xsd:long"&gt;42040&lt;/D&gt;&lt;D xsi:type="xsd:long"&gt;42039&lt;/D&gt;&lt;D xsi:type="xsd:long"&gt;42038&lt;/D&gt;&lt;D xsi:type="xsd:long"&gt;42037&lt;/D&gt;&lt;D xsi:type="xsd:long"&gt;42034&lt;/D&gt;&lt;D xsi:type="xsd:long"&gt;42033&lt;/D&gt;&lt;D xsi:type="xsd:long"&gt;42032&lt;/D&gt;&lt;D xsi:type="xsd:long"&gt;42031&lt;/D&gt;&lt;D xsi:type="xsd:long"&gt;42030&lt;/D&gt;&lt;D xsi:type="xsd:long"&gt;42027&lt;/D&gt;&lt;D xsi:type="xsd:long"&gt;42026&lt;/D&gt;&lt;D xsi:type="xsd:long"&gt;42025&lt;/D&gt;&lt;D xsi:type="xsd:long"&gt;42024&lt;/D&gt;&lt;D xsi:type="xsd:long"&gt;42020&lt;/D&gt;&lt;D xsi:type="xsd:long"&gt;42019&lt;/D&gt;&lt;D xsi:type="xsd:long"&gt;42018&lt;/D&gt;&lt;D xsi:type="xsd:long"&gt;42017&lt;/D&gt;&lt;D xsi:type="xsd:long"&gt;42016&lt;/D&gt;&lt;D xsi:type="xsd:long"&gt;42013&lt;/D&gt;&lt;D xsi:type="xsd:long"&gt;42012&lt;/D&gt;&lt;D xsi:type="xsd:long"&gt;42011&lt;/D&gt;&lt;D xsi:type="xsd:long"&gt;42010&lt;/D&gt;&lt;D xsi:type="xsd:long"&gt;42009&lt;/D&gt;&lt;D xsi:type="xsd:long"&gt;42006&lt;/D&gt;&lt;D xsi:type="xsd:long"&gt;42004&lt;/D&gt;&lt;D xsi:type="xsd:long"&gt;42003&lt;/D&gt;&lt;D xsi:type="xsd:long"&gt;42002&lt;/D&gt;&lt;D xsi:type="xsd:long"&gt;41999&lt;/D&gt;&lt;D xsi:type="xsd:long"&gt;41997&lt;/D&gt;&lt;D xsi:type="xsd:long"&gt;41996&lt;/D&gt;&lt;D xsi:type="xsd:long"&gt;41995&lt;/D&gt;&lt;D xsi:type="xsd:long"&gt;41992&lt;/D&gt;&lt;D xsi:type="xsd:long"&gt;41991&lt;/D&gt;&lt;D xsi:type="xsd:long"&gt;41990&lt;/D&gt;&lt;D xsi:type="xsd:long"&gt;41989&lt;/D&gt;&lt;D xsi:type="xsd:long"&gt;41988&lt;/D&gt;&lt;D xsi:type="xsd:long"&gt;41985&lt;/D&gt;&lt;D xsi:type="xsd:long"&gt;41984&lt;/D&gt;&lt;D xsi:type="xsd:long"&gt;41983&lt;/D&gt;&lt;D xsi:type="xsd:long"&gt;41982&lt;/D&gt;&lt;D xsi:type="xsd:long"&gt;41981&lt;/D&gt;&lt;D xsi:type="xsd:long"&gt;41978&lt;/D&gt;&lt;D xsi:type="xsd:long"&gt;41977&lt;/D&gt;&lt;D xsi:type="xsd:long"&gt;41976&lt;/D&gt;&lt;D xsi:type="xsd:long"&gt;41975&lt;/D&gt;&lt;D xsi:type="xsd:long"&gt;41974&lt;/D&gt;&lt;D xsi:type="xsd:long"&gt;41971&lt;/D&gt;&lt;D xsi:type="xsd:long"&gt;41969&lt;/D&gt;&lt;D xsi:type="xsd:long"&gt;41968&lt;/D&gt;&lt;D xsi:type="xsd:long"&gt;41967&lt;/D&gt;&lt;D xsi:type="xsd:long"&gt;41964&lt;/D&gt;&lt;D xsi:type="xsd:long"&gt;41963&lt;/D&gt;&lt;D xsi:type="xsd:long"&gt;41962&lt;/D&gt;&lt;D xsi:type="xsd:long"&gt;41961&lt;/D&gt;&lt;D xsi:type="xsd:long"&gt;41960&lt;/D&gt;&lt;D xsi:type="xsd:long"&gt;41957&lt;/D&gt;&lt;D xsi:type="xsd:long"&gt;41956&lt;/D&gt;&lt;D xsi:type="xsd:long"&gt;41955&lt;/D&gt;&lt;D xsi:type="xsd:long"&gt;41954&lt;/D&gt;&lt;D xsi:type="xsd:long"&gt;41953&lt;/D&gt;&lt;D xsi:type="xsd:long"&gt;41950&lt;/D&gt;&lt;D xsi:type="xsd:long"&gt;41949&lt;/D&gt;&lt;D xsi:type="xsd:long"&gt;41948&lt;/D&gt;&lt;D xsi:type="xsd:long"&gt;41947&lt;/D&gt;&lt;D xsi:type="xsd:long"&gt;41946&lt;/D&gt;&lt;D xsi:type="xsd:long"&gt;41943&lt;/D&gt;&lt;D xsi:type="xsd:long"&gt;41942&lt;/D&gt;&lt;D xsi:type="xsd:long"&gt;41941&lt;/D&gt;&lt;D xsi:type="xsd:long"&gt;41940&lt;/D&gt;&lt;D xsi:type="xsd:long"&gt;41939&lt;/D&gt;&lt;D xsi:type="xsd:long"&gt;41936&lt;/D&gt;&lt;D xsi:type="xsd:long"&gt;41935&lt;/D&gt;&lt;D xsi:type="xsd:long"&gt;41934&lt;/D&gt;&lt;D xsi:type="xsd:long"&gt;41933&lt;/D&gt;&lt;D xsi:type="xsd:long"&gt;41932&lt;/D&gt;&lt;D xsi:type="xsd:long"&gt;41929&lt;/D&gt;&lt;D xsi:type="xsd:long"&gt;41928&lt;/D&gt;&lt;D xsi:type="xsd:long"&gt;41927&lt;/D&gt;&lt;D xsi:type="xsd:long"&gt;41926&lt;/D&gt;&lt;D xsi:type="xsd:long"&gt;41925&lt;/D&gt;&lt;D xsi:type="xsd:long"&gt;41922&lt;/D&gt;&lt;D xsi:type="xsd:long"&gt;41921&lt;/D&gt;&lt;D xsi:type="xsd:long"&gt;41920&lt;/D&gt;&lt;D xsi:type="xsd:long"&gt;41919&lt;/D&gt;&lt;D xsi:type="xsd:long"&gt;41918&lt;/D&gt;&lt;D xsi:type="xsd:long"&gt;41915&lt;/D&gt;&lt;D xsi:type="xsd:long"&gt;41914&lt;/D&gt;&lt;D xsi:type="xsd:long"&gt;41913&lt;/D&gt;&lt;D xsi:type="xsd:long"&gt;41912&lt;/D&gt;&lt;D xsi:type="xsd:long"&gt;41911&lt;/D&gt;&lt;D xsi:type="xsd:long"&gt;41908&lt;/D&gt;&lt;D xsi:type="xsd:long"&gt;41907&lt;/D&gt;&lt;D xsi:type="xsd:long"&gt;41906&lt;/D&gt;&lt;D xsi:type="xsd:long"&gt;41905&lt;/D&gt;&lt;D xsi:type="xsd:long"&gt;41904&lt;/D&gt;&lt;D xsi:type="xsd:long"&gt;41901&lt;/D&gt;&lt;D xsi:type="xsd:long"&gt;41900&lt;/D&gt;&lt;D xsi:type="xsd:long"&gt;41899&lt;/D&gt;&lt;D xsi:type="xsd:long"&gt;41898&lt;/D&gt;&lt;D xsi:type="xsd:long"&gt;41897&lt;/D&gt;&lt;D xsi:type="xsd:long"&gt;41894&lt;/D&gt;&lt;D xsi:type="xsd:long"&gt;41893&lt;/D&gt;&lt;D xsi:type="xsd:long"&gt;41892&lt;/D&gt;&lt;D xsi:type="xsd:long"&gt;41891&lt;/D&gt;&lt;D xsi:type="xsd:long"&gt;41890&lt;/D&gt;&lt;D xsi:type="xsd:long"&gt;41887&lt;/D&gt;&lt;D xsi:type="xsd:long"&gt;41886&lt;/D&gt;&lt;D xsi:type="xsd:long"&gt;41885&lt;/D&gt;&lt;D xsi:type="xsd:long"&gt;41884&lt;/D&gt;&lt;D xsi:type="xsd:long"&gt;41880&lt;/D&gt;&lt;D xsi:type="xsd:long"&gt;41879&lt;/D&gt;&lt;D xsi:type="xsd:long"&gt;41878&lt;/D&gt;&lt;D xsi:type="xsd:long"&gt;41877&lt;/D&gt;&lt;D xsi:type="xsd:long"&gt;41876&lt;/D&gt;&lt;D xsi:type="xsd:long"&gt;41873&lt;/D&gt;&lt;D xsi:type="xsd:long"&gt;41872&lt;/D&gt;&lt;D xsi:type="xsd:long"&gt;41871&lt;/D&gt;&lt;D xsi:type="xsd:long"&gt;41870&lt;/D&gt;&lt;D xsi:type="xsd:long"&gt;41869&lt;/D&gt;&lt;D xsi:type="xsd:long"&gt;41866&lt;/D&gt;&lt;D xsi:type="xsd:long"&gt;41865&lt;/D&gt;&lt;D xsi:type="xsd:long"&gt;41864&lt;/D&gt;&lt;D xsi:type="xsd:long"&gt;41863&lt;/D&gt;&lt;D xsi:type="xsd:long"&gt;41862&lt;/D&gt;&lt;D xsi:type="xsd:long"&gt;41859&lt;/D&gt;&lt;D xsi:type="xsd:long"&gt;41858&lt;/D&gt;&lt;D xsi:type="xsd:long"&gt;41857&lt;/D&gt;&lt;D xsi:type="xsd:long"&gt;41856&lt;/D&gt;&lt;D xsi:type="xsd:long"&gt;41855&lt;/D&gt;&lt;D xsi:type="xsd:long"&gt;41852&lt;/D&gt;&lt;D xsi:type="xsd:long"&gt;41851&lt;/D&gt;&lt;D xsi:type="xsd:long"&gt;41850&lt;/D&gt;&lt;D xsi:type="xsd:long"&gt;41849&lt;/D&gt;&lt;D xsi:type="xsd:long"&gt;41848&lt;/D&gt;&lt;D xsi:type="xsd:long"&gt;41845&lt;/D&gt;&lt;D xsi:type="xsd:long"&gt;41844&lt;/D&gt;&lt;D xsi:type="xsd:long"&gt;41843&lt;/D&gt;&lt;D xsi:type="xsd:long"&gt;41842&lt;/D&gt;&lt;D xsi:type="xsd:long"&gt;41841&lt;/D&gt;&lt;D xsi:type="xsd:long"&gt;41838&lt;/D&gt;&lt;D xsi:type="xsd:long"&gt;41837&lt;/D&gt;&lt;D xsi:type="xsd:long"&gt;41836&lt;/D&gt;&lt;D xsi:type="xsd:long"&gt;41835&lt;/D&gt;&lt;D xsi:type="xsd:long"&gt;41834&lt;/D&gt;&lt;D xsi:type="xsd:long"&gt;41831&lt;/D&gt;&lt;D xsi:type="xsd:long"&gt;41830&lt;/D&gt;&lt;D xsi:type="xsd:long"&gt;41829&lt;/D&gt;&lt;D xsi:type="xsd:long"&gt;41828&lt;/D&gt;&lt;D xsi:type="xsd:long"&gt;41827&lt;/D&gt;&lt;D xsi:type="xsd:long"&gt;41823&lt;/D&gt;&lt;D xsi:type="xsd:long"&gt;41822&lt;/D&gt;&lt;D xsi:type="xsd:long"&gt;41821&lt;/D&gt;&lt;D xsi:type="xsd:long"&gt;41820&lt;/D&gt;&lt;D xsi:type="xsd:long"&gt;41817&lt;/D&gt;&lt;D xsi:type="xsd:long"&gt;41816&lt;/D&gt;&lt;D xsi:type="xsd:long"&gt;41815&lt;/D&gt;&lt;D xsi:type="xsd:long"&gt;41814&lt;/D&gt;&lt;D xsi:type="xsd:long"&gt;41813&lt;/D&gt;&lt;D xsi:type="xsd:long"&gt;41810&lt;/D&gt;&lt;D xsi:type="xsd:long"&gt;41809&lt;/D&gt;&lt;D xsi:type="xsd:long"&gt;41808&lt;/D&gt;&lt;D xsi:type="xsd:long"&gt;41807&lt;/D&gt;&lt;D xsi:type="xsd:long"&gt;41806&lt;/D&gt;&lt;D xsi:type="xsd:long"&gt;41803&lt;/D&gt;&lt;D xsi:type="xsd:long"&gt;41802&lt;/D&gt;&lt;D xsi:type="xsd:long"&gt;41801&lt;/D&gt;&lt;D xsi:type="xsd:long"&gt;41800&lt;/D&gt;&lt;D xsi:type="xsd:long"&gt;41799&lt;/D&gt;&lt;D xsi:type="xsd:long"&gt;41796&lt;/D&gt;&lt;D xsi:type="xsd:long"&gt;41795&lt;/D&gt;&lt;D xsi:type="xsd:long"&gt;41794&lt;/D&gt;&lt;D xsi:type="xsd:long"&gt;41793&lt;/D&gt;&lt;D xsi:type="xsd:long"&gt;41792&lt;/D&gt;&lt;D xsi:type="xsd:long"&gt;41789&lt;/D&gt;&lt;D xsi:type="xsd:long"&gt;41788&lt;/D&gt;&lt;D xsi:type="xsd:long"&gt;41787&lt;/D&gt;&lt;D xsi:type="xsd:long"&gt;41786&lt;/D&gt;&lt;D xsi:type="xsd:long"&gt;41782&lt;/D&gt;&lt;D xsi:type="xsd:long"&gt;41781&lt;/D&gt;&lt;D xsi:type="xsd:long"&gt;41780&lt;/D&gt;&lt;D xsi:type="xsd:long"&gt;41779&lt;/D&gt;&lt;D xsi:type="xsd:long"&gt;41778&lt;/D&gt;&lt;D xsi:type="xsd:long"&gt;41775&lt;/D&gt;&lt;D xsi:type="xsd:long"&gt;41774&lt;/D&gt;&lt;D xsi:type="xsd:long"&gt;41773&lt;/D&gt;&lt;D xsi:type="xsd:long"&gt;41772&lt;/D&gt;&lt;D xsi:type="xsd:long"&gt;41771&lt;/D&gt;&lt;D xsi:type="xsd:long"&gt;41768&lt;/D&gt;&lt;D xsi:type="xsd:long"&gt;41767&lt;/D&gt;&lt;D xsi:type="xsd:long"&gt;41766&lt;/D&gt;&lt;D xsi:type="xsd:long"&gt;41765&lt;/D&gt;&lt;D xsi:type="xsd:long"&gt;41764&lt;/D&gt;&lt;D xsi:type="xsd:long"&gt;41761&lt;/D&gt;&lt;D xsi:type="xsd:long"&gt;41760&lt;/D&gt;&lt;D xsi:type="xsd:long"&gt;41759&lt;/D&gt;&lt;D xsi:type="xsd:long"&gt;41758&lt;/D&gt;&lt;D xsi:type="xsd:long"&gt;41757&lt;/D&gt;&lt;D xsi:type="xsd:long"&gt;41754&lt;/D&gt;&lt;D xsi:type="xsd:long"&gt;41753&lt;/D&gt;&lt;D xsi:type="xsd:long"&gt;41752&lt;/D&gt;&lt;D xsi:type="xsd:long"&gt;41751&lt;/D&gt;&lt;D xsi:type="xsd:long"&gt;41750&lt;/D&gt;&lt;D xsi:type="xsd:long"&gt;41746&lt;/D&gt;&lt;D xsi:type="xsd:long"&gt;41745&lt;/D&gt;&lt;D xsi:type="xsd:long"&gt;41744&lt;/D&gt;&lt;D xsi:type="xsd:long"&gt;41743&lt;/D&gt;&lt;D xsi:type="xsd:long"&gt;41740&lt;/D&gt;&lt;D xsi:type="xsd:long"&gt;41739&lt;/D&gt;&lt;D xsi:type="xsd:long"&gt;41738&lt;/D&gt;&lt;D xsi:type="xsd:long"&gt;41737&lt;/D&gt;&lt;D xsi:type="xsd:long"&gt;41736&lt;/D&gt;&lt;D xsi:type="xsd:long"&gt;41733&lt;/D&gt;&lt;D xsi:type="xsd:long"&gt;41732&lt;/D&gt;&lt;D xsi:type="xsd:long"&gt;41731&lt;/D&gt;&lt;D xsi:type="xsd:long"&gt;41730&lt;/D&gt;&lt;D xsi:type="xsd:long"&gt;41729&lt;/D&gt;&lt;D xsi:type="xsd:long"&gt;41726&lt;/D&gt;&lt;D xsi:type="xsd:long"&gt;41725&lt;/D&gt;&lt;D xsi:type="xsd:long"&gt;41724&lt;/D&gt;&lt;D xsi:type="xsd:long"&gt;41723&lt;/D&gt;&lt;D xsi:type="xsd:long"&gt;41722&lt;/D&gt;&lt;D xsi:type="xsd:long"&gt;41719&lt;/D&gt;&lt;D xsi:type="xsd:long"&gt;41718&lt;/D&gt;&lt;D xsi:type="xsd:long"&gt;41717&lt;/D&gt;&lt;D xsi:type="xsd:long"&gt;41716&lt;/D&gt;&lt;D xsi:type="xsd:long"&gt;41715&lt;/D&gt;&lt;D xsi:type="xsd:long"&gt;41712&lt;/D&gt;&lt;D xsi:type="xsd:long"&gt;41711&lt;/D&gt;&lt;D xsi:type="xsd:long"&gt;41710&lt;/D&gt;&lt;D xsi:type="xsd:long"&gt;41709&lt;/D&gt;&lt;D xsi:type="xsd:long"&gt;41708&lt;/D&gt;&lt;D xsi:type="xsd:long"&gt;41705&lt;/D&gt;&lt;D xsi:type="xsd:long"&gt;41704&lt;/D&gt;&lt;D xsi:type="xsd:long"&gt;41703&lt;/D&gt;&lt;D xsi:type="xsd:long"&gt;41702&lt;/D&gt;&lt;D xsi:type="xsd:long"&gt;41701&lt;/D&gt;&lt;D xsi:type="xsd:long"&gt;41698&lt;/D&gt;&lt;D xsi:type="xsd:long"&gt;41697&lt;/D&gt;&lt;D xsi:type="xsd:long"&gt;41696&lt;/D&gt;&lt;D xsi:type="xsd:long"&gt;41695&lt;/D&gt;&lt;D xsi:type="xsd:long"&gt;41694&lt;/D&gt;&lt;D xsi:type="xsd:long"&gt;41691&lt;/D&gt;&lt;D xsi:type="xsd:long"&gt;41690&lt;/D&gt;&lt;D xsi:type="xsd:long"&gt;41689&lt;/D&gt;&lt;D xsi:type="xsd:long"&gt;41688&lt;/D&gt;&lt;D xsi:type="xsd:long"&gt;41684&lt;/D&gt;&lt;D xsi:type="xsd:long"&gt;41683&lt;/D&gt;&lt;D xsi:type="xsd:long"&gt;41682&lt;/D&gt;&lt;D xsi:type="xsd:long"&gt;41681&lt;/D&gt;&lt;D xsi:type="xsd:long"&gt;41680&lt;/D&gt;&lt;D xsi:type="xsd:long"&gt;41677&lt;/D&gt;&lt;D xsi:type="xsd:long"&gt;41676&lt;/D&gt;&lt;D xsi:type="xsd:long"&gt;41675&lt;/D&gt;&lt;D xsi:type="xsd:long"&gt;41674&lt;/D&gt;&lt;D xsi:type="xsd:long"&gt;41673&lt;/D&gt;&lt;D xsi:type="xsd:long"&gt;41670&lt;/D&gt;&lt;D xsi:type="xsd:long"&gt;41669&lt;/D&gt;&lt;D xsi:type="xsd:long"&gt;41668&lt;/D&gt;&lt;D xsi:type="xsd:long"&gt;41667&lt;/D&gt;&lt;D xsi:type="xsd:long"&gt;41666&lt;/D&gt;&lt;D xsi:type="xsd:long"&gt;41663&lt;/D&gt;&lt;D xsi:type="xsd:long"&gt;41662&lt;/D&gt;&lt;D xsi:type="xsd:long"&gt;41661&lt;/D&gt;&lt;D xsi:type="xsd:long"&gt;41660&lt;/D&gt;&lt;D xsi:type="xsd:long"&gt;41656&lt;/D&gt;&lt;D xsi:type="xsd:long"&gt;41655&lt;/D&gt;&lt;D xsi:type="xsd:long"&gt;41654&lt;/D&gt;&lt;D xsi:type="xsd:long"&gt;41653&lt;/D&gt;&lt;D xsi:type="xsd:long"&gt;41652&lt;/D&gt;&lt;D xsi:type="xsd:long"&gt;41649&lt;/D&gt;&lt;D xsi:type="xsd:long"&gt;41648&lt;/D&gt;&lt;D xsi:type="xsd:long"&gt;41647&lt;/D&gt;&lt;D xsi:type="xsd:long"&gt;41646&lt;/D&gt;&lt;D xsi:type="xsd:long"&gt;41645&lt;/D&gt;&lt;D xsi:type="xsd:long"&gt;41642&lt;/D&gt;&lt;D xsi:type="xsd:long"&gt;41641&lt;/D&gt;&lt;D xsi:type="xsd:long"&gt;41639&lt;/D&gt;&lt;D xsi:type="xsd:long"&gt;41638&lt;/D&gt;&lt;D xsi:type="xsd:long"&gt;41635&lt;/D&gt;&lt;D xsi:type="xsd:long"&gt;41634&lt;/D&gt;&lt;D xsi:type="xsd:long"&gt;41632&lt;/D&gt;&lt;D xsi:type="xsd:long"&gt;41631&lt;/D&gt;&lt;D xsi:type="xsd:long"&gt;41628&lt;/D&gt;&lt;D xsi:type="xsd:long"&gt;41627&lt;/D&gt;&lt;D xsi:type="xsd:long"&gt;41626&lt;/D&gt;&lt;D xsi:type="xsd:long"&gt;41625&lt;/D&gt;&lt;D xsi:type="xsd:long"&gt;41624&lt;/D&gt;&lt;D xsi:type="xsd:long"&gt;41621&lt;/D&gt;&lt;D xsi:type="xsd:long"&gt;41620&lt;/D&gt;&lt;D xsi:type="xsd:long"&gt;41619&lt;/D&gt;&lt;D xsi:type="xsd:long"&gt;41618&lt;/D&gt;&lt;D xsi:type="xsd:long"&gt;41617&lt;/D&gt;&lt;D xsi:type="xsd:long"&gt;41614&lt;/D&gt;&lt;D xsi:type="xsd:long"&gt;41613&lt;/D&gt;&lt;D xsi:type="xsd:long"&gt;41612&lt;/D&gt;&lt;D xsi:type="xsd:long"&gt;41611&lt;/D&gt;&lt;D xsi:type="xsd:long"&gt;41610&lt;/D&gt;&lt;D xsi:type="xsd:long"&gt;41607&lt;/D&gt;&lt;D xsi:type="xsd:long"&gt;41605&lt;/D&gt;&lt;D xsi:type="xsd:long"&gt;41604&lt;/D&gt;&lt;D xsi:type="xsd:long"&gt;41603&lt;/D&gt;&lt;D xsi:type="xsd:long"&gt;41600&lt;/D&gt;&lt;D xsi:type="xsd:long"&gt;41599&lt;/D&gt;&lt;D xsi:type="xsd:long"&gt;41598&lt;/D&gt;&lt;D xsi:type="xsd:long"&gt;41597&lt;/D&gt;&lt;D xsi:type="xsd:long"&gt;41596&lt;/D&gt;&lt;D xsi:type="xsd:long"&gt;41593&lt;/D&gt;&lt;D xsi:type="xsd:long"&gt;41592&lt;/D&gt;&lt;D xsi:type="xsd:long"&gt;41591&lt;/D&gt;&lt;D xsi:type="xsd:long"&gt;41590&lt;/D&gt;&lt;D xsi:type="xsd:long"&gt;41589&lt;/D&gt;&lt;D xsi:type="xsd:long"&gt;41586&lt;/D&gt;&lt;D xsi:type="xsd:long"&gt;41585&lt;/D&gt;&lt;D xsi:type="xsd:long"&gt;41584&lt;/D&gt;&lt;D xsi:type="xsd:long"&gt;41583&lt;/D&gt;&lt;D xsi:type="xsd:long"&gt;41582&lt;/D&gt;&lt;D xsi:type="xsd:long"&gt;41579&lt;/D&gt;&lt;D xsi:type="xsd:long"&gt;41578&lt;/D&gt;&lt;D xsi:type="xsd:long"&gt;41577&lt;/D&gt;&lt;D xsi:type="xsd:long"&gt;41576&lt;/D&gt;&lt;D xsi:type="xsd:long"&gt;41575&lt;/D&gt;&lt;D xsi:type="xsd:long"&gt;41572&lt;/D&gt;&lt;D xsi:type="xsd:long"&gt;41571&lt;/D&gt;&lt;D xsi:type="xsd:long"&gt;41570&lt;/D&gt;&lt;D xsi:type="xsd:long"&gt;41569&lt;/D&gt;&lt;D xsi:type="xsd:long"&gt;41568&lt;/D&gt;&lt;D xsi:type="xsd:long"&gt;41565&lt;/D&gt;&lt;D xsi:type="xsd:long"&gt;41564&lt;/D&gt;&lt;D xsi:type="xsd:long"&gt;41563&lt;/D&gt;&lt;D xsi:type="xsd:long"&gt;41562&lt;/D&gt;&lt;D xsi:type="xsd:long"&gt;41561&lt;/D&gt;&lt;D xsi:type="xsd:long"&gt;41558&lt;/D&gt;&lt;D xsi:type="xsd:long"&gt;41557&lt;/D&gt;&lt;D xsi:type="xsd:long"&gt;41556&lt;/D&gt;&lt;D xsi:type="xsd:long"&gt;41555&lt;/D&gt;&lt;D xsi:type="xsd:long"&gt;41554&lt;/D&gt;&lt;D xsi:type="xsd:long"&gt;41551&lt;/D&gt;&lt;D xsi:type="xsd:long"&gt;41550&lt;/D&gt;&lt;D xsi:type="xsd:long"&gt;41549&lt;/D&gt;&lt;D xsi:type="xsd:long"&gt;41548&lt;/D&gt;&lt;D xsi:type="xsd:long"&gt;41547&lt;/D&gt;&lt;D xsi:type="xsd:long"&gt;41544&lt;/D&gt;&lt;D xsi:type="xsd:long"&gt;41543&lt;/D&gt;&lt;D xsi:type="xsd:long"&gt;41542&lt;/D&gt;&lt;D xsi:type="xsd:long"&gt;41541&lt;/D&gt;&lt;D xsi:type="xsd:long"&gt;41540&lt;/D&gt;&lt;D xsi:type="xsd:long"&gt;41537&lt;/D&gt;&lt;D xsi:type="xsd:long"&gt;41536&lt;/D&gt;&lt;D xsi:type="xsd:long"&gt;41535&lt;/D&gt;&lt;D xsi:type="xsd:long"&gt;41534&lt;/D&gt;&lt;D xsi:type="xsd:long"&gt;41533&lt;/D&gt;&lt;D xsi:type="xsd:long"&gt;41530&lt;/D&gt;&lt;D xsi:type="xsd:long"&gt;41529&lt;/D&gt;&lt;D xsi:type="xsd:long"&gt;41528&lt;/D&gt;&lt;D xsi:type="xsd:long"&gt;41527&lt;/D&gt;&lt;D xsi:type="xsd:long"&gt;41526&lt;/D&gt;&lt;D xsi:type="xsd:long"&gt;41523&lt;/D&gt;&lt;D xsi:type="xsd:long"&gt;41522&lt;/D&gt;&lt;D xsi:type="xsd:long"&gt;41521&lt;/D&gt;&lt;D xsi:type="xsd:long"&gt;41520&lt;/D&gt;&lt;D xsi:type="xsd:long"&gt;41516&lt;/D&gt;&lt;D xsi:type="xsd:long"&gt;41515&lt;/D&gt;&lt;D xsi:type="xsd:long"&gt;41514&lt;/D&gt;&lt;D xsi:type="xsd:long"&gt;41513&lt;/D&gt;&lt;D xsi:type="xsd:long"&gt;41512&lt;/D&gt;&lt;D xsi:type="xsd:long"&gt;41509&lt;/D&gt;&lt;D xsi:type="xsd:long"&gt;41508&lt;/D&gt;&lt;D xsi:type="xsd:long"&gt;41507&lt;/D&gt;&lt;D xsi:type="xsd:long"&gt;41506&lt;/D&gt;&lt;D xsi:type="xsd:long"&gt;41505&lt;/D&gt;&lt;D xsi:type="xsd:long"&gt;41502&lt;/D&gt;&lt;D xsi:type="xsd:long"&gt;41501&lt;/D&gt;&lt;D xsi:type="xsd:long"&gt;41500&lt;/D&gt;&lt;D xsi:type="xsd:long"&gt;41499&lt;/D&gt;&lt;D xsi:type="xsd:long"&gt;41498&lt;/D&gt;&lt;D xsi:type="xsd:long"&gt;41495&lt;/D&gt;&lt;D xsi:type="xsd:long"&gt;41494&lt;/D&gt;&lt;D xsi:type="xsd:long"&gt;41493&lt;/D&gt;&lt;D xsi:type="xsd:long"&gt;41492&lt;/D&gt;&lt;D xsi:type="xsd:long"&gt;41491&lt;/D&gt;&lt;D xsi:type="xsd:long"&gt;41488&lt;/D&gt;&lt;D xsi:type="xsd:long"&gt;41487&lt;/D&gt;&lt;D xsi:type="xsd:long"&gt;41486&lt;/D&gt;&lt;D xsi:type="xsd:long"&gt;41485&lt;/D&gt;&lt;D xsi:type="xsd:long"&gt;41484&lt;/D&gt;&lt;D xsi:type="xsd:long"&gt;41481&lt;/D&gt;&lt;D xsi:type="xsd:long"&gt;41480&lt;/D&gt;&lt;D xsi:type="xsd:long"&gt;41479&lt;/D&gt;&lt;D xsi:type="xsd:long"&gt;41478&lt;/D&gt;&lt;D xsi:type="xsd:long"&gt;41477&lt;/D&gt;&lt;D xsi:type="xsd:long"&gt;41474&lt;/D&gt;&lt;D xsi:type="xsd:long"&gt;41473&lt;/D&gt;&lt;D xsi:type="xsd:long"&gt;41472&lt;/D&gt;&lt;D xsi:type="xsd:long"&gt;41471&lt;/D&gt;&lt;D xsi:type="xsd:long"&gt;41470&lt;/D&gt;&lt;D xsi:type="xsd:long"&gt;41467&lt;/D&gt;&lt;D xsi:type="xsd:long"&gt;41466&lt;/D&gt;&lt;D xsi:type="xsd:long"&gt;41465&lt;/D&gt;&lt;D xsi:type="xsd:long"&gt;41464&lt;/D&gt;&lt;D xsi:type="xsd:long"&gt;41463&lt;/D&gt;&lt;D xsi:type="xsd:long"&gt;41460&lt;/D&gt;&lt;D xsi:type="xsd:long"&gt;41458&lt;/D&gt;&lt;D xsi:type="xsd:long"&gt;41457&lt;/D&gt;&lt;D xsi:type="xsd:long"&gt;41456&lt;/D&gt;&lt;D xsi:type="xsd:long"&gt;41453&lt;/D&gt;&lt;D xsi:type="xsd:long"&gt;41452&lt;/D&gt;&lt;D xsi:type="xsd:long"&gt;41451&lt;/D&gt;&lt;D xsi:type="xsd:long"&gt;41450&lt;/D&gt;&lt;D xsi:type="xsd:long"&gt;41449&lt;/D&gt;&lt;D xsi:type="xsd:long"&gt;41446&lt;/D&gt;&lt;D xsi:type="xsd:long"&gt;41445&lt;/D&gt;&lt;D xsi:type="xsd:long"&gt;41444&lt;/D&gt;&lt;D xsi:type="xsd:long"&gt;41443&lt;/D&gt;&lt;D xsi:type="xsd:long"&gt;41442&lt;/D&gt;&lt;D xsi:type="xsd:long"&gt;41439&lt;/D&gt;&lt;D xsi:type="xsd:long"&gt;41438&lt;/D&gt;&lt;D xsi:type="xsd:long"&gt;41437&lt;/D&gt;&lt;D xsi:type="xsd:long"&gt;41436&lt;/D&gt;&lt;D xsi:type="xsd:long"&gt;41435&lt;/D&gt;&lt;D xsi:type="xsd:long"&gt;41432&lt;/D&gt;&lt;D xsi:type="xsd:long"&gt;41431&lt;/D&gt;&lt;D xsi:type="xsd:long"&gt;41430&lt;/D&gt;&lt;D xsi:type="xsd:long"&gt;41429&lt;/D&gt;&lt;D xsi:type="xsd:long"&gt;41428&lt;/D&gt;&lt;D xsi:type="xsd:long"&gt;41425&lt;/D&gt;&lt;D xsi:type="xsd:long"&gt;41424&lt;/D&gt;&lt;D xsi:type="xsd:long"&gt;41423&lt;/D&gt;&lt;D xsi:type="xsd:long"&gt;41422&lt;/D&gt;&lt;D xsi:type="xsd:long"&gt;41418&lt;/D&gt;&lt;D xsi:type="xsd:long"&gt;41417&lt;/D&gt;&lt;D xsi:type="xsd:long"&gt;41416&lt;/D&gt;&lt;D xsi:type="xsd:long"&gt;41415&lt;/D&gt;&lt;D xsi:type="xsd:long"&gt;41414&lt;/D&gt;&lt;D xsi:type="xsd:long"&gt;41411&lt;/D&gt;&lt;D xsi:type="xsd:long"&gt;41410&lt;/D&gt;&lt;D xsi:type="xsd:long"&gt;41409&lt;/D&gt;&lt;D xsi:type="xsd:long"&gt;41408&lt;/D&gt;&lt;D xsi:type="xsd:long"&gt;41407&lt;/D&gt;&lt;D xsi:type="xsd:long"&gt;41404&lt;/D&gt;&lt;D xsi:type="xsd:long"&gt;41403&lt;/D&gt;&lt;D xsi:type="xsd:long"&gt;41402&lt;/D&gt;&lt;D xsi:type="xsd:long"&gt;41401&lt;/D&gt;&lt;D xsi:type="xsd:long"&gt;41400&lt;/D&gt;&lt;D xsi:type="xsd:long"&gt;41397&lt;/D&gt;&lt;D xsi:type="xsd:long"&gt;41396&lt;/D&gt;&lt;D xsi:type="xsd:long"&gt;41395&lt;/D&gt;&lt;D xsi:type="xsd:long"&gt;41394&lt;/D&gt;&lt;D xsi:type="xsd:long"&gt;41393&lt;/D&gt;&lt;D xsi:type="xsd:long"&gt;41390&lt;/D&gt;&lt;D xsi:type="xsd:long"&gt;41389&lt;/D&gt;&lt;D xsi:type="xsd:long"&gt;41388&lt;/D&gt;&lt;D xsi:type="xsd:long"&gt;41387&lt;/D&gt;&lt;D xsi:type="xsd:long"&gt;41386&lt;/D&gt;&lt;D xsi:type="xsd:long"&gt;41383&lt;/D&gt;&lt;D xsi:type="xsd:long"&gt;41382&lt;/D&gt;&lt;D xsi:type="xsd:long"&gt;41381&lt;/D&gt;&lt;D xsi:type="xsd:long"&gt;41380&lt;/D&gt;&lt;D xsi:type="xsd:long"&gt;41379&lt;/D&gt;&lt;D xsi:type="xsd:long"&gt;41376&lt;/D&gt;&lt;D xsi:type="xsd:long"&gt;41375&lt;/D&gt;&lt;D xsi:type="xsd:long"&gt;41374&lt;/D&gt;&lt;D xsi:type="xsd:long"&gt;41373&lt;/D&gt;&lt;D xsi:type="xsd:long"&gt;41372&lt;/D&gt;&lt;D xsi:type="xsd:long"&gt;41369&lt;/D&gt;&lt;D xsi:type="xsd:long"&gt;41368&lt;/D&gt;&lt;D xsi:type="xsd:long"&gt;41367&lt;/D&gt;&lt;D xsi:type="xsd:long"&gt;41366&lt;/D&gt;&lt;D xsi:type="xsd:long"&gt;41365&lt;/D&gt;&lt;D xsi:type="xsd:long"&gt;41361&lt;/D&gt;&lt;D xsi:type="xsd:long"&gt;41360&lt;/D&gt;&lt;D xsi:type="xsd:long"&gt;41359&lt;/D&gt;&lt;D xsi:type="xsd:long"&gt;41358&lt;/D&gt;&lt;D xsi:type="xsd:long"&gt;41355&lt;/D&gt;&lt;D xsi:type="xsd:long"&gt;41354&lt;/D&gt;&lt;D xsi:type="xsd:long"&gt;41353&lt;/D&gt;&lt;D xsi:type="xsd:long"&gt;41352&lt;/D&gt;&lt;D xsi:type="xsd:long"&gt;41351&lt;/D&gt;&lt;D xsi:type="xsd:long"&gt;41348&lt;/D&gt;&lt;D xsi:type="xsd:long"&gt;41347&lt;/D&gt;&lt;D xsi:type="xsd:long"&gt;41346&lt;/D&gt;&lt;D xsi:type="xsd:long"&gt;41345&lt;/D&gt;&lt;D xsi:type="xsd:long"&gt;41344&lt;/D&gt;&lt;D xsi:type="xsd:long"&gt;41341&lt;/D&gt;&lt;D xsi:type="xsd:long"&gt;41340&lt;/D&gt;&lt;D xsi:type="xsd:long"&gt;41339&lt;/D&gt;&lt;D xsi:type="xsd:long"&gt;41338&lt;/D&gt;&lt;D xsi:type="xsd:long"&gt;41337&lt;/D&gt;&lt;D xsi:type="xsd:long"&gt;41334&lt;/D&gt;&lt;D xsi:type="xsd:long"&gt;41333&lt;/D&gt;&lt;D xsi:type="xsd:long"&gt;41332&lt;/D&gt;&lt;D xsi:type="xsd:long"&gt;41331&lt;/D&gt;&lt;D xsi:type="xsd:long"&gt;41330&lt;/D&gt;&lt;D xsi:type="xsd:long"&gt;41327&lt;/D&gt;&lt;D xsi:type="xsd:long"&gt;41326&lt;/D&gt;&lt;D xsi:type="xsd:long"&gt;41325&lt;/D&gt;&lt;D xsi:type="xsd:long"&gt;41324&lt;/D&gt;&lt;D xsi:type="xsd:long"&gt;41320&lt;/D&gt;&lt;D xsi:type="xsd:long"&gt;41319&lt;/D&gt;&lt;D xsi:type="xsd:long"&gt;41318&lt;/D&gt;&lt;D xsi:type="xsd:long"&gt;41317&lt;/D&gt;&lt;D xsi:type="xsd:long"&gt;41316&lt;/D&gt;&lt;D xsi:type="xsd:long"&gt;41313&lt;/D&gt;&lt;D xsi:type="xsd:long"&gt;41312&lt;/D&gt;&lt;D xsi:type="xsd:long"&gt;41311&lt;/D&gt;&lt;D xsi:type="xsd:long"&gt;41310&lt;/D&gt;&lt;D xsi:type="xsd:long"&gt;41309&lt;/D&gt;&lt;D xsi:type="xsd:long"&gt;41306&lt;/D&gt;&lt;D xsi:type="xsd:long"&gt;41305&lt;/D&gt;&lt;D xsi:type="xsd:long"&gt;41304&lt;/D&gt;&lt;D xsi:type="xsd:long"&gt;41303&lt;/D&gt;&lt;D xsi:type="xsd:long"&gt;41302&lt;/D&gt;&lt;D xsi:type="xsd:long"&gt;41299&lt;/D&gt;&lt;D xsi:type="xsd:long"&gt;41298&lt;/D&gt;&lt;D xsi:type="xsd:long"&gt;41297&lt;/D&gt;&lt;D xsi:type="xsd:long"&gt;41296&lt;/D&gt;&lt;D xsi:type="xsd:long"&gt;41292&lt;/D&gt;&lt;D xsi:type="xsd:long"&gt;41291&lt;/D&gt;&lt;D xsi:type="xsd:long"&gt;41290&lt;/D&gt;&lt;D xsi:type="xsd:long"&gt;41289&lt;/D&gt;&lt;D xsi:type="xsd:long"&gt;41288&lt;/D&gt;&lt;D xsi:type="xsd:long"&gt;41285&lt;/D&gt;&lt;D xsi:type="xsd:long"&gt;41284&lt;/D&gt;&lt;D xsi:type="xsd:long"&gt;41283&lt;/D&gt;&lt;D xsi:type="xsd:long"&gt;41282&lt;/D&gt;&lt;D xsi:type="xsd:long"&gt;41281&lt;/D&gt;&lt;D xsi:type="xsd:long"&gt;41278&lt;/D&gt;&lt;D xsi:type="xsd:long"&gt;41277&lt;/D&gt;&lt;D xsi:type="xsd:long"&gt;41276&lt;/D&gt;&lt;D xsi:type="xsd:long"&gt;41274&lt;/D&gt;&lt;D xsi:type="xsd:long"&gt;41271&lt;/D&gt;&lt;D xsi:type="xsd:long"&gt;41270&lt;/D&gt;&lt;D xsi:type="xsd:long"&gt;41269&lt;/D&gt;&lt;D xsi:type="xsd:long"&gt;41267&lt;/D&gt;&lt;D xsi:type="xsd:long"&gt;41264&lt;/D&gt;&lt;D xsi:type="xsd:long"&gt;41263&lt;/D&gt;&lt;D xsi:type="xsd:long"&gt;41262&lt;/D&gt;&lt;D xsi:type="xsd:long"&gt;41261&lt;/D&gt;&lt;D xsi:type="xsd:long"&gt;41260&lt;/D&gt;&lt;D xsi:type="xsd:long"&gt;41257&lt;/D&gt;&lt;D xsi:type="xsd:long"&gt;41256&lt;/D&gt;&lt;D xsi:type="xsd:long"&gt;41255&lt;/D&gt;&lt;D xsi:type="xsd:long"&gt;41254&lt;/D&gt;&lt;D xsi:type="xsd:long"&gt;41253&lt;/D&gt;&lt;D xsi:type="xsd:long"&gt;41250&lt;/D&gt;&lt;D xsi:type="xsd:long"&gt;41249&lt;/D&gt;&lt;D xsi:type="xsd:long"&gt;41248&lt;/D&gt;&lt;D xsi:type="xsd:long"&gt;41247&lt;/D&gt;&lt;D xsi:type="xsd:long"&gt;41246&lt;/D&gt;&lt;D xsi:type="xsd:long"&gt;41243&lt;/D&gt;&lt;D xsi:type="xsd:long"&gt;41242&lt;/D&gt;&lt;D xsi:type="xsd:long"&gt;41241&lt;/D&gt;&lt;D xsi:type="xsd:long"&gt;41240&lt;/D&gt;&lt;D xsi:type="xsd:long"&gt;41239&lt;/D&gt;&lt;D xsi:type="xsd:long"&gt;41236&lt;/D&gt;&lt;D xsi:type="xsd:long"&gt;41234&lt;/D&gt;&lt;D xsi:type="xsd:long"&gt;41233&lt;/D&gt;&lt;D xsi:type="xsd:long"&gt;41232&lt;/D&gt;&lt;D xsi:type="xsd:long"&gt;41229&lt;/D&gt;&lt;D xsi:type="xsd:long"&gt;41228&lt;/D&gt;&lt;D xsi:type="xsd:long"&gt;41227&lt;/D&gt;&lt;D xsi:type="xsd:long"&gt;41226&lt;/D&gt;&lt;D xsi:type="xsd:long"&gt;41225&lt;/D&gt;&lt;D xsi:type="xsd:long"&gt;41222&lt;/D&gt;&lt;D xsi:type="xsd:long"&gt;41221&lt;/D&gt;&lt;D xsi:type="xsd:long"&gt;41220&lt;/D&gt;&lt;D xsi:type="xsd:long"&gt;41219&lt;/D&gt;&lt;D xsi:type="xsd:long"&gt;41218&lt;/D&gt;&lt;D xsi:type="xsd:long"&gt;41215&lt;/D&gt;&lt;D xsi:type="xsd:long"&gt;41214&lt;/D&gt;&lt;D xsi:type="xsd:long"&gt;41213&lt;/D&gt;&lt;D xsi:type="xsd:long"&gt;41208&lt;/D&gt;&lt;D xsi:type="xsd:long"&gt;41207&lt;/D&gt;&lt;D xsi:type="xsd:long"&gt;41206&lt;/D&gt;&lt;D xsi:type="xsd:long"&gt;41205&lt;/D&gt;&lt;D xsi:type="xsd:long"&gt;41204&lt;/D&gt;&lt;D xsi:type="xsd:long"&gt;41201&lt;/D&gt;&lt;D xsi:type="xsd:long"&gt;41200&lt;/D&gt;&lt;D xsi:type="xsd:long"&gt;41199&lt;/D&gt;&lt;D xsi:type="xsd:long"&gt;41198&lt;/D&gt;&lt;D xsi:type="xsd:long"&gt;41197&lt;/D&gt;&lt;D xsi:type="xsd:long"&gt;41194&lt;/D&gt;&lt;D xsi:type="xsd:long"&gt;41193&lt;/D&gt;&lt;D xsi:type="xsd:long"&gt;41192&lt;/D&gt;&lt;D xsi:type="xsd:long"&gt;41191&lt;/D&gt;&lt;D xsi:type="xsd:long"&gt;41190&lt;/D&gt;&lt;D xsi:type="xsd:long"&gt;41187&lt;/D&gt;&lt;D xsi:type="xsd:long"&gt;41186&lt;/D&gt;&lt;D xsi:type="xsd:long"&gt;41185&lt;/D&gt;&lt;D xsi:type="xsd:long"&gt;41184&lt;/D&gt;&lt;D xsi:type="xsd:long"&gt;41183&lt;/D&gt;&lt;D xsi:type="xsd:long"&gt;41180&lt;/D&gt;&lt;D xsi:type="xsd:long"&gt;41179&lt;/D&gt;&lt;D xsi:type="xsd:long"&gt;41178&lt;/D&gt;&lt;D xsi:type="xsd:long"&gt;41177&lt;/D&gt;&lt;D xsi:type="xsd:long"&gt;41176&lt;/D&gt;&lt;D xsi:type="xsd:long"&gt;41173&lt;/D&gt;&lt;D xsi:type="xsd:long"&gt;41172&lt;/D&gt;&lt;D xsi:type="xsd:long"&gt;41171&lt;/D&gt;&lt;D xsi:type="xsd:long"&gt;41170&lt;/D&gt;&lt;D xsi:type="xsd:long"&gt;41169&lt;/D&gt;&lt;D xsi:type="xsd:long"&gt;41166&lt;/D&gt;&lt;D xsi:type="xsd:long"&gt;41165&lt;/D&gt;&lt;D xsi:type="xsd:long"&gt;41164&lt;/D&gt;&lt;D xsi:type="xsd:long"&gt;41163&lt;/D&gt;&lt;D xsi:type="xsd:long"&gt;41162&lt;/D&gt;&lt;D xsi:type="xsd:long"&gt;41159&lt;/D&gt;&lt;D xsi:type="xsd:long"&gt;41158&lt;/D&gt;&lt;D xsi:type="xsd:long"&gt;41157&lt;/D&gt;&lt;D xsi:type="xsd:long"&gt;41156&lt;/D&gt;&lt;D xsi:type="xsd:long"&gt;41152&lt;/D&gt;&lt;D xsi:type="xsd:long"&gt;41151&lt;/D&gt;&lt;D xsi:type="xsd:long"&gt;41150&lt;/D&gt;&lt;D xsi:type="xsd:long"&gt;41149&lt;/D&gt;&lt;D xsi:type="xsd:long"&gt;41148&lt;/D&gt;&lt;D xsi:type="xsd:long"&gt;41145&lt;/D&gt;&lt;D xsi:type="xsd:long"&gt;41144&lt;/D&gt;&lt;D xsi:type="xsd:long"&gt;41143&lt;/D&gt;&lt;D xsi:type="xsd:long"&gt;41142&lt;/D&gt;&lt;D xsi:type="xsd:long"&gt;41141&lt;/D&gt;&lt;D xsi:type="xsd:long"&gt;41138&lt;/D&gt;&lt;D xsi:type="xsd:long"&gt;41137&lt;/D&gt;&lt;D xsi:type="xsd:long"&gt;41136&lt;/D&gt;&lt;D xsi:type="xsd:long"&gt;41135&lt;/D&gt;&lt;D xsi:type="xsd:long"&gt;41134&lt;/D&gt;&lt;D xsi:type="xsd:long"&gt;41131&lt;/D&gt;&lt;D xsi:type="xsd:long"&gt;41130&lt;/D&gt;&lt;D xsi:type="xsd:long"&gt;41129&lt;/D&gt;&lt;D xsi:type="xsd:long"&gt;41128&lt;/D&gt;&lt;D xsi:type="xsd:long"&gt;41127&lt;/D&gt;&lt;D xsi:type="xsd:long"&gt;41124&lt;/D&gt;&lt;D xsi:type="xsd:long"&gt;41123&lt;/D&gt;&lt;D xsi:type="xsd:long"&gt;41122&lt;/D&gt;&lt;D xsi:type="xsd:long"&gt;41121&lt;/D&gt;&lt;D xsi:type="xsd:long"&gt;41120&lt;/D&gt;&lt;D xsi:type="xsd:long"&gt;41117&lt;/D&gt;&lt;D xsi:type="xsd:long"&gt;41116&lt;/D&gt;&lt;D xsi:type="xsd:long"&gt;41115&lt;/D&gt;&lt;D xsi:type="xsd:long"&gt;41114&lt;/D&gt;&lt;D xsi:type="xsd:long"&gt;41113&lt;/D&gt;&lt;D xsi:type="xsd:long"&gt;41110&lt;/D&gt;&lt;D xsi:type="xsd:long"&gt;41109&lt;/D&gt;&lt;D xsi:type="xsd:long"&gt;41108&lt;/D&gt;&lt;D xsi:type="xsd:long"&gt;41107&lt;/D&gt;&lt;D xsi:type="xsd:long"&gt;41106&lt;/D&gt;&lt;D xsi:type="xsd:long"&gt;41103&lt;/D&gt;&lt;D xsi:type="xsd:long"&gt;41102&lt;/D&gt;&lt;D xsi:type="xsd:long"&gt;41101&lt;/D&gt;&lt;D xsi:type="xsd:long"&gt;41100&lt;/D&gt;&lt;D xsi:type="xsd:long"&gt;41099&lt;/D&gt;&lt;D xsi:type="xsd:long"&gt;41096&lt;/D&gt;&lt;D xsi:type="xsd:long"&gt;41095&lt;/D&gt;&lt;D xsi:type="xsd:long"&gt;41093&lt;/D&gt;&lt;D xsi:type="xsd:long"&gt;41092&lt;/D&gt;&lt;D xsi:type="xsd:long"&gt;41089&lt;/D&gt;&lt;D xsi:type="xsd:long"&gt;41088&lt;/D&gt;&lt;D xsi:type="xsd:long"&gt;41087&lt;/D&gt;&lt;D xsi:type="xsd:long"&gt;41086&lt;/D&gt;&lt;D xsi:type="xsd:long"&gt;41085&lt;/D&gt;&lt;D xsi:type="xsd:long"&gt;41082&lt;/D&gt;&lt;D xsi:type="xsd:long"&gt;41081&lt;/D&gt;&lt;D xsi:type="xsd:long"&gt;41080&lt;/D&gt;&lt;D xsi:type="xsd:long"&gt;41079&lt;/D&gt;&lt;D xsi:type="xsd:long"&gt;41078&lt;/D&gt;&lt;D xsi:type="xsd:long"&gt;41075&lt;/D&gt;&lt;D xsi:type="xsd:long"&gt;41074&lt;/D&gt;&lt;D xsi:type="xsd:long"&gt;41073&lt;/D&gt;&lt;D xsi:type="xsd:long"&gt;41072&lt;/D&gt;&lt;D xsi:type="xsd:long"&gt;41071&lt;/D&gt;&lt;D xsi:type="xsd:long"&gt;41068&lt;/D&gt;&lt;D xsi:type="xsd:long"&gt;41067&lt;/D&gt;&lt;D xsi:type="xsd:long"&gt;41066&lt;/D&gt;&lt;D xsi:type="xsd:long"&gt;41065&lt;/D&gt;&lt;D xsi:type="xsd:long"&gt;41064&lt;/D&gt;&lt;D xsi:type="xsd:long"&gt;41061&lt;/D&gt;&lt;D xsi:type="xsd:long"&gt;41060&lt;/D&gt;&lt;D xsi:type="xsd:long"&gt;41059&lt;/D&gt;&lt;D xsi:type="xsd:long"&gt;41058&lt;/D&gt;&lt;D xsi:type="xsd:long"&gt;41054&lt;/D&gt;&lt;D xsi:type="xsd:long"&gt;41053&lt;/D&gt;&lt;D xsi:type="xsd:long"&gt;41052&lt;/D&gt;&lt;D xsi:type="xsd:long"&gt;41051&lt;/D&gt;&lt;D xsi:type="xsd:long"&gt;41050&lt;/D&gt;&lt;D xsi:type="xsd:long"&gt;41047&lt;/D&gt;&lt;D xsi:type="xsd:long"&gt;41046&lt;/D&gt;&lt;D xsi:type="xsd:long"&gt;41045&lt;/D&gt;&lt;D xsi:type="xsd:long"&gt;41044&lt;/D&gt;&lt;D xsi:type="xsd:long"&gt;41043&lt;/D&gt;&lt;D xsi:type="xsd:long"&gt;41040&lt;/D&gt;&lt;D xsi:type="xsd:long"&gt;41039&lt;/D&gt;&lt;D xsi:type="xsd:long"&gt;41038&lt;/D&gt;&lt;D xsi:type="xsd:long"&gt;41037&lt;/D&gt;&lt;D xsi:type="xsd:long"&gt;41036&lt;/D&gt;&lt;D xsi:type="xsd:long"&gt;41033&lt;/D&gt;&lt;D xsi:type="xsd:long"&gt;41032&lt;/D&gt;&lt;D xsi:type="xsd:long"&gt;41031&lt;/D&gt;&lt;D xsi:type="xsd:long"&gt;41030&lt;/D&gt;&lt;D xsi:type="xsd:long"&gt;41029&lt;/D&gt;&lt;D xsi:type="xsd:long"&gt;41026&lt;/D&gt;&lt;D xsi:type="xsd:long"&gt;41025&lt;/D&gt;&lt;D xsi:type="xsd:long"&gt;41024&lt;/D&gt;&lt;D xsi:type="xsd:long"&gt;41023&lt;/D&gt;&lt;D xsi:type="xsd:long"&gt;41022&lt;/D&gt;&lt;D xsi:type="xsd:long"&gt;41019&lt;/D&gt;&lt;D xsi:type="xsd:long"&gt;41018&lt;/D&gt;&lt;D xsi:type="xsd:long"&gt;41017&lt;/D&gt;&lt;D xsi:type="xsd:long"&gt;41016&lt;/D&gt;&lt;D xsi:type="xsd:long"&gt;41015&lt;/D&gt;&lt;D xsi:type="xsd:long"&gt;41012&lt;/D&gt;&lt;D xsi:type="xsd:long"&gt;41011&lt;/D&gt;&lt;D xsi:type="xsd:long"&gt;41010&lt;/D&gt;&lt;D xsi:type="xsd:long"&gt;41009&lt;/D&gt;&lt;D xsi:type="xsd:long"&gt;41008&lt;/D&gt;&lt;D xsi:type="xsd:long"&gt;41004&lt;/D&gt;&lt;D xsi:type="xsd:long"&gt;41003&lt;/D&gt;&lt;D xsi:type="xsd:long"&gt;41002&lt;/D&gt;&lt;D xsi:type="xsd:long"&gt;41001&lt;/D&gt;&lt;D xsi:type="xsd:long"&gt;40998&lt;/D&gt;&lt;D xsi:type="xsd:long"&gt;40997&lt;/D&gt;&lt;D xsi:type="xsd:long"&gt;40996&lt;/D&gt;&lt;D xsi:type="xsd:long"&gt;40995&lt;/D&gt;&lt;D xsi:type="xsd:long"&gt;40994&lt;/D&gt;&lt;D xsi:type="xsd:long"&gt;40991&lt;/D&gt;&lt;D xsi:type="xsd:long"&gt;40990&lt;/D&gt;&lt;D xsi:type="xsd:long"&gt;40989&lt;/D&gt;&lt;D xsi:type="xsd:long"&gt;40988&lt;/D&gt;&lt;D xsi:type="xsd:long"&gt;40987&lt;/D&gt;&lt;D xsi:type="xsd:long"&gt;40984&lt;/D&gt;&lt;D xsi:type="xsd:long"&gt;40983&lt;/D&gt;&lt;D xsi:type="xsd:long"&gt;40982&lt;/D&gt;&lt;D xsi:type="xsd:long"&gt;40981&lt;/D&gt;&lt;D xsi:type="xsd:long"&gt;40980&lt;/D&gt;&lt;D xsi:type="xsd:long"&gt;40977&lt;/D&gt;&lt;D xsi:type="xsd:long"&gt;40976&lt;/D&gt;&lt;D xsi:type="xsd:long"&gt;40975&lt;/D&gt;&lt;D xsi:type="xsd:long"&gt;40974&lt;/D&gt;&lt;D xsi:type="xsd:long"&gt;40973&lt;/D&gt;&lt;D xsi:type="xsd:long"&gt;40970&lt;/D&gt;&lt;D xsi:type="xsd:long"&gt;40969&lt;/D&gt;&lt;D xsi:type="xsd:long"&gt;40968&lt;/D&gt;&lt;D xsi:type="xsd:long"&gt;40967&lt;/D&gt;&lt;D xsi:type="xsd:long"&gt;40966&lt;/D&gt;&lt;D xsi:type="xsd:long"&gt;40963&lt;/D&gt;&lt;D xsi:type="xsd:long"&gt;40962&lt;/D&gt;&lt;D xsi:type="xsd:long"&gt;40961&lt;/D&gt;&lt;D xsi:type="xsd:long"&gt;40960&lt;/D&gt;&lt;D xsi:type="xsd:long"&gt;40956&lt;/D&gt;&lt;D xsi:type="xsd:long"&gt;40955&lt;/D&gt;&lt;D xsi:type="xsd:long"&gt;40954&lt;/D&gt;&lt;D xsi:type="xsd:long"&gt;40953&lt;/D&gt;&lt;D xsi:type="xsd:long"&gt;40952&lt;/D&gt;&lt;D xsi:type="xsd:long"&gt;40949&lt;/D&gt;&lt;D xsi:type="xsd:long"&gt;40948&lt;/D&gt;&lt;D xsi:type="xsd:long"&gt;40947&lt;/D&gt;&lt;D xsi:type="xsd:long"&gt;40946&lt;/D&gt;&lt;D xsi:type="xsd:long"&gt;40945&lt;/D&gt;&lt;D xsi:type="xsd:long"&gt;40942&lt;/D&gt;&lt;D xsi:type="xsd:long"&gt;40941&lt;/D&gt;&lt;D xsi:type="xsd:long"&gt;40940&lt;/D&gt;&lt;D xsi:type="xsd:long"&gt;40939&lt;/D&gt;&lt;D xsi:type="xsd:long"&gt;40938&lt;/D&gt;&lt;D xsi:type="xsd:long"&gt;40935&lt;/D&gt;&lt;D xsi:type="xsd:long"&gt;40934&lt;/D&gt;&lt;D xsi:type="xsd:long"&gt;40933&lt;/D&gt;&lt;D xsi:type="xsd:long"&gt;40932&lt;/D&gt;&lt;D xsi:type="xsd:long"&gt;40931&lt;/D&gt;&lt;D xsi:type="xsd:long"&gt;40928&lt;/D&gt;&lt;D xsi:type="xsd:long"&gt;40927&lt;/D&gt;&lt;D xsi:type="xsd:long"&gt;40926&lt;/D&gt;&lt;D xsi:type="xsd:long"&gt;40925&lt;/D&gt;&lt;D xsi:type="xsd:long"&gt;40921&lt;/D&gt;&lt;D xsi:type="xsd:long"&gt;40920&lt;/D&gt;&lt;D xsi:type="xsd:long"&gt;40919&lt;/D&gt;&lt;D xsi:type="xsd:long"&gt;40918&lt;/D&gt;&lt;D xsi:type="xsd:long"&gt;40917&lt;/D&gt;&lt;D xsi:type="xsd:long"&gt;40914&lt;/D&gt;&lt;D xsi:type="xsd:long"&gt;40913&lt;/D&gt;&lt;D xsi:type="xsd:long"&gt;40912&lt;/D&gt;&lt;D xsi:type="xsd:long"&gt;40911&lt;/D&gt;&lt;D xsi:type="xsd:long"&gt;40907&lt;/D&gt;&lt;D xsi:type="xsd:long"&gt;40906&lt;/D&gt;&lt;D xsi:type="xsd:long"&gt;40905&lt;/D&gt;&lt;D xsi:type="xsd:long"&gt;40904&lt;/D&gt;&lt;D xsi:type="xsd:long"&gt;40900&lt;/D&gt;&lt;D xsi:type="xsd:long"&gt;40899&lt;/D&gt;&lt;D xsi:type="xsd:long"&gt;40898&lt;/D&gt;&lt;D xsi:type="xsd:long"&gt;40897&lt;/D&gt;&lt;D xsi:type="xsd:long"&gt;40896&lt;/D&gt;&lt;D xsi:type="xsd:long"&gt;40893&lt;/D&gt;&lt;D xsi:type="xsd:long"&gt;40892&lt;/D&gt;&lt;D xsi:type="xsd:long"&gt;40891&lt;/D&gt;&lt;D xsi:type="xsd:long"&gt;40890&lt;/D&gt;&lt;D xsi:type="xsd:long"&gt;40889&lt;/D&gt;&lt;D xsi:type="xsd:long"&gt;40886&lt;/D&gt;&lt;D xsi:type="xsd:long"&gt;40885&lt;/D&gt;&lt;D xsi:type="xsd:long"&gt;40884&lt;/D&gt;&lt;D xsi:type="xsd:long"&gt;40883&lt;/D&gt;&lt;D xsi:type="xsd:long"&gt;40882&lt;/D&gt;&lt;D xsi:type="xsd:long"&gt;40879&lt;/D&gt;&lt;D xsi:type="xsd:long"&gt;40878&lt;/D&gt;&lt;D xsi:type="xsd:long"&gt;40877&lt;/D&gt;&lt;D xsi:type="xsd:long"&gt;40876&lt;/D&gt;&lt;D xsi:type="xsd:long"&gt;40875&lt;/D&gt;&lt;D xsi:type="xsd:long"&gt;40872&lt;/D&gt;&lt;D xsi:type="xsd:long"&gt;40870&lt;/D&gt;&lt;D xsi:type="xsd:long"&gt;40869&lt;/D&gt;&lt;D xsi:type="xsd:long"&gt;40868&lt;/D&gt;&lt;D xsi:type="xsd:long"&gt;40865&lt;/D&gt;&lt;D xsi:type="xsd:long"&gt;40864&lt;/D&gt;&lt;D xsi:type="xsd:long"&gt;40863&lt;/D&gt;&lt;D xsi:type="xsd:long"&gt;40862&lt;/D&gt;&lt;D xsi:type="xsd:long"&gt;40861&lt;/D&gt;&lt;D xsi:type="xsd:long"&gt;40858&lt;/D&gt;&lt;D xsi:type="xsd:long"&gt;40857&lt;/D&gt;&lt;D xsi:type="xsd:long"&gt;40856&lt;/D&gt;&lt;D xsi:type="xsd:long"&gt;40855&lt;/D&gt;&lt;D xsi:type="xsd:long"&gt;40854&lt;/D&gt;&lt;D xsi:type="xsd:long"&gt;40851&lt;/D&gt;&lt;D xsi:type="xsd:long"&gt;40850&lt;/D&gt;&lt;D xsi:type="xsd:long"&gt;40849&lt;/D&gt;&lt;D xsi:type="xsd:long"&gt;40848&lt;/D&gt;&lt;D xsi:type="xsd:long"&gt;40847&lt;/D&gt;&lt;D xsi:type="xsd:long"&gt;40844&lt;/D&gt;&lt;D xsi:type="xsd:long"&gt;40843&lt;/D&gt;&lt;D xsi:type="xsd:long"&gt;40842&lt;/D&gt;&lt;D xsi:type="xsd:long"&gt;40841&lt;/D&gt;&lt;D xsi:type="xsd:long"&gt;40840&lt;/D&gt;&lt;D xsi:type="xsd:long"&gt;40837&lt;/D&gt;&lt;D xsi:type="xsd:long"&gt;40836&lt;/D&gt;&lt;D xsi:type="xsd:long"&gt;40835&lt;/D&gt;&lt;D xsi:type="xsd:long"&gt;40834&lt;/D&gt;&lt;D xsi:type="xsd:long"&gt;40833&lt;/D&gt;&lt;D xsi:type="xsd:long"&gt;40830&lt;/D&gt;&lt;D xsi:type="xsd:long"&gt;40829&lt;/D&gt;&lt;D xsi:type="xsd:long"&gt;40828&lt;/D&gt;&lt;D xsi:type="xsd:long"&gt;40827&lt;/D&gt;&lt;D xsi:type="xsd:long"&gt;40826&lt;/D&gt;&lt;D xsi:type="xsd:long"&gt;40823&lt;/D&gt;&lt;D xsi:type="xsd:long"&gt;40822&lt;/D&gt;&lt;D xsi:type="xsd:long"&gt;40821&lt;/D&gt;&lt;D xsi:type="xsd:long"&gt;40820&lt;/D&gt;&lt;D xsi:type="xsd:long"&gt;40819&lt;/D&gt;&lt;D xsi:type="xsd:long"&gt;40816&lt;/D&gt;&lt;D xsi:type="xsd:long"&gt;40815&lt;/D&gt;&lt;D xsi:type="xsd:long"&gt;40814&lt;/D&gt;&lt;D xsi:type="xsd:long"&gt;40813&lt;/D&gt;&lt;D xsi:type="xsd:long"&gt;40812&lt;/D&gt;&lt;D xsi:type="xsd:long"&gt;40809&lt;/D&gt;&lt;D xsi:type="xsd:long"&gt;40808&lt;/D&gt;&lt;D xsi:type="xsd:long"&gt;40807&lt;/D&gt;&lt;D xsi:type="xsd:long"&gt;40806&lt;/D&gt;&lt;D xsi:type="xsd:long"&gt;40805&lt;/D&gt;&lt;D xsi:type="xsd:long"&gt;40802&lt;/D&gt;&lt;D xsi:type="xsd:long"&gt;40801&lt;/D&gt;&lt;D xsi:type="xsd:long"&gt;40800&lt;/D&gt;&lt;D xsi:type="xsd:long"&gt;40799&lt;/D&gt;&lt;D xsi:type="xsd:long"&gt;40798&lt;/D&gt;&lt;D xsi:type="xsd:long"&gt;40795&lt;/D&gt;&lt;D xsi:type="xsd:long"&gt;40794&lt;/D&gt;&lt;D xsi:type="xsd:long"&gt;40793&lt;/D&gt;&lt;D xsi:type="xsd:long"&gt;40792&lt;/D&gt;&lt;D xsi:type="xsd:long"&gt;40788&lt;/D&gt;&lt;D xsi:type="xsd:long"&gt;40787&lt;/D&gt;&lt;D xsi:type="xsd:long"&gt;40786&lt;/D&gt;&lt;D xsi:type="xsd:long"&gt;40785&lt;/D&gt;&lt;D xsi:type="xsd:long"&gt;40784&lt;/D&gt;&lt;D xsi:type="xsd:long"&gt;40781&lt;/D&gt;&lt;D xsi:type="xsd:long"&gt;40780&lt;/D&gt;&lt;D xsi:type="xsd:long"&gt;40779&lt;/D&gt;&lt;D xsi:type="xsd:long"&gt;40778&lt;/D&gt;&lt;D xsi:type="xsd:long"&gt;40777&lt;/D&gt;&lt;D xsi:type="xsd:long"&gt;40774&lt;/D&gt;&lt;D xsi:type="xsd:long"&gt;40773&lt;/D&gt;&lt;D xsi:type="xsd:long"&gt;40772&lt;/D&gt;&lt;D xsi:type="xsd:long"&gt;40771&lt;/D&gt;&lt;D xsi:type="xsd:long"&gt;40770&lt;/</t>
        </r>
      </text>
    </comment>
    <comment ref="A27" authorId="0" shapeId="0">
      <text>
        <r>
          <rPr>
            <b/>
            <sz val="9"/>
            <color indexed="81"/>
            <rFont val="Tahoma"/>
            <family val="2"/>
          </rPr>
          <t>D&gt;&lt;D xsi:type="xsd:long"&gt;40767&lt;/D&gt;&lt;D xsi:type="xsd:long"&gt;40766&lt;/D&gt;&lt;D xsi:type="xsd:long"&gt;40765&lt;/D&gt;&lt;D xsi:type="xsd:long"&gt;40764&lt;/D&gt;&lt;D xsi:type="xsd:long"&gt;40763&lt;/D&gt;&lt;D xsi:type="xsd:long"&gt;40760&lt;/D&gt;&lt;D xsi:type="xsd:long"&gt;40759&lt;/D&gt;&lt;D xsi:type="xsd:long"&gt;40758&lt;/D&gt;&lt;D xsi:type="xsd:long"&gt;40757&lt;/D&gt;&lt;D xsi:type="xsd:long"&gt;40756&lt;/D&gt;&lt;D xsi:type="xsd:long"&gt;40753&lt;/D&gt;&lt;D xsi:type="xsd:long"&gt;40752&lt;/D&gt;&lt;D xsi:type="xsd:long"&gt;40751&lt;/D&gt;&lt;D xsi:type="xsd:long"&gt;40750&lt;/D&gt;&lt;D xsi:type="xsd:long"&gt;40749&lt;/D&gt;&lt;D xsi:type="xsd:long"&gt;40746&lt;/D&gt;&lt;D xsi:type="xsd:long"&gt;40745&lt;/D&gt;&lt;D xsi:type="xsd:long"&gt;40744&lt;/D&gt;&lt;D xsi:type="xsd:long"&gt;40743&lt;/D&gt;&lt;D xsi:type="xsd:long"&gt;40742&lt;/D&gt;&lt;D xsi:type="xsd:long"&gt;40739&lt;/D&gt;&lt;D xsi:type="xsd:long"&gt;40738&lt;/D&gt;&lt;D xsi:type="xsd:long"&gt;40737&lt;/D&gt;&lt;D xsi:type="xsd:long"&gt;40736&lt;/D&gt;&lt;D xsi:type="xsd:long"&gt;40735&lt;/D&gt;&lt;D xsi:type="xsd:long"&gt;40732&lt;/D&gt;&lt;D xsi:type="xsd:long"&gt;40731&lt;/D&gt;&lt;D xsi:type="xsd:long"&gt;40730&lt;/D&gt;&lt;D xsi:type="xsd:long"&gt;40729&lt;/D&gt;&lt;D xsi:type="xsd:long"&gt;40725&lt;/D&gt;&lt;D xsi:type="xsd:long"&gt;40724&lt;/D&gt;&lt;D xsi:type="xsd:long"&gt;40723&lt;/D&gt;&lt;D xsi:type="xsd:long"&gt;40722&lt;/D&gt;&lt;D xsi:type="xsd:long"&gt;40721&lt;/D&gt;&lt;D xsi:type="xsd:long"&gt;40718&lt;/D&gt;&lt;D xsi:type="xsd:long"&gt;40717&lt;/D&gt;&lt;D xsi:type="xsd:long"&gt;40716&lt;/D&gt;&lt;D xsi:type="xsd:long"&gt;40715&lt;/D&gt;&lt;D xsi:type="xsd:long"&gt;40714&lt;/D&gt;&lt;D xsi:type="xsd:long"&gt;40711&lt;/D&gt;&lt;D xsi:type="xsd:long"&gt;40710&lt;/D&gt;&lt;D xsi:type="xsd:long"&gt;40709&lt;/D&gt;&lt;D xsi:type="xsd:long"&gt;40708&lt;/D&gt;&lt;D xsi:type="xsd:long"&gt;40707&lt;/D&gt;&lt;D xsi:type="xsd:long"&gt;40704&lt;/D&gt;&lt;D xsi:type="xsd:long"&gt;40703&lt;/D&gt;&lt;D xsi:type="xsd:long"&gt;40702&lt;/D&gt;&lt;D xsi:type="xsd:long"&gt;40701&lt;/D&gt;&lt;D xsi:type="xsd:long"&gt;40700&lt;/D&gt;&lt;D xsi:type="xsd:long"&gt;40697&lt;/D&gt;&lt;D xsi:type="xsd:long"&gt;40696&lt;/D&gt;&lt;D xsi:type="xsd:long"&gt;40695&lt;/D&gt;&lt;D xsi:type="xsd:long"&gt;40694&lt;/D&gt;&lt;D xsi:type="xsd:long"&gt;40690&lt;/D&gt;&lt;D xsi:type="xsd:long"&gt;40689&lt;/D&gt;&lt;D xsi:type="xsd:long"&gt;40688&lt;/D&gt;&lt;D xsi:type="xsd:long"&gt;40687&lt;/D&gt;&lt;D xsi:type="xsd:long"&gt;40686&lt;/D&gt;&lt;D xsi:type="xsd:long"&gt;40683&lt;/D&gt;&lt;D xsi:type="xsd:long"&gt;40682&lt;/D&gt;&lt;D xsi:type="xsd:long"&gt;40681&lt;/D&gt;&lt;D xsi:type="xsd:long"&gt;40680&lt;/D&gt;&lt;D xsi:type="xsd:long"&gt;40679&lt;/D&gt;&lt;D xsi:type="xsd:long"&gt;40676&lt;/D&gt;&lt;D xsi:type="xsd:long"&gt;40675&lt;/D&gt;&lt;D xsi:type="xsd:long"&gt;40674&lt;/D&gt;&lt;D xsi:type="xsd:long"&gt;40673&lt;/D&gt;&lt;D xsi:type="xsd:long"&gt;40672&lt;/D&gt;&lt;D xsi:type="xsd:long"&gt;40669&lt;/D&gt;&lt;D xsi:type="xsd:long"&gt;40668&lt;/D&gt;&lt;D xsi:type="xsd:long"&gt;40667&lt;/D&gt;&lt;D xsi:type="xsd:long"&gt;40666&lt;/D&gt;&lt;D xsi:type="xsd:long"&gt;40665&lt;/D&gt;&lt;D xsi:type="xsd:long"&gt;40662&lt;/D&gt;&lt;D xsi:type="xsd:long"&gt;40661&lt;/D&gt;&lt;D xsi:type="xsd:long"&gt;40660&lt;/D&gt;&lt;D xsi:type="xsd:long"&gt;40659&lt;/D&gt;&lt;D xsi:type="xsd:long"&gt;40658&lt;/D&gt;&lt;D xsi:type="xsd:long"&gt;40654&lt;/D&gt;&lt;D xsi:type="xsd:long"&gt;40653&lt;/D&gt;&lt;D xsi:type="xsd:long"&gt;40652&lt;/D&gt;&lt;D xsi:type="xsd:long"&gt;40651&lt;/D&gt;&lt;D xsi:type="xsd:long"&gt;40648&lt;/D&gt;&lt;D xsi:type="xsd:long"&gt;40647&lt;/D&gt;&lt;D xsi:type="xsd:long"&gt;40646&lt;/D&gt;&lt;D xsi:type="xsd:long"&gt;40645&lt;/D&gt;&lt;D xsi:type="xsd:long"&gt;40644&lt;/D&gt;&lt;D xsi:type="xsd:long"&gt;40641&lt;/D&gt;&lt;D xsi:type="xsd:long"&gt;40640&lt;/D&gt;&lt;D xsi:type="xsd:long"&gt;40639&lt;/D&gt;&lt;D xsi:type="xsd:long"&gt;40638&lt;/D&gt;&lt;D xsi:type="xsd:long"&gt;40637&lt;/D&gt;&lt;D xsi:type="xsd:long"&gt;40634&lt;/D&gt;&lt;D xsi:type="xsd:long"&gt;40633&lt;/D&gt;&lt;D xsi:type="xsd:long"&gt;40632&lt;/D&gt;&lt;D xsi:type="xsd:long"&gt;40631&lt;/D&gt;&lt;D xsi:type="xsd:long"&gt;40630&lt;/D&gt;&lt;D xsi:type="xsd:long"&gt;40627&lt;/D&gt;&lt;D xsi:type="xsd:long"&gt;40626&lt;/D&gt;&lt;D xsi:type="xsd:long"&gt;40625&lt;/D&gt;&lt;D xsi:type="xsd:long"&gt;40624&lt;/D&gt;&lt;D xsi:type="xsd:long"&gt;40623&lt;/D&gt;&lt;D xsi:type="xsd:long"&gt;40620&lt;/D&gt;&lt;D xsi:type="xsd:long"&gt;40619&lt;/D&gt;&lt;D xsi:type="xsd:long"&gt;40618&lt;/D&gt;&lt;D xsi:type="xsd:long"&gt;40617&lt;/D&gt;&lt;D xsi:type="xsd:long"&gt;40616&lt;/D&gt;&lt;D xsi:type="xsd:long"&gt;40613&lt;/D&gt;&lt;D xsi:type="xsd:long"&gt;40612&lt;/D&gt;&lt;D xsi:type="xsd:long"&gt;40611&lt;/D&gt;&lt;D xsi:type="xsd:long"&gt;40610&lt;/D&gt;&lt;D xsi:type="xsd:long"&gt;40609&lt;/D&gt;&lt;D xsi:type="xsd:long"&gt;40606&lt;/D&gt;&lt;D xsi:type="xsd:long"&gt;40605&lt;/D&gt;&lt;D xsi:type="xsd:long"&gt;40604&lt;/D&gt;&lt;D xsi:type="xsd:long"&gt;40603&lt;/D&gt;&lt;D xsi:type="xsd:long"&gt;40602&lt;/D&gt;&lt;D xsi:type="xsd:long"&gt;40599&lt;/D&gt;&lt;D xsi:type="xsd:long"&gt;40598&lt;/D&gt;&lt;D xsi:type="xsd:long"&gt;40597&lt;/D&gt;&lt;D xsi:type="xsd:long"&gt;40596&lt;/D&gt;&lt;D xsi:type="xsd:long"&gt;40592&lt;/D&gt;&lt;D xsi:type="xsd:long"&gt;40591&lt;/D&gt;&lt;D xsi:type="xsd:long"&gt;40590&lt;/D&gt;&lt;D xsi:type="xsd:long"&gt;40589&lt;/D&gt;&lt;D xsi:type="xsd:long"&gt;40588&lt;/D&gt;&lt;D xsi:type="xsd:long"&gt;40585&lt;/D&gt;&lt;D xsi:type="xsd:long"&gt;40584&lt;/D&gt;&lt;D xsi:type="xsd:long"&gt;40583&lt;/D&gt;&lt;D xsi:type="xsd:long"&gt;40582&lt;/D&gt;&lt;D xsi:type="xsd:long"&gt;40581&lt;/D&gt;&lt;D xsi:type="xsd:long"&gt;40578&lt;/D&gt;&lt;D xsi:type="xsd:long"&gt;40577&lt;/D&gt;&lt;D xsi:type="xsd:long"&gt;40576&lt;/D&gt;&lt;D xsi:type="xsd:long"&gt;40575&lt;/D&gt;&lt;D xsi:type="xsd:long"&gt;40574&lt;/D&gt;&lt;D xsi:type="xsd:long"&gt;40571&lt;/D&gt;&lt;D xsi:type="xsd:long"&gt;40570&lt;/D&gt;&lt;D xsi:type="xsd:long"&gt;40569&lt;/D&gt;&lt;D xsi:type="xsd:long"&gt;40568&lt;/D&gt;&lt;D xsi:type="xsd:long"&gt;40567&lt;/D&gt;&lt;D xsi:type="xsd:long"&gt;40564&lt;/D&gt;&lt;D xsi:type="xsd:long"&gt;40563&lt;/D&gt;&lt;D xsi:type="xsd:long"&gt;40562&lt;/D&gt;&lt;D xsi:type="xsd:long"&gt;40561&lt;/D&gt;&lt;D xsi:type="xsd:long"&gt;40557&lt;/D&gt;&lt;D xsi:type="xsd:long"&gt;40556&lt;/D&gt;&lt;D xsi:type="xsd:long"&gt;40555&lt;/D&gt;&lt;D xsi:type="xsd:long"&gt;40554&lt;/D&gt;&lt;D xsi:type="xsd:long"&gt;40553&lt;/D&gt;&lt;D xsi:type="xsd:long"&gt;40550&lt;/D&gt;&lt;D xsi:type="xsd:long"&gt;40549&lt;/D&gt;&lt;D xsi:type="xsd:long"&gt;40548&lt;/D&gt;&lt;D xsi:type="xsd:long"&gt;40547&lt;/D&gt;&lt;D xsi:type="xsd:long"&gt;40546&lt;/D&gt;&lt;D xsi:type="xsd:long"&gt;40543&lt;/D&gt;&lt;D xsi:type="xsd:long"&gt;40542&lt;/D&gt;&lt;D xsi:type="xsd:long"&gt;40541&lt;/D&gt;&lt;D xsi:type="xsd:long"&gt;40540&lt;/D&gt;&lt;D xsi:type="xsd:long"&gt;40539&lt;/D&gt;&lt;D xsi:type="xsd:long"&gt;40535&lt;/D&gt;&lt;D xsi:type="xsd:long"&gt;40534&lt;/D&gt;&lt;D xsi:type="xsd:long"&gt;40533&lt;/D&gt;&lt;D xsi:type="xsd:long"&gt;40532&lt;/D&gt;&lt;D xsi:type="xsd:long"&gt;40529&lt;/D&gt;&lt;D xsi:type="xsd:long"&gt;40528&lt;/D&gt;&lt;D xsi:type="xsd:long"&gt;40527&lt;/D&gt;&lt;D xsi:type="xsd:long"&gt;40526&lt;/D&gt;&lt;D xsi:type="xsd:long"&gt;40525&lt;/D&gt;&lt;D xsi:type="xsd:long"&gt;40522&lt;/D&gt;&lt;D xsi:type="xsd:long"&gt;40521&lt;/D&gt;&lt;D xsi:type="xsd:long"&gt;40520&lt;/D&gt;&lt;D xsi:type="xsd:long"&gt;40519&lt;/D&gt;&lt;D xsi:type="xsd:long"&gt;40518&lt;/D&gt;&lt;D xsi:type="xsd:long"&gt;40515&lt;/D&gt;&lt;D xsi:type="xsd:long"&gt;40514&lt;/D&gt;&lt;D xsi:type="xsd:long"&gt;40513&lt;/D&gt;&lt;D xsi:type="xsd:long"&gt;40512&lt;/D&gt;&lt;D xsi:type="xsd:long"&gt;40511&lt;/D&gt;&lt;D xsi:type="xsd:long"&gt;40508&lt;/D&gt;&lt;D xsi:type="xsd:long"&gt;40506&lt;/D&gt;&lt;D xsi:type="xsd:long"&gt;40505&lt;/D&gt;&lt;D xsi:type="xsd:long"&gt;40504&lt;/D&gt;&lt;D xsi:type="xsd:long"&gt;40501&lt;/D&gt;&lt;D xsi:type="xsd:long"&gt;40500&lt;/D&gt;&lt;D xsi:type="xsd:long"&gt;40499&lt;/D&gt;&lt;D xsi:type="xsd:long"&gt;40498&lt;/D&gt;&lt;D xsi:type="xsd:long"&gt;40497&lt;/D&gt;&lt;D xsi:type="xsd:long"&gt;40494&lt;/D&gt;&lt;D xsi:type="xsd:long"&gt;40493&lt;/D&gt;&lt;D xsi:type="xsd:long"&gt;40492&lt;/D&gt;&lt;D xsi:type="xsd:long"&gt;40491&lt;/D&gt;&lt;D xsi:type="xsd:long"&gt;40490&lt;/D&gt;&lt;D xsi:type="xsd:long"&gt;40487&lt;/D&gt;&lt;D xsi:type="xsd:long"&gt;40486&lt;/D&gt;&lt;D xsi:type="xsd:long"&gt;40485&lt;/D&gt;&lt;D xsi:type="xsd:long"&gt;40484&lt;/D&gt;&lt;D xsi:type="xsd:long"&gt;40483&lt;/D&gt;&lt;D xsi:type="xsd:long"&gt;40480&lt;/D&gt;&lt;D xsi:type="xsd:long"&gt;40479&lt;/D&gt;&lt;D xsi:type="xsd:long"&gt;40478&lt;/D&gt;&lt;D xsi:type="xsd:long"&gt;40477&lt;/D&gt;&lt;D xsi:type="xsd:long"&gt;40476&lt;/D&gt;&lt;D xsi:type="xsd:long"&gt;40473&lt;/D&gt;&lt;D xsi:type="xsd:long"&gt;40472&lt;/D&gt;&lt;D xsi:type="xsd:long"&gt;40471&lt;/D&gt;&lt;D xsi:type="xsd:long"&gt;40470&lt;/D&gt;&lt;D xsi:type="xsd:long"&gt;40469&lt;/D&gt;&lt;D xsi:type="xsd:long"&gt;40466&lt;/D&gt;&lt;D xsi:type="xsd:long"&gt;40465&lt;/D&gt;&lt;D xsi:type="xsd:long"&gt;40464&lt;/D&gt;&lt;D xsi:type="xsd:long"&gt;40463&lt;/D&gt;&lt;D xsi:type="xsd:long"&gt;40462&lt;/D&gt;&lt;D xsi:type="xsd:long"&gt;40459&lt;/D&gt;&lt;D xsi:type="xsd:long"&gt;40458&lt;/D&gt;&lt;D xsi:type="xsd:long"&gt;40457&lt;/D&gt;&lt;D xsi:type="xsd:long"&gt;40456&lt;/D&gt;&lt;D xsi:type="xsd:long"&gt;40455&lt;/D&gt;&lt;D xsi:type="xsd:long"&gt;40452&lt;/D&gt;&lt;D xsi:type="xsd:long"&gt;40451&lt;/D&gt;&lt;D xsi:type="xsd:long"&gt;40450&lt;/D&gt;&lt;D xsi:type="xsd:long"&gt;40449&lt;/D&gt;&lt;D xsi:type="xsd:long"&gt;40448&lt;/D&gt;&lt;D xsi:type="xsd:long"&gt;40445&lt;/D&gt;&lt;D xsi:type="xsd:long"&gt;40444&lt;/D&gt;&lt;D xsi:type="xsd:long"&gt;40443&lt;/D&gt;&lt;D xsi:type="xsd:long"&gt;40442&lt;/D&gt;&lt;D xsi:type="xsd:long"&gt;40441&lt;/D&gt;&lt;D xsi:type="xsd:long"&gt;40438&lt;/D&gt;&lt;D xsi:type="xsd:long"&gt;40437&lt;/D&gt;&lt;D xsi:type="xsd:long"&gt;40436&lt;/D&gt;&lt;D xsi:type="xsd:long"&gt;40435&lt;/D&gt;&lt;D xsi:type="xsd:long"&gt;40434&lt;/D&gt;&lt;D xsi:type="xsd:long"&gt;40431&lt;/D&gt;&lt;D xsi:type="xsd:long"&gt;40430&lt;/D&gt;&lt;D xsi:type="xsd:long"&gt;40429&lt;/D&gt;&lt;D xsi:type="xsd:long"&gt;40428&lt;/D&gt;&lt;D xsi:type="xsd:long"&gt;40424&lt;/D&gt;&lt;D xsi:type="xsd:long"&gt;40423&lt;/D&gt;&lt;D xsi:type="xsd:long"&gt;40422&lt;/D&gt;&lt;D xsi:type="xsd:long"&gt;40421&lt;/D&gt;&lt;D xsi:type="xsd:long"&gt;40420&lt;/D&gt;&lt;D xsi:type="xsd:long"&gt;40417&lt;/D&gt;&lt;D xsi:type="xsd:long"&gt;40416&lt;/D&gt;&lt;D xsi:type="xsd:long"&gt;40415&lt;/D&gt;&lt;D xsi:type="xsd:long"&gt;40414&lt;/D&gt;&lt;D xsi:type="xsd:long"&gt;40413&lt;/D&gt;&lt;D xsi:type="xsd:long"&gt;40410&lt;/D&gt;&lt;D xsi:type="xsd:long"&gt;40409&lt;/D&gt;&lt;D xsi:type="xsd:long"&gt;40408&lt;/D&gt;&lt;D xsi:type="xsd:long"&gt;40407&lt;/D&gt;&lt;D xsi:type="xsd:long"&gt;40406&lt;/D&gt;&lt;D xsi:type="xsd:long"&gt;40403&lt;/D&gt;&lt;D xsi:type="xsd:long"&gt;40402&lt;/D&gt;&lt;D xsi:type="xsd:long"&gt;40401&lt;/D&gt;&lt;D xsi:type="xsd:long"&gt;40400&lt;/D&gt;&lt;D xsi:type="xsd:long"&gt;40399&lt;/D&gt;&lt;D xsi:type="xsd:long"&gt;40396&lt;/D&gt;&lt;D xsi:type="xsd:long"&gt;40395&lt;/D&gt;&lt;D xsi:type="xsd:long"&gt;40394&lt;/D&gt;&lt;D xsi:type="xsd:long"&gt;40393&lt;/D&gt;&lt;D xsi:type="xsd:long"&gt;40392&lt;/D&gt;&lt;D xsi:type="xsd:long"&gt;40389&lt;/D&gt;&lt;D xsi:type="xsd:long"&gt;40388&lt;/D&gt;&lt;D xsi:type="xsd:long"&gt;40387&lt;/D&gt;&lt;D xsi:type="xsd:long"&gt;40386&lt;/D&gt;&lt;D xsi:type="xsd:long"&gt;40385&lt;/D&gt;&lt;D xsi:type="xsd:long"&gt;40382&lt;/D&gt;&lt;D xsi:type="xsd:long"&gt;40381&lt;/D&gt;&lt;D xsi:type="xsd:long"&gt;40380&lt;/D&gt;&lt;D xsi:type="xsd:long"&gt;40379&lt;/D&gt;&lt;D xsi:type="xsd:long"&gt;40378&lt;/D&gt;&lt;D xsi:type="xsd:long"&gt;40375&lt;/D&gt;&lt;D xsi:type="xsd:long"&gt;40374&lt;/D&gt;&lt;D xsi:type="xsd:long"&gt;40373&lt;/D&gt;&lt;D xsi:type="xsd:long"&gt;40372&lt;/D&gt;&lt;D xsi:type="xsd:long"&gt;40371&lt;/D&gt;&lt;D xsi:type="xsd:long"&gt;40368&lt;/D&gt;&lt;D xsi:type="xsd:long"&gt;40367&lt;/D&gt;&lt;D xsi:type="xsd:long"&gt;40366&lt;/D&gt;&lt;D xsi:type="xsd:long"&gt;40365&lt;/D&gt;&lt;D xsi:type="xsd:long"&gt;40361&lt;/D&gt;&lt;D xsi:type="xsd:long"&gt;40360&lt;/D&gt;&lt;D xsi:type="xsd:long"&gt;40359&lt;/D&gt;&lt;D xsi:type="xsd:long"&gt;40358&lt;/D&gt;&lt;D xsi:type="xsd:long"&gt;40357&lt;/D&gt;&lt;D xsi:type="xsd:long"&gt;40354&lt;/D&gt;&lt;D xsi:type="xsd:long"&gt;40353&lt;/D&gt;&lt;D xsi:type="xsd:long"&gt;40352&lt;/D&gt;&lt;D xsi:type="xsd:long"&gt;40351&lt;/D&gt;&lt;D xsi:type="xsd:long"&gt;40350&lt;/D&gt;&lt;D xsi:type="xsd:long"&gt;40347&lt;/D&gt;&lt;D xsi:type="xsd:long"&gt;40346&lt;/D&gt;&lt;D xsi:type="xsd:long"&gt;40345&lt;/D&gt;&lt;D xsi:type="xsd:long"&gt;40344&lt;/D&gt;&lt;D xsi:type="xsd:long"&gt;40343&lt;/D&gt;&lt;D xsi:type="xsd:long"&gt;40340&lt;/D&gt;&lt;D xsi:type="xsd:long"&gt;40339&lt;/D&gt;&lt;D xsi:type="xsd:long"&gt;40338&lt;/D&gt;&lt;D xsi:type="xsd:long"&gt;40337&lt;/D&gt;&lt;D xsi:type="xsd:long"&gt;40336&lt;/D&gt;&lt;D xsi:type="xsd:long"&gt;40333&lt;/D&gt;&lt;D xsi:type="xsd:long"&gt;40332&lt;/D&gt;&lt;D xsi:type="xsd:long"&gt;40331&lt;/D&gt;&lt;D xsi:type="xsd:long"&gt;40330&lt;/D&gt;&lt;D xsi:type="xsd:long"&gt;40326&lt;/D&gt;&lt;D xsi:type="xsd:long"&gt;40325&lt;/D&gt;&lt;D xsi:type="xsd:long"&gt;40324&lt;/D&gt;&lt;D xsi:type="xsd:long"&gt;40323&lt;/D&gt;&lt;D xsi:type="xsd:long"&gt;40322&lt;/D&gt;&lt;D xsi:type="xsd:long"&gt;40319&lt;/D&gt;&lt;D xsi:type="xsd:long"&gt;40318&lt;/D&gt;&lt;D xsi:type="xsd:long"&gt;40317&lt;/D&gt;&lt;D xsi:type="xsd:long"&gt;40316&lt;/D&gt;&lt;D xsi:type="xsd:long"&gt;40315&lt;/D&gt;&lt;D xsi:type="xsd:long"&gt;40312&lt;/D&gt;&lt;D xsi:type="xsd:long"&gt;40311&lt;/D&gt;&lt;D xsi:type="xsd:long"&gt;40310&lt;/D&gt;&lt;D xsi:type="xsd:long"&gt;40309&lt;/D&gt;&lt;D xsi:type="xsd:long"&gt;40308&lt;/D&gt;&lt;D xsi:type="xsd:long"&gt;40305&lt;/D&gt;&lt;D xsi:type="xsd:long"&gt;40304&lt;/D&gt;&lt;D xsi:type="xsd:long"&gt;40303&lt;/D&gt;&lt;D xsi:type="xsd:long"&gt;40302&lt;/D&gt;&lt;D xsi:type="xsd:long"&gt;40301&lt;/D&gt;&lt;D xsi:type="xsd:long"&gt;40298&lt;/D&gt;&lt;D xsi:type="xsd:long"&gt;40297&lt;/D&gt;&lt;D xsi:type="xsd:long"&gt;40296&lt;/D&gt;&lt;D xsi:type="xsd:long"&gt;40295&lt;/D&gt;&lt;D xsi:type="xsd:long"&gt;40294&lt;/D&gt;&lt;D xsi:type="xsd:long"&gt;40291&lt;/D&gt;&lt;D xsi:type="xsd:long"&gt;40290&lt;/D&gt;&lt;D xsi:type="xsd:long"&gt;40289&lt;/D&gt;&lt;D xsi:type="xsd:long"&gt;40288&lt;/D&gt;&lt;D xsi:type="xsd:long"&gt;40287&lt;/D&gt;&lt;D xsi:type="xsd:long"&gt;40284&lt;/D&gt;&lt;D xsi:type="xsd:long"&gt;40283&lt;/D&gt;&lt;D xsi:type="xsd:long"&gt;40282&lt;/D&gt;&lt;D xsi:type="xsd:long"&gt;40281&lt;/D&gt;&lt;D xsi:type="xsd:long"&gt;40280&lt;/D&gt;&lt;D xsi:type="xsd:long"&gt;40277&lt;/D&gt;&lt;D xsi:type="xsd:long"&gt;40276&lt;/D&gt;&lt;D xsi:type="xsd:long"&gt;40275&lt;/D&gt;&lt;D xsi:type="xsd:long"&gt;40274&lt;/D&gt;&lt;D xsi:type="xsd:long"&gt;40273&lt;/D&gt;&lt;D xsi:type="xsd:long"&gt;40269&lt;/D&gt;&lt;D xsi:type="xsd:long"&gt;40268&lt;/D&gt;&lt;D xsi:type="xsd:long"&gt;40267&lt;/D&gt;&lt;D xsi:type="xsd:long"&gt;40266&lt;/D&gt;&lt;D xsi:type="xsd:long"&gt;40263&lt;/D&gt;&lt;D xsi:type="xsd:long"&gt;40262&lt;/D&gt;&lt;D xsi:type="xsd:long"&gt;40261&lt;/D&gt;&lt;D xsi:type="xsd:long"&gt;40260&lt;/D&gt;&lt;D xsi:type="xsd:long"&gt;40259&lt;/D&gt;&lt;D xsi:type="xsd:long"&gt;40256&lt;/D&gt;&lt;D xsi:type="xsd:long"&gt;40255&lt;/D&gt;&lt;D xsi:type="xsd:long"&gt;40254&lt;/D&gt;&lt;D xsi:type="xsd:long"&gt;40253&lt;/D&gt;&lt;D xsi:type="xsd:long"&gt;40252&lt;/D&gt;&lt;D xsi:type="xsd:long"&gt;40249&lt;/D&gt;&lt;D xsi:type="xsd:long"&gt;40248&lt;/D&gt;&lt;D xsi:type="xsd:long"&gt;40247&lt;/D&gt;&lt;D xsi:type="xsd:long"&gt;40246&lt;/D&gt;&lt;D xsi:type="xsd:long"&gt;40245&lt;/D&gt;&lt;D xsi:type="xsd:long"&gt;40242&lt;/D&gt;&lt;D xsi:type="xsd:long"&gt;40241&lt;/D&gt;&lt;D xsi:type="xsd:long"&gt;40240&lt;/D&gt;&lt;D xsi:type="xsd:long"&gt;40239&lt;/D&gt;&lt;D xsi:type="xsd:long"&gt;40238&lt;/D&gt;&lt;D xsi:type="xsd:long"&gt;40235&lt;/D&gt;&lt;D xsi:type="xsd:long"&gt;40234&lt;/D&gt;&lt;D xsi:type="xsd:long"&gt;40233&lt;/D&gt;&lt;D xsi:type="xsd:long"&gt;40232&lt;/D&gt;&lt;D xsi:type="xsd:long"&gt;40231&lt;/D&gt;&lt;D xsi:type="xsd:long"&gt;40228&lt;/D&gt;&lt;D xsi:type="xsd:long"&gt;40227&lt;/D&gt;&lt;D xsi:type="xsd:long"&gt;40226&lt;/D&gt;&lt;D xsi:type="xsd:long"&gt;40225&lt;/D&gt;&lt;D xsi:type="xsd:long"&gt;40221&lt;/D&gt;&lt;D xsi:type="xsd:long"&gt;40220&lt;/D&gt;&lt;D xsi:type="xsd:long"&gt;40219&lt;/D&gt;&lt;D xsi:type="xsd:long"&gt;40218&lt;/D&gt;&lt;D xsi:type="xsd:long"&gt;40217&lt;/D&gt;&lt;D xsi:type="xsd:long"&gt;40214&lt;/D&gt;&lt;D xsi:type="xsd:long"&gt;40213&lt;/D&gt;&lt;D xsi:type="xsd:long"&gt;40212&lt;/D&gt;&lt;D xsi:type="xsd:long"&gt;40211&lt;/D&gt;&lt;D xsi:type="xsd:long"&gt;40210&lt;/D&gt;&lt;D xsi:type="xsd:long"&gt;40207&lt;/D&gt;&lt;D xsi:type="xsd:long"&gt;40206&lt;/D&gt;&lt;D xsi:type="xsd:long"&gt;40205&lt;/D&gt;&lt;D xsi:type="xsd:long"&gt;40204&lt;/D&gt;&lt;D xsi:type="xsd:long"&gt;40203&lt;/D&gt;&lt;D xsi:type="xsd:long"&gt;40200&lt;/D&gt;&lt;D xsi:type="xsd:long"&gt;40199&lt;/D&gt;&lt;D xsi:type="xsd:long"&gt;40198&lt;/D&gt;&lt;D xsi:type="xsd:long"&gt;40197&lt;/D&gt;&lt;D xsi:type="xsd:long"&gt;40193&lt;/D&gt;&lt;D xsi:type="xsd:long"&gt;40192&lt;/D&gt;&lt;D xsi:type="xsd:long"&gt;40191&lt;/D&gt;&lt;D xsi:type="xsd:long"&gt;40190&lt;/D&gt;&lt;D xsi:type="xsd:long"&gt;40189&lt;/D&gt;&lt;D xsi:type="xsd:long"&gt;40186&lt;/D&gt;&lt;D xsi:type="xsd:long"&gt;40185&lt;/D&gt;&lt;D xsi:type="xsd:long"&gt;40184&lt;/D&gt;&lt;D xsi:type="xsd:long"&gt;40183&lt;/D&gt;&lt;D xsi:type="xsd:long"&gt;40182&lt;/D&gt;&lt;D xsi:type="xsd:long"&gt;40178&lt;/D&gt;&lt;D xsi:type="xsd:long"&gt;40177&lt;/D&gt;&lt;D xsi:type="xsd:long"&gt;40176&lt;/D&gt;&lt;D xsi:type="xsd:long"&gt;40175&lt;/D&gt;&lt;D xsi:type="xsd:long"&gt;40171&lt;/D&gt;&lt;D xsi:type="xsd:long"&gt;40170&lt;/D&gt;&lt;D xsi:type="xsd:long"&gt;40169&lt;/D&gt;&lt;D xsi:type="xsd:long"&gt;40168&lt;/D&gt;&lt;D xsi:type="xsd:long"&gt;40165&lt;/D&gt;&lt;D xsi:type="xsd:long"&gt;40164&lt;/D&gt;&lt;D xsi:type="xsd:long"&gt;40163&lt;/D&gt;&lt;D xsi:type="xsd:long"&gt;40162&lt;/D&gt;&lt;D xsi:type="xsd:long"&gt;40161&lt;/D&gt;&lt;D xsi:type="xsd:long"&gt;40158&lt;/D&gt;&lt;D xsi:type="xsd:long"&gt;40157&lt;/D&gt;&lt;D xsi:type="xsd:long"&gt;40156&lt;/D&gt;&lt;D xsi:type="xsd:long"&gt;40155&lt;/D&gt;&lt;D xsi:type="xsd:long"&gt;40154&lt;/D&gt;&lt;D xsi:type="xsd:long"&gt;40151&lt;/D&gt;&lt;D xsi:type="xsd:long"&gt;40150&lt;/D&gt;&lt;D xsi:type="xsd:long"&gt;40149&lt;/D&gt;&lt;D xsi:type="xsd:long"&gt;40148&lt;/D&gt;&lt;D xsi:type="xsd:long"&gt;40147&lt;/D&gt;&lt;D xsi:type="xsd:long"&gt;40144&lt;/D&gt;&lt;D xsi:type="xsd:long"&gt;40142&lt;/D&gt;&lt;D xsi:type="xsd:long"&gt;40141&lt;/D&gt;&lt;D xsi:type="xsd:long"&gt;40140&lt;/D&gt;&lt;D xsi:type="xsd:long"&gt;40137&lt;/D&gt;&lt;D xsi:type="xsd:long"&gt;40136&lt;/D&gt;&lt;D xsi:type="xsd:long"&gt;40135&lt;/D&gt;&lt;D xsi:type="xsd:long"&gt;40134&lt;/D&gt;&lt;D xsi:type="xsd:long"&gt;40133&lt;/D&gt;&lt;D xsi:type="xsd:long"&gt;40130&lt;/D&gt;&lt;D xsi:type="xsd:long"&gt;40129&lt;/D&gt;&lt;D xsi:type="xsd:long"&gt;40128&lt;/D&gt;&lt;D xsi:type="xsd:long"&gt;40127&lt;/D&gt;&lt;D xsi:type="xsd:long"&gt;40126&lt;/D&gt;&lt;D xsi:type="xsd:long"&gt;40123&lt;/D&gt;&lt;D xsi:type="xsd:long"&gt;40122&lt;/D&gt;&lt;D xsi:type="xsd:long"&gt;40121&lt;/D&gt;&lt;D xsi:type="xsd:long"&gt;40120&lt;/D&gt;&lt;D xsi:type="xsd:long"&gt;40119&lt;/D&gt;&lt;D xsi:type="xsd:long"&gt;40116&lt;/D&gt;&lt;D xsi:type="xsd:long"&gt;40115&lt;/D&gt;&lt;D xsi:type="xsd:long"&gt;40114&lt;/D&gt;&lt;D xsi:type="xsd:long"&gt;40113&lt;/D&gt;&lt;D xsi:type="xsd:long"&gt;40112&lt;/D&gt;&lt;D xsi:type="xsd:long"&gt;40109&lt;/D&gt;&lt;D xsi:type="xsd:long"&gt;40108&lt;/D&gt;&lt;D xsi:type="xsd:long"&gt;40107&lt;/D&gt;&lt;D xsi:type="xsd:long"&gt;40106&lt;/D&gt;&lt;D xsi:type="xsd:long"&gt;40105&lt;/D&gt;&lt;D xsi:type="xsd:long"&gt;40102&lt;/D&gt;&lt;D xsi:type="xsd:long"&gt;40101&lt;/D&gt;&lt;D xsi:type="xsd:long"&gt;40100&lt;/D&gt;&lt;D xsi:type="xsd:long"&gt;40099&lt;/D&gt;&lt;D xsi:type="xsd:long"&gt;40098&lt;/D&gt;&lt;D xsi:type="xsd:long"&gt;40095&lt;/D&gt;&lt;D xsi:type="xsd:long"&gt;40094&lt;/D&gt;&lt;D xsi:type="xsd:long"&gt;40093&lt;/D&gt;&lt;D xsi:type="xsd:long"&gt;40092&lt;/D&gt;&lt;D xsi:type="xsd:long"&gt;40091&lt;/D&gt;&lt;D xsi:type="xsd:long"&gt;40088&lt;/D&gt;&lt;D xsi:type="xsd:long"&gt;40087&lt;/D&gt;&lt;D xsi:type="xsd:long"&gt;40086&lt;/D&gt;&lt;D xsi:type="xsd:long"&gt;40085&lt;/D&gt;&lt;D xsi:type="xsd:long"&gt;40084&lt;/D&gt;&lt;D xsi:type="xsd:long"&gt;40081&lt;/D&gt;&lt;D xsi:type="xsd:long"&gt;40080&lt;/D&gt;&lt;D xsi:type="xsd:long"&gt;40079&lt;/D&gt;&lt;D xsi:type="xsd:long"&gt;40078&lt;/D&gt;&lt;D xsi:type="xsd:long"&gt;40077&lt;/D&gt;&lt;D xsi:type="xsd:long"&gt;40074&lt;/D&gt;&lt;D xsi:type="xsd:long"&gt;40073&lt;/D&gt;&lt;D xsi:type="xsd:long"&gt;40072&lt;/D&gt;&lt;D xsi:type="xsd:long"&gt;40071&lt;/D&gt;&lt;D xsi:type="xsd:long"&gt;40070&lt;/D&gt;&lt;D xsi:type="xsd:long"&gt;40067&lt;/D&gt;&lt;D xsi:type="xsd:long"&gt;40066&lt;/D&gt;&lt;D xsi:type="xsd:long"&gt;40065&lt;/D&gt;&lt;D xsi:type="xsd:long"&gt;40064&lt;/D&gt;&lt;D xsi:type="xsd:long"&gt;40060&lt;/D&gt;&lt;D xsi:type="xsd:long"&gt;40059&lt;/D&gt;&lt;D xsi:type="xsd:long"&gt;40058&lt;/D&gt;&lt;D xsi:type="xsd:long"&gt;40057&lt;/D&gt;&lt;D xsi:type="xsd:long"&gt;40056&lt;/D&gt;&lt;D xsi:type="xsd:long"&gt;40053&lt;/D&gt;&lt;D xsi:type="xsd:long"&gt;40052&lt;/D&gt;&lt;D xsi:type="xsd:long"&gt;40051&lt;/D&gt;&lt;D xsi:type="xsd:long"&gt;40050&lt;/D&gt;&lt;D xsi:type="xsd:long"&gt;40049&lt;/D&gt;&lt;D xsi:type="xsd:long"&gt;40046&lt;/D&gt;&lt;D xsi:type="xsd:long"&gt;40045&lt;/D&gt;&lt;D xsi:type="xsd:long"&gt;40044&lt;/D&gt;&lt;D xsi:type="xsd:long"&gt;40043&lt;/D&gt;&lt;D xsi:type="xsd:long"&gt;40042&lt;/D&gt;&lt;D xsi:type="xsd:long"&gt;40039&lt;/D&gt;&lt;D xsi:type="xsd:long"&gt;40038&lt;/D&gt;&lt;D xsi:type="xsd:long"&gt;40037&lt;/D&gt;&lt;D xsi:type="xsd:long"&gt;40036&lt;/D&gt;&lt;D xsi:type="xsd:long"&gt;40035&lt;/D&gt;&lt;D xsi:type="xsd:long"&gt;40032&lt;/D&gt;&lt;D xsi:type="xsd:long"&gt;40031&lt;/D&gt;&lt;D xsi:type="xsd:long"&gt;40030&lt;/D&gt;&lt;D xsi:type="xsd:long"&gt;40029&lt;/D&gt;&lt;D xsi:type="xsd:long"&gt;40028&lt;/D&gt;&lt;D xsi:type="xsd:long"&gt;40025&lt;/D&gt;&lt;D xsi:type="xsd:long"&gt;40024&lt;/D&gt;&lt;D xsi:type="xsd:long"&gt;40023&lt;/D&gt;&lt;D xsi:type="xsd:long"&gt;40022&lt;/D&gt;&lt;D xsi:type="xsd:long"&gt;40021&lt;/D&gt;&lt;D xsi:type="xsd:long"&gt;40018&lt;/D&gt;&lt;D xsi:type="xsd:long"&gt;40017&lt;/D&gt;&lt;D xsi:type="xsd:long"&gt;40016&lt;/D&gt;&lt;D xsi:type="xsd:long"&gt;40015&lt;/D&gt;&lt;D xsi:type="xsd:long"&gt;40014&lt;/D&gt;&lt;D xsi:type="xsd:long"&gt;40011&lt;/D&gt;&lt;D xsi:type="xsd:long"&gt;40010&lt;/D&gt;&lt;D xsi:type="xsd:long"&gt;40009&lt;/D&gt;&lt;D xsi:type="xsd:long"&gt;40008&lt;/D&gt;&lt;D xsi:type="xsd:long"&gt;40007&lt;/D&gt;&lt;D xsi:type="xsd:long"&gt;40004&lt;/D&gt;&lt;D xsi:type="xsd:long"&gt;40003&lt;/D&gt;&lt;D xsi:type="xsd:long"&gt;40002&lt;/D&gt;&lt;D xsi:type="xsd:long"&gt;40001&lt;/D&gt;&lt;D xsi:type="xsd:long"&gt;40000&lt;/D&gt;&lt;D xsi:type="xsd:long"&gt;39996&lt;/D&gt;&lt;D xsi:type="xsd:long"&gt;39995&lt;/D&gt;&lt;D xsi:type="xsd:long"&gt;39994&lt;/D&gt;&lt;D xsi:type="xsd:long"&gt;39993&lt;/D&gt;&lt;D xsi:type="xsd:long"&gt;39990&lt;/D&gt;&lt;D xsi:type="xsd:long"&gt;39989&lt;/D&gt;&lt;D xsi:type="xsd:long"&gt;39988&lt;/D&gt;&lt;D xsi:type="xsd:long"&gt;39987&lt;/D&gt;&lt;D xsi:type="xsd:long"&gt;39986&lt;/D&gt;&lt;D xsi:type="xsd:long"&gt;39983&lt;/D&gt;&lt;D xsi:type="xsd:long"&gt;39982&lt;/D&gt;&lt;D xsi:type="xsd:long"&gt;39981&lt;/D&gt;&lt;D xsi:type="xsd:long"&gt;39980&lt;/D&gt;&lt;D xsi:type="xsd:long"&gt;39979&lt;/D&gt;&lt;D xsi:type="xsd:long"&gt;39976&lt;/D&gt;&lt;D xsi:type="xsd:long"&gt;39975&lt;/D&gt;&lt;D xsi:type="xsd:long"&gt;39974&lt;/D&gt;&lt;D xsi:type="xsd:long"&gt;39973&lt;/D&gt;&lt;D xsi:type="xsd:long"&gt;39972&lt;/D&gt;&lt;D xsi:type="xsd:long"&gt;39969&lt;/D&gt;&lt;D xsi:type="xsd:long"&gt;39968&lt;/D&gt;&lt;D xsi:type="xsd:long"&gt;39967&lt;/D&gt;&lt;D xsi:type="xsd:long"&gt;39966&lt;/D&gt;&lt;D xsi:type="xsd:long"&gt;39965&lt;/D&gt;&lt;D xsi:type="xsd:long"&gt;39962&lt;/D&gt;&lt;D xsi:type="xsd:long"&gt;39961&lt;/D&gt;&lt;D xsi:type="xsd:long"&gt;39960&lt;/D&gt;&lt;D xsi:type="xsd:long"&gt;39959&lt;/D&gt;&lt;D xsi:type="xsd:long"&gt;39955&lt;/D&gt;&lt;D xsi:type="xsd:long"&gt;39954&lt;/D&gt;&lt;D xsi:type="xsd:long"&gt;39953&lt;/D&gt;&lt;D xsi:type="xsd:long"&gt;39952&lt;/D&gt;&lt;D xsi:type="xsd:long"&gt;39951&lt;/D&gt;&lt;D xsi:type="xsd:long"&gt;39948&lt;/D&gt;&lt;D xsi:type="xsd:long"&gt;39947&lt;/D&gt;&lt;D xsi:type="xsd:long"&gt;39946&lt;/D&gt;&lt;D xsi:type="xsd:long"&gt;39945&lt;/D&gt;&lt;D xsi:type="xsd:long"&gt;39944&lt;/D&gt;&lt;D xsi:type="xsd:long"&gt;39941&lt;/D&gt;&lt;D xsi:type="xsd:long"&gt;39940&lt;/D&gt;&lt;D xsi:type="xsd:long"&gt;39939&lt;/D&gt;&lt;D xsi:type="xsd:long"&gt;39938&lt;/D&gt;&lt;D xsi:type="xsd:long"&gt;39937&lt;/D&gt;&lt;D xsi:type="xsd:long"&gt;39934&lt;/D&gt;&lt;D xsi:type="xsd:long"&gt;39933&lt;/D&gt;&lt;D xsi:type="xsd:long"&gt;39932&lt;/D&gt;&lt;D xsi:type="xsd:long"&gt;39931&lt;/D&gt;&lt;D xsi:type="xsd:long"&gt;39930&lt;/D&gt;&lt;D xsi:type="xsd:long"&gt;39927&lt;/D&gt;&lt;D xsi:type="xsd:long"&gt;39926&lt;/D&gt;&lt;D xsi:type="xsd:long"&gt;39925&lt;/D&gt;&lt;D xsi:type="xsd:long"&gt;39924&lt;/D&gt;&lt;D xsi:type="xsd:long"&gt;39923&lt;/D&gt;&lt;D xsi:type="xsd:long"&gt;39920&lt;/D&gt;&lt;D xsi:type="xsd:long"&gt;39919&lt;/D&gt;&lt;D xsi:type="xsd:long"&gt;39918&lt;/D&gt;&lt;D xsi:type="xsd:long"&gt;39917&lt;/D&gt;&lt;D xsi:type="xsd:long"&gt;39916&lt;/D&gt;&lt;D xsi:type="xsd:long"&gt;39912&lt;/D&gt;&lt;D xsi:type="xsd:long"&gt;39911&lt;/D&gt;&lt;D xsi:type="xsd:long"&gt;39910&lt;/D&gt;&lt;D xsi:type="xsd:long"&gt;39909&lt;/D&gt;&lt;D xsi:type="xsd:long"&gt;39906&lt;/D&gt;&lt;D xsi:type="xsd:long"&gt;39905&lt;/D&gt;&lt;D xsi:type="xsd:long"&gt;39904&lt;/D&gt;&lt;D xsi:type="xsd:long"&gt;39903&lt;/D&gt;&lt;D xsi:type="xsd:long"&gt;39902&lt;/D&gt;&lt;D xsi:type="xsd:long"&gt;39899&lt;/D&gt;&lt;D xsi:type="xsd:long"&gt;39898&lt;/D&gt;&lt;D xsi:type="xsd:long"&gt;39897&lt;/D&gt;&lt;D xsi:type="xsd:long"&gt;39896&lt;/D&gt;&lt;D xsi:type="xsd:long"&gt;39895&lt;/D&gt;&lt;D xsi:type="xsd:long"&gt;39892&lt;/D&gt;&lt;D xsi:type="xsd:long"&gt;39891&lt;/D&gt;&lt;D xsi:type="xsd:long"&gt;39890&lt;/D&gt;&lt;D xsi:type="xsd:long"&gt;39889&lt;/D&gt;&lt;D xsi:type="xsd:long"&gt;39888&lt;/D&gt;&lt;D xsi:type="xsd:long"&gt;39885&lt;/D&gt;&lt;D xsi:type="xsd:long"&gt;39884&lt;/D&gt;&lt;D xsi:type="xsd:long"&gt;39883&lt;/D&gt;&lt;D xsi:type="xsd:long"&gt;39882&lt;/D&gt;&lt;D xsi:type="xsd:long"&gt;39881&lt;/D&gt;&lt;D xsi:type="xsd:long"&gt;39878&lt;/D&gt;&lt;D xsi:type="xsd:long"&gt;39877&lt;/D&gt;&lt;D xsi:type="xsd:long"&gt;39876&lt;/D&gt;&lt;D xsi:type="xsd:long"&gt;39875&lt;/D&gt;&lt;D xsi:type="xsd:long"&gt;39874&lt;/D&gt;&lt;D xsi:type="xsd:long"&gt;39871&lt;/D&gt;&lt;D xsi:type="xsd:long"&gt;39870&lt;/D&gt;&lt;D xsi:type="xsd:long"&gt;39869&lt;/D&gt;&lt;D xsi:type="xsd:long"&gt;39868&lt;/D&gt;&lt;D xsi:type="xsd:long"&gt;39867&lt;/D&gt;&lt;D xsi:type="xsd:long"&gt;39864&lt;/D&gt;&lt;D xsi:type="xsd:long"&gt;39863&lt;/D&gt;&lt;D xsi:type="xsd:long"&gt;39862&lt;/D&gt;&lt;D xsi:type="xsd:long"&gt;39861&lt;/D&gt;&lt;D xsi:type="xsd:long"&gt;39857&lt;/D&gt;&lt;D xsi:type="xsd:long"&gt;39856&lt;/D&gt;&lt;D xsi:type="xsd:long"&gt;39855&lt;/D&gt;&lt;D xsi:type="xsd:long"&gt;39854&lt;/D&gt;&lt;D xsi:type="xsd:long"&gt;39853&lt;/D&gt;&lt;D xsi:type="xsd:long"&gt;39850&lt;/D&gt;&lt;D xsi:type="xsd:long"&gt;39849&lt;/D&gt;&lt;D xsi:type="xsd:long"&gt;39848&lt;/D&gt;&lt;D xsi:type="xsd:long"&gt;39847&lt;/D&gt;&lt;D xsi:type="xsd:long"&gt;39846&lt;/D&gt;&lt;D xsi:type="xsd:long"&gt;39843&lt;/D&gt;&lt;D xsi:type="xsd:long"&gt;39842&lt;/D&gt;&lt;D xsi:type="xsd:long"&gt;39841&lt;/D&gt;&lt;D xsi:type="xsd:long"&gt;39840&lt;/D&gt;&lt;D xsi:type="xsd:long"&gt;39839&lt;/D&gt;&lt;D xsi:type="xsd:long"&gt;39836&lt;/D&gt;&lt;D xsi:type="xsd:long"&gt;39835&lt;/D&gt;&lt;D xsi:type="xsd:long"&gt;39834&lt;/D&gt;&lt;D xsi:type="xsd:long"&gt;39833&lt;/D&gt;&lt;D xsi:type="xsd:long"&gt;39829&lt;/D&gt;&lt;D xsi:type="xsd:long"&gt;39828&lt;/D&gt;&lt;D xsi:type="xsd:long"&gt;39827&lt;/D&gt;&lt;D xsi:type="xsd:long"&gt;39826&lt;/D&gt;&lt;D xsi:type="xsd:long"&gt;39825&lt;/D&gt;&lt;D xsi:type="xsd:long"&gt;39822&lt;/D&gt;&lt;D xsi:type="xsd:long"&gt;39821&lt;/D&gt;&lt;D xsi:type="xsd:long"&gt;39820&lt;/D&gt;&lt;D xsi:type="xsd:long"&gt;39819&lt;/D&gt;&lt;D xsi:type="xsd:long"&gt;39818&lt;/D&gt;&lt;D xsi:type="xsd:long"&gt;39815&lt;/D&gt;&lt;D xsi:type="xsd:long"&gt;39813&lt;/D&gt;&lt;D xsi:type="xsd:long"&gt;39812&lt;/D&gt;&lt;D xsi:type="xsd:long"&gt;39811&lt;/D&gt;&lt;D xsi:type="xsd:long"&gt;39808&lt;/D&gt;&lt;D xsi:type="xsd:long"&gt;39806&lt;/D&gt;&lt;D xsi:type="xsd:long"&gt;39805&lt;/D&gt;&lt;D xsi:type="xsd:long"&gt;39804&lt;/D&gt;&lt;D xsi:type="xsd:long"&gt;39801&lt;/D&gt;&lt;D xsi:type="xsd:long"&gt;39800&lt;/D&gt;&lt;D xsi:type="xsd:long"&gt;39799&lt;/D&gt;&lt;D xsi:type="xsd:long"&gt;39798&lt;/D&gt;&lt;D xsi:type="xsd:long"&gt;39797&lt;/D&gt;&lt;D xsi:type="xsd:long"&gt;39794&lt;/D&gt;&lt;D xsi:type="xsd:long"&gt;39793&lt;/D&gt;&lt;D xsi:type="xsd:long"&gt;39792&lt;/D&gt;&lt;D xsi:type="xsd:long"&gt;39791&lt;/D&gt;&lt;D xsi:type="xsd:long"&gt;39790&lt;/D&gt;&lt;D xsi:type="xsd:long"&gt;39787&lt;/D&gt;&lt;D xsi:type="xsd:long"&gt;39786&lt;/D&gt;&lt;D xsi:type="xsd:long"&gt;39785&lt;/D&gt;&lt;D xsi:type="xsd:long"&gt;39784&lt;/D&gt;&lt;D xsi:type="xsd:long"&gt;39783&lt;/D&gt;&lt;D xsi:type="xsd:long"&gt;39780&lt;/D&gt;&lt;D xsi:type="xsd:long"&gt;39778&lt;/D&gt;&lt;D xsi:type="xsd:long"&gt;39777&lt;/D&gt;&lt;D xsi:type="xsd:long"&gt;39776&lt;/D&gt;&lt;D xsi:type="xsd:long"&gt;39773&lt;/D&gt;&lt;D xsi:type="xsd:long"&gt;39772&lt;/D&gt;&lt;D xsi:type="xsd:long"&gt;39771&lt;/D&gt;&lt;D xsi:type="xsd:long"&gt;39770&lt;/D&gt;&lt;D xsi:type="xsd:long"&gt;39769&lt;/D&gt;&lt;D xsi:type="xsd:long"&gt;39766&lt;/D&gt;&lt;D xsi:type="xsd:long"&gt;39765&lt;/D&gt;&lt;D xsi:type="xsd:long"&gt;39764&lt;/D&gt;&lt;D xsi:type="xsd:long"&gt;39763&lt;/D&gt;&lt;D xsi:type="xsd:long"&gt;39762&lt;/D&gt;&lt;D xsi:type="xsd:long"&gt;39759&lt;/D&gt;&lt;D xsi:type="xsd:long"&gt;39758&lt;/D&gt;&lt;D xsi:type="xsd:long"&gt;39757&lt;/D&gt;&lt;D xsi:type="xsd:long"&gt;39756&lt;/D&gt;&lt;D xsi:type="xsd:long"&gt;39755&lt;/D&gt;&lt;D xsi:type="xsd:long"&gt;39752&lt;/D&gt;&lt;D xsi:type="xsd:long"&gt;39751&lt;/D&gt;&lt;D xsi:type="xsd:long"&gt;39750&lt;/D&gt;&lt;D xsi:type="xsd:long"&gt;39749&lt;/D&gt;&lt;D xsi:type="xsd:long"&gt;39748&lt;/D&gt;&lt;D xsi:type="xsd:long"&gt;39745&lt;/D&gt;&lt;D xsi:type="xsd:long"&gt;39744&lt;/D&gt;&lt;D xsi:type="xsd:long"&gt;39743&lt;/D&gt;&lt;D xsi:type="xsd:long"&gt;39742&lt;/D&gt;&lt;D xsi:type="xsd:long"&gt;39741&lt;/D&gt;&lt;D xsi:type="xsd:long"&gt;39738&lt;/D&gt;&lt;D xsi:type="xsd:long"&gt;39737&lt;/D&gt;&lt;D xsi:type="xsd:long"&gt;39736&lt;/D&gt;&lt;D xsi:type="xsd:long"&gt;39735&lt;/D&gt;&lt;D xsi:type="xsd:long"&gt;39734&lt;/D&gt;&lt;D xsi:type="xsd:long"&gt;39731&lt;/D&gt;&lt;D xsi:type="xsd:long"&gt;39730&lt;/D&gt;&lt;D xsi:type="xsd:long"&gt;39729&lt;/D&gt;&lt;D xsi:type="xsd:long"&gt;39728&lt;/D&gt;&lt;D xsi:type="xsd:long"&gt;39727&lt;/D&gt;&lt;D xsi:type="xsd:long"&gt;39724&lt;/D&gt;&lt;D xsi:type="xsd:long"&gt;39723&lt;/D&gt;&lt;D xsi:type="xsd:long"&gt;39722&lt;/D&gt;&lt;D xsi:type="xsd:long"&gt;39721&lt;/D&gt;&lt;D xsi:type="xsd:long"&gt;39720&lt;/D&gt;&lt;D xsi:type="xsd:long"&gt;39717&lt;/D&gt;&lt;D xsi:type="xsd:long"&gt;39716&lt;/D&gt;&lt;D xsi:type="xsd:long"&gt;39715&lt;/D&gt;&lt;D xsi:type="xsd:long"&gt;39714&lt;/D&gt;&lt;D xsi:type="xsd:long"&gt;39713&lt;/D&gt;&lt;D xsi:type="xsd:long"&gt;39710&lt;/D&gt;&lt;D xsi:type="xsd:long"&gt;39709&lt;/D&gt;&lt;D xsi:type="xsd:long"&gt;39708&lt;/D&gt;&lt;D xsi:type="xsd:long"&gt;39707&lt;/D&gt;&lt;D xsi:type="xsd:long"&gt;39706&lt;/D&gt;&lt;D xsi:type="xsd:long"&gt;39703&lt;/D&gt;&lt;D xsi:type="xsd:long"&gt;39702&lt;/D&gt;&lt;D xsi:type="xsd:long"&gt;39701&lt;/D&gt;&lt;D xsi:type="xsd:long"&gt;39700&lt;/D&gt;&lt;D xsi:type="xsd:long"&gt;39699&lt;/D&gt;&lt;D xsi:type="xsd:long"&gt;39696&lt;/D&gt;&lt;D xsi:type="xsd:long"&gt;39695&lt;/D&gt;&lt;D xsi:type="xsd:long"&gt;39694&lt;/D&gt;&lt;D xsi:type="xsd:long"&gt;39693&lt;/D&gt;&lt;D xsi:type="xsd:long"&gt;39689&lt;/D&gt;&lt;D xsi:type="xsd:long"&gt;39688&lt;/D&gt;&lt;D xsi:type="xsd:long"&gt;39687&lt;/D&gt;&lt;D xsi:type="xsd:long"&gt;39686&lt;/D&gt;&lt;D xsi:type="xsd:long"&gt;39685&lt;/D&gt;&lt;D xsi:type="xsd:long"&gt;39682&lt;/D&gt;&lt;D xsi:type="xsd:long"&gt;39681&lt;/D&gt;&lt;D xsi:type="xsd:long"&gt;39680&lt;/D&gt;&lt;D xsi:type="xsd:long"&gt;39679&lt;/D&gt;&lt;D xsi:type="xsd:long"&gt;39678&lt;/D&gt;&lt;D xsi:type="xsd:long"&gt;39675&lt;/D&gt;&lt;D xsi:type="xsd:long"&gt;39674&lt;/D&gt;&lt;D xsi:type="xsd:long"&gt;39673&lt;/D&gt;&lt;D xsi:type="xsd:long"&gt;39672&lt;/D&gt;&lt;D xsi:type="xsd:long"&gt;39671&lt;/D&gt;&lt;D xsi:type="xsd:long"&gt;39668&lt;/D&gt;&lt;D xsi:type="xsd:long"&gt;39667&lt;/D&gt;&lt;D xsi:type="xsd:long"&gt;39666&lt;/D&gt;&lt;D xsi:type="xsd:long"&gt;39665&lt;/D&gt;&lt;D xsi:type="xsd:long"&gt;39664&lt;/D&gt;&lt;D xsi:type="xsd:long"&gt;39661&lt;/D&gt;&lt;D xsi:type="xsd:long"&gt;39660&lt;/D&gt;&lt;D xsi:type="xsd:long"&gt;39659&lt;/D&gt;&lt;D xsi:type="xsd:long"&gt;39658&lt;/D&gt;&lt;D xsi:type="xsd:long"&gt;39657&lt;/D&gt;&lt;D xsi:type="xsd:long"&gt;39654&lt;/D&gt;&lt;D xsi:type="xsd:long"&gt;39653&lt;/D&gt;&lt;D xsi:type="xsd:long"&gt;39652&lt;/D&gt;&lt;D xsi:type="xsd:long"&gt;39651&lt;/D&gt;&lt;D xsi:type="xsd:long"&gt;39650&lt;/D&gt;&lt;D xsi:type="xsd:long"&gt;39647&lt;/D&gt;&lt;D xsi:type="xsd:long"&gt;39646&lt;/D&gt;&lt;D xsi:type="xsd:long"&gt;39645&lt;/D&gt;&lt;D xsi:type="xsd:long"&gt;39644&lt;/D&gt;&lt;D xsi:type="xsd:long"&gt;39643&lt;/D&gt;&lt;D xsi:type="xsd:long"&gt;39640&lt;/D&gt;&lt;D xsi:type="xsd:long"&gt;39639&lt;/D&gt;&lt;D xsi:type="xsd:long"&gt;39638&lt;/D&gt;&lt;D xsi:type="xsd:long"&gt;39637&lt;/D&gt;&lt;D xsi:type="xsd:long"&gt;39636&lt;/D&gt;&lt;D xsi:type="xsd:long"&gt;39632&lt;/D&gt;&lt;D xsi:type="xsd:long"&gt;39631&lt;/D&gt;&lt;D xsi:type="xsd:long"&gt;39630&lt;/D&gt;&lt;D xsi:type="xsd:long"&gt;39629&lt;/D&gt;&lt;D xsi:type="xsd:long"&gt;39626&lt;/D&gt;&lt;D xsi:type="xsd:long"&gt;39625&lt;/D&gt;&lt;D xsi:type="xsd:long"&gt;39624&lt;/D&gt;&lt;D xsi:type="xsd:long"&gt;39623&lt;/D&gt;&lt;D xsi:type="xsd:long"&gt;39622&lt;/D&gt;&lt;D xsi:type="xsd:long"&gt;39619&lt;/D&gt;&lt;D xsi:type="xsd:long"&gt;39618&lt;/D&gt;&lt;D xsi:type="xsd:long"&gt;39617&lt;/D&gt;&lt;D xsi:type="xsd:long"&gt;39616&lt;/D&gt;&lt;D xsi:type="xsd:long"&gt;39615&lt;/D&gt;&lt;D xsi:type="xsd:long"&gt;39612&lt;/D&gt;&lt;D xsi:type="xsd:long"&gt;39611&lt;/D&gt;&lt;D xsi:type="xsd:long"&gt;39610&lt;/D&gt;&lt;D xsi:type="xsd:long"&gt;39609&lt;/D&gt;&lt;D xsi:type="xsd:long"&gt;39608&lt;/D&gt;&lt;D xsi:type="xsd:long"&gt;39605&lt;/D&gt;&lt;D xsi:type="xsd:long"&gt;39604&lt;/D&gt;&lt;D xsi:type="xsd:long"&gt;39603&lt;/D&gt;&lt;D xsi:type="xsd:long"&gt;39602&lt;/D&gt;&lt;D xsi:type="xsd:long"&gt;39601&lt;/D&gt;&lt;D xsi:type="xsd:long"&gt;39598&lt;/D&gt;&lt;D xsi:type="xsd:long"&gt;39597&lt;/D&gt;&lt;D xsi:type="xsd:long"&gt;39596&lt;/D&gt;&lt;D xsi:type="xsd:long"&gt;39595&lt;/D&gt;&lt;D xsi:type="xsd:long"&gt;39591&lt;/D&gt;&lt;D xsi:type="xsd:long"&gt;39590&lt;/D&gt;&lt;D xsi:type="xsd:long"&gt;39589&lt;/D&gt;&lt;D xsi:type="xsd:long"&gt;39588&lt;/D&gt;&lt;D xsi:type="xsd:long"&gt;39587&lt;/D&gt;&lt;D xsi:type="xsd:long"&gt;39584&lt;/D&gt;&lt;D xsi:type="xsd:long"&gt;39583&lt;/D&gt;&lt;D xsi:type="xsd:long"&gt;39582&lt;/D&gt;&lt;D xsi:type="xsd:long"&gt;39581&lt;/D&gt;&lt;D xsi:type="xsd:long"&gt;39580&lt;/D&gt;&lt;D xsi:type="xsd:long"&gt;39577&lt;/D&gt;&lt;D xsi:type="xsd:long"&gt;39576&lt;/D&gt;&lt;D xsi:type="xsd:long"&gt;39575&lt;/D&gt;&lt;D xsi:type="xsd:long"&gt;39574&lt;/D&gt;&lt;D xsi:type="xsd:long"&gt;39573&lt;/D&gt;&lt;D xsi:type="xsd:long"&gt;39570&lt;/D&gt;&lt;D xsi:type="xsd:long"&gt;39569&lt;/D&gt;&lt;D xsi:type="xsd:long"&gt;39568&lt;/D&gt;&lt;D xsi:type="xsd:long"&gt;39567&lt;/D&gt;&lt;D xsi:type="xsd:long"&gt;39566&lt;/D&gt;&lt;D xsi:type="xsd:long"&gt;39563&lt;/D&gt;&lt;D xsi:type="xsd:long"&gt;39562&lt;/D&gt;&lt;D xsi:type="xsd:long"&gt;39561&lt;/D&gt;&lt;D xsi:type="xsd:long"&gt;39560&lt;/D&gt;&lt;D xsi:type="xsd:long"&gt;39559&lt;/D&gt;&lt;D xsi:type="xsd:long"&gt;39556&lt;/D&gt;&lt;D xsi:type="xsd:long"&gt;39555&lt;/D&gt;&lt;D xsi:type="xsd:long"&gt;39554&lt;/D&gt;&lt;D xsi:type="xsd:long"&gt;39553&lt;/D&gt;&lt;D xsi:type="xsd:long"&gt;39552&lt;/D&gt;&lt;D xsi:type="xsd:long"&gt;39549&lt;/D&gt;&lt;D xsi:type="xsd:long"&gt;39548&lt;/D&gt;&lt;D xsi:type="xsd:long"&gt;39547&lt;/D&gt;&lt;D xsi:type="xsd:long"&gt;39546&lt;/D&gt;&lt;D xsi:type="xsd:long"&gt;39545&lt;/D&gt;&lt;D xsi:type="xsd:long"&gt;39542&lt;/D&gt;&lt;D xsi:type="xsd:long"&gt;39541&lt;/D&gt;&lt;D xsi:type="xsd:long"&gt;39540&lt;/D&gt;&lt;D xsi:type="xsd:long"&gt;39539&lt;/D&gt;&lt;D xsi:type="xsd:long"&gt;39538&lt;/D&gt;&lt;D xsi:type="xsd:long"&gt;39535&lt;/D&gt;&lt;D xsi:type="xsd:long"&gt;39534&lt;/D&gt;&lt;D xsi:type="xsd:long"&gt;39533&lt;/D&gt;&lt;D xsi:type="xsd:long"&gt;39532&lt;/D&gt;&lt;D xsi:type="xsd:long"&gt;39531&lt;/D&gt;&lt;D xsi:type="xsd:long"&gt;39527&lt;/D&gt;&lt;D xsi:type="xsd:long"&gt;39526&lt;/D&gt;&lt;D xsi:type="xsd:long"&gt;39525&lt;/D&gt;&lt;D xsi:type="xsd:long"&gt;39524&lt;/D&gt;&lt;D xsi:type="xsd:long"&gt;39521&lt;/D&gt;&lt;D xsi:type="xsd:long"&gt;39520&lt;/D&gt;&lt;D xsi:type="xsd:long"&gt;39519&lt;/D&gt;&lt;D xsi:type="xsd:long"&gt;39518&lt;/D&gt;&lt;D xsi:type="xsd:long"&gt;39517&lt;/D&gt;&lt;D xsi:type="xsd:long"&gt;39514&lt;/D&gt;&lt;D xsi:type="xsd:long"&gt;39513&lt;/D&gt;&lt;D xsi:type="xsd:long"&gt;39512&lt;/D&gt;&lt;D xsi:type="xsd:long"&gt;39511&lt;/D&gt;&lt;D xsi:type="xsd:long"&gt;39510&lt;/D&gt;&lt;D xsi:type="xsd:long"&gt;39507&lt;/D&gt;&lt;D xsi:type="xsd:long"&gt;39506&lt;/D&gt;&lt;D xsi:type="xsd:long"&gt;39505&lt;/D&gt;&lt;D xsi:type="xsd:long"&gt;39504&lt;/D&gt;&lt;D xsi:type="xsd:long"&gt;39503&lt;/D&gt;&lt;D xsi:type="xsd:long"&gt;39500&lt;/D&gt;&lt;D xsi:type="xsd:long"&gt;39499&lt;/D&gt;&lt;D xsi:type="xsd:long"&gt;39498&lt;/D&gt;&lt;D xsi:type="xsd:long"&gt;39497&lt;/D&gt;&lt;D xsi:type="xsd:long"&gt;39493&lt;/D&gt;&lt;D xsi:type="xsd:long"&gt;39492&lt;/D&gt;&lt;D xsi:type="xsd:long"&gt;39491&lt;/D&gt;&lt;D xsi:type="xsd:long"&gt;39490&lt;/D&gt;&lt;D xsi:type="xsd:long"&gt;39489&lt;/D&gt;&lt;D xsi:type="xsd:long"&gt;39486&lt;/D&gt;&lt;D xsi:type="xsd:long"&gt;39485&lt;/D&gt;&lt;D xsi:type="xsd:long"&gt;39484&lt;/D&gt;&lt;D xsi:type="xsd:long"&gt;39483&lt;/D&gt;&lt;D xsi:type="xsd:long"&gt;39482&lt;/D&gt;&lt;D xsi:type="xsd:long"&gt;39479&lt;/D&gt;&lt;D xsi:type="xsd:long"&gt;39478&lt;/D&gt;&lt;D xsi:type="xsd:long"&gt;39477&lt;/D&gt;&lt;D xsi:type="xsd:long"&gt;39476&lt;/D&gt;&lt;D xsi:type="xsd:long"&gt;39475&lt;/D&gt;&lt;D xsi:type="xsd:long"&gt;39472&lt;/D&gt;&lt;D xsi:type="xsd:long"&gt;39471&lt;/D&gt;&lt;D xsi:type="xsd:long"&gt;39470&lt;/D&gt;&lt;D xsi:type="xsd:long"&gt;39469&lt;/D&gt;&lt;D xsi:type="xsd:long"&gt;39465&lt;/D&gt;&lt;D xsi:type="xsd:long"&gt;39464&lt;/D&gt;&lt;D xsi:type="xsd:long"&gt;39463&lt;/D&gt;&lt;D xsi:type="xsd:long"&gt;39462&lt;/D&gt;&lt;D xsi:type="xsd:long"&gt;39461&lt;/D&gt;&lt;D xsi:type="xsd:long"&gt;39458&lt;/D&gt;&lt;D xsi:type="xsd:long"&gt;39457&lt;/D&gt;&lt;D xsi:type="xsd:long"&gt;39456&lt;/D&gt;&lt;D xsi:type="xsd:long"&gt;39455&lt;/D&gt;&lt;D xsi:type="xsd:long"&gt;39454&lt;/D&gt;&lt;D xsi:type="xsd:long"&gt;39451&lt;/D&gt;&lt;D xsi:type="xsd:long"&gt;39450&lt;/D&gt;&lt;D xsi:type="xsd:long"&gt;39449&lt;/D&gt;&lt;D xsi:type="xsd:long"&gt;39447&lt;/D&gt;&lt;D xsi:type="xsd:long"&gt;39444&lt;/D&gt;&lt;D xsi:type="xsd:long"&gt;39443&lt;/D&gt;&lt;D xsi:type="xsd:long"&gt;39442&lt;/D&gt;&lt;D xsi:type="xsd:long"&gt;39440&lt;/D&gt;&lt;D xsi:type="xsd:long"&gt;39437&lt;/D&gt;&lt;D xsi:type="xsd:long"&gt;39436&lt;/D&gt;&lt;D xsi:type="xsd:long"&gt;39435&lt;/D&gt;&lt;D xsi:type="xsd:long"&gt;39434&lt;/D&gt;&lt;D xsi:type="xsd:long"&gt;39433&lt;/D&gt;&lt;D xsi:type="xsd:long"&gt;39430&lt;/D&gt;&lt;D xsi:type="xsd:long"&gt;39429&lt;/D&gt;&lt;D xsi:type="xsd:long"&gt;39428&lt;/D&gt;&lt;D xsi:type="xsd:long"&gt;39427&lt;/D&gt;&lt;D xsi:type="xsd:long"&gt;39426&lt;/D&gt;&lt;D xsi:type="xsd:long"&gt;39423&lt;/D&gt;&lt;D xsi:type="xsd:long"&gt;39422&lt;/D&gt;&lt;D xsi:type="xsd:long"&gt;39421&lt;/D&gt;&lt;D xsi:type="xsd:long"&gt;39420&lt;/D&gt;&lt;D xsi:type="xsd:long"&gt;39419&lt;/D&gt;&lt;D xsi:type="xsd:long"&gt;39416&lt;/D&gt;&lt;D xsi:type="xsd:long"&gt;39415&lt;/D&gt;&lt;D xsi:type="xsd:long"&gt;39414&lt;/D&gt;&lt;D xsi:type="xsd:long"&gt;39413&lt;/D&gt;&lt;D xsi:type="xsd:long"&gt;39412&lt;/D&gt;&lt;D xsi:type="xsd:long"&gt;39409&lt;/D&gt;&lt;D xsi:type="xsd:long"&gt;39407&lt;/D&gt;&lt;D xsi:type="xsd:long"&gt;39406&lt;/D&gt;&lt;D xsi:type="xsd:long"&gt;39405&lt;/D&gt;&lt;D xsi:type="xsd:long"&gt;39402&lt;/D&gt;&lt;D xsi:type="xsd:long"&gt;39401&lt;/D&gt;&lt;D xsi:type="xsd:long"&gt;39400&lt;/D&gt;&lt;D xsi:type="xsd:long"&gt;39399&lt;/D&gt;&lt;D xsi:type="xsd:long"&gt;39398&lt;/D&gt;&lt;D xsi:type="xsd:long"&gt;39395&lt;/D&gt;&lt;D xsi:type="xsd:long"&gt;39394&lt;/D&gt;&lt;D xsi:type="xsd:long"&gt;39393&lt;/D&gt;&lt;D xsi:type="xsd:long"&gt;39392&lt;/D&gt;&lt;D xsi:type="xsd:long"&gt;39391&lt;/D&gt;&lt;D xsi:type="xsd:long"&gt;39388&lt;/D&gt;&lt;D xsi:type="xsd:long"&gt;39387&lt;/D&gt;&lt;D xsi:type="xsd:long"&gt;39386&lt;/D&gt;&lt;D xsi:type="xsd:long"&gt;39385&lt;/D&gt;&lt;D xsi:type="xsd:long"&gt;39384&lt;/D&gt;&lt;D xsi:type="xsd:long"&gt;39381&lt;/D&gt;&lt;D xsi:type="xsd:long"&gt;39380&lt;/D&gt;&lt;D xsi:type="xsd:long"&gt;39379&lt;/D&gt;&lt;D xsi:type="xsd:long"&gt;39378&lt;/D&gt;&lt;D xsi:type="xsd:long"&gt;39377&lt;/D&gt;&lt;D xsi:type="xsd:long"&gt;39374&lt;/D&gt;&lt;D xsi:type="xsd:long"&gt;39373&lt;/D&gt;&lt;D xsi:type="xsd:long"&gt;39372&lt;/D&gt;&lt;D xsi:type="xsd:long"&gt;39371&lt;/D&gt;&lt;D xsi:type="xsd:long"&gt;39370&lt;/D&gt;&lt;D xsi:type="xsd:long"&gt;39367&lt;/D&gt;&lt;D xsi:type="xsd:long"&gt;39366&lt;/D&gt;&lt;D xsi:type="xsd:long"&gt;39365&lt;/D&gt;&lt;D xsi:type="xsd:long"&gt;39364&lt;/D&gt;&lt;D xsi:type="xsd:long"&gt;39363&lt;/D&gt;&lt;D xsi:type="xsd:long"&gt;39360&lt;/D&gt;&lt;D xsi:type="xsd:long"&gt;39359&lt;/D&gt;&lt;D xsi:type="xsd:long"&gt;39358&lt;/D&gt;&lt;D xsi:type="xsd:long"&gt;39357&lt;/D&gt;&lt;D xsi:type="xsd:long"&gt;39356&lt;/D&gt;&lt;D xsi:type="xsd:long"&gt;39353&lt;/D&gt;&lt;D xsi:type="xsd:long"&gt;39352&lt;/D&gt;&lt;D xsi:type="xsd:long"&gt;39351&lt;/D&gt;&lt;D xsi:type="xsd:long"&gt;39350&lt;/D&gt;&lt;D xsi:type="xsd:long"&gt;39349&lt;/D&gt;&lt;D xsi:type="xsd:long"&gt;39346&lt;/D&gt;&lt;D xsi:type="xsd:long"&gt;39345&lt;/D&gt;&lt;D xsi:type="xsd:long"&gt;39344&lt;/D&gt;&lt;D xsi:type="xsd:long"&gt;39343&lt;/D&gt;&lt;D xsi:type="xsd:long"&gt;39342&lt;/D&gt;&lt;D xsi:type="xsd:long"&gt;39339&lt;/D&gt;&lt;D xsi:type="xsd:long"&gt;39338&lt;/D&gt;&lt;D xsi:type="xsd:long"&gt;39337&lt;/D&gt;&lt;D xsi:type="xsd:long"&gt;39336&lt;/D&gt;&lt;D xsi:type="xsd:long"&gt;39335&lt;/D&gt;&lt;D xsi:type="xsd:long"&gt;39332&lt;/D&gt;&lt;D xsi:type="xsd:long"&gt;39331&lt;/D&gt;&lt;D xsi:type="xsd:long"&gt;39330&lt;/D&gt;&lt;D xsi:type="xsd:long"&gt;39329&lt;/D&gt;&lt;D xsi:type="xsd:long"&gt;39325&lt;/D&gt;&lt;D xsi:type="xsd:long"&gt;39324&lt;/D&gt;&lt;D xsi:type="xsd:long"&gt;39323&lt;/D&gt;&lt;D xsi:type="xsd:long"&gt;39322&lt;/D&gt;&lt;D xsi:type="xsd:long"&gt;39321&lt;/D&gt;&lt;D xsi:type="xsd:long"&gt;39318&lt;/D&gt;&lt;D xsi:type="xsd:long"&gt;39317&lt;/D&gt;&lt;D xsi:type="xsd:long"&gt;39316&lt;/D&gt;&lt;D xsi:type="xsd:long"&gt;39315&lt;/D&gt;&lt;D xsi:type="xsd:long"&gt;39314&lt;/D&gt;&lt;D xsi:type="xsd:long"&gt;39311&lt;/D&gt;&lt;D xsi:type="xsd:long"&gt;39310&lt;/D&gt;&lt;D xsi:type="xsd:long"&gt;39309&lt;/D&gt;&lt;D xsi:type="xsd:long"&gt;39308&lt;/D&gt;&lt;D xsi:type="xsd:long"&gt;39307&lt;/D&gt;&lt;D xsi:type="xsd:long"&gt;39304&lt;/D&gt;&lt;D xsi:type="xsd:long"&gt;39303&lt;/D&gt;&lt;D xsi:type="xsd:long"&gt;39302&lt;/D&gt;&lt;D xsi:type="xsd:long"&gt;39301&lt;/D&gt;&lt;D xsi:type="xsd:long"&gt;39300&lt;/D&gt;&lt;D xsi:type="xsd:long"&gt;39297&lt;/D&gt;&lt;D xsi:type="xsd:long"&gt;39296&lt;/D&gt;&lt;D xsi:type="xsd:long"&gt;39295&lt;/D&gt;&lt;D xsi:type="xsd:long"&gt;39294&lt;/D&gt;&lt;D xsi:type="xsd:long"&gt;39293&lt;/D&gt;&lt;D xsi:type="xsd:long"&gt;39290&lt;/D&gt;&lt;D xsi:type="xsd:long"&gt;39289&lt;/D&gt;&lt;D xsi:type="xsd:long"&gt;39288&lt;/D&gt;&lt;D xsi:type="xsd:long"&gt;39287</t>
        </r>
      </text>
    </comment>
    <comment ref="A28" authorId="0" shapeId="0">
      <text>
        <r>
          <rPr>
            <b/>
            <sz val="9"/>
            <color indexed="81"/>
            <rFont val="Tahoma"/>
            <family val="2"/>
          </rPr>
          <t>&lt;/D&gt;&lt;D xsi:type="xsd:long"&gt;39286&lt;/D&gt;&lt;D xsi:type="xsd:long"&gt;39283&lt;/D&gt;&lt;D xsi:type="xsd:long"&gt;39282&lt;/D&gt;&lt;D xsi:type="xsd:long"&gt;39281&lt;/D&gt;&lt;D xsi:type="xsd:long"&gt;39280&lt;/D&gt;&lt;D xsi:type="xsd:long"&gt;39279&lt;/D&gt;&lt;D xsi:type="xsd:long"&gt;39276&lt;/D&gt;&lt;D xsi:type="xsd:long"&gt;39275&lt;/D&gt;&lt;D xsi:type="xsd:long"&gt;39274&lt;/D&gt;&lt;D xsi:type="xsd:long"&gt;39273&lt;/D&gt;&lt;D xsi:type="xsd:long"&gt;39272&lt;/D&gt;&lt;D xsi:type="xsd:long"&gt;39269&lt;/D&gt;&lt;D xsi:type="xsd:long"&gt;39268&lt;/D&gt;&lt;D xsi:type="xsd:long"&gt;39266&lt;/D&gt;&lt;D xsi:type="xsd:long"&gt;39265&lt;/D&gt;&lt;D xsi:type="xsd:long"&gt;39262&lt;/D&gt;&lt;D xsi:type="xsd:long"&gt;39261&lt;/D&gt;&lt;D xsi:type="xsd:long"&gt;39260&lt;/D&gt;&lt;D xsi:type="xsd:long"&gt;39259&lt;/D&gt;&lt;D xsi:type="xsd:long"&gt;39258&lt;/D&gt;&lt;D xsi:type="xsd:long"&gt;39255&lt;/D&gt;&lt;D xsi:type="xsd:long"&gt;39254&lt;/D&gt;&lt;D xsi:type="xsd:long"&gt;39253&lt;/D&gt;&lt;D xsi:type="xsd:long"&gt;39252&lt;/D&gt;&lt;D xsi:type="xsd:long"&gt;39251&lt;/D&gt;&lt;D xsi:type="xsd:long"&gt;39248&lt;/D&gt;&lt;D xsi:type="xsd:long"&gt;39247&lt;/D&gt;&lt;D xsi:type="xsd:long"&gt;39246&lt;/D&gt;&lt;D xsi:type="xsd:long"&gt;39245&lt;/D&gt;&lt;D xsi:type="xsd:long"&gt;39244&lt;/D&gt;&lt;D xsi:type="xsd:long"&gt;39241&lt;/D&gt;&lt;D xsi:type="xsd:long"&gt;39240&lt;/D&gt;&lt;D xsi:type="xsd:long"&gt;39239&lt;/D&gt;&lt;D xsi:type="xsd:long"&gt;39238&lt;/D&gt;&lt;D xsi:type="xsd:long"&gt;39237&lt;/D&gt;&lt;D xsi:type="xsd:long"&gt;39234&lt;/D&gt;&lt;D xsi:type="xsd:long"&gt;39233&lt;/D&gt;&lt;D xsi:type="xsd:long"&gt;39232&lt;/D&gt;&lt;D xsi:type="xsd:long"&gt;39231&lt;/D&gt;&lt;D xsi:type="xsd:long"&gt;39227&lt;/D&gt;&lt;D xsi:type="xsd:long"&gt;39226&lt;/D&gt;&lt;D xsi:type="xsd:long"&gt;39225&lt;/D&gt;&lt;D xsi:type="xsd:long"&gt;39224&lt;/D&gt;&lt;D xsi:type="xsd:long"&gt;39223&lt;/D&gt;&lt;D xsi:type="xsd:long"&gt;39220&lt;/D&gt;&lt;D xsi:type="xsd:long"&gt;39219&lt;/D&gt;&lt;D xsi:type="xsd:long"&gt;39218&lt;/D&gt;&lt;D xsi:type="xsd:long"&gt;39217&lt;/D&gt;&lt;D xsi:type="xsd:long"&gt;39216&lt;/D&gt;&lt;D xsi:type="xsd:long"&gt;39213&lt;/D&gt;&lt;D xsi:type="xsd:long"&gt;39212&lt;/D&gt;&lt;D xsi:type="xsd:long"&gt;39211&lt;/D&gt;&lt;D xsi:type="xsd:long"&gt;39210&lt;/D&gt;&lt;D xsi:type="xsd:long"&gt;39209&lt;/D&gt;&lt;D xsi:type="xsd:long"&gt;39206&lt;/D&gt;&lt;D xsi:type="xsd:long"&gt;39205&lt;/D&gt;&lt;D xsi:type="xsd:long"&gt;39204&lt;/D&gt;&lt;D xsi:type="xsd:long"&gt;39203&lt;/D&gt;&lt;D xsi:type="xsd:long"&gt;39202&lt;/D&gt;&lt;D xsi:type="xsd:long"&gt;39199&lt;/D&gt;&lt;D xsi:type="xsd:long"&gt;39198&lt;/D&gt;&lt;D xsi:type="xsd:long"&gt;39197&lt;/D&gt;&lt;D xsi:type="xsd:long"&gt;39196&lt;/D&gt;&lt;D xsi:type="xsd:long"&gt;39195&lt;/D&gt;&lt;D xsi:type="xsd:long"&gt;39192&lt;/D&gt;&lt;D xsi:type="xsd:long"&gt;39191&lt;/D&gt;&lt;D xsi:type="xsd:long"&gt;39190&lt;/D&gt;&lt;D xsi:type="xsd:long"&gt;39189&lt;/D&gt;&lt;D xsi:type="xsd:long"&gt;39188&lt;/D&gt;&lt;D xsi:type="xsd:long"&gt;39185&lt;/D&gt;&lt;D xsi:type="xsd:long"&gt;39184&lt;/D&gt;&lt;D xsi:type="xsd:long"&gt;39183&lt;/D&gt;&lt;D xsi:type="xsd:long"&gt;39182&lt;/D&gt;&lt;D xsi:type="xsd:long"&gt;39181&lt;/D&gt;&lt;D xsi:type="xsd:long"&gt;39177&lt;/D&gt;&lt;D xsi:type="xsd:long"&gt;39176&lt;/D&gt;&lt;D xsi:type="xsd:long"&gt;39175&lt;/D&gt;&lt;D xsi:type="xsd:long"&gt;39174&lt;/D&gt;&lt;D xsi:type="xsd:long"&gt;39171&lt;/D&gt;&lt;D xsi:type="xsd:long"&gt;39170&lt;/D&gt;&lt;D xsi:type="xsd:long"&gt;39169&lt;/D&gt;&lt;D xsi:type="xsd:long"&gt;39168&lt;/D&gt;&lt;D xsi:type="xsd:long"&gt;39167&lt;/D&gt;&lt;D xsi:type="xsd:long"&gt;39164&lt;/D&gt;&lt;D xsi:type="xsd:long"&gt;39163&lt;/D&gt;&lt;D xsi:type="xsd:long"&gt;39162&lt;/D&gt;&lt;D xsi:type="xsd:long"&gt;39161&lt;/D&gt;&lt;D xsi:type="xsd:long"&gt;39160&lt;/D&gt;&lt;D xsi:type="xsd:long"&gt;39157&lt;/D&gt;&lt;D xsi:type="xsd:long"&gt;39156&lt;/D&gt;&lt;D xsi:type="xsd:long"&gt;39155&lt;/D&gt;&lt;D xsi:type="xsd:long"&gt;39154&lt;/D&gt;&lt;D xsi:type="xsd:long"&gt;39153&lt;/D&gt;&lt;D xsi:type="xsd:long"&gt;39150&lt;/D&gt;&lt;D xsi:type="xsd:long"&gt;39149&lt;/D&gt;&lt;D xsi:type="xsd:long"&gt;39148&lt;/D&gt;&lt;D xsi:type="xsd:long"&gt;39147&lt;/D&gt;&lt;D xsi:type="xsd:long"&gt;39146&lt;/D&gt;&lt;D xsi:type="xsd:long"&gt;39143&lt;/D&gt;&lt;D xsi:type="xsd:long"&gt;39142&lt;/D&gt;&lt;D xsi:type="xsd:long"&gt;39141&lt;/D&gt;&lt;D xsi:type="xsd:long"&gt;39140&lt;/D&gt;&lt;D xsi:type="xsd:long"&gt;39139&lt;/D&gt;&lt;D xsi:type="xsd:long"&gt;39136&lt;/D&gt;&lt;D xsi:type="xsd:long"&gt;39135&lt;/D&gt;&lt;D xsi:type="xsd:long"&gt;39134&lt;/D&gt;&lt;D xsi:type="xsd:long"&gt;39133&lt;/D&gt;&lt;D xsi:type="xsd:long"&gt;39129&lt;/D&gt;&lt;D xsi:type="xsd:long"&gt;39128&lt;/D&gt;&lt;D xsi:type="xsd:long"&gt;39127&lt;/D&gt;&lt;D xsi:type="xsd:long"&gt;39126&lt;/D&gt;&lt;D xsi:type="xsd:long"&gt;39125&lt;/D&gt;&lt;D xsi:type="xsd:long"&gt;39122&lt;/D&gt;&lt;D xsi:type="xsd:long"&gt;39121&lt;/D&gt;&lt;D xsi:type="xsd:long"&gt;39120&lt;/D&gt;&lt;D xsi:type="xsd:long"&gt;39119&lt;/D&gt;&lt;D xsi:type="xsd:long"&gt;39118&lt;/D&gt;&lt;D xsi:type="xsd:long"&gt;39115&lt;/D&gt;&lt;D xsi:type="xsd:long"&gt;39114&lt;/D&gt;&lt;D xsi:type="xsd:long"&gt;39113&lt;/D&gt;&lt;D xsi:type="xsd:long"&gt;39112&lt;/D&gt;&lt;D xsi:type="xsd:long"&gt;39111&lt;/D&gt;&lt;D xsi:type="xsd:long"&gt;39108&lt;/D&gt;&lt;D xsi:type="xsd:long"&gt;39107&lt;/D&gt;&lt;D xsi:type="xsd:long"&gt;39106&lt;/D&gt;&lt;D xsi:type="xsd:long"&gt;39105&lt;/D&gt;&lt;D xsi:type="xsd:long"&gt;39104&lt;/D&gt;&lt;D xsi:type="xsd:long"&gt;39101&lt;/D&gt;&lt;D xsi:type="xsd:long"&gt;39100&lt;/D&gt;&lt;D xsi:type="xsd:long"&gt;39099&lt;/D&gt;&lt;D xsi:type="xsd:long"&gt;39098&lt;/D&gt;&lt;D xsi:type="xsd:long"&gt;39094&lt;/D&gt;&lt;D xsi:type="xsd:long"&gt;39093&lt;/D&gt;&lt;D xsi:type="xsd:long"&gt;39092&lt;/D&gt;&lt;D xsi:type="xsd:long"&gt;39091&lt;/D&gt;&lt;D xsi:type="xsd:long"&gt;39090&lt;/D&gt;&lt;D xsi:type="xsd:long"&gt;39087&lt;/D&gt;&lt;D xsi:type="xsd:long"&gt;39086&lt;/D&gt;&lt;D xsi:type="xsd:long"&gt;39085&lt;/D&gt;&lt;D xsi:type="xsd:long"&gt;39080&lt;/D&gt;&lt;D xsi:type="xsd:long"&gt;39079&lt;/D&gt;&lt;D xsi:type="xsd:long"&gt;39078&lt;/D&gt;&lt;D xsi:type="xsd:long"&gt;39077&lt;/D&gt;&lt;D xsi:type="xsd:long"&gt;39073&lt;/D&gt;&lt;D xsi:type="xsd:long"&gt;39072&lt;/D&gt;&lt;D xsi:type="xsd:long"&gt;39071&lt;/D&gt;&lt;D xsi:type="xsd:long"&gt;39070&lt;/D&gt;&lt;D xsi:type="xsd:long"&gt;39069&lt;/D&gt;&lt;D xsi:type="xsd:long"&gt;39066&lt;/D&gt;&lt;D xsi:type="xsd:long"&gt;39065&lt;/D&gt;&lt;D xsi:type="xsd:long"&gt;39064&lt;/D&gt;&lt;D xsi:type="xsd:long"&gt;39063&lt;/D&gt;&lt;D xsi:type="xsd:long"&gt;39062&lt;/D&gt;&lt;D xsi:type="xsd:long"&gt;39059&lt;/D&gt;&lt;D xsi:type="xsd:long"&gt;39058&lt;/D&gt;&lt;D xsi:type="xsd:long"&gt;39057&lt;/D&gt;&lt;D xsi:type="xsd:long"&gt;39056&lt;/D&gt;&lt;D xsi:type="xsd:long"&gt;39055&lt;/D&gt;&lt;D xsi:type="xsd:long"&gt;39052&lt;/D&gt;&lt;D xsi:type="xsd:long"&gt;39051&lt;/D&gt;&lt;D xsi:type="xsd:long"&gt;39050&lt;/D&gt;&lt;D xsi:type="xsd:long"&gt;39049&lt;/D&gt;&lt;D xsi:type="xsd:long"&gt;39048&lt;/D&gt;&lt;D xsi:type="xsd:long"&gt;39045&lt;/D&gt;&lt;D xsi:type="xsd:long"&gt;39043&lt;/D&gt;&lt;D xsi:type="xsd:long"&gt;39042&lt;/D&gt;&lt;D xsi:type="xsd:long"&gt;39041&lt;/D&gt;&lt;D xsi:type="xsd:long"&gt;39038&lt;/D&gt;&lt;D xsi:type="xsd:long"&gt;39037&lt;/D&gt;&lt;D xsi:type="xsd:long"&gt;39036&lt;/D&gt;&lt;D xsi:type="xsd:long"&gt;39035&lt;/D&gt;&lt;D xsi:type="xsd:long"&gt;39034&lt;/D&gt;&lt;D xsi:type="xsd:long"&gt;39031&lt;/D&gt;&lt;D xsi:type="xsd:long"&gt;39030&lt;/D&gt;&lt;D xsi:type="xsd:long"&gt;39029&lt;/D&gt;&lt;D xsi:type="xsd:long"&gt;39028&lt;/D&gt;&lt;D xsi:type="xsd:long"&gt;39027&lt;/D&gt;&lt;D xsi:type="xsd:long"&gt;39024&lt;/D&gt;&lt;D xsi:type="xsd:long"&gt;39023&lt;/D&gt;&lt;D xsi:type="xsd:long"&gt;39022&lt;/D&gt;&lt;D xsi:type="xsd:long"&gt;39021&lt;/D&gt;&lt;D xsi:type="xsd:long"&gt;39020&lt;/D&gt;&lt;D xsi:type="xsd:long"&gt;39017&lt;/D&gt;&lt;D xsi:type="xsd:long"&gt;39016&lt;/D&gt;&lt;D xsi:type="xsd:long"&gt;39015&lt;/D&gt;&lt;D xsi:type="xsd:long"&gt;39014&lt;/D&gt;&lt;D xsi:type="xsd:long"&gt;39013&lt;/D&gt;&lt;D xsi:type="xsd:long"&gt;39010&lt;/D&gt;&lt;D xsi:type="xsd:long"&gt;39009&lt;/D&gt;&lt;D xsi:type="xsd:long"&gt;39008&lt;/D&gt;&lt;D xsi:type="xsd:long"&gt;39007&lt;/D&gt;&lt;D xsi:type="xsd:long"&gt;39006&lt;/D&gt;&lt;D xsi:type="xsd:long"&gt;39003&lt;/D&gt;&lt;D xsi:type="xsd:long"&gt;39002&lt;/D&gt;&lt;D xsi:type="xsd:long"&gt;39001&lt;/D&gt;&lt;D xsi:type="xsd:long"&gt;39000&lt;/D&gt;&lt;D xsi:type="xsd:long"&gt;38999&lt;/D&gt;&lt;D xsi:type="xsd:long"&gt;38996&lt;/D&gt;&lt;D xsi:type="xsd:long"&gt;38995&lt;/D&gt;&lt;D xsi:type="xsd:long"&gt;38994&lt;/D&gt;&lt;D xsi:type="xsd:long"&gt;38993&lt;/D&gt;&lt;D xsi:type="xsd:long"&gt;38992&lt;/D&gt;&lt;D xsi:type="xsd:long"&gt;38989&lt;/D&gt;&lt;D xsi:type="xsd:long"&gt;38988&lt;/D&gt;&lt;D xsi:type="xsd:long"&gt;38987&lt;/D&gt;&lt;D xsi:type="xsd:long"&gt;38986&lt;/D&gt;&lt;D xsi:type="xsd:long"&gt;38985&lt;/D&gt;&lt;D xsi:type="xsd:long"&gt;38982&lt;/D&gt;&lt;D xsi:type="xsd:long"&gt;38981&lt;/D&gt;&lt;D xsi:type="xsd:long"&gt;38980&lt;/D&gt;&lt;D xsi:type="xsd:long"&gt;38979&lt;/D&gt;&lt;D xsi:type="xsd:long"&gt;38978&lt;/D&gt;&lt;D xsi:type="xsd:long"&gt;38975&lt;/D&gt;&lt;D xsi:type="xsd:long"&gt;38974&lt;/D&gt;&lt;D xsi:type="xsd:long"&gt;38973&lt;/D&gt;&lt;D xsi:type="xsd:long"&gt;38972&lt;/D&gt;&lt;D xsi:type="xsd:long"&gt;38971&lt;/D&gt;&lt;D xsi:type="xsd:long"&gt;38968&lt;/D&gt;&lt;D xsi:type="xsd:long"&gt;38967&lt;/D&gt;&lt;D xsi:type="xsd:long"&gt;38966&lt;/D&gt;&lt;D xsi:type="xsd:long"&gt;38965&lt;/D&gt;&lt;D xsi:type="xsd:long"&gt;38961&lt;/D&gt;&lt;D xsi:type="xsd:long"&gt;38960&lt;/D&gt;&lt;D xsi:type="xsd:long"&gt;38959&lt;/D&gt;&lt;D xsi:type="xsd:long"&gt;38958&lt;/D&gt;&lt;D xsi:type="xsd:long"&gt;38957&lt;/D&gt;&lt;D xsi:type="xsd:long"&gt;38954&lt;/D&gt;&lt;D xsi:type="xsd:long"&gt;38953&lt;/D&gt;&lt;D xsi:type="xsd:long"&gt;38952&lt;/D&gt;&lt;D xsi:type="xsd:long"&gt;38951&lt;/D&gt;&lt;D xsi:type="xsd:long"&gt;38950&lt;/D&gt;&lt;D xsi:type="xsd:long"&gt;38947&lt;/D&gt;&lt;D xsi:type="xsd:long"&gt;38946&lt;/D&gt;&lt;D xsi:type="xsd:long"&gt;38945&lt;/D&gt;&lt;D xsi:type="xsd:long"&gt;38944&lt;/D&gt;&lt;D xsi:type="xsd:long"&gt;38943&lt;/D&gt;&lt;D xsi:type="xsd:long"&gt;38940&lt;/D&gt;&lt;D xsi:type="xsd:long"&gt;38939&lt;/D&gt;&lt;D xsi:type="xsd:long"&gt;38938&lt;/D&gt;&lt;D xsi:type="xsd:long"&gt;38937&lt;/D&gt;&lt;D xsi:type="xsd:long"&gt;38936&lt;/D&gt;&lt;D xsi:type="xsd:long"&gt;38933&lt;/D&gt;&lt;D xsi:type="xsd:long"&gt;38932&lt;/D&gt;&lt;D xsi:type="xsd:long"&gt;38931&lt;/D&gt;&lt;D xsi:type="xsd:long"&gt;38930&lt;/D&gt;&lt;D xsi:type="xsd:long"&gt;38929&lt;/D&gt;&lt;D xsi:type="xsd:long"&gt;38926&lt;/D&gt;&lt;D xsi:type="xsd:long"&gt;38925&lt;/D&gt;&lt;D xsi:type="xsd:long"&gt;38924&lt;/D&gt;&lt;D xsi:type="xsd:long"&gt;38923&lt;/D&gt;&lt;D xsi:type="xsd:long"&gt;38922&lt;/D&gt;&lt;D xsi:type="xsd:long"&gt;38919&lt;/D&gt;&lt;D xsi:type="xsd:long"&gt;38918&lt;/D&gt;&lt;D xsi:type="xsd:long"&gt;38917&lt;/D&gt;&lt;D xsi:type="xsd:long"&gt;38916&lt;/D&gt;&lt;D xsi:type="xsd:long"&gt;38915&lt;/D&gt;&lt;D xsi:type="xsd:long"&gt;38912&lt;/D&gt;&lt;D xsi:type="xsd:long"&gt;38911&lt;/D&gt;&lt;D xsi:type="xsd:long"&gt;38910&lt;/D&gt;&lt;D xsi:type="xsd:long"&gt;38909&lt;/D&gt;&lt;D xsi:type="xsd:long"&gt;38908&lt;/D&gt;&lt;D xsi:type="xsd:long"&gt;38905&lt;/D&gt;&lt;D xsi:type="xsd:long"&gt;38904&lt;/D&gt;&lt;D xsi:type="xsd:long"&gt;38903&lt;/D&gt;&lt;D xsi:type="xsd:long"&gt;38901&lt;/D&gt;&lt;D xsi:type="xsd:long"&gt;38898&lt;/D&gt;&lt;D xsi:type="xsd:long"&gt;38897&lt;/D&gt;&lt;D xsi:type="xsd:long"&gt;38896&lt;/D&gt;&lt;D xsi:type="xsd:long"&gt;38895&lt;/D&gt;&lt;D xsi:type="xsd:long"&gt;38894&lt;/D&gt;&lt;D xsi:type="xsd:long"&gt;38891&lt;/D&gt;&lt;D xsi:type="xsd:long"&gt;38890&lt;/D&gt;&lt;D xsi:type="xsd:long"&gt;38889&lt;/D&gt;&lt;D xsi:type="xsd:long"&gt;38888&lt;/D&gt;&lt;D xsi:type="xsd:long"&gt;38887&lt;/D&gt;&lt;D xsi:type="xsd:long"&gt;38884&lt;/D&gt;&lt;D xsi:type="xsd:long"&gt;38883&lt;/D&gt;&lt;D xsi:type="xsd:long"&gt;38882&lt;/D&gt;&lt;D xsi:type="xsd:long"&gt;38881&lt;/D&gt;&lt;D xsi:type="xsd:long"&gt;38880&lt;/D&gt;&lt;D xsi:type="xsd:long"&gt;38877&lt;/D&gt;&lt;D xsi:type="xsd:long"&gt;38876&lt;/D&gt;&lt;D xsi:type="xsd:long"&gt;38875&lt;/D&gt;&lt;D xsi:type="xsd:long"&gt;38874&lt;/D&gt;&lt;D xsi:type="xsd:long"&gt;38873&lt;/D&gt;&lt;D xsi:type="xsd:long"&gt;38870&lt;/D&gt;&lt;D xsi:type="xsd:long"&gt;38869&lt;/D&gt;&lt;D xsi:type="xsd:long"&gt;38868&lt;/D&gt;&lt;D xsi:type="xsd:long"&gt;38867&lt;/D&gt;&lt;D xsi:type="xsd:long"&gt;38863&lt;/D&gt;&lt;D xsi:type="xsd:long"&gt;38862&lt;/D&gt;&lt;D xsi:type="xsd:long"&gt;38861&lt;/D&gt;&lt;D xsi:type="xsd:long"&gt;38860&lt;/D&gt;&lt;D xsi:type="xsd:long"&gt;38859&lt;/D&gt;&lt;D xsi:type="xsd:long"&gt;38856&lt;/D&gt;&lt;D xsi:type="xsd:long"&gt;38855&lt;/D&gt;&lt;D xsi:type="xsd:long"&gt;38854&lt;/D&gt;&lt;D xsi:type="xsd:long"&gt;38853&lt;/D&gt;&lt;D xsi:type="xsd:long"&gt;38852&lt;/D&gt;&lt;D xsi:type="xsd:long"&gt;38849&lt;/D&gt;&lt;D xsi:type="xsd:long"&gt;38848&lt;/D&gt;&lt;D xsi:type="xsd:long"&gt;38847&lt;/D&gt;&lt;D xsi:type="xsd:long"&gt;38846&lt;/D&gt;&lt;D xsi:type="xsd:long"&gt;38845&lt;/D&gt;&lt;D xsi:type="xsd:long"&gt;38842&lt;/D&gt;&lt;D xsi:type="xsd:long"&gt;38841&lt;/D&gt;&lt;D xsi:type="xsd:long"&gt;38840&lt;/D&gt;&lt;D xsi:type="xsd:long"&gt;38839&lt;/D&gt;&lt;D xsi:type="xsd:long"&gt;38838&lt;/D&gt;&lt;D xsi:type="xsd:long"&gt;38835&lt;/D&gt;&lt;D xsi:type="xsd:long"&gt;38834&lt;/D&gt;&lt;D xsi:type="xsd:long"&gt;38833&lt;/D&gt;&lt;D xsi:type="xsd:long"&gt;38832&lt;/D&gt;&lt;D xsi:type="xsd:long"&gt;38831&lt;/D&gt;&lt;D xsi:type="xsd:long"&gt;38828&lt;/D&gt;&lt;D xsi:type="xsd:long"&gt;38827&lt;/D&gt;&lt;D xsi:type="xsd:long"&gt;38826&lt;/D&gt;&lt;D xsi:type="xsd:long"&gt;38825&lt;/D&gt;&lt;D xsi:type="xsd:long"&gt;38824&lt;/D&gt;&lt;D xsi:type="xsd:long"&gt;38820&lt;/D&gt;&lt;D xsi:type="xsd:long"&gt;38819&lt;/D&gt;&lt;D xsi:type="xsd:long"&gt;38818&lt;/D&gt;&lt;D xsi:type="xsd:long"&gt;38817&lt;/D&gt;&lt;D xsi:type="xsd:long"&gt;38814&lt;/D&gt;&lt;D xsi:type="xsd:long"&gt;38813&lt;/D&gt;&lt;D xsi:type="xsd:long"&gt;38812&lt;/D&gt;&lt;D xsi:type="xsd:long"&gt;38811&lt;/D&gt;&lt;D xsi:type="xsd:long"&gt;38810&lt;/D&gt;&lt;D xsi:type="xsd:long"&gt;38807&lt;/D&gt;&lt;D xsi:type="xsd:long"&gt;38806&lt;/D&gt;&lt;D xsi:type="xsd:long"&gt;38805&lt;/D&gt;&lt;D xsi:type="xsd:long"&gt;38804&lt;/D&gt;&lt;D xsi:type="xsd:long"&gt;38803&lt;/D&gt;&lt;D xsi:type="xsd:long"&gt;38800&lt;/D&gt;&lt;D xsi:type="xsd:long"&gt;38799&lt;/D&gt;&lt;D xsi:type="xsd:long"&gt;38798&lt;/D&gt;&lt;D xsi:type="xsd:long"&gt;38797&lt;/D&gt;&lt;D xsi:type="xsd:long"&gt;38796&lt;/D&gt;&lt;D xsi:type="xsd:long"&gt;38793&lt;/D&gt;&lt;D xsi:type="xsd:long"&gt;38792&lt;/D&gt;&lt;D xsi:type="xsd:long"&gt;38791&lt;/D&gt;&lt;D xsi:type="xsd:long"&gt;38790&lt;/D&gt;&lt;D xsi:type="xsd:long"&gt;38789&lt;/D&gt;&lt;D xsi:type="xsd:long"&gt;38786&lt;/D&gt;&lt;D xsi:type="xsd:long"&gt;38785&lt;/D&gt;&lt;D xsi:type="xsd:long"&gt;38784&lt;/D&gt;&lt;D xsi:type="xsd:long"&gt;38783&lt;/D&gt;&lt;D xsi:type="xsd:long"&gt;38782&lt;/D&gt;&lt;D xsi:type="xsd:long"&gt;38779&lt;/D&gt;&lt;D xsi:type="xsd:long"&gt;38778&lt;/D&gt;&lt;D xsi:type="xsd:long"&gt;38777&lt;/D&gt;&lt;D xsi:type="xsd:long"&gt;38776&lt;/D&gt;&lt;D xsi:type="xsd:long"&gt;38775&lt;/D&gt;&lt;D xsi:type="xsd:long"&gt;38772&lt;/D&gt;&lt;D xsi:type="xsd:long"&gt;38771&lt;/D&gt;&lt;D xsi:type="xsd:long"&gt;38770&lt;/D&gt;&lt;D xsi:type="xsd:long"&gt;38769&lt;/D&gt;&lt;D xsi:type="xsd:long"&gt;38765&lt;/D&gt;&lt;D xsi:type="xsd:long"&gt;38764&lt;/D&gt;&lt;D xsi:type="xsd:long"&gt;38763&lt;/D&gt;&lt;D xsi:type="xsd:long"&gt;38762&lt;/D&gt;&lt;D xsi:type="xsd:long"&gt;38761&lt;/D&gt;&lt;D xsi:type="xsd:long"&gt;38758&lt;/D&gt;&lt;D xsi:type="xsd:long"&gt;38757&lt;/D&gt;&lt;D xsi:type="xsd:long"&gt;38756&lt;/D&gt;&lt;D xsi:type="xsd:long"&gt;38755&lt;/D&gt;&lt;D xsi:type="xsd:long"&gt;38754&lt;/D&gt;&lt;D xsi:type="xsd:long"&gt;38751&lt;/D&gt;&lt;D xsi:type="xsd:long"&gt;38750&lt;/D&gt;&lt;D xsi:type="xsd:long"&gt;38749&lt;/D&gt;&lt;D xsi:type="xsd:long"&gt;38748&lt;/D&gt;&lt;D xsi:type="xsd:long"&gt;38747&lt;/D&gt;&lt;D xsi:type="xsd:long"&gt;38744&lt;/D&gt;&lt;D xsi:type="xsd:long"&gt;38743&lt;/D&gt;&lt;D xsi:type="xsd:long"&gt;38742&lt;/D&gt;&lt;D xsi:type="xsd:long"&gt;38741&lt;/D&gt;&lt;D xsi:type="xsd:long"&gt;38740&lt;/D&gt;&lt;D xsi:type="xsd:long"&gt;38737&lt;/D&gt;&lt;D xsi:type="xsd:long"&gt;38736&lt;/D&gt;&lt;D xsi:type="xsd:long"&gt;38735&lt;/D&gt;&lt;D xsi:type="xsd:long"&gt;38734&lt;/D&gt;&lt;D xsi:type="xsd:long"&gt;38730&lt;/D&gt;&lt;D xsi:type="xsd:long"&gt;38729&lt;/D&gt;&lt;D xsi:type="xsd:long"&gt;38728&lt;/D&gt;&lt;D xsi:type="xsd:long"&gt;38727&lt;/D&gt;&lt;D xsi:type="xsd:long"&gt;38726&lt;/D&gt;&lt;D xsi:type="xsd:long"&gt;38723&lt;/D&gt;&lt;D xsi:type="xsd:long"&gt;38722&lt;/D&gt;&lt;D xsi:type="xsd:long"&gt;38721&lt;/D&gt;&lt;D xsi:type="xsd:long"&gt;38720&lt;/D&gt;&lt;D xsi:type="xsd:long"&gt;38716&lt;/D&gt;&lt;D xsi:type="xsd:long"&gt;38715&lt;/D&gt;&lt;D xsi:type="xsd:long"&gt;38714&lt;/D&gt;&lt;D xsi:type="xsd:long"&gt;38713&lt;/D&gt;&lt;D xsi:type="xsd:long"&gt;38709&lt;/D&gt;&lt;D xsi:type="xsd:long"&gt;38708&lt;/D&gt;&lt;D xsi:type="xsd:long"&gt;38707&lt;/D&gt;&lt;D xsi:type="xsd:long"&gt;38706&lt;/D&gt;&lt;D xsi:type="xsd:long"&gt;38705&lt;/D&gt;&lt;D xsi:type="xsd:long"&gt;38702&lt;/D&gt;&lt;D xsi:type="xsd:long"&gt;38701&lt;/D&gt;&lt;D xsi:type="xsd:long"&gt;38700&lt;/D&gt;&lt;D xsi:type="xsd:long"&gt;38699&lt;/D&gt;&lt;D xsi:type="xsd:long"&gt;38698&lt;/D&gt;&lt;D xsi:type="xsd:long"&gt;38695&lt;/D&gt;&lt;D xsi:type="xsd:long"&gt;38694&lt;/D&gt;&lt;D xsi:type="xsd:long"&gt;38693&lt;/D&gt;&lt;D xsi:type="xsd:long"&gt;38692&lt;/D&gt;&lt;D xsi:type="xsd:long"&gt;38691&lt;/D&gt;&lt;D xsi:type="xsd:long"&gt;38688&lt;/D&gt;&lt;D xsi:type="xsd:long"&gt;38687&lt;/D&gt;&lt;D xsi:type="xsd:long"&gt;38686&lt;/D&gt;&lt;D xsi:type="xsd:long"&gt;38685&lt;/D&gt;&lt;D xsi:type="xsd:long"&gt;38684&lt;/D&gt;&lt;D xsi:type="xsd:long"&gt;38681&lt;/D&gt;&lt;D xsi:type="xsd:long"&gt;38679&lt;/D&gt;&lt;D xsi:type="xsd:long"&gt;38678&lt;/D&gt;&lt;D xsi:type="xsd:long"&gt;38677&lt;/D&gt;&lt;D xsi:type="xsd:long"&gt;38674&lt;/D&gt;&lt;D xsi:type="xsd:long"&gt;38673&lt;/D&gt;&lt;D xsi:type="xsd:long"&gt;38672&lt;/D&gt;&lt;D xsi:type="xsd:long"&gt;38671&lt;/D&gt;&lt;D xsi:type="xsd:long"&gt;38670&lt;/D&gt;&lt;D xsi:type="xsd:long"&gt;38667&lt;/D&gt;&lt;D xsi:type="xsd:long"&gt;38666&lt;/D&gt;&lt;D xsi:type="xsd:long"&gt;38665&lt;/D&gt;&lt;D xsi:type="xsd:long"&gt;38664&lt;/D&gt;&lt;D xsi:type="xsd:long"&gt;38663&lt;/D&gt;&lt;D xsi:type="xsd:long"&gt;38660&lt;/D&gt;&lt;D xsi:type="xsd:long"&gt;38659&lt;/D&gt;&lt;D xsi:type="xsd:long"&gt;38658&lt;/D&gt;&lt;D xsi:type="xsd:long"&gt;38657&lt;/D&gt;&lt;D xsi:type="xsd:long"&gt;38656&lt;/D&gt;&lt;D xsi:type="xsd:long"&gt;38653&lt;/D&gt;&lt;D xsi:type="xsd:long"&gt;38652&lt;/D&gt;&lt;D xsi:type="xsd:long"&gt;38651&lt;/D&gt;&lt;D xsi:type="xsd:long"&gt;38650&lt;/D&gt;&lt;D xsi:type="xsd:long"&gt;38649&lt;/D&gt;&lt;D xsi:type="xsd:long"&gt;38646&lt;/D&gt;&lt;D xsi:type="xsd:long"&gt;38645&lt;/D&gt;&lt;D xsi:type="xsd:long"&gt;38644&lt;/D&gt;&lt;D xsi:type="xsd:long"&gt;38643&lt;/D&gt;&lt;D xsi:type="xsd:long"&gt;38642&lt;/D&gt;&lt;D xsi:type="xsd:long"&gt;38639&lt;/D&gt;&lt;D xsi:type="xsd:long"&gt;38638&lt;/D&gt;&lt;D xsi:type="xsd:long"&gt;38637&lt;/D&gt;&lt;D xsi:type="xsd:long"&gt;38636&lt;/D&gt;&lt;D xsi:type="xsd:long"&gt;38635&lt;/D&gt;&lt;D xsi:type="xsd:long"&gt;38632&lt;/D&gt;&lt;D xsi:type="xsd:long"&gt;38631&lt;/D&gt;&lt;D xsi:type="xsd:long"&gt;38630&lt;/D&gt;&lt;D xsi:type="xsd:long"&gt;38629&lt;/D&gt;&lt;D xsi:type="xsd:long"&gt;38628&lt;/D&gt;&lt;D xsi:type="xsd:long"&gt;38625&lt;/D&gt;&lt;D xsi:type="xsd:long"&gt;38624&lt;/D&gt;&lt;D xsi:type="xsd:long"&gt;38623&lt;/D&gt;&lt;D xsi:type="xsd:long"&gt;38622&lt;/D&gt;&lt;D xsi:type="xsd:long"&gt;38621&lt;/D&gt;&lt;D xsi:type="xsd:long"&gt;38618&lt;/D&gt;&lt;D xsi:type="xsd:long"&gt;38617&lt;/D&gt;&lt;D xsi:type="xsd:long"&gt;38616&lt;/D&gt;&lt;D xsi:type="xsd:long"&gt;38615&lt;/D&gt;&lt;D xsi:type="xsd:long"&gt;38614&lt;/D&gt;&lt;D xsi:type="xsd:long"&gt;38611&lt;/D&gt;&lt;D xsi:type="xsd:long"&gt;38610&lt;/D&gt;&lt;D xsi:type="xsd:long"&gt;38609&lt;/D&gt;&lt;D xsi:type="xsd:long"&gt;38608&lt;/D&gt;&lt;D xsi:type="xsd:long"&gt;38607&lt;/D&gt;&lt;D xsi:type="xsd:long"&gt;38604&lt;/D&gt;&lt;D xsi:type="xsd:long"&gt;38603&lt;/D&gt;&lt;D xsi:type="xsd:long"&gt;38602&lt;/D&gt;&lt;D xsi:type="xsd:long"&gt;38601&lt;/D&gt;&lt;D xsi:type="xsd:long"&gt;38597&lt;/D&gt;&lt;D xsi:type="xsd:long"&gt;38596&lt;/D&gt;&lt;D xsi:type="xsd:long"&gt;38595&lt;/D&gt;&lt;D xsi:type="xsd:long"&gt;38594&lt;/D&gt;&lt;D xsi:type="xsd:long"&gt;38593&lt;/D&gt;&lt;D xsi:type="xsd:long"&gt;38590&lt;/D&gt;&lt;D xsi:type="xsd:long"&gt;38589&lt;/D&gt;&lt;D xsi:type="xsd:long"&gt;38588&lt;/D&gt;&lt;D xsi:type="xsd:long"&gt;38587&lt;/D&gt;&lt;D xsi:type="xsd:long"&gt;38586&lt;/D&gt;&lt;D xsi:type="xsd:long"&gt;38583&lt;/D&gt;&lt;D xsi:type="xsd:long"&gt;38582&lt;/D&gt;&lt;D xsi:type="xsd:long"&gt;38581&lt;/D&gt;&lt;D xsi:type="xsd:long"&gt;38580&lt;/D&gt;&lt;D xsi:type="xsd:long"&gt;38579&lt;/D&gt;&lt;D xsi:type="xsd:long"&gt;38576&lt;/D&gt;&lt;D xsi:type="xsd:long"&gt;38575&lt;/D&gt;&lt;D xsi:type="xsd:long"&gt;38574&lt;/D&gt;&lt;D xsi:type="xsd:long"&gt;38573&lt;/D&gt;&lt;D xsi:type="xsd:long"&gt;38572&lt;/D&gt;&lt;D xsi:type="xsd:long"&gt;38569&lt;/D&gt;&lt;D xsi:type="xsd:long"&gt;38568&lt;/D&gt;&lt;D xsi:type="xsd:long"&gt;38567&lt;/D&gt;&lt;D xsi:type="xsd:long"&gt;38566&lt;/D&gt;&lt;D xsi:type="xsd:long"&gt;38565&lt;/D&gt;&lt;D xsi:type="xsd:long"&gt;38562&lt;/D&gt;&lt;D xsi:type="xsd:long"&gt;38561&lt;/D&gt;&lt;D xsi:type="xsd:long"&gt;38560&lt;/D&gt;&lt;D xsi:type="xsd:long"&gt;38559&lt;/D&gt;&lt;D xsi:type="xsd:long"&gt;38558&lt;/D&gt;&lt;D xsi:type="xsd:long"&gt;38555&lt;/D&gt;&lt;D xsi:type="xsd:long"&gt;38554&lt;/D&gt;&lt;D xsi:type="xsd:long"&gt;38553&lt;/D&gt;&lt;D xsi:type="xsd:long"&gt;38552&lt;/D&gt;&lt;D xsi:type="xsd:long"&gt;38551&lt;/D&gt;&lt;D xsi:type="xsd:long"&gt;38548&lt;/D&gt;&lt;D xsi:type="xsd:long"&gt;38547&lt;/D&gt;&lt;D xsi:type="xsd:long"&gt;38546&lt;/D&gt;&lt;D xsi:type="xsd:long"&gt;38545&lt;/D&gt;&lt;D xsi:type="xsd:long"&gt;38544&lt;/D&gt;&lt;D xsi:type="xsd:long"&gt;38541&lt;/D&gt;&lt;D xsi:type="xsd:long"&gt;38540&lt;/D&gt;&lt;D xsi:type="xsd:long"&gt;38539&lt;/D&gt;&lt;D xsi:type="xsd:long"&gt;38538&lt;/D&gt;&lt;D xsi:type="xsd:long"&gt;38534&lt;/D&gt;&lt;D xsi:type="xsd:long"&gt;38533&lt;/D&gt;&lt;D xsi:type="xsd:long"&gt;38532&lt;/D&gt;&lt;D xsi:type="xsd:long"&gt;38531&lt;/D&gt;&lt;D xsi:type="xsd:long"&gt;38530&lt;/D&gt;&lt;D xsi:type="xsd:long"&gt;38527&lt;/D&gt;&lt;D xsi:type="xsd:long"&gt;38526&lt;/D&gt;&lt;D xsi:type="xsd:long"&gt;38525&lt;/D&gt;&lt;D xsi:type="xsd:long"&gt;38524&lt;/D&gt;&lt;D xsi:type="xsd:long"&gt;38523&lt;/D&gt;&lt;D xsi:type="xsd:long"&gt;38520&lt;/D&gt;&lt;D xsi:type="xsd:long"&gt;38519&lt;/D&gt;&lt;D xsi:type="xsd:long"&gt;38518&lt;/D&gt;&lt;D xsi:type="xsd:long"&gt;38517&lt;/D&gt;&lt;D xsi:type="xsd:long"&gt;38516&lt;/D&gt;&lt;D xsi:type="xsd:long"&gt;38513&lt;/D&gt;&lt;D xsi:type="xsd:long"&gt;38512&lt;/D&gt;&lt;D xsi:type="xsd:long"&gt;38511&lt;/D&gt;&lt;D xsi:type="xsd:long"&gt;38510&lt;/D&gt;&lt;D xsi:type="xsd:long"&gt;38509&lt;/D&gt;&lt;D xsi:type="xsd:long"&gt;38506&lt;/D&gt;&lt;D xsi:type="xsd:long"&gt;38505&lt;/D&gt;&lt;D xsi:type="xsd:long"&gt;38504&lt;/D&gt;&lt;D xsi:type="xsd:long"&gt;38503&lt;/D&gt;&lt;D xsi:type="xsd:long"&gt;38499&lt;/D&gt;&lt;D xsi:type="xsd:long"&gt;38498&lt;/D&gt;&lt;D xsi:type="xsd:long"&gt;38497&lt;/D&gt;&lt;D xsi:type="xsd:long"&gt;38496&lt;/D&gt;&lt;D xsi:type="xsd:long"&gt;38495&lt;/D&gt;&lt;D xsi:type="xsd:long"&gt;38492&lt;/D&gt;&lt;D xsi:type="xsd:long"&gt;38491&lt;/D&gt;&lt;D xsi:type="xsd:long"&gt;38490&lt;/D&gt;&lt;D xsi:type="xsd:long"&gt;38489&lt;/D&gt;&lt;D xsi:type="xsd:long"&gt;38488&lt;/D&gt;&lt;D xsi:type="xsd:long"&gt;38485&lt;/D&gt;&lt;D xsi:type="xsd:long"&gt;38484&lt;/D&gt;&lt;D xsi:type="xsd:long"&gt;38483&lt;/D&gt;&lt;D xsi:type="xsd:long"&gt;38482&lt;/D&gt;&lt;D xsi:type="xsd:long"&gt;38481&lt;/D&gt;&lt;D xsi:type="xsd:long"&gt;38478&lt;/D&gt;&lt;D xsi:type="xsd:long"&gt;38477&lt;/D&gt;&lt;D xsi:type="xsd:long"&gt;38476&lt;/D&gt;&lt;D xsi:type="xsd:long"&gt;38475&lt;/D&gt;&lt;D xsi:type="xsd:long"&gt;38474&lt;/D&gt;&lt;D xsi:type="xsd:long"&gt;38471&lt;/D&gt;&lt;D xsi:type="xsd:long"&gt;38470&lt;/D&gt;&lt;D xsi:type="xsd:long"&gt;38469&lt;/D&gt;&lt;D xsi:type="xsd:long"&gt;38468&lt;/D&gt;&lt;D xsi:type="xsd:long"&gt;38467&lt;/D&gt;&lt;D xsi:type="xsd:long"&gt;38464&lt;/D&gt;&lt;D xsi:type="xsd:long"&gt;38463&lt;/D&gt;&lt;D xsi:type="xsd:long"&gt;38462&lt;/D&gt;&lt;D xsi:type="xsd:long"&gt;38461&lt;/D&gt;&lt;D xsi:type="xsd:long"&gt;38460&lt;/D&gt;&lt;D xsi:type="xsd:long"&gt;38457&lt;/D&gt;&lt;D xsi:type="xsd:long"&gt;38456&lt;/D&gt;&lt;D xsi:type="xsd:long"&gt;38455&lt;/D&gt;&lt;D xsi:type="xsd:long"&gt;38454&lt;/D&gt;&lt;D xsi:type="xsd:long"&gt;38453&lt;/D&gt;&lt;D xsi:type="xsd:long"&gt;38450&lt;/D&gt;&lt;D xsi:type="xsd:long"&gt;38449&lt;/D&gt;&lt;D xsi:type="xsd:long"&gt;38448&lt;/D&gt;&lt;D xsi:type="xsd:long"&gt;38447&lt;/D&gt;&lt;D xsi:type="xsd:long"&gt;38446&lt;/D&gt;&lt;D xsi:type="xsd:long"&gt;38443&lt;/D&gt;&lt;D xsi:type="xsd:long"&gt;38442&lt;/D&gt;&lt;D xsi:type="xsd:long"&gt;38441&lt;/D&gt;&lt;D xsi:type="xsd:long"&gt;38440&lt;/D&gt;&lt;D xsi:type="xsd:long"&gt;38439&lt;/D&gt;&lt;D xsi:type="xsd:long"&gt;38435&lt;/D&gt;&lt;D xsi:type="xsd:long"&gt;38434&lt;/D&gt;&lt;D xsi:type="xsd:long"&gt;38433&lt;/D&gt;&lt;D xsi:type="xsd:long"&gt;38432&lt;/D&gt;&lt;D xsi:type="xsd:long"&gt;38429&lt;/D&gt;&lt;D xsi:type="xsd:long"&gt;38428&lt;/D&gt;&lt;D xsi:type="xsd:long"&gt;38427&lt;/D&gt;&lt;D xsi:type="xsd:long"&gt;38426&lt;/D&gt;&lt;D xsi:type="xsd:long"&gt;38425&lt;/D&gt;&lt;D xsi:type="xsd:long"&gt;38422&lt;/D&gt;&lt;D xsi:type="xsd:long"&gt;38421&lt;/D&gt;&lt;D xsi:type="xsd:long"&gt;38420&lt;/D&gt;&lt;D xsi:type="xsd:long"&gt;38419&lt;/D&gt;&lt;D xsi:type="xsd:long"&gt;38418&lt;/D&gt;&lt;D xsi:type="xsd:long"&gt;38415&lt;/D&gt;&lt;D xsi:type="xsd:long"&gt;38414&lt;/D&gt;&lt;D xsi:type="xsd:long"&gt;38413&lt;/D&gt;&lt;D xsi:type="xsd:long"&gt;38412&lt;/D&gt;&lt;D xsi:type="xsd:long"&gt;38411&lt;/D&gt;&lt;D xsi:type="xsd:long"&gt;38408&lt;/D&gt;&lt;D xsi:type="xsd:long"&gt;38407&lt;/D&gt;&lt;D xsi:type="xsd:long"&gt;38406&lt;/D&gt;&lt;D xsi:type="xsd:long"&gt;38405&lt;/D&gt;&lt;D xsi:type="xsd:long"&gt;38401&lt;/D&gt;&lt;D xsi:type="xsd:long"&gt;38400&lt;/D&gt;&lt;D xsi:type="xsd:long"&gt;38399&lt;/D&gt;&lt;D xsi:type="xsd:long"&gt;38398&lt;/D&gt;&lt;D xsi:type="xsd:long"&gt;38397&lt;/D&gt;&lt;D xsi:type="xsd:long"&gt;38394&lt;/D&gt;&lt;D xsi:type="xsd:long"&gt;38393&lt;/D&gt;&lt;D xsi:type="xsd:long"&gt;38392&lt;/D&gt;&lt;D xsi:type="xsd:long"&gt;38391&lt;/D&gt;&lt;D xsi:type="xsd:long"&gt;38390&lt;/D&gt;&lt;D xsi:type="xsd:long"&gt;38387&lt;/D&gt;&lt;D xsi:type="xsd:long"&gt;38386&lt;/D&gt;&lt;D xsi:type="xsd:long"&gt;38385&lt;/D&gt;&lt;D xsi:type="xsd:long"&gt;38384&lt;/D&gt;&lt;D xsi:type="xsd:long"&gt;38383&lt;/D&gt;&lt;D xsi:type="xsd:long"&gt;38380&lt;/D&gt;&lt;D xsi:type="xsd:long"&gt;38379&lt;/D&gt;&lt;D xsi:type="xsd:long"&gt;38378&lt;/D&gt;&lt;D xsi:type="xsd:long"&gt;38377&lt;/D&gt;&lt;D xsi:type="xsd:long"&gt;38376&lt;/D&gt;&lt;D xsi:type="xsd:long"&gt;38373&lt;/D&gt;&lt;D xsi:type="xsd:long"&gt;38372&lt;/D&gt;&lt;D xsi:type="xsd:long"&gt;38371&lt;/D&gt;&lt;D xsi:type="xsd:long"&gt;38370&lt;/D&gt;&lt;D xsi:type="xsd:long"&gt;38366&lt;/D&gt;&lt;D xsi:type="xsd:long"&gt;38365&lt;/D&gt;&lt;D xsi:type="xsd:long"&gt;38364&lt;/D&gt;&lt;D xsi:type="xsd:long"&gt;38363&lt;/D&gt;&lt;D xsi:type="xsd:long"&gt;38362&lt;/D&gt;&lt;D xsi:type="xsd:long"&gt;38359&lt;/D&gt;&lt;D xsi:type="xsd:long"&gt;38358&lt;/D&gt;&lt;D xsi:type="xsd:long"&gt;38357&lt;/D&gt;&lt;D xsi:type="xsd:long"&gt;38356&lt;/D&gt;&lt;D xsi:type="xsd:long"&gt;38355&lt;/D&gt;&lt;D xsi:type="xsd:long"&gt;38352&lt;/D&gt;&lt;D xsi:type="xsd:long"&gt;38351&lt;/D&gt;&lt;D xsi:type="xsd:long"&gt;38350&lt;/D&gt;&lt;D xsi:type="xsd:long"&gt;38349&lt;/D&gt;&lt;D xsi:type="xsd:long"&gt;38348&lt;/D&gt;&lt;D xsi:type="xsd:long"&gt;38344&lt;/D&gt;&lt;D xsi:type="xsd:long"&gt;38343&lt;/D&gt;&lt;D xsi:type="xsd:long"&gt;38342&lt;/D&gt;&lt;D xsi:type="xsd:long"&gt;38341&lt;/D&gt;&lt;D xsi:type="xsd:long"&gt;38338&lt;/D&gt;&lt;D xsi:type="xsd:long"&gt;38337&lt;/D&gt;&lt;D xsi:type="xsd:long"&gt;38336&lt;/D&gt;&lt;D xsi:type="xsd:long"&gt;38335&lt;/D&gt;&lt;D xsi:type="xsd:long"&gt;38334&lt;/D&gt;&lt;D xsi:type="xsd:long"&gt;38331&lt;/D&gt;&lt;D xsi:type="xsd:long"&gt;38330&lt;/D&gt;&lt;D xsi:type="xsd:long"&gt;38329&lt;/D&gt;&lt;D xsi:type="xsd:long"&gt;38328&lt;/D&gt;&lt;D xsi:type="xsd:long"&gt;38327&lt;/D&gt;&lt;D xsi:type="xsd:long"&gt;38324&lt;/D&gt;&lt;D xsi:type="xsd:long"&gt;38323&lt;/D&gt;&lt;D xsi:type="xsd:long"&gt;38322&lt;/D&gt;&lt;D xsi:type="xsd:long"&gt;38321&lt;/D&gt;&lt;D xsi:type="xsd:long"&gt;38320&lt;/D&gt;&lt;D xsi:type="xsd:long"&gt;38317&lt;/D&gt;&lt;D xsi:type="xsd:long"&gt;38315&lt;/D&gt;&lt;D xsi:type="xsd:long"&gt;38314&lt;/D&gt;&lt;D xsi:type="xsd:long"&gt;38313&lt;/D&gt;&lt;D xsi:type="xsd:long"&gt;38310&lt;/D&gt;&lt;D xsi:type="xsd:long"&gt;38309&lt;/D&gt;&lt;D xsi:type="xsd:long"&gt;38308&lt;/D&gt;&lt;D xsi:type="xsd:long"&gt;38307&lt;/D&gt;&lt;D xsi:type="xsd:long"&gt;38306&lt;/D&gt;&lt;D xsi:type="xsd:long"&gt;38303&lt;/D&gt;&lt;D xsi:type="xsd:long"&gt;38302&lt;/D&gt;&lt;D xsi:type="xsd:long"&gt;38301&lt;/D&gt;&lt;D xsi:type="xsd:long"&gt;38300&lt;/D&gt;&lt;D xsi:type="xsd:long"&gt;38299&lt;/D&gt;&lt;D xsi:type="xsd:long"&gt;38296&lt;/D&gt;&lt;D xsi:type="xsd:long"&gt;38295&lt;/D&gt;&lt;D xsi:type="xsd:long"&gt;38294&lt;/D&gt;&lt;D xsi:type="xsd:long"&gt;38293&lt;/D&gt;&lt;D xsi:type="xsd:long"&gt;38292&lt;/D&gt;&lt;D xsi:type="xsd:long"&gt;38289&lt;/D&gt;&lt;D xsi:type="xsd:long"&gt;38288&lt;/D&gt;&lt;D xsi:type="xsd:long"&gt;38287&lt;/D&gt;&lt;D xsi:type="xsd:long"&gt;38286&lt;/D&gt;&lt;D xsi:type="xsd:long"&gt;38285&lt;/D&gt;&lt;D xsi:type="xsd:long"&gt;38282&lt;/D&gt;&lt;D xsi:type="xsd:long"&gt;38281&lt;/D&gt;&lt;D xsi:type="xsd:long"&gt;38280&lt;/D&gt;&lt;D xsi:type="xsd:long"&gt;38279&lt;/D&gt;&lt;D xsi:type="xsd:long"&gt;38278&lt;/D&gt;&lt;D xsi:type="xsd:long"&gt;38275&lt;/D&gt;&lt;D xsi:type="xsd:long"&gt;38274&lt;/D&gt;&lt;D xsi:type="xsd:long"&gt;38273&lt;/D&gt;&lt;D xsi:type="xsd:long"&gt;38272&lt;/D&gt;&lt;D xsi:type="xsd:long"&gt;38271&lt;/D&gt;&lt;D xsi:type="xsd:long"&gt;38268&lt;/D&gt;&lt;D xsi:type="xsd:long"&gt;38267&lt;/D&gt;&lt;D xsi:type="xsd:long"&gt;38266&lt;/D&gt;&lt;D xsi:type="xsd:long"&gt;38265&lt;/D&gt;&lt;D xsi:type="xsd:long"&gt;38264&lt;/D&gt;&lt;D xsi:type="xsd:long"&gt;38261&lt;/D&gt;&lt;D xsi:type="xsd:long"&gt;38260&lt;/D&gt;&lt;D xsi:type="xsd:long"&gt;38259&lt;/D&gt;&lt;D xsi:type="xsd:long"&gt;38258&lt;/D&gt;&lt;D xsi:type="xsd:long"&gt;38257&lt;/D&gt;&lt;D xsi:type="xsd:long"&gt;38254&lt;/D&gt;&lt;D xsi:type="xsd:long"&gt;38253&lt;/D&gt;&lt;D xsi:type="xsd:long"&gt;38252&lt;/D&gt;&lt;D xsi:type="xsd:long"&gt;38251&lt;/D&gt;&lt;D xsi:type="xsd:long"&gt;38250&lt;/D&gt;&lt;D xsi:type="xsd:long"&gt;38247&lt;/D&gt;&lt;D xsi:type="xsd:long"&gt;38246&lt;/D&gt;&lt;D xsi:type="xsd:long"&gt;38245&lt;/D&gt;&lt;D xsi:type="xsd:long"&gt;38244&lt;/D&gt;&lt;D xsi:type="xsd:long"&gt;38243&lt;/D&gt;&lt;D xsi:type="xsd:long"&gt;38240&lt;/D&gt;&lt;D xsi:type="xsd:long"&gt;38239&lt;/D&gt;&lt;D xsi:type="xsd:long"&gt;38238&lt;/D&gt;&lt;D xsi:type="xsd:long"&gt;38237&lt;/D&gt;&lt;D xsi:type="xsd:long"&gt;38233&lt;/D&gt;&lt;D xsi:type="xsd:long"&gt;38232&lt;/D&gt;&lt;D xsi:type="xsd:long"&gt;38231&lt;/D&gt;&lt;D xsi:type="xsd:long"&gt;38230&lt;/D&gt;&lt;D xsi:type="xsd:long"&gt;38229&lt;/D&gt;&lt;D xsi:type="xsd:long"&gt;38226&lt;/D&gt;&lt;D xsi:type="xsd:long"&gt;38225&lt;/D&gt;&lt;D xsi:type="xsd:long"&gt;38224&lt;/D&gt;&lt;D xsi:type="xsd:long"&gt;38223&lt;/D&gt;&lt;D xsi:type="xsd:long"&gt;38222&lt;/D&gt;&lt;D xsi:type="xsd:long"&gt;38219&lt;/D&gt;&lt;D xsi:type="xsd:long"&gt;38218&lt;/D&gt;&lt;D xsi:type="xsd:long"&gt;38217&lt;/D&gt;&lt;D xsi:type="xsd:long"&gt;38216&lt;/D&gt;&lt;D xsi:type="xsd:long"&gt;38215&lt;/D&gt;&lt;D xsi:type="xsd:long"&gt;38212&lt;/D&gt;&lt;D xsi:type="xsd:long"&gt;38211&lt;/D&gt;&lt;D xsi:type="xsd:long"&gt;38210&lt;/D&gt;&lt;D xsi:type="xsd:long"&gt;38209&lt;/D&gt;&lt;D xsi:type="xsd:long"&gt;38208&lt;/D&gt;&lt;D xsi:type="xsd:long"&gt;38205&lt;/D&gt;&lt;D xsi:type="xsd:long"&gt;38204&lt;/D&gt;&lt;D xsi:type="xsd:long"&gt;38203&lt;/D&gt;&lt;D xsi:type="xsd:long"&gt;38202&lt;/D&gt;&lt;D xsi:type="xsd:long"&gt;38201&lt;/D&gt;&lt;D xsi:type="xsd:long"&gt;38198&lt;/D&gt;&lt;D xsi:type="xsd:long"&gt;38197&lt;/D&gt;&lt;D xsi:type="xsd:long"&gt;38196&lt;/D&gt;&lt;D xsi:type="xsd:long"&gt;38195&lt;/D&gt;&lt;D xsi:type="xsd:long"&gt;38194&lt;/D&gt;&lt;D xsi:type="xsd:long"&gt;38191&lt;/D&gt;&lt;D xsi:type="xsd:long"&gt;38190&lt;/D&gt;&lt;D xsi:type="xsd:long"&gt;38189&lt;/D&gt;&lt;D xsi:type="xsd:long"&gt;38188&lt;/D&gt;&lt;D xsi:type="xsd:long"&gt;38187&lt;/D&gt;&lt;D xsi:type="xsd:long"&gt;38184&lt;/D&gt;&lt;D xsi:type="xsd:long"&gt;38183&lt;/D&gt;&lt;D xsi:type="xsd:long"&gt;38182&lt;/D&gt;&lt;D xsi:type="xsd:long"&gt;38181&lt;/D&gt;&lt;D xsi:type="xsd:long"&gt;38180&lt;/D&gt;&lt;D xsi:type="xsd:long"&gt;38177&lt;/D&gt;&lt;D xsi:type="xsd:long"&gt;38176&lt;/D&gt;&lt;D xsi:type="xsd:long"&gt;38175&lt;/D&gt;&lt;D xsi:type="xsd:long"&gt;38174&lt;/D&gt;&lt;D xsi:type="xsd:long"&gt;38170&lt;/D&gt;&lt;D xsi:type="xsd:long"&gt;38169&lt;/D&gt;&lt;D xsi:type="xsd:long"&gt;38168&lt;/D&gt;&lt;D xsi:type="xsd:long"&gt;38167&lt;/D&gt;&lt;D xsi:type="xsd:long"&gt;38166&lt;/D&gt;&lt;D xsi:type="xsd:long"&gt;38163&lt;/D&gt;&lt;D xsi:type="xsd:long"&gt;38162&lt;/D&gt;&lt;D xsi:type="xsd:long"&gt;38161&lt;/D&gt;&lt;D xsi:type="xsd:long"&gt;38160&lt;/D&gt;&lt;D xsi:type="xsd:long"&gt;38159&lt;/D&gt;&lt;D xsi:type="xsd:long"&gt;38156&lt;/D&gt;&lt;D xsi:type="xsd:long"&gt;38155&lt;/D&gt;&lt;D xsi:type="xsd:long"&gt;38154&lt;/D&gt;&lt;D xsi:type="xsd:long"&gt;38153&lt;/D&gt;&lt;D xsi:type="xsd:long"&gt;38152&lt;/D&gt;&lt;D xsi:type="xsd:long"&gt;38148&lt;/D&gt;&lt;D xsi:type="xsd:long"&gt;38147&lt;/D&gt;&lt;D xsi:type="xsd:long"&gt;38146&lt;/D&gt;&lt;D xsi:type="xsd:long"&gt;38145&lt;/D&gt;&lt;D xsi:type="xsd:long"&gt;38142&lt;/D&gt;&lt;D xsi:type="xsd:long"&gt;38141&lt;/D&gt;&lt;D xsi:type="xsd:long"&gt;38140&lt;/D&gt;&lt;D xsi:type="xsd:long"&gt;38139&lt;/D&gt;&lt;D xsi:type="xsd:long"&gt;38135&lt;/D&gt;&lt;D xsi:type="xsd:long"&gt;38134&lt;/D&gt;&lt;D xsi:type="xsd:long"&gt;38133&lt;/D&gt;&lt;D xsi:type="xsd:long"&gt;38132&lt;/D&gt;&lt;D xsi:type="xsd:long"&gt;38131&lt;/D&gt;&lt;D xsi:type="xsd:long"&gt;38128&lt;/D&gt;&lt;D xsi:type="xsd:long"&gt;38127&lt;/D&gt;&lt;D xsi:type="xsd:long"&gt;38126&lt;/D&gt;&lt;D xsi:type="xsd:long"&gt;38125&lt;/D&gt;&lt;D xsi:type="xsd:long"&gt;38124&lt;/D&gt;&lt;D xsi:type="xsd:long"&gt;38121&lt;/D&gt;&lt;D xsi:type="xsd:long"&gt;38120&lt;/D&gt;&lt;D xsi:type="xsd:long"&gt;38119&lt;/D&gt;&lt;D xsi:type="xsd:long"&gt;38118&lt;/D&gt;&lt;D xsi:type="xsd:long"&gt;38117&lt;/D&gt;&lt;D xsi:type="xsd:long"&gt;38114&lt;/D&gt;&lt;D xsi:type="xsd:long"&gt;38113&lt;/D&gt;&lt;D xsi:type="xsd:long"&gt;38112&lt;/D&gt;&lt;D xsi:type="xsd:long"&gt;38111&lt;/D&gt;&lt;D xsi:type="xsd:long"&gt;38110&lt;/D&gt;&lt;D xsi:type="xsd:long"&gt;38107&lt;/D&gt;&lt;D xsi:type="xsd:long"&gt;38106&lt;/D&gt;&lt;D xsi:type="xsd:long"&gt;38105&lt;/D&gt;&lt;D xsi:type="xsd:long"&gt;38104&lt;/D&gt;&lt;D xsi:type="xsd:long"&gt;38103&lt;/D&gt;&lt;D xsi:type="xsd:long"&gt;38100&lt;/D&gt;&lt;D xsi:type="xsd:long"&gt;38099&lt;/D&gt;&lt;D xsi:type="xsd:long"&gt;38098&lt;/D&gt;&lt;D xsi:type="xsd:long"&gt;38097&lt;/D&gt;&lt;D xsi:type="xsd:long"&gt;38096&lt;/D&gt;&lt;D xsi:type="xsd:long"&gt;38093&lt;/D&gt;&lt;D xsi:type="xsd:long"&gt;38092&lt;/D&gt;&lt;D xsi:type="xsd:long"&gt;38091&lt;/D&gt;&lt;D xsi:type="xsd:long"&gt;38090&lt;/D&gt;&lt;D xsi:type="xsd:long"&gt;38089&lt;/D&gt;&lt;D xsi:type="xsd:long"&gt;38085&lt;/D&gt;&lt;D xsi:type="xsd:long"&gt;38084&lt;/D&gt;&lt;D xsi:type="xsd:long"&gt;38083&lt;/D&gt;&lt;D xsi:type="xsd:long"&gt;38082&lt;/D&gt;&lt;D xsi:type="xsd:long"&gt;38079&lt;/D&gt;&lt;D xsi:type="xsd:long"&gt;38078&lt;/D&gt;&lt;D xsi:type="xsd:long"&gt;38077&lt;/D&gt;&lt;D xsi:type="xsd:long"&gt;38076&lt;/D&gt;&lt;D xsi:type="xsd:long"&gt;38075&lt;/D&gt;&lt;D xsi:type="xsd:long"&gt;38072&lt;/D&gt;&lt;D xsi:type="xsd:long"&gt;38071&lt;/D&gt;&lt;D xsi:type="xsd:long"&gt;38070&lt;/D&gt;&lt;D xsi:type="xsd:long"&gt;38069&lt;/D&gt;&lt;D xsi:type="xsd:long"&gt;38068&lt;/D&gt;&lt;D xsi:type="xsd:long"&gt;38065&lt;/D&gt;&lt;D xsi:type="xsd:long"&gt;38064&lt;/D&gt;&lt;D xsi:type="xsd:long"&gt;38063&lt;/D&gt;&lt;D xsi:type="xsd:long"&gt;38062&lt;/D&gt;&lt;D xsi:type="xsd:long"&gt;38061&lt;/D&gt;&lt;D xsi:type="xsd:long"&gt;38058&lt;/D&gt;&lt;D xsi:type="xsd:long"&gt;38057&lt;/D&gt;&lt;D xsi:type="xsd:long"&gt;38056&lt;/D&gt;&lt;D xsi:type="xsd:long"&gt;38055&lt;/D&gt;&lt;D xsi:type="xsd:long"&gt;38054&lt;/D&gt;&lt;D xsi:type="xsd:long"&gt;38051&lt;/D&gt;&lt;D xsi:type="xsd:long"&gt;38050&lt;/D&gt;&lt;D xsi:type="xsd:long"&gt;38049&lt;/D&gt;&lt;D xsi:type="xsd:long"&gt;38048&lt;/D&gt;&lt;D xsi:type="xsd:long"&gt;38047&lt;/D&gt;&lt;D xsi:type="xsd:long"&gt;38044&lt;/D&gt;&lt;D xsi:type="xsd:long"&gt;38043&lt;/D&gt;&lt;D xsi:type="xsd:long"&gt;38042&lt;/D&gt;&lt;D xsi:type="xsd:long"&gt;38041&lt;/D&gt;&lt;D xsi:type="xsd:long"&gt;38040&lt;/D&gt;&lt;D xsi:type="xsd:long"&gt;38037&lt;/D&gt;&lt;D xsi:type="xsd:long"&gt;38036&lt;/D&gt;&lt;D xsi:type="xsd:long"&gt;38035&lt;/D&gt;&lt;D xsi:type="xsd:long"&gt;38034&lt;/D&gt;&lt;D xsi:type="xsd:long"&gt;38030&lt;/D&gt;&lt;D xsi:type="xsd:long"&gt;38029&lt;/D&gt;&lt;D xsi:type="xsd:long"&gt;38028&lt;/D&gt;&lt;D xsi:type="xsd:long"&gt;38027&lt;/D&gt;&lt;D xsi:type="xsd:long"&gt;38026&lt;/D&gt;&lt;D xsi:type="xsd:long"&gt;38023&lt;/D&gt;&lt;D xsi:type="xsd:long"&gt;38022&lt;/D&gt;&lt;D xsi:type="xsd:long"&gt;38021&lt;/D&gt;&lt;D xsi:type="xsd:long"&gt;38020&lt;/D&gt;&lt;D xsi:type="xsd:long"&gt;38019&lt;/D&gt;&lt;D xsi:type="xsd:long"&gt;38016&lt;/D&gt;&lt;D xsi:type="xsd:long"&gt;38015&lt;/D&gt;&lt;D xsi:type="xsd:long"&gt;38014&lt;/D&gt;&lt;D xsi:type="xsd:long"&gt;38013&lt;/D&gt;&lt;D xsi:type="xsd:long"&gt;38012&lt;/D&gt;&lt;D xsi:type="xsd:long"&gt;38009&lt;/D&gt;&lt;D xsi:type="xsd:long"&gt;38008&lt;/D&gt;&lt;D xsi:type="xsd:long"&gt;38007&lt;/D&gt;&lt;D xsi:type="xsd:long"&gt;38006&lt;/D&gt;&lt;D xsi:type="xsd:long"&gt;38002&lt;/D&gt;&lt;D xsi:type="xsd:long"&gt;38001&lt;/D&gt;&lt;D xsi:type="xsd:long"&gt;38000&lt;/D&gt;&lt;D xsi:type="xsd:long"&gt;37999&lt;/D&gt;&lt;D xsi:type="xsd:long"&gt;37998&lt;/D&gt;&lt;D xsi:type="xsd:long"&gt;37995&lt;/D&gt;&lt;D xsi:type="xsd:long"&gt;37994&lt;/D&gt;&lt;D xsi:type="xsd:long"&gt;37993&lt;/D&gt;&lt;D xsi:type="xsd:long"&gt;37992&lt;/D&gt;&lt;D xsi:type="xsd:long"&gt;37991&lt;/D&gt;&lt;D xsi:type="xsd:long"&gt;37988&lt;/D&gt;&lt;D xsi:type="xsd:long"&gt;37986&lt;/D&gt;&lt;D xsi:type="xsd:long"&gt;37985&lt;/D&gt;&lt;D xsi:type="xsd:long"&gt;37984&lt;/D&gt;&lt;D xsi:type="xsd:long"&gt;37981&lt;/D&gt;&lt;D xsi:type="xsd:long"&gt;37979&lt;/D&gt;&lt;D xsi:type="xsd:long"&gt;37978&lt;/D&gt;&lt;D xsi:type="xsd:long"&gt;37977&lt;/D&gt;&lt;D xsi:type="xsd:long"&gt;37974&lt;/D&gt;&lt;D xsi:type="xsd:long"&gt;37973&lt;/D&gt;&lt;D xsi:type="xsd:long"&gt;37972&lt;/D&gt;&lt;D xsi:type="xsd:long"&gt;37971&lt;/D&gt;&lt;D xsi:type="xsd:long"&gt;37970&lt;/D&gt;&lt;D xsi:type="xsd:long"&gt;37967&lt;/D&gt;&lt;D xsi:type="xsd:long"&gt;37966&lt;/D&gt;&lt;D xsi:type="xsd:long"&gt;37965&lt;/D&gt;&lt;D xsi:type="xsd:long"&gt;37964&lt;/D&gt;&lt;D xsi:type="xsd:long"&gt;37963&lt;/D&gt;&lt;D xsi:type="xsd:long"&gt;37960&lt;/D&gt;&lt;D xsi:type="xsd:long"&gt;37959&lt;/D&gt;&lt;D xsi:type="xsd:long"&gt;37958&lt;/D&gt;&lt;D xsi:type="xsd:long"&gt;37957&lt;/D&gt;&lt;D xsi:type="xsd:long"&gt;37956&lt;/D&gt;&lt;D xsi:type="xsd:long"&gt;37953&lt;/D&gt;&lt;D xsi:type="xsd:long"&gt;37951&lt;/D&gt;&lt;D xsi:type="xsd:long"&gt;37950&lt;/D&gt;&lt;D xsi:type="xsd:long"&gt;37949&lt;/D&gt;&lt;D xsi:type="xsd:long"&gt;37946&lt;/D&gt;&lt;D xsi:type="xsd:long"&gt;37945&lt;/D&gt;&lt;D xsi:type="xsd:long"&gt;37944&lt;/D&gt;&lt;D xsi:type="xsd:long"&gt;37943&lt;/D&gt;&lt;D xsi:type="xsd:long"&gt;37942&lt;/D&gt;&lt;D xsi:type="xsd:long"&gt;37939&lt;/D&gt;&lt;D xsi:type="xsd:long"&gt;37938&lt;/D&gt;&lt;D xsi:type="xsd:long"&gt;37937&lt;/D&gt;&lt;D xsi:type="xsd:long"&gt;37936&lt;/D&gt;&lt;D xsi:type="xsd:long"&gt;37935&lt;/D&gt;&lt;D xsi:type="xsd:long"&gt;37932&lt;/D&gt;&lt;D xsi:type="xsd:long"&gt;37931&lt;/D&gt;&lt;D xsi:type="xsd:long"&gt;37930&lt;/D&gt;&lt;D xsi:type="xsd:long"&gt;37929&lt;/D&gt;&lt;D xsi:type="xsd:long"&gt;37928&lt;/D&gt;&lt;D xsi:type="xsd:long"&gt;37925&lt;/D&gt;&lt;D xsi:type="xsd:long"&gt;37924&lt;/D&gt;&lt;D xsi:type="xsd:long"&gt;37923&lt;/D&gt;&lt;D xsi:type="xsd:long"&gt;37922&lt;/D&gt;&lt;D xsi:type="xsd:long"&gt;37921&lt;/D&gt;&lt;D xsi:type="xsd:long"&gt;37918&lt;/D&gt;&lt;D xsi:type="xsd:long"&gt;37917&lt;/D&gt;&lt;D xsi:type="xsd:long"&gt;37916&lt;/D&gt;&lt;D xsi:type="xsd:long"&gt;37915&lt;/D&gt;&lt;D xsi:type="xsd:long"&gt;37914&lt;/D&gt;&lt;D xsi:type="xsd:long"&gt;37911&lt;/D&gt;&lt;D xsi:type="xsd:long"&gt;37910&lt;/D&gt;&lt;D xsi:type="xsd:long"&gt;37909&lt;/D&gt;&lt;D xsi:type="xsd:long"&gt;37908&lt;/D&gt;&lt;D xsi:type="xsd:long"&gt;37907&lt;/D&gt;&lt;D xsi:type="xsd:long"&gt;37904&lt;/D&gt;&lt;D xsi:type="xsd:long"&gt;37903&lt;/D&gt;&lt;D xsi:type="xsd:long"&gt;37902&lt;/D&gt;&lt;D xsi:type="xsd:long"&gt;37901&lt;/D&gt;&lt;D xsi:type="xsd:long"&gt;37900&lt;/D&gt;&lt;D xsi:type="xsd:long"&gt;37897&lt;/D&gt;&lt;D xsi:type="xsd:long"&gt;37896&lt;/D&gt;&lt;D xsi:type="xsd:long"&gt;37895&lt;/D&gt;&lt;D xsi:type="xsd:long"&gt;37894&lt;/D&gt;&lt;D xsi:type="xsd:long"&gt;37893&lt;/D&gt;&lt;D xsi:type="xsd:long"&gt;37890&lt;/D&gt;&lt;D xsi:type="xsd:long"&gt;37889&lt;/D&gt;&lt;D xsi:type="xsd:long"&gt;37888&lt;/D&gt;&lt;D xsi:type="xsd:long"&gt;37887&lt;/D&gt;&lt;D xsi:type="xsd:long"&gt;37886&lt;/D&gt;&lt;D xsi:type="xsd:long"&gt;37883&lt;/D&gt;&lt;D xsi:type="xsd:long"&gt;37882&lt;/D&gt;&lt;D xsi:type="xsd:long"&gt;37881&lt;/D&gt;&lt;D xsi:type="xsd:long"&gt;37880&lt;/D&gt;&lt;D xsi:type="xsd:long"&gt;37879&lt;/D&gt;&lt;D xsi:type="xsd:long"&gt;37876&lt;/D&gt;&lt;D xsi:type="xsd:long"&gt;37875&lt;/D&gt;&lt;D xsi:type="xsd:long"&gt;37874&lt;/D&gt;&lt;D xsi:type="xsd:long"&gt;37873&lt;/D&gt;&lt;D xsi:type="xsd:long"&gt;37872&lt;/D&gt;&lt;D xsi:type="xsd:long"&gt;37869&lt;/D&gt;&lt;D xsi:type="xsd:long"&gt;37868&lt;/D&gt;&lt;D xsi:type="xsd:long"&gt;37867&lt;/D&gt;&lt;D xsi:type="xsd:long"&gt;37866&lt;/D&gt;&lt;D xsi:type="xsd:long"&gt;37862&lt;/D&gt;&lt;D xsi:type="xsd:long"&gt;37861&lt;/D&gt;&lt;D xsi:type="xsd:long"&gt;37860&lt;/D&gt;&lt;D xsi:type="xsd:long"&gt;37859&lt;/D&gt;&lt;D xsi:type="xsd:long"&gt;37858&lt;/D&gt;&lt;D xsi:type="xsd:long"&gt;37855&lt;/D&gt;&lt;D xsi:type="xsd:long"&gt;37854&lt;/D&gt;&lt;D xsi:type="xsd:long"&gt;37853&lt;/D&gt;&lt;D xsi:type="xsd:long"&gt;37852&lt;/D&gt;&lt;D xsi:type="xsd:long"&gt;37851&lt;/D&gt;&lt;D xsi:type="xsd:long"&gt;37848&lt;/D&gt;&lt;D xsi:type="xsd:long"&gt;37847&lt;/D&gt;&lt;D xsi:type="xsd:long"&gt;37846&lt;/D&gt;&lt;D xsi:type="xsd:long"&gt;37845&lt;/D&gt;&lt;D xsi:type="xsd:long"&gt;37844&lt;/D&gt;&lt;D xsi:type="xsd:long"&gt;37841&lt;/D&gt;&lt;D xsi:type="xsd:long"&gt;37840&lt;/D&gt;&lt;D xsi:type="xsd:long"&gt;37839&lt;/D&gt;&lt;D xsi:type="xsd:long"&gt;37838&lt;/D&gt;&lt;D xsi:type="xsd:long"&gt;37837&lt;/D&gt;&lt;D xsi:type="xsd:long"&gt;37834&lt;/D&gt;&lt;D xsi:type="xsd:long"&gt;37833&lt;/D&gt;&lt;D xsi:type="xsd:long"&gt;37832&lt;/D&gt;&lt;D xsi:type="xsd:long"&gt;37831&lt;/D&gt;&lt;D xsi:type="xsd:long"&gt;37830&lt;/D&gt;&lt;D xsi:type="xsd:long"&gt;37827&lt;/D&gt;&lt;D xsi:type="xsd:long"&gt;37826&lt;/D&gt;&lt;D xsi:type="xsd:long"&gt;37825&lt;/D&gt;&lt;D xsi:type="xsd:long"&gt;37824&lt;/D&gt;&lt;D xsi:type="xsd:long"&gt;37823&lt;/D&gt;&lt;D xsi:type="xsd:long"&gt;37820&lt;/D&gt;&lt;D xsi:type="xsd:long"&gt;37819&lt;/D&gt;&lt;D xsi:type="xsd:long"&gt;37818&lt;/D&gt;&lt;D xsi:type="xsd:long"&gt;37817&lt;/D&gt;&lt;D xsi:type="xsd:long"&gt;37816&lt;/D&gt;&lt;D xsi:type="xsd:long"&gt;37813&lt;/D&gt;&lt;D xsi:type="xsd:long"&gt;37812&lt;/D&gt;&lt;D xsi:type="xsd:long"&gt;37811&lt;/D&gt;&lt;D xsi:type="xsd:long"&gt;37810&lt;/D&gt;&lt;D xsi:type="xsd:long"&gt;37809&lt;/D&gt;&lt;D xsi:type="xsd:long"&gt;37805&lt;/D&gt;&lt;D xsi:type="xsd:long"&gt;37804&lt;/D&gt;&lt;D xsi:type="xsd:long"&gt;37803&lt;/D&gt;&lt;D xsi:type="xsd:long"&gt;37802&lt;/D&gt;&lt;D xsi:type="xsd:long"&gt;377</t>
        </r>
      </text>
    </comment>
    <comment ref="A29" authorId="0" shapeId="0">
      <text>
        <r>
          <rPr>
            <b/>
            <sz val="9"/>
            <color indexed="81"/>
            <rFont val="Tahoma"/>
            <family val="2"/>
          </rPr>
          <t>99&lt;/D&gt;&lt;D xsi:type="xsd:long"&gt;37798&lt;/D&gt;&lt;D xsi:type="xsd:long"&gt;37797&lt;/D&gt;&lt;D xsi:type="xsd:long"&gt;37796&lt;/D&gt;&lt;D xsi:type="xsd:long"&gt;37795&lt;/D&gt;&lt;D xsi:type="xsd:long"&gt;37792&lt;/D&gt;&lt;D xsi:type="xsd:long"&gt;37791&lt;/D&gt;&lt;D xsi:type="xsd:long"&gt;37790&lt;/D&gt;&lt;D xsi:type="xsd:long"&gt;37789&lt;/D&gt;&lt;D xsi:type="xsd:long"&gt;37788&lt;/D&gt;&lt;D xsi:type="xsd:long"&gt;37785&lt;/D&gt;&lt;D xsi:type="xsd:long"&gt;37784&lt;/D&gt;&lt;D xsi:type="xsd:long"&gt;37783&lt;/D&gt;&lt;D xsi:type="xsd:long"&gt;37782&lt;/D&gt;&lt;D xsi:type="xsd:long"&gt;37781&lt;/D&gt;&lt;D xsi:type="xsd:long"&gt;37778&lt;/D&gt;&lt;D xsi:type="xsd:long"&gt;37777&lt;/D&gt;&lt;D xsi:type="xsd:long"&gt;37776&lt;/D&gt;&lt;D xsi:type="xsd:long"&gt;37775&lt;/D&gt;&lt;D xsi:type="xsd:long"&gt;37774&lt;/D&gt;&lt;D xsi:type="xsd:long"&gt;37771&lt;/D&gt;&lt;D xsi:type="xsd:long"&gt;37770&lt;/D&gt;&lt;D xsi:type="xsd:long"&gt;37769&lt;/D&gt;&lt;D xsi:type="xsd:long"&gt;37768&lt;/D&gt;&lt;D xsi:type="xsd:long"&gt;37764&lt;/D&gt;&lt;D xsi:type="xsd:long"&gt;37763&lt;/D&gt;&lt;D xsi:type="xsd:long"&gt;37762&lt;/D&gt;&lt;D xsi:type="xsd:long"&gt;37761&lt;/D&gt;&lt;D xsi:type="xsd:long"&gt;37760&lt;/D&gt;&lt;D xsi:type="xsd:long"&gt;37757&lt;/D&gt;&lt;D xsi:type="xsd:long"&gt;37756&lt;/D&gt;&lt;D xsi:type="xsd:long"&gt;37755&lt;/D&gt;&lt;D xsi:type="xsd:long"&gt;37754&lt;/D&gt;&lt;D xsi:type="xsd:long"&gt;37753&lt;/D&gt;&lt;D xsi:type="xsd:long"&gt;37750&lt;/D&gt;&lt;D xsi:type="xsd:long"&gt;37749&lt;/D&gt;&lt;D xsi:type="xsd:long"&gt;37748&lt;/D&gt;&lt;D xsi:type="xsd:long"&gt;37747&lt;/D&gt;&lt;D xsi:type="xsd:long"&gt;37746&lt;/D&gt;&lt;D xsi:type="xsd:long"&gt;37743&lt;/D&gt;&lt;D xsi:type="xsd:long"&gt;37742&lt;/D&gt;&lt;D xsi:type="xsd:long"&gt;37741&lt;/D&gt;&lt;D xsi:type="xsd:long"&gt;37740&lt;/D&gt;&lt;D xsi:type="xsd:long"&gt;37739&lt;/D&gt;&lt;D xsi:type="xsd:long"&gt;37736&lt;/D&gt;&lt;D xsi:type="xsd:long"&gt;37735&lt;/D&gt;&lt;D xsi:type="xsd:long"&gt;37734&lt;/D&gt;&lt;D xsi:type="xsd:long"&gt;37733&lt;/D&gt;&lt;D xsi:type="xsd:long"&gt;37732&lt;/D&gt;&lt;D xsi:type="xsd:long"&gt;37728&lt;/D&gt;&lt;D xsi:type="xsd:long"&gt;37727&lt;/D&gt;&lt;D xsi:type="xsd:long"&gt;37726&lt;/D&gt;&lt;D xsi:type="xsd:long"&gt;37725&lt;/D&gt;&lt;D xsi:type="xsd:long"&gt;37722&lt;/D&gt;&lt;D xsi:type="xsd:long"&gt;37721&lt;/D&gt;&lt;D xsi:type="xsd:long"&gt;37720&lt;/D&gt;&lt;D xsi:type="xsd:long"&gt;37719&lt;/D&gt;&lt;D xsi:type="xsd:long"&gt;37718&lt;/D&gt;&lt;D xsi:type="xsd:long"&gt;37715&lt;/D&gt;&lt;D xsi:type="xsd:long"&gt;37714&lt;/D&gt;&lt;D xsi:type="xsd:long"&gt;37713&lt;/D&gt;&lt;D xsi:type="xsd:long"&gt;37712&lt;/D&gt;&lt;D xsi:type="xsd:long"&gt;37711&lt;/D&gt;&lt;D xsi:type="xsd:long"&gt;37708&lt;/D&gt;&lt;D xsi:type="xsd:long"&gt;37707&lt;/D&gt;&lt;D xsi:type="xsd:long"&gt;37706&lt;/D&gt;&lt;D xsi:type="xsd:long"&gt;37705&lt;/D&gt;&lt;D xsi:type="xsd:long"&gt;37704&lt;/D&gt;&lt;D xsi:type="xsd:long"&gt;37701&lt;/D&gt;&lt;D xsi:type="xsd:long"&gt;37700&lt;/D&gt;&lt;D xsi:type="xsd:long"&gt;37699&lt;/D&gt;&lt;D xsi:type="xsd:long"&gt;37698&lt;/D&gt;&lt;D xsi:type="xsd:long"&gt;37697&lt;/D&gt;&lt;D xsi:type="xsd:long"&gt;37694&lt;/D&gt;&lt;D xsi:type="xsd:long"&gt;37693&lt;/D&gt;&lt;D xsi:type="xsd:long"&gt;37692&lt;/D&gt;&lt;D xsi:type="xsd:long"&gt;37691&lt;/D&gt;&lt;D xsi:type="xsd:long"&gt;37690&lt;/D&gt;&lt;D xsi:type="xsd:long"&gt;37687&lt;/D&gt;&lt;D xsi:type="xsd:long"&gt;37686&lt;/D&gt;&lt;D xsi:type="xsd:long"&gt;37685&lt;/D&gt;&lt;D xsi:type="xsd:long"&gt;37684&lt;/D&gt;&lt;D xsi:type="xsd:long"&gt;37683&lt;/D&gt;&lt;D xsi:type="xsd:long"&gt;37680&lt;/D&gt;&lt;D xsi:type="xsd:long"&gt;37679&lt;/D&gt;&lt;D xsi:type="xsd:long"&gt;37678&lt;/D&gt;&lt;D xsi:type="xsd:long"&gt;37677&lt;/D&gt;&lt;D xsi:type="xsd:long"&gt;37676&lt;/D&gt;&lt;D xsi:type="xsd:long"&gt;37673&lt;/D&gt;&lt;D xsi:type="xsd:long"&gt;37672&lt;/D&gt;&lt;D xsi:type="xsd:long"&gt;37671&lt;/D&gt;&lt;D xsi:type="xsd:long"&gt;37670&lt;/D&gt;&lt;D xsi:type="xsd:long"&gt;37666&lt;/D&gt;&lt;D xsi:type="xsd:long"&gt;37665&lt;/D&gt;&lt;D xsi:type="xsd:long"&gt;37664&lt;/D&gt;&lt;D xsi:type="xsd:long"&gt;37663&lt;/D&gt;&lt;D xsi:type="xsd:long"&gt;37662&lt;/D&gt;&lt;D xsi:type="xsd:long"&gt;37659&lt;/D&gt;&lt;D xsi:type="xsd:long"&gt;37658&lt;/D&gt;&lt;D xsi:type="xsd:long"&gt;37657&lt;/D&gt;&lt;D xsi:type="xsd:long"&gt;37656&lt;/D&gt;&lt;D xsi:type="xsd:long"&gt;37655&lt;/D&gt;&lt;D xsi:type="xsd:long"&gt;37652&lt;/D&gt;&lt;D xsi:type="xsd:long"&gt;37651&lt;/D&gt;&lt;D xsi:type="xsd:long"&gt;37650&lt;/D&gt;&lt;D xsi:type="xsd:long"&gt;37649&lt;/D&gt;&lt;D xsi:type="xsd:long"&gt;37648&lt;/D&gt;&lt;D xsi:type="xsd:long"&gt;37645&lt;/D&gt;&lt;D xsi:type="xsd:long"&gt;37644&lt;/D&gt;&lt;D xsi:type="xsd:long"&gt;37643&lt;/D&gt;&lt;D xsi:type="xsd:long"&gt;37642&lt;/D&gt;&lt;D xsi:type="xsd:long"&gt;37638&lt;/D&gt;&lt;D xsi:type="xsd:long"&gt;37637&lt;/D&gt;&lt;D xsi:type="xsd:long"&gt;37636&lt;/D&gt;&lt;D xsi:type="xsd:long"&gt;37635&lt;/D&gt;&lt;D xsi:type="xsd:long"&gt;37634&lt;/D&gt;&lt;D xsi:type="xsd:long"&gt;37631&lt;/D&gt;&lt;D xsi:type="xsd:long"&gt;37630&lt;/D&gt;&lt;D xsi:type="xsd:long"&gt;37629&lt;/D&gt;&lt;D xsi:type="xsd:long"&gt;37628&lt;/D&gt;&lt;D xsi:type="xsd:long"&gt;37627&lt;/D&gt;&lt;D xsi:type="xsd:long"&gt;37624&lt;/D&gt;&lt;D xsi:type="xsd:long"&gt;37623&lt;/D&gt;&lt;D xsi:type="xsd:long"&gt;37621&lt;/D&gt;&lt;D xsi:type="xsd:long"&gt;37620&lt;/D&gt;&lt;D xsi:type="xsd:long"&gt;37617&lt;/D&gt;&lt;D xsi:type="xsd:long"&gt;37616&lt;/D&gt;&lt;D xsi:type="xsd:long"&gt;37614&lt;/D&gt;&lt;D xsi:type="xsd:long"&gt;37613&lt;/D&gt;&lt;D xsi:type="xsd:long"&gt;37610&lt;/D&gt;&lt;D xsi:type="xsd:long"&gt;37609&lt;/D&gt;&lt;D xsi:type="xsd:long"&gt;37608&lt;/D&gt;&lt;D xsi:type="xsd:long"&gt;37607&lt;/D&gt;&lt;D xsi:type="xsd:long"&gt;37606&lt;/D&gt;&lt;D xsi:type="xsd:long"&gt;37603&lt;/D&gt;&lt;D xsi:type="xsd:long"&gt;37602&lt;/D&gt;&lt;D xsi:type="xsd:long"&gt;37601&lt;/D&gt;&lt;D xsi:type="xsd:long"&gt;37600&lt;/D&gt;&lt;D xsi:type="xsd:long"&gt;37599&lt;/D&gt;&lt;D xsi:type="xsd:long"&gt;37596&lt;/D&gt;&lt;D xsi:type="xsd:long"&gt;37595&lt;/D&gt;&lt;D xsi:type="xsd:long"&gt;37594&lt;/D&gt;&lt;D xsi:type="xsd:long"&gt;37593&lt;/D&gt;&lt;D xsi:type="xsd:long"&gt;37592&lt;/D&gt;&lt;D xsi:type="xsd:long"&gt;37589&lt;/D&gt;&lt;D xsi:type="xsd:long"&gt;37587&lt;/D&gt;&lt;D xsi:type="xsd:long"&gt;37586&lt;/D&gt;&lt;D xsi:type="xsd:long"&gt;37585&lt;/D&gt;&lt;D xsi:type="xsd:long"&gt;37582&lt;/D&gt;&lt;D xsi:type="xsd:long"&gt;37581&lt;/D&gt;&lt;D xsi:type="xsd:long"&gt;37580&lt;/D&gt;&lt;D xsi:type="xsd:long"&gt;37579&lt;/D&gt;&lt;D xsi:type="xsd:long"&gt;37578&lt;/D&gt;&lt;D xsi:type="xsd:long"&gt;37575&lt;/D&gt;&lt;D xsi:type="xsd:long"&gt;37574&lt;/D&gt;&lt;D xsi:type="xsd:long"&gt;37573&lt;/D&gt;&lt;D xsi:type="xsd:long"&gt;37572&lt;/D&gt;&lt;D xsi:type="xsd:long"&gt;37571&lt;/D&gt;&lt;D xsi:type="xsd:long"&gt;37568&lt;/D&gt;&lt;D xsi:type="xsd:long"&gt;37567&lt;/D&gt;&lt;D xsi:type="xsd:long"&gt;37566&lt;/D&gt;&lt;D xsi:type="xsd:long"&gt;37565&lt;/D&gt;&lt;D xsi:type="xsd:long"&gt;37564&lt;/D&gt;&lt;D xsi:type="xsd:long"&gt;37561&lt;/D&gt;&lt;D xsi:type="xsd:long"&gt;37560&lt;/D&gt;&lt;D xsi:type="xsd:long"&gt;37559&lt;/D&gt;&lt;D xsi:type="xsd:long"&gt;37558&lt;/D&gt;&lt;D xsi:type="xsd:long"&gt;37557&lt;/D&gt;&lt;D xsi:type="xsd:long"&gt;37554&lt;/D&gt;&lt;D xsi:type="xsd:long"&gt;37553&lt;/D&gt;&lt;D xsi:type="xsd:long"&gt;37552&lt;/D&gt;&lt;D xsi:type="xsd:long"&gt;37551&lt;/D&gt;&lt;D xsi:type="xsd:long"&gt;37550&lt;/D&gt;&lt;D xsi:type="xsd:long"&gt;37547&lt;/D&gt;&lt;D xsi:type="xsd:long"&gt;37546&lt;/D&gt;&lt;D xsi:type="xsd:long"&gt;37545&lt;/D&gt;&lt;D xsi:type="xsd:long"&gt;37544&lt;/D&gt;&lt;D xsi:type="xsd:long"&gt;37543&lt;/D&gt;&lt;D xsi:type="xsd:long"&gt;37540&lt;/D&gt;&lt;D xsi:type="xsd:long"&gt;37539&lt;/D&gt;&lt;D xsi:type="xsd:long"&gt;37538&lt;/D&gt;&lt;D xsi:type="xsd:long"&gt;37537&lt;/D&gt;&lt;D xsi:type="xsd:long"&gt;37536&lt;/D&gt;&lt;D xsi:type="xsd:long"&gt;37533&lt;/D&gt;&lt;D xsi:type="xsd:long"&gt;37532&lt;/D&gt;&lt;D xsi:type="xsd:long"&gt;37531&lt;/D&gt;&lt;D xsi:type="xsd:long"&gt;37530&lt;/D&gt;&lt;D xsi:type="xsd:long"&gt;37529&lt;/D&gt;&lt;D xsi:type="xsd:long"&gt;37526&lt;/D&gt;&lt;D xsi:type="xsd:long"&gt;37525&lt;/D&gt;&lt;D xsi:type="xsd:long"&gt;37524&lt;/D&gt;&lt;D xsi:type="xsd:long"&gt;37523&lt;/D&gt;&lt;D xsi:type="xsd:long"&gt;37522&lt;/D&gt;&lt;D xsi:type="xsd:long"&gt;37519&lt;/D&gt;&lt;D xsi:type="xsd:long"&gt;37518&lt;/D&gt;&lt;D xsi:type="xsd:long"&gt;37517&lt;/D&gt;&lt;D xsi:type="xsd:long"&gt;37516&lt;/D&gt;&lt;D xsi:type="xsd:long"&gt;37515&lt;/D&gt;&lt;D xsi:type="xsd:long"&gt;37512&lt;/D&gt;&lt;D xsi:type="xsd:long"&gt;37511&lt;/D&gt;&lt;D xsi:type="xsd:long"&gt;37510&lt;/D&gt;&lt;D xsi:type="xsd:long"&gt;37509&lt;/D&gt;&lt;D xsi:type="xsd:long"&gt;37508&lt;/D&gt;&lt;D xsi:type="xsd:long"&gt;37505&lt;/D&gt;&lt;D xsi:type="xsd:long"&gt;37504&lt;/D&gt;&lt;D xsi:type="xsd:long"&gt;37503&lt;/D&gt;&lt;D xsi:type="xsd:long"&gt;37502&lt;/D&gt;&lt;D xsi:type="xsd:long"&gt;37498&lt;/D&gt;&lt;D xsi:type="xsd:long"&gt;37497&lt;/D&gt;&lt;D xsi:type="xsd:long"&gt;37496&lt;/D&gt;&lt;D xsi:type="xsd:long"&gt;37495&lt;/D&gt;&lt;D xsi:type="xsd:long"&gt;37494&lt;/D&gt;&lt;D xsi:type="xsd:long"&gt;37491&lt;/D&gt;&lt;D xsi:type="xsd:long"&gt;37490&lt;/D&gt;&lt;D xsi:type="xsd:long"&gt;37489&lt;/D&gt;&lt;D xsi:type="xsd:long"&gt;37488&lt;/D&gt;&lt;D xsi:type="xsd:long"&gt;37487&lt;/D&gt;&lt;D xsi:type="xsd:long"&gt;37484&lt;/D&gt;&lt;D xsi:type="xsd:long"&gt;37483&lt;/D&gt;&lt;D xsi:type="xsd:long"&gt;37482&lt;/D&gt;&lt;D xsi:type="xsd:long"&gt;37481&lt;/D&gt;&lt;D xsi:type="xsd:long"&gt;37480&lt;/D&gt;&lt;D xsi:type="xsd:long"&gt;37477&lt;/D&gt;&lt;D xsi:type="xsd:long"&gt;37476&lt;/D&gt;&lt;D xsi:type="xsd:long"&gt;37475&lt;/D&gt;&lt;D xsi:type="xsd:long"&gt;37474&lt;/D&gt;&lt;D xsi:type="xsd:long"&gt;37473&lt;/D&gt;&lt;D xsi:type="xsd:long"&gt;37470&lt;/D&gt;&lt;D xsi:type="xsd:long"&gt;37469&lt;/D&gt;&lt;D xsi:type="xsd:long"&gt;37468&lt;/D&gt;&lt;D xsi:type="xsd:long"&gt;37467&lt;/D&gt;&lt;D xsi:type="xsd:long"&gt;37466&lt;/D&gt;&lt;D xsi:type="xsd:long"&gt;37463&lt;/D&gt;&lt;D xsi:type="xsd:long"&gt;37462&lt;/D&gt;&lt;D xsi:type="xsd:long"&gt;37461&lt;/D&gt;&lt;D xsi:type="xsd:long"&gt;37460&lt;/D&gt;&lt;D xsi:type="xsd:long"&gt;37459&lt;/D&gt;&lt;D xsi:type="xsd:long"&gt;37456&lt;/D&gt;&lt;D xsi:type="xsd:long"&gt;37455&lt;/D&gt;&lt;D xsi:type="xsd:long"&gt;37454&lt;/D&gt;&lt;D xsi:type="xsd:long"&gt;37453&lt;/D&gt;&lt;D xsi:type="xsd:long"&gt;37452&lt;/D&gt;&lt;D xsi:type="xsd:long"&gt;37449&lt;/D&gt;&lt;D xsi:type="xsd:long"&gt;37448&lt;/D&gt;&lt;D xsi:type="xsd:long"&gt;37447&lt;/D&gt;&lt;D xsi:type="xsd:long"&gt;37446&lt;/D&gt;&lt;D xsi:type="xsd:long"&gt;37445&lt;/D&gt;&lt;D xsi:type="xsd:long"&gt;37442&lt;/D&gt;&lt;D xsi:type="xsd:long"&gt;37440&lt;/D&gt;&lt;D xsi:type="xsd:long"&gt;37439&lt;/D&gt;&lt;D xsi:type="xsd:long"&gt;37438&lt;/D&gt;&lt;D xsi:type="xsd:long"&gt;37435&lt;/D&gt;&lt;D xsi:type="xsd:long"&gt;37434&lt;/D&gt;&lt;D xsi:type="xsd:long"&gt;37433&lt;/D&gt;&lt;D xsi:type="xsd:long"&gt;37432&lt;/D&gt;&lt;D xsi:type="xsd:long"&gt;37431&lt;/D&gt;&lt;D xsi:type="xsd:long"&gt;37428&lt;/D&gt;&lt;D xsi:type="xsd:long"&gt;37427&lt;/D&gt;&lt;D xsi:type="xsd:long"&gt;37426&lt;/D&gt;&lt;D xsi:type="xsd:long"&gt;37425&lt;/D&gt;&lt;D xsi:type="xsd:long"&gt;37424&lt;/D&gt;&lt;D xsi:type="xsd:long"&gt;37421&lt;/D&gt;&lt;D xsi:type="xsd:long"&gt;37420&lt;/D&gt;&lt;D xsi:type="xsd:long"&gt;37419&lt;/D&gt;&lt;D xsi:type="xsd:long"&gt;37418&lt;/D&gt;&lt;D xsi:type="xsd:long"&gt;37417&lt;/D&gt;&lt;D xsi:type="xsd:long"&gt;37414&lt;/D&gt;&lt;D xsi:type="xsd:long"&gt;37413&lt;/D&gt;&lt;D xsi:type="xsd:long"&gt;37412&lt;/D&gt;&lt;D xsi:type="xsd:long"&gt;37411&lt;/D&gt;&lt;D xsi:type="xsd:long"&gt;37410&lt;/D&gt;&lt;D xsi:type="xsd:long"&gt;37407&lt;/D&gt;&lt;D xsi:type="xsd:long"&gt;37406&lt;/D&gt;&lt;D xsi:type="xsd:long"&gt;37405&lt;/D&gt;&lt;D xsi:type="xsd:long"&gt;37404&lt;/D&gt;&lt;D xsi:type="xsd:long"&gt;37400&lt;/D&gt;&lt;D xsi:type="xsd:long"&gt;37399&lt;/D&gt;&lt;D xsi:type="xsd:long"&gt;37398&lt;/D&gt;&lt;D xsi:type="xsd:long"&gt;37397&lt;/D&gt;&lt;D xsi:type="xsd:long"&gt;37396&lt;/D&gt;&lt;D xsi:type="xsd:long"&gt;37393&lt;/D&gt;&lt;D xsi:type="xsd:long"&gt;37392&lt;/D&gt;&lt;D xsi:type="xsd:long"&gt;37391&lt;/D&gt;&lt;D xsi:type="xsd:long"&gt;37390&lt;/D&gt;&lt;D xsi:type="xsd:long"&gt;37389&lt;/D&gt;&lt;D xsi:type="xsd:long"&gt;37386&lt;/D&gt;&lt;D xsi:type="xsd:long"&gt;37385&lt;/D&gt;&lt;D xsi:type="xsd:long"&gt;37384&lt;/D&gt;&lt;D xsi:type="xsd:long"&gt;37383&lt;/D&gt;&lt;D xsi:type="xsd:long"&gt;37382&lt;/D&gt;&lt;D xsi:type="xsd:long"&gt;37379&lt;/D&gt;&lt;D xsi:type="xsd:long"&gt;37378&lt;/D&gt;&lt;D xsi:type="xsd:long"&gt;37377&lt;/D&gt;&lt;D xsi:type="xsd:long"&gt;37376&lt;/D&gt;&lt;D xsi:type="xsd:long"&gt;37375&lt;/D&gt;&lt;D xsi:type="xsd:long"&gt;37372&lt;/D&gt;&lt;D xsi:type="xsd:long"&gt;37371&lt;/D&gt;&lt;D xsi:type="xsd:long"&gt;37370&lt;/D&gt;&lt;D xsi:type="xsd:long"&gt;37369&lt;/D&gt;&lt;D xsi:type="xsd:long"&gt;37368&lt;/D&gt;&lt;D xsi:type="xsd:long"&gt;37365&lt;/D&gt;&lt;D xsi:type="xsd:long"&gt;37364&lt;/D&gt;&lt;D xsi:type="xsd:long"&gt;37363&lt;/D&gt;&lt;D xsi:type="xsd:long"&gt;37362&lt;/D&gt;&lt;D xsi:type="xsd:long"&gt;37361&lt;/D&gt;&lt;D xsi:type="xsd:long"&gt;37358&lt;/D&gt;&lt;D xsi:type="xsd:long"&gt;37357&lt;/D&gt;&lt;D xsi:type="xsd:long"&gt;37356&lt;/D&gt;&lt;D xsi:type="xsd:long"&gt;37355&lt;/D&gt;&lt;D xsi:type="xsd:long"&gt;37354&lt;/D&gt;&lt;D xsi:type="xsd:long"&gt;37351&lt;/D&gt;&lt;D xsi:type="xsd:long"&gt;37350&lt;/D&gt;&lt;D xsi:type="xsd:long"&gt;37349&lt;/D&gt;&lt;D xsi:type="xsd:long"&gt;37348&lt;/D&gt;&lt;D xsi:type="xsd:long"&gt;37347&lt;/D&gt;&lt;D xsi:type="xsd:long"&gt;37343&lt;/D&gt;&lt;D xsi:type="xsd:long"&gt;37342&lt;/D&gt;&lt;D xsi:type="xsd:long"&gt;37341&lt;/D&gt;&lt;D xsi:type="xsd:long"&gt;37340&lt;/D&gt;&lt;D xsi:type="xsd:long"&gt;37337&lt;/D&gt;&lt;D xsi:type="xsd:long"&gt;37336&lt;/D&gt;&lt;D xsi:type="xsd:long"&gt;37335&lt;/D&gt;&lt;D xsi:type="xsd:long"&gt;37334&lt;/D&gt;&lt;D xsi:type="xsd:long"&gt;37333&lt;/D&gt;&lt;D xsi:type="xsd:long"&gt;37330&lt;/D&gt;&lt;D xsi:type="xsd:long"&gt;37329&lt;/D&gt;&lt;D xsi:type="xsd:long"&gt;37328&lt;/D&gt;&lt;D xsi:type="xsd:long"&gt;37327&lt;/D&gt;&lt;D xsi:type="xsd:long"&gt;37326&lt;/D&gt;&lt;D xsi:type="xsd:long"&gt;37323&lt;/D&gt;&lt;D xsi:type="xsd:long"&gt;37322&lt;/D&gt;&lt;D xsi:type="xsd:long"&gt;37321&lt;/D&gt;&lt;D xsi:type="xsd:long"&gt;37320&lt;/D&gt;&lt;D xsi:type="xsd:long"&gt;37319&lt;/D&gt;&lt;D xsi:type="xsd:long"&gt;37316&lt;/D&gt;&lt;D xsi:type="xsd:long"&gt;37315&lt;/D&gt;&lt;D xsi:type="xsd:long"&gt;37314&lt;/D&gt;&lt;D xsi:type="xsd:long"&gt;37313&lt;/D&gt;&lt;D xsi:type="xsd:long"&gt;37312&lt;/D&gt;&lt;D xsi:type="xsd:long"&gt;37309&lt;/D&gt;&lt;D xsi:type="xsd:long"&gt;37308&lt;/D&gt;&lt;D xsi:type="xsd:long"&gt;37307&lt;/D&gt;&lt;D xsi:type="xsd:long"&gt;37306&lt;/D&gt;&lt;D xsi:type="xsd:long"&gt;37302&lt;/D&gt;&lt;D xsi:type="xsd:long"&gt;37301&lt;/D&gt;&lt;D xsi:type="xsd:long"&gt;37300&lt;/D&gt;&lt;D xsi:type="xsd:long"&gt;37299&lt;/D&gt;&lt;D xsi:type="xsd:long"&gt;37298&lt;/D&gt;&lt;D xsi:type="xsd:long"&gt;37295&lt;/D&gt;&lt;D xsi:type="xsd:long"&gt;37294&lt;/D&gt;&lt;D xsi:type="xsd:long"&gt;37293&lt;/D&gt;&lt;D xsi:type="xsd:long"&gt;37292&lt;/D&gt;&lt;D xsi:type="xsd:long"&gt;37291&lt;/D&gt;&lt;D xsi:type="xsd:long"&gt;37288&lt;/D&gt;&lt;D xsi:type="xsd:long"&gt;37287&lt;/D&gt;&lt;D xsi:type="xsd:long"&gt;37286&lt;/D&gt;&lt;D xsi:type="xsd:long"&gt;37285&lt;/D&gt;&lt;D xsi:type="xsd:long"&gt;37284&lt;/D&gt;&lt;D xsi:type="xsd:long"&gt;37281&lt;/D&gt;&lt;D xsi:type="xsd:long"&gt;37280&lt;/D&gt;&lt;D xsi:type="xsd:long"&gt;37279&lt;/D&gt;&lt;D xsi:type="xsd:long"&gt;37278&lt;/D&gt;&lt;D xsi:type="xsd:long"&gt;37274&lt;/D&gt;&lt;D xsi:type="xsd:long"&gt;37273&lt;/D&gt;&lt;D xsi:type="xsd:long"&gt;37272&lt;/D&gt;&lt;D xsi:type="xsd:long"&gt;37271&lt;/D&gt;&lt;D xsi:type="xsd:long"&gt;37270&lt;/D&gt;&lt;D xsi:type="xsd:long"&gt;37267&lt;/D&gt;&lt;D xsi:type="xsd:long"&gt;37266&lt;/D&gt;&lt;D xsi:type="xsd:long"&gt;37265&lt;/D&gt;&lt;D xsi:type="xsd:long"&gt;37264&lt;/D&gt;&lt;D xsi:type="xsd:long"&gt;37263&lt;/D&gt;&lt;D xsi:type="xsd:long"&gt;37260&lt;/D&gt;&lt;D xsi:type="xsd:long"&gt;37259&lt;/D&gt;&lt;D xsi:type="xsd:long"&gt;37258&lt;/D&gt;&lt;D xsi:type="xsd:long"&gt;37256&lt;/D&gt;&lt;D xsi:type="xsd:long"&gt;37253&lt;/D&gt;&lt;D xsi:type="xsd:long"&gt;37252&lt;/D&gt;&lt;D xsi:type="xsd:long"&gt;37251&lt;/D&gt;&lt;D xsi:type="xsd:long"&gt;37249&lt;/D&gt;&lt;D xsi:type="xsd:long"&gt;37246&lt;/D&gt;&lt;D xsi:type="xsd:long"&gt;37245&lt;/D&gt;&lt;D xsi:type="xsd:long"&gt;37244&lt;/D&gt;&lt;D xsi:type="xsd:long"&gt;37243&lt;/D&gt;&lt;D xsi:type="xsd:long"&gt;37242&lt;/D&gt;&lt;D xsi:type="xsd:long"&gt;37239&lt;/D&gt;&lt;D xsi:type="xsd:long"&gt;37238&lt;/D&gt;&lt;D xsi:type="xsd:long"&gt;37237&lt;/D&gt;&lt;D xsi:type="xsd:long"&gt;37236&lt;/D&gt;&lt;D xsi:type="xsd:long"&gt;37235&lt;/D&gt;&lt;D xsi:type="xsd:long"&gt;37232&lt;/D&gt;&lt;D xsi:type="xsd:long"&gt;37231&lt;/D&gt;&lt;D xsi:type="xsd:long"&gt;37230&lt;/D&gt;&lt;D xsi:type="xsd:long"&gt;37229&lt;/D&gt;&lt;D xsi:type="xsd:long"&gt;37228&lt;/D&gt;&lt;D xsi:type="xsd:long"&gt;37225&lt;/D&gt;&lt;D xsi:type="xsd:long"&gt;37224&lt;/D&gt;&lt;D xsi:type="xsd:long"&gt;37223&lt;/D&gt;&lt;D xsi:type="xsd:long"&gt;37222&lt;/D&gt;&lt;D xsi:type="xsd:long"&gt;37221&lt;/D&gt;&lt;D xsi:type="xsd:long"&gt;37218&lt;/D&gt;&lt;D xsi:type="xsd:long"&gt;37216&lt;/D&gt;&lt;D xsi:type="xsd:long"&gt;37215&lt;/D&gt;&lt;D xsi:type="xsd:long"&gt;37214&lt;/D&gt;&lt;D xsi:type="xsd:long"&gt;37211&lt;/D&gt;&lt;D xsi:type="xsd:long"&gt;37210&lt;/D&gt;&lt;D xsi:type="xsd:long"&gt;37209&lt;/D&gt;&lt;D xsi:type="xsd:long"&gt;37208&lt;/D&gt;&lt;D xsi:type="xsd:long"&gt;37207&lt;/D&gt;&lt;D xsi:type="xsd:long"&gt;37204&lt;/D&gt;&lt;D xsi:type="xsd:long"&gt;37203&lt;/D&gt;&lt;D xsi:type="xsd:long"&gt;37202&lt;/D&gt;&lt;D xsi:type="xsd:long"&gt;37201&lt;/D&gt;&lt;D xsi:type="xsd:long"&gt;37200&lt;/D&gt;&lt;D xsi:type="xsd:long"&gt;37197&lt;/D&gt;&lt;D xsi:type="xsd:long"&gt;37196&lt;/D&gt;&lt;D xsi:type="xsd:long"&gt;37195&lt;/D&gt;&lt;D xsi:type="xsd:long"&gt;37194&lt;/D&gt;&lt;D xsi:type="xsd:long"&gt;37193&lt;/D&gt;&lt;D xsi:type="xsd:long"&gt;37190&lt;/D&gt;&lt;D xsi:type="xsd:long"&gt;37189&lt;/D&gt;&lt;D xsi:type="xsd:long"&gt;37188&lt;/D&gt;&lt;D xsi:type="xsd:long"&gt;37187&lt;/D&gt;&lt;D xsi:type="xsd:long"&gt;37186&lt;/D&gt;&lt;D xsi:type="xsd:long"&gt;37183&lt;/D&gt;&lt;D xsi:type="xsd:long"&gt;37182&lt;/D&gt;&lt;D xsi:type="xsd:long"&gt;37181&lt;/D&gt;&lt;D xsi:type="xsd:long"&gt;37180&lt;/D&gt;&lt;D xsi:type="xsd:long"&gt;37179&lt;/D&gt;&lt;D xsi:type="xsd:long"&gt;37176&lt;/D&gt;&lt;D xsi:type="xsd:long"&gt;37175&lt;/D&gt;&lt;D xsi:type="xsd:long"&gt;37174&lt;/D&gt;&lt;D xsi:type="xsd:long"&gt;37173&lt;/D&gt;&lt;D xsi:type="xsd:long"&gt;37172&lt;/D&gt;&lt;D xsi:type="xsd:long"&gt;37169&lt;/D&gt;&lt;D xsi:type="xsd:long"&gt;37168&lt;/D&gt;&lt;D xsi:type="xsd:long"&gt;37167&lt;/D&gt;&lt;D xsi:type="xsd:long"&gt;37166&lt;/D&gt;&lt;D xsi:type="xsd:long"&gt;37165&lt;/D&gt;&lt;D xsi:type="xsd:long"&gt;37162&lt;/D&gt;&lt;D xsi:type="xsd:long"&gt;37161&lt;/D&gt;&lt;D xsi:type="xsd:long"&gt;37160&lt;/D&gt;&lt;D xsi:type="xsd:long"&gt;37159&lt;/D&gt;&lt;D xsi:type="xsd:long"&gt;37158&lt;/D&gt;&lt;D xsi:type="xsd:long"&gt;37155&lt;/D&gt;&lt;D xsi:type="xsd:long"&gt;37154&lt;/D&gt;&lt;D xsi:type="xsd:long"&gt;37153&lt;/D&gt;&lt;D xsi:type="xsd:long"&gt;37152&lt;/D&gt;&lt;D xsi:type="xsd:long"&gt;37151&lt;/D&gt;&lt;D xsi:type="xsd:long"&gt;37144&lt;/D&gt;&lt;D xsi:type="xsd:long"&gt;37141&lt;/D&gt;&lt;D xsi:type="xsd:long"&gt;37140&lt;/D&gt;&lt;D xsi:type="xsd:long"&gt;37139&lt;/D&gt;&lt;D xsi:type="xsd:long"&gt;37138&lt;/D&gt;&lt;D xsi:type="xsd:long"&gt;37134&lt;/D&gt;&lt;D xsi:type="xsd:long"&gt;37133&lt;/D&gt;&lt;D xsi:type="xsd:long"&gt;37132&lt;/D&gt;&lt;D xsi:type="xsd:long"&gt;37131&lt;/D&gt;&lt;D xsi:type="xsd:long"&gt;37130&lt;/D&gt;&lt;D xsi:type="xsd:long"&gt;37127&lt;/D&gt;&lt;D xsi:type="xsd:long"&gt;37126&lt;/D&gt;&lt;D xsi:type="xsd:long"&gt;37125&lt;/D&gt;&lt;D xsi:type="xsd:long"&gt;37124&lt;/D&gt;&lt;D xsi:type="xsd:long"&gt;37123&lt;/D&gt;&lt;D xsi:type="xsd:long"&gt;37120&lt;/D&gt;&lt;D xsi:type="xsd:long"&gt;37119&lt;/D&gt;&lt;D xsi:type="xsd:long"&gt;37118&lt;/D&gt;&lt;D xsi:type="xsd:long"&gt;37117&lt;/D&gt;&lt;D xsi:type="xsd:long"&gt;37116&lt;/D&gt;&lt;D xsi:type="xsd:long"&gt;37113&lt;/D&gt;&lt;D xsi:type="xsd:long"&gt;37112&lt;/D&gt;&lt;D xsi:type="xsd:long"&gt;37111&lt;/D&gt;&lt;D xsi:type="xsd:long"&gt;37110&lt;/D&gt;&lt;D xsi:type="xsd:long"&gt;37109&lt;/D&gt;&lt;D xsi:type="xsd:long"&gt;37106&lt;/D&gt;&lt;D xsi:type="xsd:long"&gt;37105&lt;/D&gt;&lt;D xsi:type="xsd:long"&gt;37104&lt;/D&gt;&lt;D xsi:type="xsd:long"&gt;37103&lt;/D&gt;&lt;D xsi:type="xsd:long"&gt;37102&lt;/D&gt;&lt;D xsi:type="xsd:long"&gt;37099&lt;/D&gt;&lt;D xsi:type="xsd:long"&gt;37098&lt;/D&gt;&lt;D xsi:type="xsd:long"&gt;37097&lt;/D&gt;&lt;D xsi:type="xsd:long"&gt;37096&lt;/D&gt;&lt;D xsi:type="xsd:long"&gt;37095&lt;/D&gt;&lt;D xsi:type="xsd:long"&gt;37092&lt;/D&gt;&lt;D xsi:type="xsd:long"&gt;37091&lt;/D&gt;&lt;D xsi:type="xsd:long"&gt;37090&lt;/D&gt;&lt;D xsi:type="xsd:long"&gt;37089&lt;/D&gt;&lt;D xsi:type="xsd:long"&gt;37088&lt;/D&gt;&lt;D xsi:type="xsd:long"&gt;37085&lt;/D&gt;&lt;D xsi:type="xsd:long"&gt;37084&lt;/D&gt;&lt;D xsi:type="xsd:long"&gt;37083&lt;/D&gt;&lt;D xsi:type="xsd:long"&gt;37082&lt;/D&gt;&lt;D xsi:type="xsd:long"&gt;37081&lt;/D&gt;&lt;D xsi:type="xsd:long"&gt;37078&lt;/D&gt;&lt;D xsi:type="xsd:long"&gt;37077&lt;/D&gt;&lt;D xsi:type="xsd:long"&gt;37075&lt;/D&gt;&lt;D xsi:type="xsd:long"&gt;37074&lt;/D&gt;&lt;D xsi:type="xsd:long"&gt;37071&lt;/D&gt;&lt;D xsi:type="xsd:long"&gt;37070&lt;/D&gt;&lt;D xsi:type="xsd:long"&gt;37069&lt;/D&gt;&lt;D xsi:type="xsd:long"&gt;37068&lt;/D&gt;&lt;D xsi:type="xsd:long"&gt;37067&lt;/D&gt;&lt;D xsi:type="xsd:long"&gt;37064&lt;/D&gt;&lt;D xsi:type="xsd:long"&gt;37063&lt;/D&gt;&lt;D xsi:type="xsd:long"&gt;37062&lt;/D&gt;&lt;D xsi:type="xsd:long"&gt;37061&lt;/D&gt;&lt;D xsi:type="xsd:long"&gt;37060&lt;/D&gt;&lt;D xsi:type="xsd:long"&gt;37057&lt;/D&gt;&lt;D xsi:type="xsd:long"&gt;37056&lt;/D&gt;&lt;D xsi:type="xsd:long"&gt;37055&lt;/D&gt;&lt;D xsi:type="xsd:long"&gt;37054&lt;/D&gt;&lt;D xsi:type="xsd:long"&gt;37053&lt;/D&gt;&lt;D xsi:type="xsd:long"&gt;37050&lt;/D&gt;&lt;D xsi:type="xsd:long"&gt;37049&lt;/D&gt;&lt;D xsi:type="xsd:long"&gt;37048&lt;/D&gt;&lt;D xsi:type="xsd:long"&gt;37047&lt;/D&gt;&lt;D xsi:type="xsd:long"&gt;37046&lt;/D&gt;&lt;D xsi:type="xsd:long"&gt;37043&lt;/D&gt;&lt;D xsi:type="xsd:long"&gt;37042&lt;/D&gt;&lt;D xsi:type="xsd:long"&gt;37041&lt;/D&gt;&lt;D xsi:type="xsd:long"&gt;37040&lt;/D&gt;&lt;D xsi:type="xsd:long"&gt;37036&lt;/D&gt;&lt;D xsi:type="xsd:long"&gt;37035&lt;/D&gt;&lt;D xsi:type="xsd:long"&gt;37034&lt;/D&gt;&lt;D xsi:type="xsd:long"&gt;37033&lt;/D&gt;&lt;D xsi:type="xsd:long"&gt;37032&lt;/D&gt;&lt;D xsi:type="xsd:long"&gt;37029&lt;/D&gt;&lt;D xsi:type="xsd:long"&gt;37028&lt;/D&gt;&lt;D xsi:type="xsd:long"&gt;37027&lt;/D&gt;&lt;D xsi:type="xsd:long"&gt;37026&lt;/D&gt;&lt;D xsi:type="xsd:long"&gt;37025&lt;/D&gt;&lt;D xsi:type="xsd:long"&gt;37022&lt;/D&gt;&lt;D xsi:type="xsd:long"&gt;37021&lt;/D&gt;&lt;D xsi:type="xsd:long"&gt;37020&lt;/D&gt;&lt;D xsi:type="xsd:long"&gt;37019&lt;/D&gt;&lt;D xsi:type="xsd:long"&gt;37018&lt;/D&gt;&lt;D xsi:type="xsd:long"&gt;37015&lt;/D&gt;&lt;D xsi:type="xsd:long"&gt;37014&lt;/D&gt;&lt;D xsi:type="xsd:long"&gt;37013&lt;/D&gt;&lt;D xsi:type="xsd:long"&gt;37012&lt;/D&gt;&lt;D xsi:type="xsd:long"&gt;37011&lt;/D&gt;&lt;D xsi:type="xsd:long"&gt;37008&lt;/D&gt;&lt;D xsi:type="xsd:long"&gt;37007&lt;/D&gt;&lt;D xsi:type="xsd:long"&gt;37006&lt;/D&gt;&lt;D xsi:type="xsd:long"&gt;37005&lt;/D&gt;&lt;D xsi:type="xsd:long"&gt;37004&lt;/D&gt;&lt;D xsi:type="xsd:long"&gt;37001&lt;/D&gt;&lt;D xsi:type="xsd:long"&gt;37000&lt;/D&gt;&lt;D xsi:type="xsd:long"&gt;36999&lt;/D&gt;&lt;D xsi:type="xsd:long"&gt;36998&lt;/D&gt;&lt;D xsi:type="xsd:long"&gt;36997&lt;/D&gt;&lt;D xsi:type="xsd:long"&gt;36993&lt;/D&gt;&lt;D xsi:type="xsd:long"&gt;36992&lt;/D&gt;&lt;D xsi:type="xsd:long"&gt;36991&lt;/D&gt;&lt;D xsi:type="xsd:long"&gt;36990&lt;/D&gt;&lt;D xsi:type="xsd:long"&gt;36987&lt;/D&gt;&lt;D xsi:type="xsd:long"&gt;36986&lt;/D&gt;&lt;D xsi:type="xsd:long"&gt;36985&lt;/D&gt;&lt;D xsi:type="xsd:long"&gt;36984&lt;/D&gt;&lt;D xsi:type="xsd:long"&gt;36983&lt;/D&gt;&lt;D xsi:type="xsd:long"&gt;36980&lt;/D&gt;&lt;D xsi:type="xsd:long"&gt;36979&lt;/D&gt;&lt;D xsi:type="xsd:long"&gt;36978&lt;/D&gt;&lt;D xsi:type="xsd:long"&gt;36977&lt;/D&gt;&lt;D xsi:type="xsd:long"&gt;36976&lt;/D&gt;&lt;D xsi:type="xsd:long"&gt;36973&lt;/D&gt;&lt;D xsi:type="xsd:long"&gt;36972&lt;/D&gt;&lt;D xsi:type="xsd:long"&gt;36971&lt;/D&gt;&lt;D xsi:type="xsd:long"&gt;36970&lt;/D&gt;&lt;D xsi:type="xsd:long"&gt;36969&lt;/D&gt;&lt;D xsi:type="xsd:long"&gt;36966&lt;/D&gt;&lt;D xsi:type="xsd:long"&gt;36965&lt;/D&gt;&lt;D xsi:type="xsd:long"&gt;36964&lt;/D&gt;&lt;D xsi:type="xsd:long"&gt;36963&lt;/D&gt;&lt;D xsi:type="xsd:long"&gt;36962&lt;/D&gt;&lt;D xsi:type="xsd:long"&gt;36959&lt;/D&gt;&lt;D xsi:type="xsd:long"&gt;36958&lt;/D&gt;&lt;D xsi:type="xsd:long"&gt;36957&lt;/D&gt;&lt;D xsi:type="xsd:long"&gt;36956&lt;/D&gt;&lt;D xsi:type="xsd:long"&gt;36955&lt;/D&gt;&lt;D xsi:type="xsd:long"&gt;36952&lt;/D&gt;&lt;D xsi:type="xsd:long"&gt;36951&lt;/D&gt;&lt;D xsi:type="xsd:long"&gt;36950&lt;/D&gt;&lt;D xsi:type="xsd:long"&gt;36949&lt;/D&gt;&lt;D xsi:type="xsd:long"&gt;36948&lt;/D&gt;&lt;D xsi:type="xsd:long"&gt;36945&lt;/D&gt;&lt;D xsi:type="xsd:long"&gt;36944&lt;/D&gt;&lt;D xsi:type="xsd:long"&gt;36943&lt;/D&gt;&lt;D xsi:type="xsd:long"&gt;36942&lt;/D&gt;&lt;D xsi:type="xsd:long"&gt;36938&lt;/D&gt;&lt;D xsi:type="xsd:long"&gt;36937&lt;/D&gt;&lt;D xsi:type="xsd:long"&gt;36936&lt;/D&gt;&lt;D xsi:type="xsd:long"&gt;36935&lt;/D&gt;&lt;D xsi:type="xsd:long"&gt;36934&lt;/D&gt;&lt;D xsi:type="xsd:long"&gt;36931&lt;/D&gt;&lt;D xsi:type="xsd:long"&gt;36930&lt;/D&gt;&lt;D xsi:type="xsd:long"&gt;36929&lt;/D&gt;&lt;D xsi:type="xsd:long"&gt;36928&lt;/D&gt;&lt;D xsi:type="xsd:long"&gt;36927&lt;/D&gt;&lt;D xsi:type="xsd:long"&gt;36924&lt;/D&gt;&lt;D xsi:type="xsd:long"&gt;36923&lt;/D&gt;&lt;D xsi:type="xsd:long"&gt;36922&lt;/D&gt;&lt;D xsi:type="xsd:long"&gt;36921&lt;/D&gt;&lt;D xsi:type="xsd:long"&gt;36920&lt;/D&gt;&lt;D xsi:type="xsd:long"&gt;36917&lt;/D&gt;&lt;D xsi:type="xsd:long"&gt;36916&lt;/D&gt;&lt;D xsi:type="xsd:long"&gt;36915&lt;/D&gt;&lt;D xsi:type="xsd:long"&gt;36914&lt;/D&gt;&lt;D xsi:type="xsd:long"&gt;36913&lt;/D&gt;&lt;D xsi:type="xsd:long"&gt;36910&lt;/D&gt;&lt;D xsi:type="xsd:long"&gt;36909&lt;/D&gt;&lt;D xsi:type="xsd:long"&gt;36908&lt;/D&gt;&lt;D xsi:type="xsd:long"&gt;36907&lt;/D&gt;&lt;D xsi:type="xsd:long"&gt;36903&lt;/D&gt;&lt;D xsi:type="xsd:long"&gt;36902&lt;/D&gt;&lt;D xsi:type="xsd:long"&gt;36901&lt;/D&gt;&lt;D xsi:type="xsd:long"&gt;36900&lt;/D&gt;&lt;D xsi:type="xsd:long"&gt;36899&lt;/D&gt;&lt;D xsi:type="xsd:long"&gt;36896&lt;/D&gt;&lt;D xsi:type="xsd:long"&gt;36895&lt;/D&gt;&lt;D xsi:type="xsd:long"&gt;36894&lt;/D&gt;&lt;D xsi:type="xsd:long"&gt;36893&lt;/D&gt;&lt;D xsi:type="xsd:long"&gt;36889&lt;/D&gt;&lt;D xsi:type="xsd:long"&gt;36888&lt;/D&gt;&lt;D xsi:type="xsd:long"&gt;36887&lt;/D&gt;&lt;D xsi:type="xsd:long"&gt;36886&lt;/D&gt;&lt;D xsi:type="xsd:long"&gt;36882&lt;/D&gt;&lt;D xsi:type="xsd:long"&gt;36881&lt;/D&gt;&lt;D xsi:type="xsd:long"&gt;36880&lt;/D&gt;&lt;D xsi:type="xsd:long"&gt;36879&lt;/D&gt;&lt;D xsi:type="xsd:long"&gt;36878&lt;/D&gt;&lt;D xsi:type="xsd:long"&gt;36875&lt;/D&gt;&lt;D xsi:type="xsd:long"&gt;36874&lt;/D&gt;&lt;D xsi:type="xsd:long"&gt;36873&lt;/D&gt;&lt;D xsi:type="xsd:long"&gt;36872&lt;/D&gt;&lt;D xsi:type="xsd:long"&gt;36871&lt;/D&gt;&lt;D xsi:type="xsd:long"&gt;36868&lt;/D&gt;&lt;D xsi:type="xsd:long"&gt;36867&lt;/D&gt;&lt;D xsi:type="xsd:long"&gt;36866&lt;/D&gt;&lt;D xsi:type="xsd:long"&gt;36865&lt;/D&gt;&lt;D xsi:type="xsd:long"&gt;36864&lt;/D&gt;&lt;D xsi:type="xsd:long"&gt;36861&lt;/D&gt;&lt;D xsi:type="xsd:long"&gt;36860&lt;/D&gt;&lt;D xsi:type="xsd:long"&gt;36859&lt;/D&gt;&lt;D xsi:type="xsd:long"&gt;36858&lt;/D&gt;&lt;D xsi:type="xsd:long"&gt;36857&lt;/D&gt;&lt;D xsi:type="xsd:long"&gt;36854&lt;/D&gt;&lt;D xsi:type="xsd:long"&gt;36852&lt;/D&gt;&lt;D xsi:type="xsd:long"&gt;36851&lt;/D&gt;&lt;D xsi:type="xsd:long"&gt;36850&lt;/D&gt;&lt;D xsi:type="xsd:long"&gt;36847&lt;/D&gt;&lt;D xsi:type="xsd:long"&gt;36846&lt;/D&gt;&lt;D xsi:type="xsd:long"&gt;36845&lt;/D&gt;&lt;D xsi:type="xsd:long"&gt;36844&lt;/D&gt;&lt;D xsi:type="xsd:long"&gt;36843&lt;/D&gt;&lt;D xsi:type="xsd:long"&gt;36840&lt;/D&gt;&lt;D xsi:type="xsd:long"&gt;36839&lt;/D&gt;&lt;D xsi:type="xsd:long"&gt;36838&lt;/D&gt;&lt;D xsi:type="xsd:long"&gt;36837&lt;/D&gt;&lt;D xsi:type="xsd:long"&gt;36836&lt;/D&gt;&lt;D xsi:type="xsd:long"&gt;36833&lt;/D&gt;&lt;D xsi:type="xsd:long"&gt;36832&lt;/D&gt;&lt;D xsi:type="xsd:long"&gt;36831&lt;/D&gt;&lt;D xsi:type="xsd:long"&gt;36830&lt;/D&gt;&lt;D xsi:type="xsd:long"&gt;36829&lt;/D&gt;&lt;D xsi:type="xsd:long"&gt;36826&lt;/D&gt;&lt;D xsi:type="xsd:long"&gt;36825&lt;/D&gt;&lt;D xsi:type="xsd:long"&gt;36824&lt;/D&gt;&lt;D xsi:type="xsd:long"&gt;36823&lt;/D&gt;&lt;D xsi:type="xsd:long"&gt;36822&lt;/D&gt;&lt;D xsi:type="xsd:long"&gt;36819&lt;/D&gt;&lt;D xsi:type="xsd:long"&gt;36818&lt;/D&gt;&lt;D xsi:type="xsd:long"&gt;36817&lt;/D&gt;&lt;D xsi:type="xsd:long"&gt;36816&lt;/D&gt;&lt;D xsi:type="xsd:long"&gt;36815&lt;/D&gt;&lt;D xsi:type="xsd:long"&gt;36812&lt;/D&gt;&lt;D xsi:type="xsd:long"&gt;36811&lt;/D&gt;&lt;D xsi:type="xsd:long"&gt;36810&lt;/D&gt;&lt;D xsi:type="xsd:long"&gt;36809&lt;/D&gt;&lt;D xsi:type="xsd:long"&gt;36808&lt;/D&gt;&lt;D xsi:type="xsd:long"&gt;36805&lt;/D&gt;&lt;D xsi:type="xsd:long"&gt;36804&lt;/D&gt;&lt;D xsi:type="xsd:long"&gt;36803&lt;/D&gt;&lt;D xsi:type="xsd:long"&gt;36802&lt;/D&gt;&lt;D xsi:type="xsd:long"&gt;36801&lt;/D&gt;&lt;D xsi:type="xsd:long"&gt;36798&lt;/D&gt;&lt;D xsi:type="xsd:long"&gt;36797&lt;/D&gt;&lt;D xsi:type="xsd:long"&gt;36796&lt;/D&gt;&lt;D xsi:type="xsd:long"&gt;36795&lt;/D&gt;&lt;D xsi:type="xsd:long"&gt;36794&lt;/D&gt;&lt;D xsi:type="xsd:long"&gt;36791&lt;/D&gt;&lt;D xsi:type="xsd:long"&gt;36790&lt;/D&gt;&lt;D xsi:type="xsd:long"&gt;36789&lt;/D&gt;&lt;D xsi:type="xsd:long"&gt;36788&lt;/D&gt;&lt;D xsi:type="xsd:long"&gt;36787&lt;/D&gt;&lt;D xsi:type="xsd:long"&gt;36784&lt;/D&gt;&lt;D xsi:type="xsd:long"&gt;36783&lt;/D&gt;&lt;D xsi:type="xsd:long"&gt;36782&lt;/D&gt;&lt;D xsi:type="xsd:long"&gt;36781&lt;/D&gt;&lt;D xsi:type="xsd:long"&gt;36780&lt;/D&gt;&lt;D xsi:type="xsd:long"&gt;36777&lt;/D&gt;&lt;D xsi:type="xsd:long"&gt;36776&lt;/D&gt;&lt;D xsi:type="xsd:long"&gt;36775&lt;/D&gt;&lt;D xsi:type="xsd:long"&gt;36774&lt;/D&gt;&lt;D xsi:type="xsd:long"&gt;36770&lt;/D&gt;&lt;D xsi:type="xsd:long"&gt;36769&lt;/D&gt;&lt;D xsi:type="xsd:long"&gt;36768&lt;/D&gt;&lt;D xsi:type="xsd:long"&gt;36767&lt;/D&gt;&lt;D xsi:type="xsd:long"&gt;36766&lt;/D&gt;&lt;D xsi:type="xsd:long"&gt;36763&lt;/D&gt;&lt;D xsi:type="xsd:long"&gt;36762&lt;/D&gt;&lt;D xsi:type="xsd:long"&gt;36761&lt;/D&gt;&lt;D xsi:type="xsd:long"&gt;36760&lt;/D&gt;&lt;D xsi:type="xsd:long"&gt;36759&lt;/D&gt;&lt;D xsi:type="xsd:long"&gt;36756&lt;/D&gt;&lt;D xsi:type="xsd:long"&gt;36755&lt;/D&gt;&lt;D xsi:type="xsd:long"&gt;36754&lt;/D&gt;&lt;D xsi:type="xsd:long"&gt;36753&lt;/D&gt;&lt;D xsi:type="xsd:long"&gt;36752&lt;/D&gt;&lt;D xsi:type="xsd:long"&gt;36749&lt;/D&gt;&lt;D xsi:type="xsd:long"&gt;36748&lt;/D&gt;&lt;D xsi:type="xsd:long"&gt;36747&lt;/D&gt;&lt;D xsi:type="xsd:long"&gt;36746&lt;/D&gt;&lt;D xsi:type="xsd:long"&gt;36745&lt;/D&gt;&lt;D xsi:type="xsd:long"&gt;36742&lt;/D&gt;&lt;D xsi:type="xsd:long"&gt;36741&lt;/D&gt;&lt;D xsi:type="xsd:long"&gt;36740&lt;/D&gt;&lt;D xsi:type="xsd:long"&gt;36739&lt;/D&gt;&lt;D xsi:type="xsd:long"&gt;36738&lt;/D&gt;&lt;D xsi:type="xsd:long"&gt;36735&lt;/D&gt;&lt;D xsi:type="xsd:long"&gt;36734&lt;/D&gt;&lt;D xsi:type="xsd:long"&gt;36733&lt;/D&gt;&lt;D xsi:type="xsd:long"&gt;36732&lt;/D&gt;&lt;D xsi:type="xsd:long"&gt;36731&lt;/D&gt;&lt;D xsi:type="xsd:long"&gt;36728&lt;/D&gt;&lt;D xsi:type="xsd:long"&gt;36727&lt;/D&gt;&lt;D xsi:type="xsd:long"&gt;36726&lt;/D&gt;&lt;D xsi:type="xsd:long"&gt;36725&lt;/D&gt;&lt;D xsi:type="xsd:long"&gt;36724&lt;/D&gt;&lt;D xsi:type="xsd:long"&gt;36721&lt;/D&gt;&lt;D xsi:type="xsd:long"&gt;36720&lt;/D&gt;&lt;D xsi:type="xsd:long"&gt;36719&lt;/D&gt;&lt;D xsi:type="xsd:long"&gt;36718&lt;/D&gt;&lt;D xsi:type="xsd:long"&gt;36717&lt;/D&gt;&lt;D xsi:type="xsd:long"&gt;36714&lt;/D&gt;&lt;D xsi:type="xsd:long"&gt;36713&lt;/D&gt;&lt;D xsi:type="xsd:long"&gt;36712&lt;/D&gt;&lt;D xsi:type="xsd:long"&gt;36710&lt;/D&gt;&lt;D xsi:type="xsd:long"&gt;36707&lt;/D&gt;&lt;D xsi:type="xsd:long"&gt;36706&lt;/D&gt;&lt;D xsi:type="xsd:long"&gt;36705&lt;/D&gt;&lt;D xsi:type="xsd:long"&gt;36704&lt;/D&gt;&lt;D xsi:type="xsd:long"&gt;36703&lt;/D&gt;&lt;D xsi:type="xsd:long"&gt;36700&lt;/D&gt;&lt;D xsi:type="xsd:long"&gt;36699&lt;/D&gt;&lt;D xsi:type="xsd:long"&gt;36698&lt;/D&gt;&lt;D xsi:type="xsd:long"&gt;36697&lt;/D&gt;&lt;D xsi:type="xsd:long"&gt;36696&lt;/D&gt;&lt;D xsi:type="xsd:long"&gt;36693&lt;/D&gt;&lt;D xsi:type="xsd:long"&gt;36692&lt;/D&gt;&lt;D xsi:type="xsd:long"&gt;36691&lt;/D&gt;&lt;D xsi:type="xsd:long"&gt;36690&lt;/D&gt;&lt;D xsi:type="xsd:long"&gt;36689&lt;/D&gt;&lt;D xsi:type="xsd:long"&gt;36686&lt;/D&gt;&lt;D xsi:type="xsd:long"&gt;36685&lt;/D&gt;&lt;D xsi:type="xsd:long"&gt;36684&lt;/D&gt;&lt;D xsi:type="xsd:long"&gt;36683&lt;/D&gt;&lt;D xsi:type="xsd:long"&gt;36682&lt;/D&gt;&lt;D xsi:type="xsd:long"&gt;36679&lt;/D&gt;&lt;D xsi:type="xsd:long"&gt;36678&lt;/D&gt;&lt;D xsi:type="xsd:long"&gt;36677&lt;/D&gt;&lt;D xsi:type="xsd:long"&gt;36676&lt;/D&gt;&lt;D xsi:type="xsd:long"&gt;36672&lt;/D&gt;&lt;D xsi:type="xsd:long"&gt;36671&lt;/D&gt;&lt;D xsi:type="xsd:long"&gt;36670&lt;/D&gt;&lt;D xsi:type="xsd:long"&gt;36669&lt;/D&gt;&lt;D xsi:type="xsd:long"&gt;36668&lt;/D&gt;&lt;D xsi:type="xsd:long"&gt;36665&lt;/D&gt;&lt;D xsi:type="xsd:long"&gt;36664&lt;/D&gt;&lt;D xsi:type="xsd:long"&gt;36663&lt;/D&gt;&lt;D xsi:type="xsd:long"&gt;36662&lt;/D&gt;&lt;D xsi:type="xsd:long"&gt;36661&lt;/D&gt;&lt;D xsi:type="xsd:long"&gt;36658&lt;/D&gt;&lt;D xsi:type="xsd:long"&gt;36657&lt;/D&gt;&lt;D xsi:type="xsd:long"&gt;36656&lt;/D&gt;&lt;D xsi:type="xsd:long"&gt;36655&lt;/D&gt;&lt;D xsi:type="xsd:long"&gt;36654&lt;/D&gt;&lt;D xsi:type="xsd:long"&gt;36651&lt;/D&gt;&lt;D xsi:type="xsd:long"&gt;36650&lt;/D&gt;&lt;D xsi:type="xsd:long"&gt;36649&lt;/D&gt;&lt;D xsi:type="xsd:long"&gt;36648&lt;/D&gt;&lt;D xsi:type="xsd:long"&gt;36647&lt;/D&gt;&lt;D xsi:type="xsd:long"&gt;36644&lt;/D&gt;&lt;D xsi:type="xsd:long"&gt;36643&lt;/D&gt;&lt;D xsi:type="xsd:long"&gt;36642&lt;/D&gt;&lt;D xsi:type="xsd:long"&gt;36641&lt;/D&gt;&lt;D xsi:type="xsd:long"&gt;36640&lt;/D&gt;&lt;D xsi:type="xsd:long"&gt;36636&lt;/D&gt;&lt;D xsi:type="xsd:long"&gt;36635&lt;/D&gt;&lt;D xsi:type="xsd:long"&gt;36634&lt;/D&gt;&lt;D xsi:type="xsd:long"&gt;36633&lt;/D&gt;&lt;D xsi:type="xsd:long"&gt;36630&lt;/D&gt;&lt;D xsi:type="xsd:long"&gt;36629&lt;/D&gt;&lt;D xsi:type="xsd:long"&gt;36628&lt;/D&gt;&lt;D xsi:type="xsd:long"&gt;36627&lt;/D&gt;&lt;D xsi:type="xsd:long"&gt;36626&lt;/D&gt;&lt;D xsi:type="xsd:long"&gt;36623&lt;/D&gt;&lt;D xsi:type="xsd:long"&gt;36622&lt;/D&gt;&lt;D xsi:type="xsd:long"&gt;36621&lt;/D&gt;&lt;D xsi:type="xsd:long"&gt;36620&lt;/D&gt;&lt;D xsi:type="xsd:long"&gt;36619&lt;/D&gt;&lt;D xsi:type="xsd:long"&gt;36616&lt;/D&gt;&lt;D xsi:type="xsd:long"&gt;36615&lt;/D&gt;&lt;D xsi:type="xsd:long"&gt;36614&lt;/D&gt;&lt;D xsi:type="xsd:long"&gt;36613&lt;/D&gt;&lt;D xsi:type="xsd:long"&gt;36612&lt;/D&gt;&lt;D xsi:type="xsd:long"&gt;36609&lt;/D&gt;&lt;D xsi:type="xsd:long"&gt;36608&lt;/D&gt;&lt;D xsi:type="xsd:long"&gt;36607&lt;/D&gt;&lt;D xsi:type="xsd:long"&gt;36606&lt;/D&gt;&lt;D xsi:type="xsd:long"&gt;36605&lt;/D&gt;&lt;D xsi:type="xsd:long"&gt;36602&lt;/D&gt;&lt;D xsi:type="xsd:long"&gt;36601&lt;/D&gt;&lt;D xsi:type="xsd:long"&gt;36600&lt;/D&gt;&lt;D xsi:type="xsd:long"&gt;36599&lt;/D&gt;&lt;D xsi:type="xsd:long"&gt;36598&lt;/D&gt;&lt;D xsi:type="xsd:long"&gt;36595&lt;/D&gt;&lt;D xsi:type="xsd:long"&gt;36594&lt;/D&gt;&lt;D xsi:type="xsd:long"&gt;36593&lt;/D&gt;&lt;D xsi:type="xsd:long"&gt;36592&lt;/D&gt;&lt;D xsi:type="xsd:long"&gt;36591&lt;/D&gt;&lt;D xsi:type="xsd:long"&gt;36588&lt;/D&gt;&lt;D xsi:type="xsd:long"&gt;36587&lt;/D&gt;&lt;D xsi:type="xsd:long"&gt;36586&lt;/D&gt;&lt;D xsi:type="xsd:long"&gt;36585&lt;/D&gt;&lt;D xsi:type="xsd:long"&gt;36584&lt;/D&gt;&lt;D xsi:type="xsd:long"&gt;36581&lt;/D&gt;&lt;D xsi:type="xsd:long"&gt;36580&lt;/D&gt;&lt;D xsi:type="xsd:long"&gt;36579&lt;/D&gt;&lt;D xsi:type="xsd:long"&gt;36578&lt;/D&gt;&lt;D xsi:type="xsd:long"&gt;36574&lt;/D&gt;&lt;D xsi:type="xsd:long"&gt;36573&lt;/D&gt;&lt;D xsi:type="xsd:long"&gt;36572&lt;/D&gt;&lt;D xsi:type="xsd:long"&gt;36571&lt;/D&gt;&lt;D xsi:type="xsd:long"&gt;36570&lt;/D&gt;&lt;D xsi:type="xsd:long"&gt;36567&lt;/D&gt;&lt;D xsi:type="xsd:long"&gt;36566&lt;/D&gt;&lt;D xsi:type="xsd:long"&gt;36565&lt;/D&gt;&lt;D xsi:type="xsd:long"&gt;36564&lt;/D&gt;&lt;D xsi:type="xsd:long"&gt;36563&lt;/D&gt;&lt;D xsi:type="xsd:long"&gt;36560&lt;/D&gt;&lt;D xsi:type="xsd:long"&gt;36559&lt;/D&gt;&lt;D xsi:type="xsd:long"&gt;36558&lt;/D&gt;&lt;D xsi:type="xsd:long"&gt;36557&lt;/D&gt;&lt;D xsi:type="xsd:long"&gt;36556&lt;/D&gt;&lt;/FQL&gt;&lt;FQL&gt;&lt;Q&gt;892400^FG_PRICE(2/27/2026,1/31/2000,,USD)&lt;/Q&gt;&lt;R&gt;6559&lt;/R&gt;&lt;C&gt;1&lt;/C&gt;&lt;D xsi:type="xsd:double"&gt;1056.764821&lt;/D&gt;&lt;D xsi:type="xsd:double"&gt;1059.296028&lt;/D&gt;&lt;D xsi:type="xsd:double"&gt;1061.413712&lt;/D&gt;&lt;D xsi:type="xsd:double"&gt;1051.90621&lt;/D&gt;&lt;D xsi:type="xsd:double"&gt;1046.494784&lt;/D&gt;&lt;D xsi:type="xsd:double"&gt;1052.972635&lt;/D&gt;&lt;D xsi:type="xsd:double"&gt;1047.206281&lt;/D&gt;&lt;D xsi:type="xsd:double"&gt;1049.691757&lt;/D&gt;&lt;D xsi:type="xsd:double"&gt;1042.443213&lt;/D&gt;&lt;D xsi:type="xsd:double"&gt;1042.751999&lt;/D&gt;&lt;D xsi:type="xsd:double"&gt;1045.218197&lt;/D&gt;&lt;D xsi:type="xsd:double"&gt;1055.573937&lt;/D&gt;&lt;D xsi:type="xsd:double"&gt;1054.724048&lt;/D&gt;&lt;D xsi:type="xsd:double"&gt;1053.972243&lt;/D&gt;&lt;D xsi:type="xsd:double"&gt;1042.821266&lt;/D&gt;&lt;D xsi:type="xsd:double"&gt;1027.243274&lt;/D&gt;&lt;D xsi:type="xsd:double"&gt;1040.046317&lt;/D&gt;&lt;D xsi:type="xsd:double"&gt;1043.980937&lt;/D&gt;&lt;D xsi:type="xsd:double"&gt;1043.767096&lt;/D&gt;&lt;D xsi:type="xsd:double"&gt;1044.257064&lt;/D&gt;&lt;D xsi:type="xsd:double"&gt;1050.188852&lt;/D&gt;&lt;D xsi:type="xsd:double"&gt;1051.668183&lt;/D&gt;&lt;D xsi:type="xsd:double"&gt;1051.077421&lt;/D&gt;&lt;D xsi:type="xsd:double"&gt;1044.17353&lt;/D&gt;&lt;D xsi:type="xsd:double"&gt;1037.548498&lt;/D&gt;&lt;D xsi:type="xsd:double"&gt;1036.032114&lt;/D&gt;&lt;D xsi:type="xsd:double"&gt;1028.647761&lt;/D&gt;&lt;D xsi:type="xsd:double"&gt;1022.273617&lt;/D&gt;&lt;D xsi:type="xsd:double"&gt;1038.32541&lt;/D&gt;&lt;D xsi:type="xsd:double"&gt;1038.377053&lt;/D&gt;&lt;D xsi:type="xsd:double"&gt;1036.573045&lt;/D&gt;&lt;D xsi:type="xsd:double"&gt;1038.093646&lt;/D&gt;&lt;D xsi:type="xsd:double"&gt;1038.288276&lt;/D&gt;&lt;D xsi:type="xsd:double"&gt;1034.867052&lt;/D&gt;&lt;D xsi:type="xsd:double"&gt;1029.447428&lt;/D&gt;&lt;D xsi:type="xsd:double"&gt;1031.475484&lt;/D&gt;&lt;D xsi:type="xsd:double"&gt;1035.151944&lt;/D&gt;&lt;D xsi:type="xsd:double"&gt;1028.023331&lt;/D&gt;&lt;D xsi:type="xsd:double"&gt;1019.638488&lt;/D&gt;&lt;D xsi:type="xsd:double"&gt;1014.623331&lt;/D&gt;&lt;D xsi:type="xsd:double"&gt;1020.164138&lt;/D&gt;&lt;D xsi:type="xsd:double"&gt;1020.688792&lt;/D&gt;&lt;D xsi:type="xsd:double"&gt;1022.805271&lt;/D&gt;&lt;D xsi:type="xsd:double"&gt;1022.579561&lt;/D&gt;&lt;D xsi:type="xsd:double"&gt;1020.101192&lt;/D&gt;&lt;D xsi:type="xsd:double"&gt;1015.494019&lt;/D&gt;&lt;D xsi:type="xsd:double"&gt;1008.392711&lt;/D&gt;&lt;D xsi:type="xsd:double"&gt;1001.177478&lt;/D&gt;&lt;D xsi:type="xsd:double"&gt;995.045051&lt;/D&gt;&lt;D xsi:type="xsd:double"&gt;1002.848634&lt;/D&gt;&lt;D xsi:type="xsd:double"&gt;1007.763273&lt;/D&gt;&lt;D xsi:type="xsd:double"&gt;1008.881167&lt;/D&gt;&lt;D xsi:type="xsd:double"&gt;1015.270583&lt;/D&gt;&lt;D xsi:type="xsd:double"&gt;1011.737116&lt;/D&gt;&lt;D xsi:type="xsd:double"&gt;1006.441231&lt;/D&gt;&lt;D xsi:type="xsd:double"&gt;1008.044729&lt;/D&gt;&lt;D xsi:type="xsd:double"&gt;1010.72709&lt;/D&gt;&lt;D xsi:type="xsd:double"&gt;1010.004384&lt;/D&gt;&lt;D xsi:type="xsd:double"&gt;1006.434244&lt;/D&gt;&lt;D xsi:type="xsd:double"&gt;1003.105144&lt;/D&gt;&lt;D xsi:type="xsd:double"&gt;1001.153426&lt;/D&gt;&lt;D xsi:type="xsd:double"&gt;1005.138919&lt;/D&gt;&lt;D xsi:type="xsd:double"&gt;1000.207749&lt;/D&gt;&lt;D xsi:type="xsd:double"&gt;991.058424&lt;/D&gt;&lt;D xsi:type="xsd:double"&gt;982.310446&lt;/D&gt;&lt;D xsi:type="xsd:double"&gt;970.763167&lt;/D&gt;&lt;D xsi:type="xsd:double"&gt;968.52909&lt;/D&gt;&lt;D xsi:type="xsd:double"&gt;977.214818&lt;/D&gt;&lt;D xsi:type="xsd:double"&gt;976.009887&lt;/D&gt;&lt;D xsi:type="xsd:double"&gt;987.81161&lt;/D&gt;&lt;D xsi:type="xsd:double"&gt;995.431621&lt;/D&gt;&lt;D xsi:type="xsd:double"&gt;1000.163314&lt;/D&gt;&lt;D xsi:type="xsd:double"&gt;1011.783444&lt;/D&gt;&lt;D xsi:type="xsd:double"&gt;1009.192569&lt;/D&gt;&lt;D xsi:type="xsd:double"&gt;1004.974413&lt;/D&gt;&lt;D xsi:type="xsd:double"&gt;991.321134&lt;/D&gt;&lt;D xsi:type="xsd:double"&gt;992.004746&lt;/D&gt;&lt;D xsi:type="xsd:double"&gt;997.886857&lt;/D&gt;&lt;D xsi:type="xsd:double"&gt;996.821157&lt;/D&gt;&lt;D xsi:type="xsd:double"&gt;1007.847153&lt;/D&gt;&lt;D xsi:type="xsd:double"&gt;1006.23243&lt;/D&gt;&lt;D xsi:type="xsd:double"&gt;1005.175097&lt;/D&gt;&lt;D xsi:type="xsd:double"&gt;1014.423123&lt;/D&gt;&lt;D xsi:type="xsd:double"&gt;1013.595176&lt;/D&gt;&lt;D xsi:type="xsd:double"&gt;1012.497982&lt;/D&gt;&lt;D xsi:type="xsd:double"&gt;1001.367214&lt;/D&gt;&lt;D xsi:type="xsd:double"&gt;995.086502&lt;/D&gt;&lt;D xsi:type="xsd:double"&gt;990.769742&lt;/D&gt;&lt;D xsi:type="xsd:double"&gt;994.847114&lt;/D&gt;&lt;D xsi:type="xsd:double"&gt;995.685526&lt;/D&gt;&lt;D xsi:type="xsd:double"&gt;983.903314&lt;/D&gt;&lt;D xsi:type="xsd:double"&gt;984.387099&lt;/D&gt;&lt;D xsi:type="xsd:double"&gt;985.422457&lt;/D&gt;&lt;D xsi:type="xsd:double"&gt;978.315962&lt;/D&gt;&lt;D xsi:type="xsd:double"&gt;981.087606&lt;/D&gt;&lt;D xsi:type="xsd:double"&gt;972.247349&lt;/D&gt;&lt;D xsi:type="xsd:double"&gt;993.470853&lt;/D&gt;&lt;D xsi:type="xsd:double"&gt;996.106649&lt;/D&gt;&lt;D xsi:type="xsd:double"&gt;992.133241&lt;/D&gt;&lt;D xsi:type="xsd:double"&gt;996.062744&lt;/D&gt;&lt;D xsi:type="xsd:double"&gt;993.214621&lt;/D&gt;&lt;D xsi:type="xsd:double"&gt;990.72671&lt;/D&gt;&lt;D xsi:type="xsd:double"&gt;988.57173&lt;/D&gt;&lt;D xsi:type="xsd:double"&gt;984.781269&lt;/D&gt;&lt;D xsi:type="xsd:double"&gt;980.539314&lt;/D&gt;&lt;D xsi:type="xsd:double"&gt;976.951426&lt;/D&gt;&lt;D xsi:type="xsd:double"&gt;973.514954&lt;/D&gt;&lt;D xsi:type="xsd:double"&gt;979.251729&lt;/D&gt;&lt;D xsi:type="xsd:double"&gt;982.159005&lt;/D&gt;&lt;D xsi:type="xsd:double"&gt;985.115615&lt;/D&gt;&lt;D xsi:type="xsd:double"&gt;981.754849&lt;/D&gt;&lt;D xsi:type="xsd:double"&gt;979.179336&lt;/D&gt;&lt;D xsi:type="xsd:double"&gt;976.384359&lt;/D&gt;&lt;D xsi:type="xsd:double"&gt;976.772737&lt;/D&gt;&lt;D xsi:type="xsd:double"&gt;976.60097&lt;/D&gt;&lt;D xsi:type="xsd:double"&gt;972.148811&lt;/D&gt;&lt;D xsi:type="xsd:double"&gt;971.44819&lt;/D&gt;&lt;D xsi:type="xsd:double"&gt;964.804029&lt;/D&gt;&lt;D xsi:type="xsd:double"&gt;961.695698&lt;/D&gt;&lt;D xsi:type="xsd:double"&gt;958.884883&lt;/D&gt;&lt;D xsi:type="xsd:double"&gt;955.710984&lt;/D&gt;&lt;D xsi:type="xsd:double"&gt;954.13672&lt;/D&gt;&lt;D xsi:type="xsd:double"&gt;948.395485&lt;/D&gt;&lt;D xsi:type="xsd:double"&gt;945.10253&lt;/D&gt;&lt;D xsi:type="xsd:double"&gt;951.56782&lt;/D&gt;&lt;D xsi:type="xsd:double"&gt;956.335422&lt;/D&gt;&lt;D xsi:type="xsd:double"&gt;953.041585&lt;/D&gt;&lt;D xsi:type="xsd:double"&gt;952.715359&lt;/D&gt;&lt;D xsi:type="xsd:double"&gt;952.956195&lt;/D&gt;&lt;D xsi:type="xsd:double"&gt;955.289122&lt;/D&gt;&lt;D xsi:type="xsd:double"&gt;942.513896&lt;/D&gt;&lt;D xsi:type="xsd:double"&gt;945.787222&lt;/D&gt;&lt;D xsi:type="xsd:double"&gt;947.901977&lt;/D&gt;&lt;D xsi:type="xsd:double"&gt;951.292309&lt;/D&gt;&lt;D xsi:type="xsd:double"&gt;952.023178&lt;/</t>
        </r>
      </text>
    </comment>
    <comment ref="A30" authorId="0" shapeId="0">
      <text>
        <r>
          <rPr>
            <b/>
            <sz val="9"/>
            <color indexed="81"/>
            <rFont val="Tahoma"/>
            <family val="2"/>
          </rPr>
          <t xml:space="preserve">D&gt;&lt;D xsi:type="xsd:double"&gt;951.90918&lt;/D&gt;&lt;D xsi:type="xsd:double"&gt;953.076737&lt;/D&gt;&lt;D xsi:type="xsd:double"&gt;947.144165&lt;/D&gt;&lt;D xsi:type="xsd:double"&gt;938.163688&lt;/D&gt;&lt;D xsi:type="xsd:double"&gt;940.506121&lt;/D&gt;&lt;D xsi:type="xsd:double"&gt;935.469883&lt;/D&gt;&lt;D xsi:type="xsd:double"&gt;933.231105&lt;/D&gt;&lt;D xsi:type="xsd:double"&gt;927.243731&lt;/D&gt;&lt;D xsi:type="xsd:double"&gt;928.447879&lt;/D&gt;&lt;D xsi:type="xsd:double"&gt;917.393271&lt;/D&gt;&lt;D xsi:type="xsd:double"&gt;929.620497&lt;/D&gt;&lt;D xsi:type="xsd:double"&gt;934.334843&lt;/D&gt;&lt;D xsi:type="xsd:double"&gt;935.796895&lt;/D&gt;&lt;D xsi:type="xsd:double"&gt;939.373993&lt;/D&gt;&lt;D xsi:type="xsd:double"&gt;941.261665&lt;/D&gt;&lt;D xsi:type="xsd:double"&gt;941.349591&lt;/D&gt;&lt;D xsi:type="xsd:double"&gt;939.342458&lt;/D&gt;&lt;D xsi:type="xsd:double"&gt;929.784803&lt;/D&gt;&lt;D xsi:type="xsd:double"&gt;929.625277&lt;/D&gt;&lt;D xsi:type="xsd:double"&gt;927.987124&lt;/D&gt;&lt;D xsi:type="xsd:double"&gt;926.294639&lt;/D&gt;&lt;D xsi:type="xsd:double"&gt;921.109049&lt;/D&gt;&lt;D xsi:type="xsd:double"&gt;920.246913&lt;/D&gt;&lt;D xsi:type="xsd:double"&gt;923.464683&lt;/D&gt;&lt;D xsi:type="xsd:double"&gt;922.555062&lt;/D&gt;&lt;D xsi:type="xsd:double"&gt;926.218734&lt;/D&gt;&lt;D xsi:type="xsd:double"&gt;924.303166&lt;/D&gt;&lt;D xsi:type="xsd:double"&gt;919.306408&lt;/D&gt;&lt;D xsi:type="xsd:double"&gt;919.932112&lt;/D&gt;&lt;D xsi:type="xsd:double"&gt;926.477512&lt;/D&gt;&lt;D xsi:type="xsd:double"&gt;920.480072&lt;/D&gt;&lt;D xsi:type="xsd:double"&gt;917.403998&lt;/D&gt;&lt;D xsi:type="xsd:double"&gt;917.893023&lt;/D&gt;&lt;D xsi:type="xsd:double"&gt;914.7887&lt;/D&gt;&lt;D xsi:type="xsd:double"&gt;909.654177&lt;/D&gt;&lt;D xsi:type="xsd:double"&gt;902.14536&lt;/D&gt;&lt;D xsi:type="xsd:double"&gt;903.026007&lt;/D&gt;&lt;D xsi:type="xsd:double"&gt;890.09787&lt;/D&gt;&lt;D xsi:type="xsd:double"&gt;885.757816&lt;/D&gt;&lt;D xsi:type="xsd:double"&gt;889.667462&lt;/D&gt;&lt;D xsi:type="xsd:double"&gt;890.421525&lt;/D&gt;&lt;D xsi:type="xsd:double"&gt;897.505485&lt;/D&gt;&lt;D xsi:type="xsd:double"&gt;889.693161&lt;/D&gt;&lt;D xsi:type="xsd:double"&gt;899.607249&lt;/D&gt;&lt;D xsi:type="xsd:double"&gt;896.988425&lt;/D&gt;&lt;D xsi:type="xsd:double"&gt;897.512542&lt;/D&gt;&lt;D xsi:type="xsd:double"&gt;893.717497&lt;/D&gt;&lt;D xsi:type="xsd:double"&gt;891.96047&lt;/D&gt;&lt;D xsi:type="xsd:double"&gt;886.826047&lt;/D&gt;&lt;D xsi:type="xsd:double"&gt;888.93396&lt;/D&gt;&lt;D xsi:type="xsd:double"&gt;885.898087&lt;/D&gt;&lt;D xsi:type="xsd:double"&gt;882.877304&lt;/D&gt;&lt;D xsi:type="xsd:double"&gt;879.495992&lt;/D&gt;&lt;D xsi:type="xsd:double"&gt;880.257989&lt;/D&gt;&lt;D xsi:type="xsd:double"&gt;876.367349&lt;/D&gt;&lt;D xsi:type="xsd:double"&gt;881.16069&lt;/D&gt;&lt;D xsi:type="xsd:double"&gt;868.147078&lt;/D&gt;&lt;D xsi:type="xsd:double"&gt;871.008871&lt;/D&gt;&lt;D xsi:type="xsd:double"&gt;873.952121&lt;/D&gt;&lt;D xsi:type="xsd:double"&gt;881.619319&lt;/D&gt;&lt;D xsi:type="xsd:double"&gt;882.393576&lt;/D&gt;&lt;D xsi:type="xsd:double"&gt;880.624592&lt;/D&gt;&lt;D xsi:type="xsd:double"&gt;876.400631&lt;/D&gt;&lt;D xsi:type="xsd:double"&gt;874.064662&lt;/D&gt;&lt;D xsi:type="xsd:double"&gt;871.19644&lt;/D&gt;&lt;D xsi:type="xsd:double"&gt;865.584252&lt;/D&gt;&lt;D xsi:type="xsd:double"&gt;846.998683&lt;/D&gt;&lt;D xsi:type="xsd:double"&gt;845.850588&lt;/D&gt;&lt;D xsi:type="xsd:double"&gt;844.033412&lt;/D&gt;&lt;D xsi:type="xsd:double"&gt;841.911931&lt;/D&gt;&lt;D xsi:type="xsd:double"&gt;846.212478&lt;/D&gt;&lt;D xsi:type="xsd:double"&gt;849.246208&lt;/D&gt;&lt;D xsi:type="xsd:double"&gt;835.148963&lt;/D&gt;&lt;D xsi:type="xsd:double"&gt;833.537528&lt;/D&gt;&lt;D xsi:type="xsd:double"&gt;831.306698&lt;/D&gt;&lt;D xsi:type="xsd:double"&gt;827.212923&lt;/D&gt;&lt;D xsi:type="xsd:double"&gt;824.743294&lt;/D&gt;&lt;D xsi:type="xsd:double"&gt;819.862195&lt;/D&gt;&lt;D xsi:type="xsd:double"&gt;808.20895&lt;/D&gt;&lt;D xsi:type="xsd:double"&gt;796.263636&lt;/D&gt;&lt;D xsi:type="xsd:double"&gt;783.109803&lt;/D&gt;&lt;D xsi:type="xsd:double"&gt;792.895331&lt;/D&gt;&lt;D xsi:type="xsd:double"&gt;791.1335&lt;/D&gt;&lt;D xsi:type="xsd:double"&gt;803.104369&lt;/D&gt;&lt;D xsi:type="xsd:double"&gt;800.55915&lt;/D&gt;&lt;D xsi:type="xsd:double"&gt;790.627679&lt;/D&gt;&lt;D xsi:type="xsd:double"&gt;779.269158&lt;/D&gt;&lt;D xsi:type="xsd:double"&gt;785.278161&lt;/D&gt;&lt;D xsi:type="xsd:double"&gt;742.961127&lt;/D&gt;&lt;D xsi:type="xsd:double"&gt;745.484117&lt;/D&gt;&lt;D xsi:type="xsd:double"&gt;764.285458&lt;/D&gt;&lt;D xsi:type="xsd:double"&gt;807.640904&lt;/D&gt;&lt;D xsi:type="xsd:double"&gt;836.105735&lt;/D&gt;&lt;D xsi:type="xsd:double"&gt;832.149126&lt;/D&gt;&lt;D xsi:type="xsd:double"&gt;827.154603&lt;/D&gt;&lt;D xsi:type="xsd:double"&gt;829.894662&lt;/D&gt;&lt;D xsi:type="xsd:double"&gt;843.217707&lt;/D&gt;&lt;D xsi:type="xsd:double"&gt;845.956915&lt;/D&gt;&lt;D xsi:type="xsd:double"&gt;853.492555&lt;/D&gt;&lt;D xsi:type="xsd:double"&gt;851.728205&lt;/D&gt;&lt;D xsi:type="xsd:double"&gt;841.993192&lt;/D&gt;&lt;D xsi:type="xsd:double"&gt;843.472871&lt;/D&gt;&lt;D xsi:type="xsd:double"&gt;845.373267&lt;/D&gt;&lt;D xsi:type="xsd:double"&gt;839.532082&lt;/D&gt;&lt;D xsi:type="xsd:double"&gt;843.501495&lt;/D&gt;&lt;D xsi:type="xsd:double"&gt;836.143422&lt;/D&gt;&lt;D xsi:type="xsd:double"&gt;821.594526&lt;/D&gt;&lt;D xsi:type="xsd:double"&gt;830.847603&lt;/D&gt;&lt;D xsi:type="xsd:double"&gt;826.639991&lt;/D&gt;&lt;D xsi:type="xsd:double"&gt;832.728856&lt;/D&gt;&lt;D xsi:type="xsd:double"&gt;852.09848&lt;/D&gt;&lt;D xsi:type="xsd:double"&gt;850.379708&lt;/D&gt;&lt;D xsi:type="xsd:double"&gt;858.709932&lt;/D&gt;&lt;D xsi:type="xsd:double"&gt;846.136057&lt;/D&gt;&lt;D xsi:type="xsd:double"&gt;855.806409&lt;/D&gt;&lt;D xsi:type="xsd:double"&gt;862.948986&lt;/D&gt;&lt;D xsi:type="xsd:double"&gt;857.255357&lt;/D&gt;&lt;D xsi:type="xsd:double"&gt;869.113156&lt;/D&gt;&lt;D xsi:type="xsd:double"&gt;866.736449&lt;/D&gt;&lt;D xsi:type="xsd:double"&gt;870.598441&lt;/D&gt;&lt;D xsi:type="xsd:double"&gt;874.538662&lt;/D&gt;&lt;D xsi:type="xsd:double"&gt;883.731399&lt;/D&gt;&lt;D xsi:type="xsd:double"&gt;886.766348&lt;/D&gt;&lt;D xsi:type="xsd:double"&gt;887.718768&lt;/D&gt;&lt;D xsi:type="xsd:double"&gt;884.239454&lt;/D&gt;&lt;D xsi:type="xsd:double"&gt;882.366691&lt;/D&gt;&lt;D xsi:type="xsd:double"&gt;872.776588&lt;/D&gt;&lt;D xsi:type="xsd:double"&gt;873.668241&lt;/D&gt;&lt;D xsi:type="xsd:double"&gt;873.787848&lt;/D&gt;&lt;D xsi:type="xsd:double"&gt;869.439445&lt;/D&gt;&lt;D xsi:type="xsd:double"&gt;875.339219&lt;/D&gt;&lt;D xsi:type="xsd:double"&gt;871.694076&lt;/D&gt;&lt;D xsi:type="xsd:double"&gt;866.916189&lt;/D&gt;&lt;D xsi:type="xsd:double"&gt;859.330488&lt;/D&gt;&lt;D xsi:type="xsd:double"&gt;869.039821&lt;/D&gt;&lt;D xsi:type="xsd:double"&gt;872.681673&lt;/D&gt;&lt;D xsi:type="xsd:double"&gt;867.295112&lt;/D&gt;&lt;D xsi:type="xsd:double"&gt;868.644941&lt;/D&gt;&lt;D xsi:type="xsd:double"&gt;863.834881&lt;/D&gt;&lt;D xsi:type="xsd:double"&gt;872.910485&lt;/D&gt;&lt;D xsi:type="xsd:double"&gt;872.11421&lt;/D&gt;&lt;D xsi:type="xsd:double"&gt;868.514767&lt;/D&gt;&lt;D xsi:type="xsd:double"&gt;864.144308&lt;/D&gt;&lt;D xsi:type="xsd:double"&gt;855.232668&lt;/D&gt;&lt;D xsi:type="xsd:double"&gt;848.629526&lt;/D&gt;&lt;D xsi:type="xsd:double"&gt;847.300359&lt;/D&gt;&lt;D xsi:type="xsd:double"&gt;834.408691&lt;/D&gt;&lt;D xsi:type="xsd:double"&gt;831.786396&lt;/D&gt;&lt;D xsi:type="xsd:double"&gt;833.855737&lt;/D&gt;&lt;D xsi:type="xsd:double"&gt;845.950294&lt;/D&gt;&lt;D xsi:type="xsd:double"&gt;846.944385&lt;/D&gt;&lt;D xsi:type="xsd:double"&gt;852.90472&lt;/D&gt;&lt;D xsi:type="xsd:double"&gt;847.221927&lt;/D&gt;&lt;D xsi:type="xsd:double"&gt;839.930904&lt;/D&gt;&lt;D xsi:type="xsd:double"&gt;841.332072&lt;/D&gt;&lt;D xsi:type="xsd:double"&gt;843.828078&lt;/D&gt;&lt;D xsi:type="xsd:double"&gt;851.619769&lt;/D&gt;&lt;D xsi:type="xsd:double"&gt;856.532709&lt;/D&gt;&lt;D xsi:type="xsd:double"&gt;856.392181&lt;/D&gt;&lt;D xsi:type="xsd:double"&gt;849.45745&lt;/D&gt;&lt;D xsi:type="xsd:double"&gt;844.22801&lt;/D&gt;&lt;D xsi:type="xsd:double"&gt;839.409348&lt;/D&gt;&lt;D xsi:type="xsd:double"&gt;845.437304&lt;/D&gt;&lt;D xsi:type="xsd:double"&gt;864.016054&lt;/D&gt;&lt;D xsi:type="xsd:double"&gt;867.840975&lt;/D&gt;&lt;D xsi:type="xsd:double"&gt;866.140214&lt;/D&gt;&lt;D xsi:type="xsd:double"&gt;868.407961&lt;/D&gt;&lt;D xsi:type="xsd:double"&gt;871.392147&lt;/D&gt;&lt;D xsi:type="xsd:double"&gt;866.405889&lt;/D&gt;&lt;D xsi:type="xsd:double"&gt;870.852842&lt;/D&gt;&lt;D xsi:type="xsd:double"&gt;873.725667&lt;/D&gt;&lt;D xsi:type="xsd:double"&gt;872.16297&lt;/D&gt;&lt;D xsi:type="xsd:double"&gt;872.277188&lt;/D&gt;&lt;D xsi:type="xsd:double"&gt;868.039471&lt;/D&gt;&lt;D xsi:type="xsd:double"&gt;864.643278&lt;/D&gt;&lt;D xsi:type="xsd:double"&gt;862.488884&lt;/D&gt;&lt;D xsi:type="xsd:double"&gt;858.258563&lt;/D&gt;&lt;D xsi:type="xsd:double"&gt;859.080306&lt;/D&gt;&lt;D xsi:type="xsd:double"&gt;857.746281&lt;/D&gt;&lt;D xsi:type="xsd:double"&gt;854.129383&lt;/D&gt;&lt;D xsi:type="xsd:double"&gt;851.444607&lt;/D&gt;&lt;D xsi:type="xsd:double"&gt;847.844241&lt;/D&gt;&lt;D xsi:type="xsd:double"&gt;849.193899&lt;/D&gt;&lt;D xsi:type="xsd:double"&gt;845.602107&lt;/D&gt;&lt;D xsi:type="xsd:double"&gt;842.607912&lt;/D&gt;&lt;D xsi:type="xsd:double"&gt;851.195632&lt;/D&gt;&lt;D xsi:type="xsd:double"&gt;854.847677&lt;/D&gt;&lt;D xsi:type="xsd:double"&gt;856.842184&lt;/D&gt;&lt;D xsi:type="xsd:double"&gt;863.103249&lt;/D&gt;&lt;D xsi:type="xsd:double"&gt;863.021898&lt;/D&gt;&lt;D xsi:type="xsd:double"&gt;862.588482&lt;/D&gt;&lt;D xsi:type="xsd:double"&gt;854.735979&lt;/D&gt;&lt;D xsi:type="xsd:double"&gt;843.184704&lt;/D&gt;&lt;D xsi:type="xsd:double"&gt;834.937879&lt;/D&gt;&lt;D xsi:type="xsd:double"&gt;835.152697&lt;/D&gt;&lt;D xsi:type="xsd:double"&gt;832.302823&lt;/D&gt;&lt;D xsi:type="xsd:double"&gt;844.940491&lt;/D&gt;&lt;D xsi:type="xsd:double"&gt;848.075693&lt;/D&gt;&lt;D xsi:type="xsd:double"&gt;847.932876&lt;/D&gt;&lt;D xsi:type="xsd:double"&gt;845.487761&lt;/D&gt;&lt;D xsi:type="xsd:double"&gt;845.741352&lt;/D&gt;&lt;D xsi:type="xsd:double"&gt;844.342427&lt;/D&gt;&lt;D xsi:type="xsd:double"&gt;851.270731&lt;/D&gt;&lt;D xsi:type="xsd:double"&gt;853.579743&lt;/D&gt;&lt;D xsi:type="xsd:double"&gt;856.709169&lt;/D&gt;&lt;D xsi:type="xsd:double"&gt;852.065592&lt;/D&gt;&lt;D xsi:type="xsd:double"&gt;852.224404&lt;/D&gt;&lt;D xsi:type="xsd:double"&gt;851.252724&lt;/D&gt;&lt;D xsi:type="xsd:double"&gt;857.18048&lt;/D&gt;&lt;D xsi:type="xsd:double"&gt;852.731624&lt;/D&gt;&lt;D xsi:type="xsd:double"&gt;848.190735&lt;/D&gt;&lt;D xsi:type="xsd:double"&gt;848.638672&lt;/D&gt;&lt;D xsi:type="xsd:double"&gt;844.77862&lt;/D&gt;&lt;D xsi:type="xsd:double"&gt;843.718225&lt;/D&gt;&lt;D xsi:type="xsd:double"&gt;847.398968&lt;/D&gt;&lt;D xsi:type="xsd:double"&gt;842.30388&lt;/D&gt;&lt;D xsi:type="xsd:double"&gt;845.508757&lt;/D&gt;&lt;D xsi:type="xsd:double"&gt;845.874293&lt;/D&gt;&lt;D xsi:type="xsd:double"&gt;851.783138&lt;/D&gt;&lt;D xsi:type="xsd:double"&gt;852.835486&lt;/D&gt;&lt;D xsi:type="xsd:double"&gt;850.691623&lt;/D&gt;&lt;D xsi:type="xsd:double"&gt;843.60917&lt;/D&gt;&lt;D xsi:type="xsd:double"&gt;844.560594&lt;/D&gt;&lt;D xsi:type="xsd:double"&gt;840.051096&lt;/D&gt;&lt;D xsi:type="xsd:double"&gt;837.374192&lt;/D&gt;&lt;D xsi:type="xsd:double"&gt;839.485229&lt;/D&gt;&lt;D xsi:type="xsd:double"&gt;826.29073&lt;/D&gt;&lt;D xsi:type="xsd:double"&gt;828.715039&lt;/D&gt;&lt;D xsi:type="xsd:double"&gt;828.416058&lt;/D&gt;&lt;D xsi:type="xsd:double"&gt;826.927533&lt;/D&gt;&lt;D xsi:type="xsd:double"&gt;821.593915&lt;/D&gt;&lt;D xsi:type="xsd:double"&gt;813.611293&lt;/D&gt;&lt;D xsi:type="xsd:double"&gt;808.487331&lt;/D&gt;&lt;D xsi:type="xsd:double"&gt;807.379587&lt;/D&gt;&lt;D xsi:type="xsd:double"&gt;802.569617&lt;/D&gt;&lt;D xsi:type="xsd:double"&gt;812.668584&lt;/D&gt;&lt;D xsi:type="xsd:double"&gt;815.046354&lt;/D&gt;&lt;D xsi:type="xsd:double"&gt;819.469462&lt;/D&gt;&lt;D xsi:type="xsd:double"&gt;833.681831&lt;/D&gt;&lt;D xsi:type="xsd:double"&gt;827.343905&lt;/D&gt;&lt;D xsi:type="xsd:double"&gt;827.318106&lt;/D&gt;&lt;D xsi:type="xsd:double"&gt;830.811627&lt;/D&gt;&lt;D xsi:type="xsd:double"&gt;830.027669&lt;/D&gt;&lt;D xsi:type="xsd:double"&gt;831.34394&lt;/D&gt;&lt;D xsi:type="xsd:double"&gt;822.772657&lt;/D&gt;&lt;D xsi:type="xsd:double"&gt;827.48648&lt;/D&gt;&lt;D xsi:type="xsd:double"&gt;824.70173&lt;/D&gt;&lt;D xsi:type="xsd:double"&gt;825.174407&lt;/D&gt;&lt;D xsi:type="xsd:double"&gt;817.413431&lt;/D&gt;&lt;D xsi:type="xsd:double"&gt;812.780852&lt;/D&gt;&lt;D xsi:type="xsd:double"&gt;803.457874&lt;/D&gt;&lt;D xsi:type="xsd:double"&gt;798.834275&lt;/D&gt;&lt;D xsi:type="xsd:double"&gt;787.297472&lt;/D&gt;&lt;D xsi:type="xsd:double"&gt;787.157832&lt;/D&gt;&lt;D xsi:type="xsd:double"&gt;781.771845&lt;/D&gt;&lt;D xsi:type="xsd:double"&gt;770.703422&lt;/D&gt;&lt;D xsi:type="xsd:double"&gt;770.994181&lt;/D&gt;&lt;D xsi:type="xsd:double"&gt;762.080884&lt;/D&gt;&lt;D xsi:type="xsd:double"&gt;787.208124&lt;/D&gt;&lt;D xsi:type="xsd:double"&gt;803.403118&lt;/D&gt;&lt;D xsi:type="xsd:double"&gt;814.155372&lt;/D&gt;&lt;D xsi:type="xsd:double"&gt;801.432869&lt;/D&gt;&lt;D xsi:type="xsd:double"&gt;804.351152&lt;/D&gt;&lt;D xsi:type="xsd:double"&gt;803.475065&lt;/D&gt;&lt;D xsi:type="xsd:double"&gt;796.78478&lt;/D&gt;&lt;D xsi:type="xsd:double"&gt;802.580165&lt;/D&gt;&lt;D xsi:type="xsd:double"&gt;816.226132&lt;/D&gt;&lt;D xsi:type="xsd:double"&gt;816.892621&lt;/D&gt;&lt;D xsi:type="xsd:double"&gt;810.870337&lt;/D&gt;&lt;D xsi:type="xsd:double"&gt;817.449819&lt;/D&gt;&lt;D xsi:type="xsd:double"&gt;823.585653&lt;/D&gt;&lt;D xsi:type="xsd:double"&gt;831.252006&lt;/D&gt;&lt;D xsi:type="xsd:double"&gt;828.729093&lt;/D&gt;&lt;D xsi:type="xsd:double"&gt;828.554974&lt;/D&gt;&lt;D xsi:type="xsd:double"&gt;824.272791&lt;/D&gt;&lt;D xsi:type="xsd:double"&gt;824.772983&lt;/D&gt;&lt;D xsi:type="xsd:double"&gt;817.779698&lt;/D&gt;&lt;D xsi:type="xsd:double"&gt;818.138031&lt;/D&gt;&lt;D xsi:type="xsd:double"&gt;817.587112&lt;/D&gt;&lt;D xsi:type="xsd:double"&gt;812.814009&lt;/D&gt;&lt;D xsi:type="xsd:double"&gt;806.794809&lt;/D&gt;&lt;D xsi:type="xsd:double"&gt;803.78924&lt;/D&gt;&lt;D xsi:type="xsd:double"&gt;802.009859&lt;/D&gt;&lt;D xsi:type="xsd:double"&gt;803.752727&lt;/D&gt;&lt;D xsi:type="xsd:double"&gt;803.733627&lt;/D&gt;&lt;D xsi:type="xsd:double"&gt;803.773902&lt;/D&gt;&lt;D xsi:type="xsd:double"&gt;801.283132&lt;/D&gt;&lt;D xsi:type="xsd:double"&gt;801.246612&lt;/D&gt;&lt;D xsi:type="xsd:double"&gt;804.347572&lt;/D&gt;&lt;D xsi:type="xsd:double"&gt;803.908147&lt;/D&gt;&lt;D xsi:type="xsd:double"&gt;800.374724&lt;/D&gt;&lt;D xsi:type="xsd:double"&gt;797.257762&lt;/D&gt;&lt;D xsi:type="xsd:double"&gt;799.702705&lt;/D&gt;&lt;D xsi:type="xsd:double"&gt;801.597943&lt;/D&gt;&lt;D xsi:type="xsd:double"&gt;793.928972&lt;/D&gt;&lt;D xsi:type="xsd:double"&gt;794.746859&lt;/D&gt;&lt;D xsi:type="xsd:double"&gt;794.236&lt;/D&gt;&lt;D xsi:type="xsd:double"&gt;796.540013&lt;/D&gt;&lt;D xsi:type="xsd:double"&gt;794.417889&lt;/D&gt;&lt;D xsi:type="xsd:double"&gt;787.513753&lt;/D&gt;&lt;D xsi:type="xsd:double"&gt;788.768452&lt;/D&gt;&lt;D xsi:type="xsd:double"&gt;785.536924&lt;/D&gt;&lt;D xsi:type="xsd:double"&gt;781.120486&lt;/D&gt;&lt;D xsi:type="xsd:double"&gt;784.159227&lt;/D&gt;&lt;D xsi:type="xsd:double"&gt;792.451991&lt;/D&gt;&lt;D xsi:type="xsd:double"&gt;791.566378&lt;/D&gt;&lt;D xsi:type="xsd:double"&gt;788.971398&lt;/D&gt;&lt;D xsi:type="xsd:double"&gt;793.190057&lt;/D&gt;&lt;D xsi:type="xsd:double"&gt;795.978785&lt;/D&gt;&lt;D xsi:type="xsd:double"&gt;796.048973&lt;/D&gt;&lt;D xsi:type="xsd:double"&gt;794.956722&lt;/D&gt;&lt;D xsi:type="xsd:double"&gt;794.083788&lt;/D&gt;&lt;D xsi:type="xsd:double"&gt;793.769985&lt;/D&gt;&lt;D xsi:type="xsd:double"&gt;785.878429&lt;/D&gt;&lt;D xsi:type="xsd:double"&gt;782.829253&lt;/D&gt;&lt;D xsi:type="xsd:double"&gt;782.055039&lt;/D&gt;&lt;D xsi:type="xsd:double"&gt;779.638021&lt;/D&gt;&lt;D xsi:type="xsd:double"&gt;776.695281&lt;/D&gt;&lt;D xsi:type="xsd:double"&gt;778.076456&lt;/D&gt;&lt;D xsi:type="xsd:double"&gt;775.779069&lt;/D&gt;&lt;D xsi:type="xsd:double"&gt;769.285388&lt;/D&gt;&lt;D xsi:type="xsd:double"&gt;760.515746&lt;/D&gt;&lt;D xsi:type="xsd:double"&gt;754.259908&lt;/D&gt;&lt;D xsi:type="xsd:double"&gt;756.608886&lt;/D&gt;&lt;D xsi:type="xsd:double"&gt;765.578292&lt;/D&gt;&lt;D xsi:type="xsd:double"&gt;762.388008&lt;/D&gt;&lt;D xsi:type="xsd:double"&gt;755.592733&lt;/D&gt;&lt;D xsi:type="xsd:double"&gt;759.457007&lt;/D&gt;&lt;D xsi:type="xsd:double"&gt;758.152071&lt;/D&gt;&lt;D xsi:type="xsd:double"&gt;749.291278&lt;/D&gt;&lt;D xsi:type="xsd:double"&gt;743.284913&lt;/D&gt;&lt;D xsi:type="xsd:double"&gt;749.388637&lt;/D&gt;&lt;D xsi:type="xsd:double"&gt;749.136834&lt;/D&gt;&lt;D xsi:type="xsd:double"&gt;752.228897&lt;/D&gt;&lt;D xsi:type="xsd:double"&gt;758.010273&lt;/D&gt;&lt;D xsi:type="xsd:double"&gt;765.671052&lt;/D&gt;&lt;D xsi:type="xsd:double"&gt;774.881783&lt;/D&gt;&lt;D xsi:type="xsd:double"&gt;772.775988&lt;/D&gt;&lt;D xsi:type="xsd:double"&gt;779.22894&lt;/D&gt;&lt;D xsi:type="xsd:double"&gt;778.040298&lt;/D&gt;&lt;D xsi:type="xsd:double"&gt;776.507401&lt;/D&gt;&lt;D xsi:type="xsd:double"&gt;773.44297&lt;/D&gt;&lt;D xsi:type="xsd:double"&gt;777.811479&lt;/D&gt;&lt;D xsi:type="xsd:double"&gt;777.037763&lt;/D&gt;&lt;D xsi:type="xsd:double"&gt;780.825157&lt;/D&gt;&lt;D xsi:type="xsd:double"&gt;783.172134&lt;/D&gt;&lt;D xsi:type="xsd:double"&gt;782.938924&lt;/D&gt;&lt;D xsi:type="xsd:double"&gt;778.532428&lt;/D&gt;&lt;D xsi:type="xsd:double"&gt;779.44546&lt;/D&gt;&lt;D xsi:type="xsd:double"&gt;781.315504&lt;/D&gt;&lt;D xsi:type="xsd:double"&gt;783.338993&lt;/D&gt;&lt;D xsi:type="xsd:double"&gt;778.059606&lt;/D&gt;&lt;D xsi:type="xsd:double"&gt;773.318731&lt;/D&gt;&lt;D xsi:type="xsd:double"&gt;771.483326&lt;/D&gt;&lt;D xsi:type="xsd:double"&gt;767.615958&lt;/D&gt;&lt;D xsi:type="xsd:double"&gt;772.65079&lt;/D&gt;&lt;D xsi:type="xsd:double"&gt;775.300771&lt;/D&gt;&lt;D xsi:type="xsd:double"&gt;775.711661&lt;/D&gt;&lt;D xsi:type="xsd:double"&gt;768.770174&lt;/D&gt;&lt;D xsi:type="xsd:double"&gt;771.30234599999994&lt;/D&gt;&lt;D xsi:type="xsd:double"&gt;773.072174&lt;/D&gt;&lt;D xsi:type="xsd:double"&gt;765.875298&lt;/D&gt;&lt;D xsi:type="xsd:double"&gt;761.340322&lt;/D&gt;&lt;D xsi:type="xsd:double"&gt;767.134653&lt;/D&gt;&lt;D xsi:type="xsd:double"&gt;767.069369&lt;/D&gt;&lt;D xsi:type="xsd:double"&gt;761.282046&lt;/D&gt;&lt;D xsi:type="xsd:double"&gt;758.127032&lt;/D&gt;&lt;D xsi:type="xsd:double"&gt;760.69699&lt;/D&gt;&lt;D xsi:type="xsd:double"&gt;759.174092&lt;/D&gt;&lt;D xsi:type="xsd:double"&gt;761.182707&lt;/D&gt;&lt;D xsi:type="xsd:double"&gt;760.408497&lt;/D&gt;&lt;D xsi:type="xsd:double"&gt;747.91096&lt;/D&gt;&lt;D xsi:type="xsd:double"&gt;748.229459&lt;/D&gt;&lt;D xsi:type="xsd:double"&gt;750.237898&lt;/D&gt;&lt;D xsi:type="xsd:double"&gt;750.550808&lt;/D&gt;&lt;D xsi:type="xsd:double"&gt;744.947854&lt;/D&gt;&lt;D xsi:type="xsd:double"&gt;739.577581&lt;/D&gt;&lt;D xsi:type="xsd:double"&gt;747.888732&lt;/D&gt;&lt;D xsi:type="xsd:double"&gt;747.934079&lt;/D&gt;&lt;D xsi:type="xsd:double"&gt;744.946875&lt;/D&gt;&lt;D xsi:type="xsd:double"&gt;745.10028&lt;/D&gt;&lt;D xsi:type="xsd:double"&gt;740.680353&lt;/D&gt;&lt;D xsi:type="xsd:double"&gt;737.191992&lt;/D&gt;&lt;D xsi:type="xsd:double"&gt;740.453183&lt;/D&gt;&lt;D xsi:type="xsd:double"&gt;735.719632&lt;/D&gt;&lt;D xsi:type="xsd:double"&gt;730.838256&lt;/D&gt;&lt;D xsi:type="xsd:double"&gt;737.650986&lt;/D&gt;&lt;D xsi:type="xsd:double"&gt;738.276437&lt;/D&gt;&lt;D xsi:type="xsd:double"&gt;733.773075&lt;/D&gt;&lt;D xsi:type="xsd:double"&gt;733.209647&lt;/D&gt;&lt;D xsi:type="xsd:double"&gt;730.963622&lt;/D&gt;&lt;D xsi:type="xsd:double"&gt;727.444419&lt;/D&gt;&lt;D xsi:type="xsd:double"&gt;726.639644&lt;/D&gt;&lt;D xsi:type="xsd:double"&gt;724.324162&lt;/D&gt;&lt;D xsi:type="xsd:double"&gt;717.007692&lt;/D&gt;&lt;D xsi:type="xsd:double"&gt;712.113769&lt;/D&gt;&lt;D xsi:type="xsd:double"&gt;718.962007&lt;/D&gt;&lt;D xsi:type="xsd:double"&gt;724.769978&lt;/D&gt;&lt;D xsi:type="xsd:double"&gt;722.399212&lt;/D&gt;&lt;D xsi:type="xsd:double"&gt;722.825161&lt;/D&gt;&lt;D xsi:type="xsd:double"&gt;720.142462&lt;/D&gt;&lt;D xsi:type="xsd:double"&gt;721.78782&lt;/D&gt;&lt;D xsi:type="xsd:double"&gt;715.39577&lt;/D&gt;&lt;D xsi:type="xsd:double"&gt;714.239278&lt;/D&gt;&lt;D xsi:type="xsd:double"&gt;714.475352&lt;/D&gt;&lt;D xsi:type="xsd:double"&gt;721.568279&lt;/D&gt;&lt;D xsi:type="xsd:double"&gt;726.995723&lt;/D&gt;&lt;D xsi:type="xsd:double"&gt;728.753281&lt;/D&gt;&lt;D xsi:type="xsd:double"&gt;727.287278&lt;/D&gt;&lt;D xsi:type="xsd:double"&gt;723.774771&lt;/D&gt;&lt;D xsi:type="xsd:double"&gt;721.174979&lt;/D&gt;&lt;D xsi:type="xsd:double"&gt;720.153263&lt;/D&gt;&lt;D xsi:type="xsd:double"&gt;715.305889&lt;/D&gt;&lt;D xsi:type="xsd:double"&gt;721.869723&lt;/D&gt;&lt;D xsi:type="xsd:double"&gt;717.302392&lt;/D&gt;&lt;D xsi:type="xsd:double"&gt;716.454451&lt;/D&gt;&lt;D xsi:type="xsd:double"&gt;716.3948&lt;/D&gt;&lt;D xsi:type="xsd:double"&gt;709.265366&lt;/D&gt;&lt;D xsi:type="xsd:double"&gt;702.591221&lt;/D&gt;&lt;D xsi:type="xsd:double"&gt;700.077642&lt;/D&gt;&lt;D xsi:type="xsd:double"&gt;698.320435&lt;/D&gt;&lt;D xsi:type="xsd:double"&gt;695.951886&lt;/D&gt;&lt;D xsi:type="xsd:double"&gt;692.932336&lt;/D&gt;&lt;D xsi:type="xsd:double"&gt;693.172903&lt;/D&gt;&lt;D xsi:type="xsd:double"&gt;694.475336&lt;/D&gt;&lt;D xsi:type="xsd:double"&gt;697.514087&lt;/D&gt;&lt;D xsi:type="xsd:double"&gt;694.379875&lt;/D&gt;&lt;D xsi:type="xsd:double"&gt;692.086083&lt;/D&gt;&lt;D xsi:type="xsd:double"&gt;691.985885&lt;/D&gt;&lt;D xsi:type="xsd:double"&gt;690.459766&lt;/D&gt;&lt;D xsi:type="xsd:double"&gt;692.145241&lt;/D&gt;&lt;D xsi:type="xsd:double"&gt;690.242741&lt;/D&gt;&lt;D xsi:type="xsd:double"&gt;689.597066&lt;/D&gt;&lt;D xsi:type="xsd:double"&gt;690.4005&lt;/D&gt;&lt;D xsi:type="xsd:double"&gt;685.697094&lt;/D&gt;&lt;D xsi:type="xsd:double"&gt;683.615819&lt;/D&gt;&lt;D xsi:type="xsd:double"&gt;684.15833&lt;/D&gt;&lt;D xsi:type="xsd:double"&gt;679.925562&lt;/D&gt;&lt;D xsi:type="xsd:double"&gt;667.350545&lt;/D&gt;&lt;D xsi:type="xsd:double"&gt;666.261716&lt;/D&gt;&lt;D xsi:type="xsd:double"&gt;662.368802&lt;/D&gt;&lt;D xsi:type="xsd:double"&gt;664.430738&lt;/D&gt;&lt;D xsi:type="xsd:double"&gt;664.4246&lt;/D&gt;&lt;D xsi:type="xsd:double"&gt;665.453418&lt;/D&gt;&lt;D xsi:type="xsd:double"&gt;662.770864&lt;/D&gt;&lt;D xsi:type="xsd:double"&gt;655.045304&lt;/D&gt;&lt;D xsi:type="xsd:double"&gt;642.646244&lt;/D&gt;&lt;D xsi:type="xsd:double"&gt;636.654588&lt;/D&gt;&lt;D xsi:type="xsd:double"&gt;634.88183&lt;/D&gt;&lt;D xsi:type="xsd:double"&gt;629.463784&lt;/D&gt;&lt;D xsi:type="xsd:double"&gt;630.653358&lt;/D&gt;&lt;D xsi:type="xsd:double"&gt;637.78365&lt;/D&gt;&lt;D xsi:type="xsd:double"&gt;643.904685&lt;/D&gt;&lt;D xsi:type="xsd:double"&gt;640.56453&lt;/D&gt;&lt;D xsi:type="xsd:double"&gt;642.070603&lt;/D&gt;&lt;D xsi:type="xsd:double"&gt;649.282137&lt;/D&gt;&lt;D xsi:type="xsd:double"&gt;655.831326&lt;/D&gt;&lt;D xsi:type="xsd:double"&gt;663.978438&lt;/D&gt;&lt;D xsi:type="xsd:double"&gt;662.937482&lt;/D&gt;&lt;D xsi:type="xsd:double"&gt;658.543474&lt;/D&gt;&lt;D xsi:type="xsd:double"&gt;663.88738&lt;/D&gt;&lt;D xsi:type="xsd:double"&gt;666.631606&lt;/D&gt;&lt;D xsi:type="xsd:double"&gt;663.338665&lt;/D&gt;&lt;D xsi:type="xsd:double"&gt;656.665132&lt;/D&gt;&lt;D xsi:type="xsd:double"&gt;654.035654&lt;/D&gt;&lt;D xsi:type="xsd:double"&gt;647.591659&lt;/D&gt;&lt;D xsi:type="xsd:double"&gt;646.271547&lt;/D&gt;&lt;D xsi:type="xsd:double"&gt;644.796756&lt;/D&gt;&lt;D xsi:type="xsd:double"&gt;653.751967&lt;/D&gt;&lt;D xsi:type="xsd:double"&gt;656.820133&lt;/D&gt;&lt;D xsi:type="xsd:double"&gt;656.721752&lt;/D&gt;&lt;D xsi:type="xsd:double"&gt;653.932805&lt;/D&gt;&lt;D xsi:type="xsd:double"&gt;654.67975&lt;/D&gt;&lt;D xsi:type="xsd:double"&gt;662.619609&lt;/D&gt;&lt;D xsi:type="xsd:double"&gt;663.135659&lt;/D&gt;&lt;D xsi:type="xsd:double"&gt;663.826522&lt;/D&gt;&lt;D xsi:type="xsd:double"&gt;675.242583&lt;/D&gt;&lt;D xsi:type="xsd:double"&gt;678.555399&lt;/D&gt;&lt;D xsi:type="xsd:double"&gt;679.700258&lt;/D&gt;&lt;D xsi:type="xsd:double"&gt;681.344625&lt;/D&gt;&lt;D xsi:type="xsd:double"&gt;685.595263&lt;/D&gt;&lt;D xsi:type="xsd:double"&gt;679.725915&lt;/D&gt;&lt;D xsi:type="xsd:double"&gt;679.611215&lt;/D&gt;&lt;D xsi:type="xsd:double"&gt;682.534681&lt;/D&gt;&lt;D xsi:type="xsd:double"&gt;678.022485&lt;/D&gt;&lt;D xsi:type="xsd:double"&gt;677.654184&lt;/D&gt;&lt;D xsi:type="xsd:double"&gt;680.020692&lt;/D&gt;&lt;D xsi:type="xsd:double"&gt;683.972876&lt;/D&gt;&lt;D xsi:type="xsd:double"&gt;687.260858&lt;/D&gt;&lt;D xsi:type="xsd:double"&gt;686.150393&lt;/D&gt;&lt;D xsi:type="xsd:double"&gt;687.86294&lt;/D&gt;&lt;D xsi:type="xsd:double"&gt;684.51147&lt;/D&gt;&lt;D xsi:type="xsd:double"&gt;675.627009&lt;/D&gt;&lt;D xsi:type="xsd:double"&gt;670.230276&lt;/D&gt;&lt;D xsi:type="xsd:double"&gt;669.868613&lt;/D&gt;&lt;D xsi:type="xsd:double"&gt;675.462724&lt;/D&gt;&lt;D xsi:type="xsd:double"&gt;669.336321&lt;/D&gt;&lt;D xsi:type="xsd:double"&gt;669.109971&lt;/D&gt;&lt;D xsi:type="xsd:double"&gt;666.767599&lt;/D&gt;&lt;D xsi:type="xsd:double"&gt;668.345418&lt;/D&gt;&lt;D xsi:type="xsd:double"&gt;673.383324&lt;/D&gt;&lt;D xsi:type="xsd:double"&gt;678.473449&lt;/D&gt;&lt;D xsi:type="xsd:double"&gt;684.695904&lt;/D&gt;&lt;D xsi:type="xsd:double"&gt;684.678245&lt;/D&gt;&lt;D xsi:type="xsd:double"&gt;687.937679&lt;/D&gt;&lt;D xsi:type="xsd:double"&gt;686.193913&lt;/D&gt;&lt;D xsi:type="xsd:double"&gt;688.277536&lt;/D&gt;&lt;D xsi:type="xsd:double"&gt;692.420371&lt;/D&gt;&lt;D xsi:type="xsd:double"&gt;688.99822&lt;/D&gt;&lt;D xsi:type="xsd:double"&gt;689.576149&lt;/D&gt;&lt;D xsi:type="xsd:double"&gt;692.022663&lt;/D&gt;&lt;D xsi:type="xsd:double"&gt;703.598675&lt;/D&gt;&lt;D xsi:type="xsd:double"&gt;707.109431&lt;/D&gt;&lt;D xsi:type="xsd:double"&gt;705.509876&lt;/D&gt;&lt;D xsi:type="xsd:double"&gt;700.100823&lt;/D&gt;&lt;D xsi:type="xsd:double"&gt;701.982089&lt;/D&gt;&lt;D xsi:type="xsd:double"&gt;702.150913&lt;/D&gt;&lt;D xsi:type="xsd:double"&gt;699.145334&lt;/D&gt;&lt;D xsi:type="xsd:double"&gt;697.430941&lt;/D&gt;&lt;D xsi:type="xsd:double"&gt;697.886502&lt;/D&gt;&lt;D xsi:type="xsd:double"&gt;701.764671&lt;/D&gt;&lt;D xsi:type="xsd:double"&gt;700.824414&lt;/D&gt;&lt;D xsi:type="xsd:double"&gt;697.000308&lt;/D&gt;&lt;D xsi:type="xsd:double"&gt;696.223867&lt;/D&gt;&lt;D xsi:type="xsd:double"&gt;696.01018&lt;/D&gt;&lt;D xsi:type="xsd:double"&gt;688.224806&lt;/D&gt;&lt;D xsi:type="xsd:double"&gt;680.434614&lt;/D&gt;&lt;D xsi:type="xsd:double"&gt;674.94256&lt;/D&gt;&lt;D xsi:type="xsd:double"&gt;673.442349&lt;/D&gt;&lt;D xsi:type="xsd:double"&gt;673.809456&lt;/D&gt;&lt;D xsi:type="xsd:double"&gt;682.45961&lt;/D&gt;&lt;D xsi:type="xsd:double"&gt;685.070988&lt;/D&gt;&lt;D xsi:type="xsd:double"&gt;682.841342&lt;/D&gt;&lt;D xsi:type="xsd:double"&gt;675.900205&lt;/D&gt;&lt;D xsi:type="xsd:double"&gt;674.421201&lt;/D&gt;&lt;D xsi:type="xsd:double"&gt;673.868779&lt;/D&gt;&lt;D xsi:type="xsd:double"&gt;668.043744&lt;/D&gt;&lt;D xsi:type="xsd:double"&gt;669.760474&lt;/D&gt;&lt;D xsi:type="xsd:double"&gt;676.202575&lt;/D&gt;&lt;D xsi:type="xsd:double"&gt;675.885721&lt;/D&gt;&lt;D xsi:type="xsd:double"&gt;678.971101&lt;/D&gt;&lt;D xsi:type="xsd:double"&gt;684.886152&lt;/D&gt;&lt;D xsi:type="xsd:double"&gt;685.262031&lt;/D&gt;&lt;D xsi:type="xsd:double"&gt;679.103571&lt;/D&gt;&lt;D xsi:type="xsd:double"&gt;676.942387&lt;/D&gt;&lt;D xsi:type="xsd:double"&gt;671.333499&lt;/D&gt;&lt;D xsi:type="xsd:double"&gt;667.077504&lt;/D&gt;&lt;D xsi:type="xsd:double"&gt;665.757028&lt;/D&gt;&lt;D xsi:type="xsd:double"&gt;662.653051&lt;/D&gt;&lt;D xsi:type="xsd:double"&gt;664.493294&lt;/D&gt;&lt;D xsi:type="xsd:double"&gt;662.777461&lt;/D&gt;&lt;D xsi:type="xsd:double"&gt;663.245242&lt;/D&gt;&lt;D xsi:type="xsd:double"&gt;653.016483&lt;/D&gt;&lt;D xsi:type="xsd:double"&gt;646.374663&lt;/D&gt;&lt;D xsi:type="xsd:double"&gt;652.383859&lt;/D&gt;&lt;D xsi:type="xsd:double"&gt;653.047416&lt;/D&gt;&lt;D xsi:type="xsd:double"&gt;646.004101&lt;/D&gt;&lt;D xsi:type="xsd:double"&gt;644.836494&lt;/D&gt;&lt;D xsi:type="xsd:double"&gt;651.170436&lt;/D&gt;&lt;D xsi:type="xsd:double"&gt;657.459037&lt;/D&gt;&lt;D xsi:type="xsd:double"&gt;656.420477&lt;/D&gt;&lt;D xsi:type="xsd:double"&gt;655.941726&lt;/D&gt;&lt;D xsi:type="xsd:double"&gt;651.813532&lt;/D&gt;&lt;D xsi:type="xsd:double"&gt;648.232988&lt;/D&gt;&lt;D xsi:type="xsd:double"&gt;651.631768&lt;/D&gt;&lt;D xsi:type="xsd:double"&gt;649.222986&lt;/D&gt;&lt;D xsi:type="xsd:double"&gt;650.704351&lt;/D&gt;&lt;D xsi:type="xsd:double"&gt;652.432185&lt;/D&gt;&lt;D xsi:type="xsd:double"&gt;651.109056&lt;/D&gt;&lt;D xsi:type="xsd:double"&gt;654.118035&lt;/D&gt;&lt;D xsi:type="xsd:double"&gt;652.45057&lt;/D&gt;&lt;D xsi:type="xsd:double"&gt;643.254755&lt;/D&gt;&lt;D xsi:type="xsd:double"&gt;646.291113&lt;/D&gt;&lt;D xsi:type="xsd:double"&gt;647.994055&lt;/D&gt;&lt;D xsi:type="xsd:double"&gt;654.493645&lt;/D&gt;&lt;D xsi:type="xsd:double"&gt;654.996704&lt;/D&gt;&lt;D xsi:type="xsd:double"&gt;650.489453&lt;/D&gt;&lt;D xsi:type="xsd:double"&gt;642.739647&lt;/D&gt;&lt;D xsi:type="xsd:double"&gt;644.607411&lt;/D&gt;&lt;D xsi:type="xsd:double"&gt;653.148455&lt;/D&gt;&lt;D xsi:type="xsd:double"&gt;652.608497&lt;/D&gt;&lt;D xsi:type="xsd:double"&gt;653.143624&lt;/D&gt;&lt;D xsi:type="xsd:double"&gt;655.425155&lt;/D&gt;&lt;D xsi:type="xsd:double"&gt;656.667563&lt;/D&gt;&lt;D xsi:type="xsd:double"&gt;655.113701&lt;/D&gt;&lt;D xsi:type="xsd:double"&gt;654.571803&lt;/D&gt;&lt;D xsi:type="xsd:double"&gt;655.035827&lt;/D&gt;&lt;D xsi:type="xsd:double"&gt;647.831369&lt;/D&gt;&lt;D xsi:type="xsd:double"&gt;648.350924&lt;/D&gt;&lt;D xsi:type="xsd:double"&gt;645.566956&lt;/D&gt;&lt;D xsi:type="xsd:double"&gt;646.068076&lt;/D&gt;&lt;D xsi:type="xsd:double"&gt;645.063274&lt;/D&gt;&lt;D xsi:type="xsd:double"&gt;647.673591&lt;/D&gt;&lt;D xsi:type="xsd:double"&gt;649.1984&lt;/D&gt;&lt;D xsi:type="xsd:double"&gt;646.762076&lt;/D&gt;&lt;D xsi:type="xsd:double"&gt;639.891118&lt;/D&gt;&lt;D xsi:type="xsd:double"&gt;635.303109&lt;/D&gt;&lt;D xsi:type="xsd:double"&gt;627.476701&lt;/D&gt;&lt;D xsi:type="xsd:double"&gt;626.515443&lt;/D&gt;&lt;D xsi:type="xsd:double"&gt;625.062137&lt;/D&gt;&lt;D xsi:type="xsd:double"&gt;626.350638&lt;/D&gt;&lt;D xsi:type="xsd:double"&gt;622.974633&lt;/D&gt;&lt;D xsi:type="xsd:double"&gt;627.633933&lt;/D&gt;&lt;D xsi:type="xsd:double"&gt;620.034006&lt;/D&gt;&lt;D xsi:type="xsd:double"&gt;616.087515&lt;/D&gt;&lt;D xsi:type="xsd:double"&gt;619.855238&lt;/D&gt;&lt;D xsi:type="xsd:double"&gt;612.093937&lt;/D&gt;&lt;D xsi:type="xsd:double"&gt;619.375938&lt;/D&gt;&lt;D xsi:type="xsd:double"&gt;614.20755&lt;/D&gt;&lt;D xsi:type="xsd:double"&gt;616.603476&lt;/D&gt;&lt;D xsi:type="xsd:double"&gt;624.506367&lt;/D&gt;&lt;D xsi:type="xsd:double"&gt;632.227186&lt;/D&gt;&lt;D xsi:type="xsd:double"&gt;632.875657&lt;/D&gt;&lt;D xsi:type="xsd:double"&gt;641.478863&lt;/D&gt;&lt;D xsi:type="xsd:double"&gt;639.694402&lt;/D&gt;&lt;D xsi:type="xsd:double"&gt;631.224296&lt;/D&gt;&lt;D xsi:type="xsd:double"&gt;628.858427&lt;/D&gt;&lt;D xsi:type="xsd:double"&gt;629.022887&lt;/D&gt;&lt;D xsi:type="xsd:double"&gt;630.710908&lt;/D&gt;&lt;D xsi:type="xsd:double"&gt;627.999838&lt;/D&gt;&lt;D xsi:type="xsd:double"&gt;635.427903&lt;/D&gt;&lt;D xsi:type="xsd:double"&gt;633.675232&lt;/D&gt;&lt;D xsi:type="xsd:double"&gt;636.570385&lt;/D&gt;&lt;D xsi:type="xsd:double"&gt;645.025973&lt;/D&gt;&lt;D xsi:type="xsd:double"&gt;648.079355&lt;/D&gt;&lt;D xsi:type="xsd:double"&gt;652.758455&lt;/D&gt;&lt;D xsi:type="xsd:double"&gt;652.839622&lt;/D&gt;&lt;D xsi:type="xsd:double"&gt;652.255748&lt;/D&gt;&lt;D xsi:type="xsd:double"&gt;646.872629&lt;/D&gt;&lt;D xsi:type="xsd:double"&gt;649.010827&lt;/D&gt;&lt;D xsi:type="xsd:double"&gt;651.089748&lt;/D&gt;&lt;D xsi:type="xsd:double"&gt;654.555418&lt;/D&gt;&lt;D xsi:type="xsd:double"&gt;648.928235&lt;/D&gt;&lt;D xsi:type="xsd:double"&gt;656.25732&lt;/D&gt;&lt;D xsi:type="xsd:double"&gt;662.336928&lt;/D&gt;&lt;D xsi:type="xsd:double"&gt;654.318168&lt;/D&gt;&lt;D xsi:type="xsd:double"&gt;648.365288&lt;/D&gt;&lt;D xsi:type="xsd:double"&gt;643.953852&lt;/D&gt;&lt;D xsi:type="xsd:double"&gt;649.941352&lt;/D&gt;&lt;D xsi:type="xsd:double"&gt;648.334514&lt;/D&gt;&lt;D xsi:type="xsd:double"&gt;643.225209&lt;/D&gt;&lt;D xsi:type="xsd:double"&gt;642.919413&lt;/D&gt;&lt;D xsi:type="xsd:double"&gt;642.675738&lt;/D&gt;&lt;D xsi:type="xsd:double"&gt;636.398838&lt;/D&gt;&lt;D xsi:type="xsd:double"&gt;627.531326&lt;/D&gt;&lt;D xsi:type="xsd:double"&gt;633.510502&lt;/D&gt;&lt;D xsi:type="xsd:double"&gt;638.051195&lt;/D&gt;&lt;D xsi:type="xsd:double"&gt;638.075851&lt;/D&gt;&lt;D xsi:type="xsd:double"&gt;634.028481&lt;/D&gt;&lt;D xsi:type="xsd:double"&gt;629.932014&lt;/D&gt;&lt;D xsi:type="xsd:double"&gt;623.62956&lt;/D&gt;&lt;D xsi:type="xsd:double"&gt;621.934451&lt;/D&gt;&lt;D xsi:type="xsd:double"&gt;617.399399&lt;/D&gt;&lt;D xsi:type="xsd:double"&gt;605.69626&lt;/D&gt;&lt;D xsi:type="xsd:double"&gt;611.124658&lt;/D&gt;&lt;D xsi:type="xsd:double"&gt;605.456227&lt;/D&gt;&lt;D xsi:type="xsd:double"&gt;605.382332&lt;/D&gt;&lt;D xsi:type="xsd:double"&gt;607.377274&lt;/D&gt;&lt;D xsi:type="xsd:double"&gt;599.969626&lt;/D&gt;&lt;D xsi:type="xsd:double"&gt;605.236876&lt;/D&gt;&lt;D xsi:type="xsd:double"&gt;605.784989&lt;/D&gt;&lt;D xsi:type="xsd:double"&gt;604.392998&lt;/D&gt;&lt;D xsi:type="xsd:double"&gt;610.143917&lt;/D&gt;&lt;D xsi:type="xsd:double"&gt;602.977228&lt;/D&gt;&lt;D xsi:type="xsd:double"&gt;602.004004&lt;/D&gt;&lt;D xsi:type="xsd:double"&gt;606.134407&lt;/D&gt;&lt;D xsi:type="xsd:double"&gt;612.723351&lt;/D&gt;&lt;D xsi:type="xsd:double"&gt;627.804955&lt;/D&gt;&lt;D xsi:type="xsd:double"&gt;629.304813&lt;/D&gt;&lt;D xsi:type="xsd:double"&gt;622.592757&lt;/D&gt;&lt;D xsi:type="xsd:double"&gt;619.363502&lt;/D&gt;&lt;D xsi:type="xsd:double"&gt;620.249254&lt;/D&gt;&lt;D xsi:type="xsd:double"&gt;616.21784&lt;/D&gt;&lt;D xsi:type="xsd:double"&gt;618.819991&lt;/D&gt;&lt;D xsi:type="xsd:double"&gt;626.692437&lt;/D&gt;&lt;D xsi:type="xsd:double"&gt;633.536585&lt;/D&gt;&lt;D xsi:type="xsd:double"&gt;635.514603&lt;/D&gt;&lt;D xsi:type="xsd:double"&gt;630.91839&lt;/D&gt;&lt;D xsi:type="xsd:double"&gt;617.64051&lt;/D&gt;&lt;D xsi:type="xsd:double"&gt;617.148944&lt;/D&gt;&lt;D xsi:type="xsd:double"&gt;625.152326&lt;/D&gt;&lt;D xsi:type="xsd:double"&gt;623.240985&lt;/D&gt;&lt;D xsi:type="xsd:double"&gt;618.364108&lt;/D&gt;&lt;D xsi:type="xsd:double"&gt;611.382633&lt;/D&gt;&lt;D xsi:type="xsd:double"&gt;616.040353&lt;/D&gt;&lt;D xsi:type="xsd:double"&gt;612.571179&lt;/D&gt;&lt;D xsi:type="xsd:double"&gt;616.564385&lt;/D&gt;&lt;D xsi:type="xsd:double"&gt;621.278182&lt;/D&gt;&lt;D xsi:type="xsd:double"&gt;614.788471&lt;/D&gt;&lt;D xsi:type="xsd:double"&gt;618.664516&lt;/D&gt;&lt;D xsi:type="xsd:double"&gt;607.656308&lt;/D&gt;&lt;D xsi:type="xsd:double"&gt;582.207048&lt;/D&gt;&lt;D xsi:type="xsd:double"&gt;591.509469&lt;/D&gt;&lt;D xsi:type="xsd:double"&gt;586.932137&lt;/D&gt;&lt;D xsi:type="xsd:double"&gt;580.59949&lt;/D&gt;&lt;D xsi:type="xsd:double"&gt;570.773345&lt;/D&gt;&lt;D xsi:type="xsd:double"&gt;578.220241&lt;/D&gt;&lt;D xsi:type="xsd:double"&gt;587.470563&lt;/D&gt;&lt;D xsi:type="xsd:double"&gt;586.37446&lt;/D&gt;&lt;D xsi:type="xsd:double"&gt;588.947498&lt;/D&gt;&lt;D xsi:type="xsd:double"&gt;582.182843&lt;/D&gt;&lt;D xsi:type="xsd:double"&gt;584.142441&lt;/D&gt;&lt;D xsi:type="xsd:double"&gt;584.012963&lt;/D&gt;&lt;D xsi:type="xsd:double"&gt;574.696319&lt;/D&gt;&lt;D xsi:type="xsd:double"&gt;569.932352&lt;/D&gt;&lt;D xsi:type="xsd:double"&gt;563.057437&lt;/D&gt;&lt;D xsi:type="xsd:double"&gt;565.214812&lt;/D&gt;&lt;D xsi:type="xsd:double"&gt;569.977922&lt;/D&gt;&lt;D xsi:type="xsd:double"&gt;563.661965&lt;/D&gt;&lt;D xsi:type="xsd:double"&gt;552.080598&lt;/D&gt;&lt;D xsi:type="xsd:double"&gt;558.705567&lt;/D&gt;&lt;D xsi:type="xsd:double"&gt;550.371188&lt;/D&gt;&lt;D xsi:type="xsd:double"&gt;552.100161&lt;/D&gt;&lt;D xsi:type="xsd:double"&gt;557.514357&lt;/D&gt;&lt;D xsi:type="xsd:double"&gt;562.995503&lt;/D&gt;&lt;D xsi:type="xsd:double"&gt;576.445911&lt;/D&gt;&lt;D xsi:type="xsd:double"&gt;580.848504&lt;/D&gt;&lt;D xsi:type="xsd:double"&gt;582.13934&lt;/D&gt;&lt;D xsi:type="xsd:double"&gt;563.994346&lt;/D&gt;&lt;D xsi:type="xsd:double"&gt;553.371279&lt;/D&gt;&lt;D xsi:type="xsd:double"&gt;557.882277&lt;/D&gt;&lt;D xsi:type="xsd:double"&gt;565.806718&lt;/D&gt;&lt;D xsi:type="xsd:double"&gt;559.720557&lt;/D&gt;&lt;D xsi:type="xsd:double"&gt;560.430762&lt;/D&gt;&lt;D xsi:type="xsd:double"&gt;567.860273&lt;/D&gt;&lt;D xsi:type="xsd:double"&gt;579.554345&lt;/D&gt;&lt;D xsi:type="xsd:double"&gt;585.850241&lt;/D&gt;&lt;D xsi:type="xsd:double"&gt;594.579831&lt;/D&gt;&lt;D xsi:type="xsd:double"&gt;599.526894&lt;/D&gt;&lt;D xsi:type="xsd:double"&gt;597.592599&lt;/D&gt;&lt;D xsi:type="xsd:double"&gt;603.303355&lt;/D&gt;&lt;D xsi:type="xsd:double"&gt;608.926418&lt;/D&gt;&lt;D xsi:type="xsd:double"&gt;610.490675&lt;/D&gt;&lt;D xsi:type="xsd:double"&gt;631.002048&lt;/D&gt;&lt;D xsi:type="xsd:double"&gt;622.920007&lt;/D&gt;&lt;D xsi:type="xsd:double"&gt;612.339888&lt;/D&gt;&lt;D xsi:type="xsd:double"&gt;607.728428&lt;/D&gt;&lt;D xsi:type="xsd:double"&gt;602.319603&lt;/D&gt;&lt;D xsi:type="xsd:double"&gt;606.981086&lt;/D&gt;&lt;D xsi:type="xsd:double"&gt;608.313954&lt;/D&gt;&lt;D xsi:type="xsd:double"&gt;613.106716&lt;/D&gt;&lt;D xsi:type="xsd:double"&gt;616.747948&lt;/D&gt;&lt;D xsi:type="xsd:double"&gt;621.515113&lt;/D&gt;&lt;D xsi:type="xsd:double"&gt;627.897585&lt;/D&gt;&lt;D xsi:type="xsd:double"&gt;642.968105&lt;/D&gt;&lt;D xsi:type="xsd:double"&gt;634.969455&lt;/D&gt;&lt;D xsi:type="xsd:double"&gt;634.107963&lt;/D&gt;&lt;D xsi:type="xsd:double"&gt;635.461191&lt;/D&gt;&lt;D xsi:type="xsd:double"&gt;646.808297&lt;/D&gt;&lt;D xsi:type="xsd:double"&gt;655.3857&lt;/D&gt;&lt;D xsi:type="xsd:double"&gt;655.07231&lt;/D&gt;&lt;D xsi:type="xsd:double"&gt;659.435522&lt;/D&gt;&lt;D xsi:type="xsd:double"&gt;659.088879&lt;/D&gt;&lt;D xsi:type="xsd:double"&gt;657.567388&lt;/D&gt;&lt;D xsi:type="xsd:double"&gt;650.709729&lt;/D&gt;&lt;D xsi:type="xsd:double"&gt;649.752815&lt;/D&gt;&lt;D xsi:type="xsd:double"&gt;637.702392&lt;/D&gt;&lt;D xsi:type="xsd:double"&gt;640.833867&lt;/D&gt;&lt;D xsi:type="xsd:double"&gt;639.530645&lt;/D&gt;&lt;D xsi:type="xsd:double"&gt;640.936703&lt;/D&gt;&lt;D xsi:type="xsd:double"&gt;638.998178&lt;/D&gt;&lt;D xsi:type="xsd:double"&gt;633.318304&lt;/D&gt;&lt;D xsi:type="xsd:double"&gt;638.404313&lt;/D&gt;&lt;D xsi:type="xsd:double"&gt;637.717121&lt;/D&gt;&lt;D xsi:type="xsd:double"&gt;630.422384&lt;/D&gt;&lt;D xsi:type="xsd:double"&gt;622.694854&lt;/D&gt;&lt;D xsi:type="xsd:double"&gt;612.227728&lt;/D&gt;&lt;D xsi:type="xsd:double"&gt;617.560439&lt;/D&gt;&lt;D xsi:type="xsd:double"&gt;617.70715&lt;/D&gt;&lt;D xsi:type="xsd:double"&gt;620.423194&lt;/D&gt;&lt;D xsi:type="xsd:double"&gt;616.016034&lt;/D&gt;&lt;D xsi:type="xsd:double"&gt;612.326141&lt;/D&gt;&lt;D xsi:type="xsd:double"&gt;599.814659&lt;/D&gt;&lt;D xsi:type="xsd:double"&gt;598.708922&lt;/D&gt;&lt;D xsi:type="xsd:double"&gt;589.085392&lt;/D&gt;&lt;D xsi:type="xsd:double"&gt;594.352042&lt;/D&gt;&lt;D xsi:type="xsd:double"&gt;596.099739&lt;/D&gt;&lt;D xsi:type="xsd:double"&gt;600.821701&lt;/D&gt;&lt;D xsi:type="xsd:double"&gt;608.582585&lt;/D&gt;&lt;D xsi:type="xsd:double"&gt;607.888501&lt;/D&gt;&lt;D xsi:type="xsd:double"&gt;598.508173&lt;/D&gt;&lt;D xsi:type="xsd:double"&gt;597.739396&lt;/D&gt;&lt;D xsi:type="xsd:double"&gt;599.075655&lt;/D&gt;&lt;D xsi:type="xsd:double"&gt;596.773933&lt;/D&gt;&lt;D xsi:type="xsd:double"&gt;603.498449&lt;/D&gt;&lt;D xsi:type="xsd:double"&gt;606.705445&lt;/D&gt;&lt;D xsi:type="xsd:double"&gt;614.587336&lt;/D&gt;&lt;D xsi:type="xsd:double"&gt;612.674176&lt;/D&gt;&lt;D xsi:type="xsd:double"&gt;596.994871&lt;/D&gt;&lt;D xsi:type="xsd:double"&gt;594.431589&lt;/D&gt;&lt;D xsi:type="xsd:double"&gt;597.327467&lt;/D&gt;&lt;D xsi:type="xsd:double"&gt;584.549314&lt;/D&gt;&lt;D xsi:type="xsd:double"&gt;585.778253&lt;/D&gt;&lt;D xsi:type="xsd:double"&gt;600.300229&lt;/D&gt;&lt;D xsi:type="xsd:double"&gt;593.77259&lt;/D&gt;&lt;D xsi:type="xsd:double"&gt;597.640158&lt;/D&gt;&lt;D xsi:type="xsd:double"&gt;620.306708&lt;/D&gt;&lt;D xsi:type="xsd:double"&gt;637.767096&lt;/D&gt;&lt;D xsi:type="xsd:double"&gt;650.942866&lt;/D&gt;&lt;D xsi:type="xsd:double"&gt;654.614885&lt;/D&gt;&lt;D xsi:type="xsd:double"&gt;652.127241&lt;/D&gt;&lt;D xsi:type="xsd:double"&gt;649.160726&lt;/D&gt;&lt;D xsi:type="xsd:double"&gt;656.445061&lt;/D&gt;&lt;D xsi:type="xsd:double"&gt;647.87034&lt;/D&gt;&lt;D xsi:type="xsd:double"&gt;652.814217&lt;/D&gt;&lt;D xsi:type="xsd:double"&gt;652.84042&lt;/D&gt;&lt;D xsi:type="xsd:double"&gt;639.295349&lt;/D&gt;&lt;D xsi:type="xsd:double"&gt;629.967207&lt;/D&gt;&lt;D xsi:type="xsd:double"&gt;625.718072&lt;/D&gt;&lt;D xsi:type="xsd:double"&gt;631.441931&lt;/D&gt;&lt;D xsi:type="xsd:double"&gt;621.88954&lt;/D&gt;&lt;D xsi:type="xsd:double"&gt;619.580388&lt;/D&gt;&lt;D xsi:type="xsd:double"&gt;623.639956&lt;/D&gt;&lt;D xsi:type="xsd:double"&gt;640.428033&lt;/D&gt;&lt;D xsi:type="xsd:double"&gt;627.862414&lt;/D&gt;&lt;D xsi:type="xsd:double"&gt;629.18563&lt;/D&gt;&lt;D xsi:type="xsd:double"&gt;615.270608&lt;/D&gt;&lt;D xsi:type="xsd:double"&gt;619.541855&lt;/D&gt;&lt;D xsi:type="xsd:double"&gt;624.378795&lt;/D&gt;&lt;D xsi:type="xsd:double"&gt;623.769463&lt;/D&gt;&lt;D xsi:type="xsd:double"&gt;643.666082&lt;/D&gt;&lt;D xsi:type="xsd:double"&gt;650.08067&lt;/D&gt;&lt;D xsi:type="xsd:double"&gt;667.083779&lt;/D&gt;&lt;D xsi:type="xsd:double"&gt;656.132505&lt;/D&gt;&lt;D xsi:type="xsd:double"&gt;653.565586&lt;/D&gt;&lt;D xsi:type="xsd:double"&gt;653.667041&lt;/D&gt;&lt;D xsi:type="xsd:double"&gt;665.795989&lt;/D&gt;&lt;D xsi:type="xsd:double"&gt;653.899341&lt;/D&gt;&lt;D xsi:type="xsd:double"&gt;655.01094&lt;/D&gt;&lt;D xsi:type="xsd:double"&gt;668.610159&lt;/D&gt;&lt;D xsi:type="xsd:double"&gt;671.62894&lt;/D&gt;&lt;D xsi:type="xsd:double"&gt;688.468583&lt;/D&gt;&lt;D xsi:type="xsd:double"&gt;696.266187&lt;/D&gt;&lt;D xsi:type="xsd:double"&gt;694.231224&lt;/D&gt;&lt;D xsi:type="xsd:double"&gt;688.633318&lt;/D&gt;&lt;D xsi:type="xsd:double"&gt;690.713936&lt;/D&gt;&lt;D xsi:type="xsd:double"&gt;695.912311&lt;/D&gt;&lt;D xsi:type="xsd:double"&gt;690.055906&lt;/D&gt;&lt;D xsi:type="xsd:double"&gt;692.766789&lt;/D&gt;&lt;D xsi:type="xsd:double"&gt;702.129378&lt;/D&gt;&lt;D xsi:type="xsd:double"&gt;702.391162&lt;/D&gt;&lt;D xsi:type="xsd:double"&gt;703.14155&lt;/D&gt;&lt;D </t>
        </r>
      </text>
    </comment>
    <comment ref="A31" authorId="0" shapeId="0">
      <text>
        <r>
          <rPr>
            <b/>
            <sz val="9"/>
            <color indexed="81"/>
            <rFont val="Tahoma"/>
            <family val="2"/>
          </rPr>
          <t>xsi:type="xsd:double"&gt;711.825939&lt;/D&gt;&lt;D xsi:type="xsd:double"&gt;718.794834&lt;/D&gt;&lt;D xsi:type="xsd:double"&gt;712.665883&lt;/D&gt;&lt;D xsi:type="xsd:double"&gt;711.557718&lt;/D&gt;&lt;D xsi:type="xsd:double"&gt;721.113213&lt;/D&gt;&lt;D xsi:type="xsd:double"&gt;723.159356&lt;/D&gt;&lt;D xsi:type="xsd:double"&gt;712.163392&lt;/D&gt;&lt;D xsi:type="xsd:double"&gt;709.581469&lt;/D&gt;&lt;D xsi:type="xsd:double"&gt;708.821392&lt;/D&gt;&lt;D xsi:type="xsd:double"&gt;703.135279&lt;/D&gt;&lt;D xsi:type="xsd:double"&gt;708.21018&lt;/D&gt;&lt;D xsi:type="xsd:double"&gt;700.819454&lt;/D&gt;&lt;D xsi:type="xsd:double"&gt;701.45571&lt;/D&gt;&lt;D xsi:type="xsd:double"&gt;695.246026&lt;/D&gt;&lt;D xsi:type="xsd:double"&gt;683.169168&lt;/D&gt;&lt;D xsi:type="xsd:double"&gt;664.832054&lt;/D&gt;&lt;D xsi:type="xsd:double"&gt;658.609592&lt;/D&gt;&lt;D xsi:type="xsd:double"&gt;663.531422&lt;/D&gt;&lt;D xsi:type="xsd:double"&gt;671.232867&lt;/D&gt;&lt;D xsi:type="xsd:double"&gt;672.527364&lt;/D&gt;&lt;D xsi:type="xsd:double"&gt;655.467968&lt;/D&gt;&lt;D xsi:type="xsd:double"&gt;660.771206&lt;/D&gt;&lt;D xsi:type="xsd:double"&gt;679.320561&lt;/D&gt;&lt;D xsi:type="xsd:double"&gt;690.745517&lt;/D&gt;&lt;D xsi:type="xsd:double"&gt;694.978003&lt;/D&gt;&lt;D xsi:type="xsd:double"&gt;688.590119&lt;/D&gt;&lt;D xsi:type="xsd:double"&gt;698.020195&lt;/D&gt;&lt;D xsi:type="xsd:double"&gt;698.533495&lt;/D&gt;&lt;D xsi:type="xsd:double"&gt;681.956076&lt;/D&gt;&lt;D xsi:type="xsd:double"&gt;686.225142&lt;/D&gt;&lt;D xsi:type="xsd:double"&gt;694.570556&lt;/D&gt;&lt;D xsi:type="xsd:double"&gt;703.335853&lt;/D&gt;&lt;D xsi:type="xsd:double"&gt;709.390247&lt;/D&gt;&lt;D xsi:type="xsd:double"&gt;720.096905&lt;/D&gt;&lt;D xsi:type="xsd:double"&gt;717.807486&lt;/D&gt;&lt;D xsi:type="xsd:double"&gt;708.336779&lt;/D&gt;&lt;D xsi:type="xsd:double"&gt;715.464715&lt;/D&gt;&lt;D xsi:type="xsd:double"&gt;726.314801&lt;/D&gt;&lt;D xsi:type="xsd:double"&gt;733.204489&lt;/D&gt;&lt;D xsi:type="xsd:double"&gt;721.920381&lt;/D&gt;&lt;D xsi:type="xsd:double"&gt;718.216861&lt;/D&gt;&lt;D xsi:type="xsd:double"&gt;718.758484&lt;/D&gt;&lt;D xsi:type="xsd:double"&gt;716.156261&lt;/D&gt;&lt;D xsi:type="xsd:double"&gt;729.083749&lt;/D&gt;&lt;D xsi:type="xsd:double"&gt;723.490162&lt;/D&gt;&lt;D xsi:type="xsd:double"&gt;717.375482&lt;/D&gt;&lt;D xsi:type="xsd:double"&gt;705.122811&lt;/D&gt;&lt;D xsi:type="xsd:double"&gt;694.753977&lt;/D&gt;&lt;D xsi:type="xsd:double"&gt;701.134869&lt;/D&gt;&lt;D xsi:type="xsd:double"&gt;700.192611&lt;/D&gt;&lt;D xsi:type="xsd:double"&gt;707.224957&lt;/D&gt;&lt;D xsi:type="xsd:double"&gt;712.804357&lt;/D&gt;&lt;D xsi:type="xsd:double"&gt;725.444428&lt;/D&gt;&lt;D xsi:type="xsd:double"&gt;727.74614&lt;/D&gt;&lt;D xsi:type="xsd:double"&gt;733.178068&lt;/D&gt;&lt;D xsi:type="xsd:double"&gt;744.413643&lt;/D&gt;&lt;D xsi:type="xsd:double"&gt;746.668813&lt;/D&gt;&lt;D xsi:type="xsd:double"&gt;753.609836&lt;/D&gt;&lt;D xsi:type="xsd:double"&gt;747.63139&lt;/D&gt;&lt;D xsi:type="xsd:double"&gt;741.239612&lt;/D&gt;&lt;D xsi:type="xsd:double"&gt;743.181847&lt;/D&gt;&lt;D xsi:type="xsd:double"&gt;744.033238&lt;/D&gt;&lt;D xsi:type="xsd:double"&gt;748.23907&lt;/D&gt;&lt;D xsi:type="xsd:double"&gt;758.429894&lt;/D&gt;&lt;D xsi:type="xsd:double"&gt;756.943488&lt;/D&gt;&lt;D xsi:type="xsd:double"&gt;754.828116&lt;/D&gt;&lt;D xsi:type="xsd:double"&gt;755.301892&lt;/D&gt;&lt;D xsi:type="xsd:double"&gt;756.398883&lt;/D&gt;&lt;D xsi:type="xsd:double"&gt;756.060402&lt;/D&gt;&lt;D xsi:type="xsd:double"&gt;755.364663&lt;/D&gt;&lt;D xsi:type="xsd:double"&gt;748.65759&lt;/D&gt;&lt;D xsi:type="xsd:double"&gt;743.332806&lt;/D&gt;&lt;D xsi:type="xsd:double"&gt;736.4111&lt;/D&gt;&lt;D xsi:type="xsd:double"&gt;724.73212&lt;/D&gt;&lt;D xsi:type="xsd:double"&gt;734.671066&lt;/D&gt;&lt;D xsi:type="xsd:double"&gt;740.912976&lt;/D&gt;&lt;D xsi:type="xsd:double"&gt;741.882958&lt;/D&gt;&lt;D xsi:type="xsd:double"&gt;734.717169&lt;/D&gt;&lt;D xsi:type="xsd:double"&gt;740.266362&lt;/D&gt;&lt;D xsi:type="xsd:double"&gt;746.256766&lt;/D&gt;&lt;D xsi:type="xsd:double"&gt;743.614842&lt;/D&gt;&lt;D xsi:type="xsd:double"&gt;748.114102&lt;/D&gt;&lt;D xsi:type="xsd:double"&gt;745.205861&lt;/D&gt;&lt;D xsi:type="xsd:double"&gt;729.854093&lt;/D&gt;&lt;D xsi:type="xsd:double"&gt;724.183527&lt;/D&gt;&lt;D xsi:type="xsd:double"&gt;730.104136&lt;/D&gt;&lt;D xsi:type="xsd:double"&gt;724.649988&lt;/D&gt;&lt;D xsi:type="xsd:double"&gt;726.531441&lt;/D&gt;&lt;D xsi:type="xsd:double"&gt;738.180523&lt;/D&gt;&lt;D xsi:type="xsd:double"&gt;733.527312&lt;/D&gt;&lt;D xsi:type="xsd:double"&gt;749.303185&lt;/D&gt;&lt;D xsi:type="xsd:double"&gt;749.197028&lt;/D&gt;&lt;D xsi:type="xsd:double"&gt;750.572437&lt;/D&gt;&lt;D xsi:type="xsd:double"&gt;754.916893&lt;/D&gt;&lt;D xsi:type="xsd:double"&gt;756.575493&lt;/D&gt;&lt;D xsi:type="xsd:double"&gt;756.347517&lt;/D&gt;&lt;D xsi:type="xsd:double"&gt;758.864173&lt;/D&gt;&lt;D xsi:type="xsd:double"&gt;757.468222&lt;/D&gt;&lt;D xsi:type="xsd:double"&gt;756.831222&lt;/D&gt;&lt;D xsi:type="xsd:double"&gt;752.021388&lt;/D&gt;&lt;D xsi:type="xsd:double"&gt;751.45854&lt;/D&gt;&lt;D xsi:type="xsd:double"&gt;756.809946&lt;/D&gt;&lt;D xsi:type="xsd:double"&gt;758.57338&lt;/D&gt;&lt;D xsi:type="xsd:double"&gt;757.13379&lt;/D&gt;&lt;D xsi:type="xsd:double"&gt;755.847294&lt;/D&gt;&lt;D xsi:type="xsd:double"&gt;752.890303&lt;/D&gt;&lt;D xsi:type="xsd:double"&gt;749.525617&lt;/D&gt;&lt;D xsi:type="xsd:double"&gt;748.498414&lt;/D&gt;&lt;D xsi:type="xsd:double"&gt;745.228628&lt;/D&gt;&lt;D xsi:type="xsd:double"&gt;746.975497&lt;/D&gt;&lt;D xsi:type="xsd:double"&gt;741.746233&lt;/D&gt;&lt;D xsi:type="xsd:double"&gt;745.835243&lt;/D&gt;&lt;D xsi:type="xsd:double"&gt;744.34714&lt;/D&gt;&lt;D xsi:type="xsd:double"&gt;742.25529&lt;/D&gt;&lt;D xsi:type="xsd:double"&gt;742.488733&lt;/D&gt;&lt;D xsi:type="xsd:double"&gt;742.077921&lt;/D&gt;&lt;D xsi:type="xsd:double"&gt;739.243062&lt;/D&gt;&lt;D xsi:type="xsd:double"&gt;733.852322&lt;/D&gt;&lt;D xsi:type="xsd:double"&gt;732.952297&lt;/D&gt;&lt;D xsi:type="xsd:double"&gt;726.632391&lt;/D&gt;&lt;D xsi:type="xsd:double"&gt;716.727622&lt;/D&gt;&lt;D xsi:type="xsd:double"&gt;713.311615&lt;/D&gt;&lt;D xsi:type="xsd:double"&gt;715.549005&lt;/D&gt;&lt;D xsi:type="xsd:double"&gt;717.494713&lt;/D&gt;&lt;D xsi:type="xsd:double"&gt;717.826878&lt;/D&gt;&lt;D xsi:type="xsd:double"&gt;709.694287&lt;/D&gt;&lt;D xsi:type="xsd:double"&gt;710.379889&lt;/D&gt;&lt;D xsi:type="xsd:double"&gt;705.531471&lt;/D&gt;&lt;D xsi:type="xsd:double"&gt;712.442226&lt;/D&gt;&lt;D xsi:type="xsd:double"&gt;709.511987&lt;/D&gt;&lt;D xsi:type="xsd:double"&gt;713.989299&lt;/D&gt;&lt;D xsi:type="xsd:double"&gt;715.461795&lt;/D&gt;&lt;D xsi:type="xsd:double"&gt;728.957519&lt;/D&gt;&lt;D xsi:type="xsd:double"&gt;730.460291&lt;/D&gt;&lt;D xsi:type="xsd:double"&gt;731.563887&lt;/D&gt;&lt;D xsi:type="xsd:double"&gt;724.24308&lt;/D&gt;&lt;D xsi:type="xsd:double"&gt;719.022394&lt;/D&gt;&lt;D xsi:type="xsd:double"&gt;718.085775&lt;/D&gt;&lt;D xsi:type="xsd:double"&gt;729.989366&lt;/D&gt;&lt;D xsi:type="xsd:double"&gt;735.207575&lt;/D&gt;&lt;D xsi:type="xsd:double"&gt;737.082332&lt;/D&gt;&lt;D xsi:type="xsd:double"&gt;735.171538&lt;/D&gt;&lt;D xsi:type="xsd:double"&gt;737.619644&lt;/D&gt;&lt;D xsi:type="xsd:double"&gt;737.283211&lt;/D&gt;&lt;D xsi:type="xsd:double"&gt;739.57717&lt;/D&gt;&lt;D xsi:type="xsd:double"&gt;742.769599&lt;/D&gt;&lt;D xsi:type="xsd:double"&gt;746.074335&lt;/D&gt;&lt;D xsi:type="xsd:double"&gt;746.463816&lt;/D&gt;&lt;D xsi:type="xsd:double"&gt;745.667589&lt;/D&gt;&lt;D xsi:type="xsd:double"&gt;743.66865&lt;/D&gt;&lt;D xsi:type="xsd:double"&gt;741.270534&lt;/D&gt;&lt;D xsi:type="xsd:double"&gt;740.793671&lt;/D&gt;&lt;D xsi:type="xsd:double"&gt;737.240953&lt;/D&gt;&lt;D xsi:type="xsd:double"&gt;731.936589&lt;/D&gt;&lt;D xsi:type="xsd:double"&gt;735.789542&lt;/D&gt;&lt;D xsi:type="xsd:double"&gt;734.635417&lt;/D&gt;&lt;D xsi:type="xsd:double"&gt;730.480811&lt;/D&gt;&lt;D xsi:type="xsd:double"&gt;722.584174&lt;/D&gt;&lt;D xsi:type="xsd:double"&gt;719.879768&lt;/D&gt;&lt;D xsi:type="xsd:double"&gt;724.925297&lt;/D&gt;&lt;D xsi:type="xsd:double"&gt;729.125649&lt;/D&gt;&lt;D xsi:type="xsd:double"&gt;734.781326&lt;/D&gt;&lt;D xsi:type="xsd:double"&gt;736.020548&lt;/D&gt;&lt;D xsi:type="xsd:double"&gt;734.754003&lt;/D&gt;&lt;D xsi:type="xsd:double"&gt;734.008453&lt;/D&gt;&lt;D xsi:type="xsd:double"&gt;732.01953&lt;/D&gt;&lt;D xsi:type="xsd:double"&gt;731.098339&lt;/D&gt;&lt;D xsi:type="xsd:double"&gt;731.19284&lt;/D&gt;&lt;D xsi:type="xsd:double"&gt;732.57092&lt;/D&gt;&lt;D xsi:type="xsd:double"&gt;729.430089&lt;/D&gt;&lt;D xsi:type="xsd:double"&gt;730.151756&lt;/D&gt;&lt;D xsi:type="xsd:double"&gt;726.880184&lt;/D&gt;&lt;D xsi:type="xsd:double"&gt;724.208978&lt;/D&gt;&lt;D xsi:type="xsd:double"&gt;729.675921&lt;/D&gt;&lt;D xsi:type="xsd:double"&gt;723.608378&lt;/D&gt;&lt;D xsi:type="xsd:double"&gt;722.408275&lt;/D&gt;&lt;D xsi:type="xsd:double"&gt;726.674167&lt;/D&gt;&lt;D xsi:type="xsd:double"&gt;727.132808&lt;/D&gt;&lt;D xsi:type="xsd:double"&gt;722.801536&lt;/D&gt;&lt;D xsi:type="xsd:double"&gt;719.784068&lt;/D&gt;&lt;D xsi:type="xsd:double"&gt;713.30081&lt;/D&gt;&lt;D xsi:type="xsd:double"&gt;707.421994&lt;/D&gt;&lt;D xsi:type="xsd:double"&gt;719.172083&lt;/D&gt;&lt;D xsi:type="xsd:double"&gt;723.661057&lt;/D&gt;&lt;D xsi:type="xsd:double"&gt;726.088302&lt;/D&gt;&lt;D xsi:type="xsd:double"&gt;726.324489&lt;/D&gt;&lt;D xsi:type="xsd:double"&gt;727.331827&lt;/D&gt;&lt;D xsi:type="xsd:double"&gt;723.59929&lt;/D&gt;&lt;D xsi:type="xsd:double"&gt;717.053813&lt;/D&gt;&lt;D xsi:type="xsd:double"&gt;724.406413&lt;/D&gt;&lt;D xsi:type="xsd:double"&gt;723.345997&lt;/D&gt;&lt;D xsi:type="xsd:double"&gt;724.661988&lt;/D&gt;&lt;D xsi:type="xsd:double"&gt;721.81463&lt;/D&gt;&lt;D xsi:type="xsd:double"&gt;719.969961&lt;/D&gt;&lt;D xsi:type="xsd:double"&gt;721.637675&lt;/D&gt;&lt;D xsi:type="xsd:double"&gt;722.053616&lt;/D&gt;&lt;D xsi:type="xsd:double"&gt;721.908067&lt;/D&gt;&lt;D xsi:type="xsd:double"&gt;718.676766&lt;/D&gt;&lt;D xsi:type="xsd:double"&gt;715.018864&lt;/D&gt;&lt;D xsi:type="xsd:double"&gt;714.744779&lt;/D&gt;&lt;D xsi:type="xsd:double"&gt;711.040808&lt;/D&gt;&lt;D xsi:type="xsd:double"&gt;705.966622&lt;/D&gt;&lt;D xsi:type="xsd:double"&gt;714.870887&lt;/D&gt;&lt;D xsi:type="xsd:double"&gt;717.83911&lt;/D&gt;&lt;D xsi:type="xsd:double"&gt;720.225231&lt;/D&gt;&lt;D xsi:type="xsd:double"&gt;721.101593&lt;/D&gt;&lt;D xsi:type="xsd:double"&gt;719.522816&lt;/D&gt;&lt;D xsi:type="xsd:double"&gt;718.227486&lt;/D&gt;&lt;D xsi:type="xsd:double"&gt;715.569497&lt;/D&gt;&lt;D xsi:type="xsd:double"&gt;716.962264&lt;/D&gt;&lt;D xsi:type="xsd:double"&gt;716.9972&lt;/D&gt;&lt;D xsi:type="xsd:double"&gt;716.311816&lt;/D&gt;&lt;D xsi:type="xsd:double"&gt;711.361293&lt;/D&gt;&lt;D xsi:type="xsd:double"&gt;714.415102&lt;/D&gt;&lt;D xsi:type="xsd:double"&gt;713.756093&lt;/D&gt;&lt;D xsi:type="xsd:double"&gt;711.151893&lt;/D&gt;&lt;D xsi:type="xsd:double"&gt;708.915739&lt;/D&gt;&lt;D xsi:type="xsd:double"&gt;708.522323&lt;/D&gt;&lt;D xsi:type="xsd:double"&gt;707.259056&lt;/D&gt;&lt;D xsi:type="xsd:double"&gt;706.198484&lt;/D&gt;&lt;D xsi:type="xsd:double"&gt;701.568422&lt;/D&gt;&lt;D xsi:type="xsd:double"&gt;701.328982&lt;/D&gt;&lt;D xsi:type="xsd:double"&gt;694.697909&lt;/D&gt;&lt;D xsi:type="xsd:double"&gt;698.768875&lt;/D&gt;&lt;D xsi:type="xsd:double"&gt;698.466097&lt;/D&gt;&lt;D xsi:type="xsd:double"&gt;699.130878&lt;/D&gt;&lt;D xsi:type="xsd:double"&gt;688.537692&lt;/D&gt;&lt;D xsi:type="xsd:double"&gt;686.76702&lt;/D&gt;&lt;D xsi:type="xsd:double"&gt;698.422713&lt;/D&gt;&lt;D xsi:type="xsd:double"&gt;706.496913&lt;/D&gt;&lt;D xsi:type="xsd:double"&gt;710.358368&lt;/D&gt;&lt;D xsi:type="xsd:double"&gt;704.137878&lt;/D&gt;&lt;D xsi:type="xsd:double"&gt;699.627016&lt;/D&gt;&lt;D xsi:type="xsd:double"&gt;697.601154&lt;/D&gt;&lt;D xsi:type="xsd:double"&gt;703.313055&lt;/D&gt;&lt;D xsi:type="xsd:double"&gt;701.830048&lt;/D&gt;&lt;D xsi:type="xsd:double"&gt;708.070344&lt;/D&gt;&lt;D xsi:type="xsd:double"&gt;705.717879&lt;/D&gt;&lt;D xsi:type="xsd:double"&gt;705.543626&lt;/D&gt;&lt;D xsi:type="xsd:double"&gt;706.31524&lt;/D&gt;&lt;D xsi:type="xsd:double"&gt;703.720897&lt;/D&gt;&lt;D xsi:type="xsd:double"&gt;698.324878&lt;/D&gt;&lt;D xsi:type="xsd:double"&gt;699.908918&lt;/D&gt;&lt;D xsi:type="xsd:double"&gt;697.04287&lt;/D&gt;&lt;D xsi:type="xsd:double"&gt;702.993641&lt;/D&gt;&lt;D xsi:type="xsd:double"&gt;704.939241&lt;/D&gt;&lt;D xsi:type="xsd:double"&gt;702.016576&lt;/D&gt;&lt;D xsi:type="xsd:double"&gt;695.840505&lt;/D&gt;&lt;D xsi:type="xsd:double"&gt;695.968923&lt;/D&gt;&lt;D xsi:type="xsd:double"&gt;693.582117&lt;/D&gt;&lt;D xsi:type="xsd:double"&gt;694.709968&lt;/D&gt;&lt;D xsi:type="xsd:double"&gt;692.558833&lt;/D&gt;&lt;D xsi:type="xsd:double"&gt;689.239882&lt;/D&gt;&lt;D xsi:type="xsd:double"&gt;688.757811&lt;/D&gt;&lt;D xsi:type="xsd:double"&gt;687.537694&lt;/D&gt;&lt;D xsi:type="xsd:double"&gt;680.473866&lt;/D&gt;&lt;D xsi:type="xsd:double"&gt;673.28772&lt;/D&gt;&lt;D xsi:type="xsd:double"&gt;672.118653&lt;/D&gt;&lt;D xsi:type="xsd:double"&gt;672.832804&lt;/D&gt;&lt;D xsi:type="xsd:double"&gt;673.349578&lt;/D&gt;&lt;D xsi:type="xsd:double"&gt;663.790564&lt;/D&gt;&lt;D xsi:type="xsd:double"&gt;662.833489&lt;/D&gt;&lt;D xsi:type="xsd:double"&gt;668.841996&lt;/D&gt;&lt;D xsi:type="xsd:double"&gt;674.181739&lt;/D&gt;&lt;D xsi:type="xsd:double"&gt;671.405413&lt;/D&gt;&lt;D xsi:type="xsd:double"&gt;673.380699&lt;/D&gt;&lt;D xsi:type="xsd:double"&gt;678.186496&lt;/D&gt;&lt;D xsi:type="xsd:double"&gt;677.957463&lt;/D&gt;&lt;D xsi:type="xsd:double"&gt;676.988156&lt;/D&gt;&lt;D xsi:type="xsd:double"&gt;674.467487&lt;/D&gt;&lt;D xsi:type="xsd:double"&gt;674.855618&lt;/D&gt;&lt;D xsi:type="xsd:double"&gt;666.279094&lt;/D&gt;&lt;D xsi:type="xsd:double"&gt;662.99244&lt;/D&gt;&lt;D xsi:type="xsd:double"&gt;654.184549&lt;/D&gt;&lt;D xsi:type="xsd:double"&gt;657.493076&lt;/D&gt;&lt;D xsi:type="xsd:double"&gt;653.361405&lt;/D&gt;&lt;D xsi:type="xsd:double"&gt;662.803488&lt;/D&gt;&lt;D xsi:type="xsd:double"&gt;667.113602&lt;/D&gt;&lt;D xsi:type="xsd:double"&gt;670.520293&lt;/D&gt;&lt;D xsi:type="xsd:double"&gt;657.146234&lt;/D&gt;&lt;D xsi:type="xsd:double"&gt;667.04607&lt;/D&gt;&lt;D xsi:type="xsd:double"&gt;675.366169&lt;/D&gt;&lt;D xsi:type="xsd:double"&gt;674.034425&lt;/D&gt;&lt;D xsi:type="xsd:double"&gt;673.768416&lt;/D&gt;&lt;D xsi:type="xsd:double"&gt;679.736549&lt;/D&gt;&lt;D xsi:type="xsd:double"&gt;678.672392&lt;/D&gt;&lt;D xsi:type="xsd:double"&gt;682.7039&lt;/D&gt;&lt;D xsi:type="xsd:double"&gt;685.060258&lt;/D&gt;&lt;D xsi:type="xsd:double"&gt;682.240685&lt;/D&gt;&lt;D xsi:type="xsd:double"&gt;679.7384&lt;/D&gt;&lt;D xsi:type="xsd:double"&gt;678.061474&lt;/D&gt;&lt;D xsi:type="xsd:double"&gt;676.704547&lt;/D&gt;&lt;D xsi:type="xsd:double"&gt;675.533952&lt;/D&gt;&lt;D xsi:type="xsd:double"&gt;670.558924&lt;/D&gt;&lt;D xsi:type="xsd:double"&gt;666.755591&lt;/D&gt;&lt;D xsi:type="xsd:double"&gt;662.973264&lt;/D&gt;&lt;D xsi:type="xsd:double"&gt;660.969343&lt;/D&gt;&lt;D xsi:type="xsd:double"&gt;652.535619&lt;/D&gt;&lt;D xsi:type="xsd:double"&gt;642.906565&lt;/D&gt;&lt;D xsi:type="xsd:double"&gt;654.495538&lt;/D&gt;&lt;D xsi:type="xsd:double"&gt;652.49749&lt;/D&gt;&lt;D xsi:type="xsd:double"&gt;666.091756&lt;/D&gt;&lt;D xsi:type="xsd:double"&gt;668.084187&lt;/D&gt;&lt;D xsi:type="xsd:double"&gt;666.68517&lt;/D&gt;&lt;D xsi:type="xsd:double"&gt;669.624215&lt;/D&gt;&lt;D xsi:type="xsd:double"&gt;668.435884&lt;/D&gt;&lt;D xsi:type="xsd:double"&gt;661.08826&lt;/D&gt;&lt;D xsi:type="xsd:double"&gt;655.864068&lt;/D&gt;&lt;D xsi:type="xsd:double"&gt;661.558433&lt;/D&gt;&lt;D xsi:type="xsd:double"&gt;661.488018&lt;/D&gt;&lt;D xsi:type="xsd:double"&gt;659.653177&lt;/D&gt;&lt;D xsi:type="xsd:double"&gt;658.482786&lt;/D&gt;&lt;D xsi:type="xsd:double"&gt;663.592055&lt;/D&gt;&lt;D xsi:type="xsd:double"&gt;657.533611&lt;/D&gt;&lt;D xsi:type="xsd:double"&gt;649.845076&lt;/D&gt;&lt;D xsi:type="xsd:double"&gt;646.958959&lt;/D&gt;&lt;D xsi:type="xsd:double"&gt;642.979601&lt;/D&gt;&lt;D xsi:type="xsd:double"&gt;646.268342&lt;/D&gt;&lt;D xsi:type="xsd:double"&gt;645.289274&lt;/D&gt;&lt;D xsi:type="xsd:double"&gt;642.999595&lt;/D&gt;&lt;D xsi:type="xsd:double"&gt;640.91647&lt;/D&gt;&lt;D xsi:type="xsd:double"&gt;637.297623&lt;/D&gt;&lt;D xsi:type="xsd:double"&gt;636.013642&lt;/D&gt;&lt;D xsi:type="xsd:double"&gt;633.650771&lt;/D&gt;&lt;D xsi:type="xsd:double"&gt;634.599587&lt;/D&gt;&lt;D xsi:type="xsd:double"&gt;639.798779&lt;/D&gt;&lt;D xsi:type="xsd:double"&gt;641.888354&lt;/D&gt;&lt;D xsi:type="xsd:double"&gt;637.098105&lt;/D&gt;&lt;D xsi:type="xsd:double"&gt;633.890225&lt;/D&gt;&lt;D xsi:type="xsd:double"&gt;628.841635&lt;/D&gt;&lt;D xsi:type="xsd:double"&gt;629.834419&lt;/D&gt;&lt;D xsi:type="xsd:double"&gt;631.053445&lt;/D&gt;&lt;D xsi:type="xsd:double"&gt;630.888017&lt;/D&gt;&lt;D xsi:type="xsd:double"&gt;633.806102&lt;/D&gt;&lt;D xsi:type="xsd:double"&gt;632.464543&lt;/D&gt;&lt;D xsi:type="xsd:double"&gt;633.094761&lt;/D&gt;&lt;D xsi:type="xsd:double"&gt;628.496028&lt;/D&gt;&lt;D xsi:type="xsd:double"&gt;626.247492&lt;/D&gt;&lt;D xsi:type="xsd:double"&gt;624.912531&lt;/D&gt;&lt;D xsi:type="xsd:double"&gt;618.265741&lt;/D&gt;&lt;D xsi:type="xsd:double"&gt;623.758764&lt;/D&gt;&lt;D xsi:type="xsd:double"&gt;620.488566&lt;/D&gt;&lt;D xsi:type="xsd:double"&gt;620.471262&lt;/D&gt;&lt;D xsi:type="xsd:double"&gt;611.692877&lt;/D&gt;&lt;D xsi:type="xsd:double"&gt;609.523901&lt;/D&gt;&lt;D xsi:type="xsd:double"&gt;610.265186&lt;/D&gt;&lt;D xsi:type="xsd:double"&gt;610.109965&lt;/D&gt;&lt;D xsi:type="xsd:double"&gt;612.863119&lt;/D&gt;&lt;D xsi:type="xsd:double"&gt;613.609104&lt;/D&gt;&lt;D xsi:type="xsd:double"&gt;605.922222&lt;/D&gt;&lt;D xsi:type="xsd:double"&gt;601.324434&lt;/D&gt;&lt;D xsi:type="xsd:double"&gt;605.088705&lt;/D&gt;&lt;D xsi:type="xsd:double"&gt;600.73635&lt;/D&gt;&lt;D xsi:type="xsd:double"&gt;600.490632&lt;/D&gt;&lt;D xsi:type="xsd:double"&gt;592.758247&lt;/D&gt;&lt;D xsi:type="xsd:double"&gt;591.375888&lt;/D&gt;&lt;D xsi:type="xsd:double"&gt;578.919428&lt;/D&gt;&lt;D xsi:type="xsd:double"&gt;568.089012&lt;/D&gt;&lt;D xsi:type="xsd:double"&gt;557.836585&lt;/D&gt;&lt;D xsi:type="xsd:double"&gt;550.99536&lt;/D&gt;&lt;D xsi:type="xsd:double"&gt;557.409287&lt;/D&gt;&lt;D xsi:type="xsd:double"&gt;554.986269&lt;/D&gt;&lt;D xsi:type="xsd:double"&gt;571.527338&lt;/D&gt;&lt;D xsi:type="xsd:double"&gt;573.071598&lt;/D&gt;&lt;D xsi:type="xsd:double"&gt;581.908123&lt;/D&gt;&lt;D xsi:type="xsd:double"&gt;579.919503&lt;/D&gt;&lt;D xsi:type="xsd:double"&gt;579.345766&lt;/D&gt;&lt;D xsi:type="xsd:double"&gt;580.10768&lt;/D&gt;&lt;D xsi:type="xsd:double"&gt;578.675612&lt;/D&gt;&lt;D xsi:type="xsd:double"&gt;583.112676&lt;/D&gt;&lt;D xsi:type="xsd:double"&gt;582.003665&lt;/D&gt;&lt;D xsi:type="xsd:double"&gt;586.674529&lt;/D&gt;&lt;D xsi:type="xsd:double"&gt;588.939785&lt;/D&gt;&lt;D xsi:type="xsd:double"&gt;591.86129&lt;/D&gt;&lt;D xsi:type="xsd:double"&gt;584.604034&lt;/D&gt;&lt;D xsi:type="xsd:double"&gt;580.010052&lt;/D&gt;&lt;D xsi:type="xsd:double"&gt;575.635723&lt;/D&gt;&lt;D xsi:type="xsd:double"&gt;569.674216&lt;/D&gt;&lt;D xsi:type="xsd:double"&gt;573.332907&lt;/D&gt;&lt;D xsi:type="xsd:double"&gt;564.112325&lt;/D&gt;&lt;D xsi:type="xsd:double"&gt;567.998851&lt;/D&gt;&lt;D xsi:type="xsd:double"&gt;565.148482&lt;/D&gt;&lt;D xsi:type="xsd:double"&gt;562.695922&lt;/D&gt;&lt;D xsi:type="xsd:double"&gt;564.182615&lt;/D&gt;&lt;D xsi:type="xsd:double"&gt;555.212864&lt;/D&gt;&lt;D xsi:type="xsd:double"&gt;549.571218&lt;/D&gt;&lt;D xsi:type="xsd:double"&gt;551.966655&lt;/D&gt;&lt;D xsi:type="xsd:double"&gt;560.209827&lt;/D&gt;&lt;D xsi:type="xsd:double"&gt;557.788969&lt;/D&gt;&lt;D xsi:type="xsd:double"&gt;567.017905&lt;/D&gt;&lt;D xsi:type="xsd:double"&gt;570.157986&lt;/D&gt;&lt;D xsi:type="xsd:double"&gt;574.991693&lt;/D&gt;&lt;D xsi:type="xsd:double"&gt;575.643758&lt;/D&gt;&lt;D xsi:type="xsd:double"&gt;572.6765&lt;/D&gt;&lt;D xsi:type="xsd:double"&gt;565.964475&lt;/D&gt;&lt;D xsi:type="xsd:double"&gt;565.473174&lt;/D&gt;&lt;D xsi:type="xsd:double"&gt;570.928031&lt;/D&gt;&lt;D xsi:type="xsd:double"&gt;562.814877&lt;/D&gt;&lt;D xsi:type="xsd:double"&gt;573.042345&lt;/D&gt;&lt;D xsi:type="xsd:double"&gt;579.123437&lt;/D&gt;&lt;D xsi:type="xsd:double"&gt;594.060979&lt;/D&gt;&lt;D xsi:type="xsd:double"&gt;588.51788&lt;/D&gt;&lt;D xsi:type="xsd:double"&gt;584.863934&lt;/D&gt;&lt;D xsi:type="xsd:double"&gt;586.435485&lt;/D&gt;&lt;D xsi:type="xsd:double"&gt;583.208291&lt;/D&gt;&lt;D xsi:type="xsd:double"&gt;584.027873&lt;/D&gt;&lt;D xsi:type="xsd:double"&gt;578.894627&lt;/D&gt;&lt;D xsi:type="xsd:double"&gt;577.243226&lt;/D&gt;&lt;D xsi:type="xsd:double"&gt;570.968469&lt;/D&gt;&lt;D xsi:type="xsd:double"&gt;569.622793&lt;/D&gt;&lt;D xsi:type="xsd:double"&gt;571.94772&lt;/D&gt;&lt;D xsi:type="xsd:double"&gt;573.329504&lt;/D&gt;&lt;D xsi:type="xsd:double"&gt;571.879275&lt;/D&gt;&lt;D xsi:type="xsd:double"&gt;569.395894&lt;/D&gt;&lt;D xsi:type="xsd:double"&gt;570.82274&lt;/D&gt;&lt;D xsi:type="xsd:double"&gt;571.039301&lt;/D&gt;&lt;D xsi:type="xsd:double"&gt;564.093297&lt;/D&gt;&lt;D xsi:type="xsd:double"&gt;564.080309&lt;/D&gt;&lt;D xsi:type="xsd:double"&gt;563.239325&lt;/D&gt;&lt;D xsi:type="xsd:double"&gt;565.16694&lt;/D&gt;&lt;D xsi:type="xsd:double"&gt;564.111612&lt;/D&gt;&lt;D xsi:type="xsd:double"&gt;559.246329&lt;/D&gt;&lt;D xsi:type="xsd:double"&gt;555.826385&lt;/D&gt;&lt;D xsi:type="xsd:double"&gt;551.894367&lt;/D&gt;&lt;D xsi:type="xsd:double"&gt;551.892048&lt;/D&gt;&lt;D xsi:type="xsd:double"&gt;555.472667&lt;/D&gt;&lt;D xsi:type="xsd:double"&gt;551.030333&lt;/D&gt;&lt;D xsi:type="xsd:double"&gt;552.914474&lt;/D&gt;&lt;D xsi:type="xsd:double"&gt;547.904125&lt;/D&gt;&lt;D xsi:type="xsd:double"&gt;552.466137&lt;/D&gt;&lt;D xsi:type="xsd:double"&gt;556.591852&lt;/D&gt;&lt;D xsi:type="xsd:double"&gt;555.808852&lt;/D&gt;&lt;D xsi:type="xsd:double"&gt;552.638666&lt;/D&gt;&lt;D xsi:type="xsd:double"&gt;548.046372&lt;/D&gt;&lt;D xsi:type="xsd:double"&gt;546.391431&lt;/D&gt;&lt;D xsi:type="xsd:double"&gt;549.785337&lt;/D&gt;&lt;D xsi:type="xsd:double"&gt;543.467771&lt;/D&gt;&lt;D xsi:type="xsd:double"&gt;540.68274&lt;/D&gt;&lt;D xsi:type="xsd:double"&gt;541.77104&lt;/D&gt;&lt;D xsi:type="xsd:double"&gt;538.489081&lt;/D&gt;&lt;D xsi:type="xsd:double"&gt;540.369639&lt;/D&gt;&lt;D xsi:type="xsd:double"&gt;537.257275&lt;/D&gt;&lt;D xsi:type="xsd:double"&gt;542.190365&lt;/D&gt;&lt;D xsi:type="xsd:double"&gt;532.143188&lt;/D&gt;&lt;D xsi:type="xsd:double"&gt;527.277056&lt;/D&gt;&lt;D xsi:type="xsd:double"&gt;524.90763&lt;/D&gt;&lt;D xsi:type="xsd:double"&gt;519.525946&lt;/D&gt;&lt;D xsi:type="xsd:double"&gt;515.811961&lt;/D&gt;&lt;D xsi:type="xsd:double"&gt;523.749266&lt;/D&gt;&lt;D xsi:type="xsd:double"&gt;521.377179&lt;/D&gt;&lt;D xsi:type="xsd:double"&gt;533.331402&lt;/D&gt;&lt;D xsi:type="xsd:double"&gt;528.590913&lt;/D&gt;&lt;D xsi:type="xsd:double"&gt;526.81199&lt;/D&gt;&lt;D xsi:type="xsd:double"&gt;527.813597&lt;/D&gt;&lt;D xsi:type="xsd:double"&gt;528.249711&lt;/D&gt;&lt;D xsi:type="xsd:double"&gt;528.196447&lt;/D&gt;&lt;D xsi:type="xsd:double"&gt;516.707065&lt;/D&gt;&lt;D xsi:type="xsd:double"&gt;516.56989&lt;/D&gt;&lt;D xsi:type="xsd:double"&gt;514.892869&lt;/D&gt;&lt;D xsi:type="xsd:double"&gt;539.757964&lt;/D&gt;&lt;D xsi:type="xsd:double"&gt;541.229421&lt;/D&gt;&lt;D xsi:type="xsd:double"&gt;543.765443&lt;/D&gt;&lt;D xsi:type="xsd:double"&gt;538.999437&lt;/D&gt;&lt;D xsi:type="xsd:double"&gt;528.00497&lt;/D&gt;&lt;D xsi:type="xsd:double"&gt;528.799989&lt;/D&gt;&lt;D xsi:type="xsd:double"&gt;520.059766&lt;/D&gt;&lt;D xsi:type="xsd:double"&gt;514.183394&lt;/D&gt;&lt;D xsi:type="xsd:double"&gt;509.470339&lt;/D&gt;&lt;D xsi:type="xsd:double"&gt;509.250568&lt;/D&gt;&lt;D xsi:type="xsd:double"&gt;506.975955&lt;/D&gt;&lt;D xsi:type="xsd:double"&gt;502.178705&lt;/D&gt;&lt;D xsi:type="xsd:double"&gt;491.937713&lt;/D&gt;&lt;D xsi:type="xsd:double"&gt;493.951217&lt;/D&gt;&lt;D xsi:type="xsd:double"&gt;497.811191&lt;/D&gt;&lt;D xsi:type="xsd:double"&gt;490.977711&lt;/D&gt;&lt;D xsi:type="xsd:double"&gt;491.787897&lt;/D&gt;&lt;D xsi:type="xsd:double"&gt;478.345673&lt;/D&gt;&lt;D xsi:type="xsd:double"&gt;476.538487&lt;/D&gt;&lt;D xsi:type="xsd:double"&gt;476.76489&lt;/D&gt;&lt;D xsi:type="xsd:double"&gt;484.243151&lt;/D&gt;&lt;D xsi:type="xsd:double"&gt;490.252781&lt;/D&gt;&lt;D xsi:type="xsd:double"&gt;490.235133&lt;/D&gt;&lt;D xsi:type="xsd:double"&gt;481.79753&lt;/D&gt;&lt;D xsi:type="xsd:double"&gt;478.019747&lt;/D&gt;&lt;D xsi:type="xsd:double"&gt;480.043634&lt;/D&gt;&lt;D xsi:type="xsd:double"&gt;475.279&lt;/D&gt;&lt;D xsi:type="xsd:double"&gt;478.56198&lt;/D&gt;&lt;D xsi:type="xsd:double"&gt;489.168665&lt;/D&gt;&lt;D xsi:type="xsd:double"&gt;492.601362&lt;/D&gt;&lt;D xsi:type="xsd:double"&gt;481.57966&lt;/D&gt;&lt;D xsi:type="xsd:double"&gt;480.937707&lt;/D&gt;&lt;D xsi:type="xsd:double"&gt;472.620405&lt;/D&gt;&lt;D xsi:type="xsd:double"&gt;470.610987&lt;/D&gt;&lt;D xsi:type="xsd:double"&gt;469.127555&lt;/D&gt;&lt;D xsi:type="xsd:double"&gt;460.910143&lt;/D&gt;&lt;D xsi:type="xsd:double"&gt;475.208242&lt;/D&gt;&lt;D xsi:type="xsd:double"&gt;480.265326&lt;/D&gt;&lt;D xsi:type="xsd:double"&gt;468.062957&lt;/D&gt;&lt;D xsi:type="xsd:double"&gt;467.40213&lt;/D&gt;&lt;D xsi:type="xsd:double"&gt;477.702792&lt;/D&gt;&lt;D xsi:type="xsd:double"&gt;466.364677&lt;/D&gt;&lt;D xsi:type="xsd:double"&gt;469.566892&lt;/D&gt;&lt;D xsi:type="xsd:double"&gt;462.28072&lt;/D&gt;&lt;D xsi:type="xsd:double"&gt;453.087112&lt;/D&gt;&lt;D xsi:type="xsd:double"&gt;448.715689&lt;/D&gt;&lt;D xsi:type="xsd:double"&gt;425.353165&lt;/D&gt;&lt;D xsi:type="xsd:double"&gt;431.28469&lt;/D&gt;&lt;D xsi:type="xsd:double"&gt;425.999295&lt;/D&gt;&lt;D xsi:type="xsd:double"&gt;442.346476&lt;/D&gt;&lt;D xsi:type="xsd:double"&gt;445.039631&lt;/D&gt;&lt;D xsi:type="xsd:double"&gt;436.599581&lt;/D&gt;&lt;D xsi:type="xsd:double"&gt;447.313068&lt;/D&gt;&lt;D xsi:type="xsd:double"&gt;427.571589&lt;/D&gt;&lt;D xsi:type="xsd:double"&gt;416.279268&lt;/D&gt;&lt;D xsi:type="xsd:double"&gt;384.037631&lt;/D&gt;&lt;D xsi:type="xsd:double"&gt;397.115197&lt;/D&gt;&lt;D xsi:type="xsd:double"&gt;403.95171&lt;/D&gt;&lt;D xsi:type="xsd:double"&gt;402.728641&lt;/D&gt;&lt;D xsi:type="xsd:double"&gt;424.212651&lt;/D&gt;&lt;D xsi:type="xsd:double"&gt;409.882372&lt;/D&gt;&lt;D xsi:type="xsd:double"&gt;451.088303&lt;/D&gt;&lt;D xsi:type="xsd:double"&gt;428.499639&lt;/D&gt;&lt;D xsi:type="xsd:double"&gt;473.550181&lt;/D&gt;&lt;D xsi:type="xsd:double"&gt;491.460409&lt;/D&gt;&lt;D xsi:type="xsd:double"&gt;478.500571&lt;/D&gt;&lt;D xsi:type="xsd:double"&gt;514.883135&lt;/D&gt;&lt;D xsi:type="xsd:double"&gt;525.635327&lt;/D&gt;&lt;D xsi:type="xsd:double"&gt;536.200513&lt;/D&gt;&lt;D xsi:type="xsd:double"&gt;522.211574&lt;/D&gt;&lt;D xsi:type="xsd:double"&gt;528.448618&lt;/D&gt;&lt;D xsi:type="xsd:double"&gt;512.757315&lt;/D&gt;&lt;D xsi:type="xsd:double"&gt;521.916925&lt;/D&gt;&lt;D xsi:type="xsd:double"&gt;539.816324&lt;/D&gt;&lt;D xsi:type="xsd:double"&gt;542.909079&lt;/D&gt;&lt;D xsi:type="xsd:double"&gt;555.733004&lt;/D&gt;&lt;D xsi:type="xsd:double"&gt;572.681312&lt;/D&gt;&lt;D xsi:type="xsd:double"&gt;577.03106&lt;/D&gt;&lt;D xsi:type="xsd:double"&gt;579.867836&lt;/D&gt;&lt;D xsi:type="xsd:double"&gt;577.317223&lt;/D&gt;&lt;D xsi:type="xsd:double"&gt;580.059628&lt;/D&gt;&lt;D xsi:type="xsd:double"&gt;579.735359&lt;/D&gt;&lt;D xsi:type="xsd:double"&gt;581.024599&lt;/D&gt;&lt;D xsi:type="xsd:double"&gt;577.5065&lt;/D&gt;&lt;D xsi:type="xsd:double"&gt;575.01539&lt;/D&gt;&lt;D xsi:type="xsd:double"&gt;573.550619&lt;/D&gt;&lt;D xsi:type="xsd:double"&gt;576.68453&lt;/D&gt;&lt;D xsi:type="xsd:double"&gt;573.457173&lt;/D&gt;&lt;D xsi:type="xsd:double"&gt;568.650819&lt;/D&gt;&lt;D xsi:type="xsd:double"&gt;560.39698&lt;/D&gt;&lt;D xsi:type="xsd:double"&gt;558.621185&lt;/D&gt;&lt;D xsi:type="xsd:double"&gt;565.495649&lt;/D&gt;&lt;D xsi:type="xsd:double"&gt;567.345407&lt;/D&gt;&lt;D xsi:type="xsd:double"&gt;567.397072&lt;/D&gt;&lt;D xsi:type="xsd:double"&gt;564.01909&lt;/D&gt;&lt;D xsi:type="xsd:double"&gt;573.286256&lt;/D&gt;&lt;D xsi:type="xsd:double"&gt;575.737998&lt;/D&gt;&lt;D xsi:type="xsd:double"&gt;577.294002&lt;/D&gt;&lt;D xsi:type="xsd:double"&gt;576.690471&lt;/D&gt;&lt;D xsi:type="xsd:double"&gt;579.23806&lt;/D&gt;&lt;D xsi:type="xsd:double"&gt;576.887412&lt;/D&gt;&lt;D xsi:type="xsd:double"&gt;573.757001&lt;/D&gt;&lt;D xsi:type="xsd:double"&gt;573.371205&lt;/D&gt;&lt;D xsi:type="xsd:double"&gt;573.327429&lt;/D&gt;&lt;D xsi:type="xsd:double"&gt;570.448699&lt;/D&gt;&lt;D xsi:type="xsd:double"&gt;570.654586&lt;/D&gt;&lt;D xsi:type="xsd:double"&gt;566.820468&lt;/D&gt;&lt;D xsi:type="xsd:double"&gt;566.14959&lt;/D&gt;&lt;D xsi:type="xsd:double"&gt;566.378343&lt;/D&gt;&lt;D xsi:type="xsd:double"&gt;566.793195&lt;/D&gt;&lt;D xsi:type="xsd:double"&gt;569.746656&lt;/D&gt;&lt;D xsi:type="xsd:double"&gt;565.243908&lt;/D&gt;&lt;D xsi:type="xsd:double"&gt;564.379979&lt;/D&gt;&lt;D xsi:type="xsd:double"&gt;566.846389&lt;/D&gt;&lt;D xsi:type="xsd:double"&gt;565.451349&lt;/D&gt;&lt;D xsi:type="xsd:double"&gt;563.503556&lt;/D&gt;&lt;D xsi:type="xsd:double"&gt;563.43207&lt;/D&gt;&lt;D xsi:type="xsd:double"&gt;563.000295&lt;/D&gt;&lt;D xsi:type="xsd:double"&gt;560.99857&lt;/D&gt;&lt;D xsi:type="xsd:double"&gt;559.605396&lt;/D&gt;&lt;D xsi:type="xsd:double"&gt;559.899655&lt;/D&gt;&lt;D xsi:type="xsd:double"&gt;559.168627&lt;/D&gt;&lt;D xsi:type="xsd:double"&gt;555.376277&lt;/D&gt;&lt;D xsi:type="xsd:double"&gt;552.191668&lt;/D&gt;&lt;D xsi:type="xsd:double"&gt;548.400953&lt;/D&gt;&lt;D xsi:type="xsd:double"&gt;546.735763&lt;/D&gt;&lt;D xsi:type="xsd:double"&gt;547.448107&lt;/D&gt;&lt;D xsi:type="xsd:double"&gt;548.116179&lt;/D&gt;&lt;D xsi:type="xsd:double"&gt;544.00008&lt;/D&gt;&lt;D xsi:type="xsd:double"&gt;542.946323&lt;/D&gt;&lt;D xsi:type="xsd:double"&gt;540.393607&lt;/D&gt;&lt;D xsi:type="xsd:double"&gt;543.367721&lt;/D&gt;&lt;D xsi:type="xsd:double"&gt;546.694995&lt;/D&gt;&lt;D xsi:type="xsd:double"&gt;549.683008&lt;/D&gt;&lt;D xsi:type="xsd:double"&gt;547.706718&lt;/D&gt;&lt;D xsi:type="xsd:double"&gt;547.172296&lt;/D&gt;&lt;D xsi:type="xsd:double"&gt;543.334449&lt;/D&gt;&lt;D xsi:type="xsd:double"&gt;542.351498&lt;/D&gt;&lt;D xsi:type="xsd:double"&gt;543.759041&lt;/D&gt;&lt;D xsi:type="xsd:double"&gt;546.16685&lt;/D&gt;&lt;D xsi:type="xsd:double"&gt;546.057383&lt;/D&gt;&lt;D xsi:type="xsd:double"&gt;545.233035&lt;/D&gt;&lt;D xsi:type="xsd:double"&gt;541.140678&lt;/D&gt;&lt;D xsi:type="xsd:double"&gt;541.87703&lt;/D&gt;&lt;D xsi:type="xsd:double"&gt;542.951812&lt;/D&gt;&lt;D xsi:type="xsd:double"&gt;542.003763&lt;/D&gt;&lt;D xsi:type="xsd:double"&gt;543.240826&lt;/D&gt;&lt;D xsi:type="xsd:double"&gt;543.311672&lt;/D&gt;&lt;D xsi:type="xsd:double"&gt;541.904975&lt;/D&gt;&lt;D xsi:type="xsd:double"&gt;541.599164&lt;/D&gt;&lt;D xsi:type="xsd:double"&gt;541.663156&lt;/D&gt;&lt;D xsi:type="xsd:double"&gt;538.761406&lt;/D&gt;&lt;D xsi:type="xsd:double"&gt;534.411202&lt;/D&gt;&lt;D xsi:type="xsd:double"&gt;535.183126&lt;/D&gt;&lt;D xsi:type="xsd:double"&gt;534.287524&lt;/D&gt;&lt;D xsi:type="xsd:double"&gt;534.020513&lt;/D&gt;&lt;D xsi:type="xsd:double"&gt;531.767075&lt;/D&gt;&lt;D xsi:type="xsd:double"&gt;530.357963&lt;/D&gt;&lt;D xsi:type="xsd:double"&gt;528.415954&lt;/D&gt;&lt;D xsi:type="xsd:double"&gt;527.758639&lt;/D&gt;&lt;D xsi:type="xsd:double"&gt;528.493344&lt;/D&gt;&lt;D xsi:type="xsd:double"&gt;525.252994&lt;/D&gt;&lt;D xsi:type="xsd:double"&gt;526.917361&lt;/D&gt;&lt;D xsi:type="xsd:double"&gt;525.271478&lt;/D&gt;&lt;D xsi:type="xsd:double"&gt;525.249042&lt;/D&gt;&lt;D xsi:type="xsd:double"&gt;520.63253&lt;/D&gt;&lt;D xsi:type="xsd:double"&gt;521.135318&lt;/D&gt;&lt;D xsi:type="xsd:double"&gt;514.070349&lt;/D&gt;&lt;D xsi:type="xsd:double"&gt;511.210704&lt;/D&gt;&lt;D xsi:type="xsd:double"&gt;508.418969&lt;/D&gt;&lt;D xsi:type="xsd:double"&gt;514.281955&lt;/D&gt;&lt;D xsi:type="xsd:double"&gt;514.849838&lt;/D&gt;&lt;D xsi:type="xsd:double"&gt;509.843369&lt;/D&gt;&lt;D xsi:type="xsd:double"&gt;507.569495&lt;/D&gt;&lt;D xsi:type="xsd:double"&gt;515.946052&lt;/D&gt;&lt;D xsi:type="xsd:double"&gt;520.650885&lt;/D&gt;&lt;D xsi:type="xsd:double"&gt;519.734611&lt;/D&gt;&lt;D xsi:type="xsd:double"&gt;521.873658&lt;/D&gt;&lt;D xsi:type="xsd:double"&gt;521.884417&lt;/D&gt;&lt;D xsi:type="xsd:double"&gt;521.703932&lt;/D&gt;&lt;D xsi:type="xsd:double"&gt;524.402158&lt;/D&gt;&lt;D xsi:type="xsd:double"&gt;525.567276&lt;/D&gt;&lt;D xsi:type="xsd:double"&gt;526.79317&lt;/D&gt;&lt;D xsi:type="xsd:double"&gt;526.30856&lt;/D&gt;&lt;D xsi:type="xsd:double"&gt;526.319836&lt;/D&gt;&lt;D xsi:type="xsd:double"&gt;525.5629&lt;/D&gt;&lt;D xsi:type="xsd:double"&gt;527.631522&lt;/D&gt;&lt;D xsi:type="xsd:double"&gt;526.530044&lt;/D&gt;&lt;D xsi:type="xsd:double"&gt;524.651513&lt;/D&gt;&lt;D xsi:type="xsd:double"&gt;520.9474&lt;/D&gt;&lt;D xsi:type="xsd:double"&gt;520.879715&lt;/D&gt;&lt;D xsi:type="xsd:double"&gt;520.825769&lt;/D&gt;&lt;D xsi:type="xsd:double"&gt;519.549806&lt;/D&gt;&lt;D xsi:type="xsd:double"&gt;513.636101&lt;/D&gt;&lt;D xsi:type="xsd:double"&gt;507.762595&lt;/D&gt;&lt;D xsi:type="xsd:double"&gt;510.877078&lt;/D&gt;&lt;D xsi:type="xsd:double"&gt;508.869437&lt;/D&gt;&lt;D xsi:type="xsd:double"&gt;504.115803&lt;/D&gt;&lt;D xsi:type="xsd:double"&gt;502.576945&lt;/D&gt;&lt;D xsi:type="xsd:double"&gt;502.434174&lt;/D&gt;&lt;D xsi:type="xsd:double"&gt;500.94479&lt;/D&gt;&lt;D xsi:type="xsd:double"&gt;508.911593&lt;/D&gt;&lt;D xsi:type="xsd:double"&gt;510.165583&lt;/D&gt;&lt;D xsi:type="xsd:double"&gt;506.607961&lt;/D&gt;&lt;D xsi:type="xsd:double"&gt;509.061264&lt;/D&gt;&lt;D xsi:type="xsd:double"&gt;503.684857&lt;/D&gt;&lt;D xsi:type="xsd:double"&gt;497.85094&lt;/D&gt;&lt;D xsi:type="xsd:double"&gt;498.629315&lt;/D&gt;&lt;D xsi:type="xsd:double"&gt;509.119439&lt;/D&gt;&lt;D xsi:type="xsd:double"&gt;505.86932&lt;/D&gt;&lt;D xsi:type="xsd:double"&gt;510.01301&lt;/D&gt;&lt;D xsi:type="xsd:double"&gt;512.645311&lt;/D&gt;&lt;D xsi:type="xsd:double"&gt;505.000759&lt;/D&gt;&lt;D xsi:type="xsd:double"&gt;503.97358&lt;/D&gt;&lt;D xsi:type="xsd:double"&gt;501.474667&lt;/D&gt;&lt;D xsi:type="xsd:double"&gt;514.439838&lt;/D&gt;&lt;D xsi:type="xsd:double"&gt;520.57194&lt;/D&gt;&lt;D xsi:type="xsd:double"&gt;524.350295&lt;/D&gt;&lt;D xsi:type="xsd:double"&gt;528.066244&lt;/D&gt;&lt;D xsi:type="xsd:double"&gt;530.146255&lt;/D&gt;&lt;D xsi:type="xsd:double"&gt;530.997589&lt;/D&gt;&lt;D xsi:type="xsd:double"&gt;529.464943&lt;/D&gt;&lt;D xsi:type="xsd:double"&gt;531.821851&lt;/D&gt;&lt;D xsi:type="xsd:double"&gt;530.100029&lt;/D&gt;&lt;D xsi:type="xsd:double"&gt;527.476942&lt;/D&gt;&lt;D xsi:type="xsd:double"&gt;527.044078&lt;/D&gt;&lt;D xsi:type="xsd:double"&gt;527.508467&lt;/D&gt;&lt;D xsi:type="xsd:double"&gt;527.596437&lt;/D&gt;&lt;D xsi:type="xsd:double"&gt;530.069342&lt;/D&gt;&lt;D xsi:type="xsd:double"&gt;531.239978&lt;/D&gt;&lt;D xsi:type="xsd:double"&gt;530.479753&lt;/D&gt;&lt;D xsi:type="xsd:double"&gt;529.181644&lt;/D&gt;&lt;D xsi:type="xsd:double"&gt;527.926692&lt;/D&gt;&lt;D xsi:type="xsd:double"&gt;525.959454&lt;/D&gt;&lt;D xsi:type="xsd:double"&gt;526.386009&lt;/D&gt;&lt;D xsi:type="xsd:double"&gt;529.508174&lt;/D&gt;&lt;D xsi:type="xsd:double"&gt;531.139562&lt;/D&gt;&lt;D xsi:type="xsd:double"&gt;528.237857&lt;/D&gt;&lt;D xsi:type="xsd:double"&gt;526.92655&lt;/D&gt;&lt;D xsi:type="xsd:double"&gt;523.442032&lt;/D&gt;&lt;D xsi:type="xsd:double"&gt;520.927522&lt;/D&gt;&lt;D xsi:type="xsd:double"&gt;518.809841&lt;/D&gt;&lt;D xsi:type="xsd:double"&gt;519.784708&lt;/D&gt;&lt;D xsi:type="xsd:double"&gt;523.298596&lt;/D&gt;&lt;D xsi:type="xsd:double"&gt;523.306499&lt;/D&gt;&lt;D xsi:type="xsd:double"&gt;524.441273&lt;/D&gt;&lt;D xsi:type="xsd:double"&gt;518.921021&lt;/D&gt;&lt;D xsi:type="xsd:double"&gt;515.816255&lt;/D&gt;&lt;D xsi:type="xsd:double"&gt;510.809419&lt;/D&gt;&lt;D xsi:type="xsd:double"&gt;511.068974&lt;/D&gt;&lt;D xsi:type="xsd:double"&gt;512.752552&lt;/D&gt;&lt;D xsi:type="xsd:double"&gt;512.456457&lt;/D&gt;&lt;D xsi:type="xsd:double"&gt;513.913564&lt;/D&gt;&lt;D xsi:type="xsd:double"&gt;512.440998&lt;/D&gt;&lt;D xsi:type="xsd:double"&gt;509.755909&lt;/D&gt;&lt;D xsi:type="xsd:double"&gt;504.673363&lt;/D&gt;&lt;D xsi:type="xsd:double"&gt;503.016306&lt;/D&gt;&lt;D xsi:type="xsd:double"&gt;499.208383&lt;/D&gt;&lt;D xsi:type="xsd:double"&gt;492.470063&lt;/D&gt;&lt;D xsi:type="xsd:double"&gt;492.115297&lt;/D&gt;&lt;D xsi:type="xsd:double"&gt;496.224888&lt;/D&gt;&lt;D xsi:type="xsd:double"&gt;495.313083&lt;/D&gt;&lt;D xsi:type="xsd:double"&gt;499.662982&lt;/D&gt;&lt;D xsi:type="xsd:double"&gt;501.803316&lt;/D&gt;&lt;D xsi:type="xsd:double"&gt;500.087949&lt;/D&gt;&lt;D xsi:type="xsd:double"&gt;506.012773&lt;/D&gt;&lt;D xsi:type="xsd:double"&gt;507.319035&lt;/D&gt;&lt;D xsi:type="xsd:double"&gt;504.270939&lt;/D&gt;&lt;D xsi:type="xsd:double"&gt;506.927165&lt;/D&gt;&lt;D xsi:type="xsd:double"&gt;509.794864&lt;/D&gt;&lt;D xsi:type="xsd:double"&gt;506.732304&lt;/D&gt;&lt;D xsi:type="xsd:double"&gt;504.170394&lt;/D&gt;&lt;D xsi:type="xsd:double"&gt;501.664703&lt;/D&gt;&lt;D xsi:type="xsd:double"&gt;511.109418&lt;/D&gt;&lt;D xsi:type="xsd:double"&gt;509.331949&lt;/D&gt;&lt;D xsi:type="xsd:double"&gt;513.285658&lt;/D&gt;&lt;D xsi:type="xsd:double"&gt;514.397011&lt;/D&gt;&lt;D xsi:type="xsd:double"&gt;521.347516&lt;/D&gt;&lt;D xsi:type="xsd:double"&gt;524.85047&lt;/D&gt;&lt;D xsi:type="xsd:double"&gt;521.089034&lt;/D&gt;&lt;D xsi:type="xsd:double"&gt;523.074287&lt;/D&gt;&lt;D xsi:type="xsd:double"&gt;524.843809&lt;/D&gt;&lt;D xsi:type="xsd:double"&gt;524.394465&lt;/D&gt;&lt;D xsi:type="xsd:double"&gt;523.74322&lt;/D&gt;&lt;D xsi:type="xsd:double"&gt;521.867221&lt;/D&gt;&lt;D xsi:type="xsd:double"&gt;523.04144&lt;/D&gt;&lt;D xsi:type="xsd:double"&gt;524.526478&lt;/D&gt;&lt;D xsi:type="xsd:double"&gt;521.756506&lt;/D&gt;&lt;D xsi:type="xsd:double"&gt;521.660941&lt;/D&gt;&lt;D xsi:type="xsd:double"&gt;522.035985&lt;/D&gt;&lt;D xsi:type="xsd:double"&gt;522.332504&lt;/D&gt;&lt;D xsi:type="xsd:double"&gt;521.505809&lt;/D&gt;&lt;D xsi:type="xsd:double"&gt;521.29433&lt;/D&gt;&lt;D xsi:type="xsd:double"&gt;518.695496&lt;/D&gt;&lt;D xsi:type="xsd:double"&gt;519.258245&lt;/D&gt;&lt;D xsi:type="xsd:double"&gt;518.090645&lt;/D&gt;&lt;D xsi:type="xsd:double"&gt;519.877363&lt;/D&gt;&lt;D xsi:type="xsd:double"&gt;519.039179&lt;/D&gt;&lt;D xsi:type="xsd:double"&gt;517.278561&lt;/D&gt;&lt;D xsi:type="xsd:double"&gt;517.284178&lt;/D&gt;&lt;D xsi:type="xsd:double"&gt;514.387023&lt;/D&gt;&lt;D xsi:type="xsd:double"&gt;514.345121&lt;/D&gt;&lt;D xsi:type="xsd:double"&gt;508.54849&lt;/D&gt;&lt;D xsi:type="xsd:double"&gt;505.143864&lt;/D&gt;&lt;D xsi:type="xsd:double"&gt;504.834583&lt;/D&gt;&lt;D xsi:type="xsd:double"&gt;507.024625&lt;/D&gt;&lt;D xsi:type="xsd:double"&gt;503.555804&lt;/D&gt;&lt;D xsi:type="xsd:double"&gt;505.879553&lt;/D&gt;&lt;D xsi:type="xsd:double"&gt;513.499712&lt;/D&gt;&lt;D xsi:type="xsd:double"&gt;510.048513&lt;/D&gt;&lt;D xsi:type="xsd:double"&gt;511.974682&lt;/D&gt;&lt;D xsi:type="xsd:double"&gt;511.358741&lt;/D&gt;&lt;D xsi:type="xsd:double"&gt;508.722658&lt;/D&gt;&lt;D xsi:type="xsd:double"&gt;505.557148&lt;/D&gt;&lt;D xsi:type="xsd:double"&gt;505.544719&lt;/D&gt;&lt;D xsi:type="xsd:double"&gt;502.988608&lt;/D&gt;&lt;D xsi:type="xsd:double"&gt;500.545184&lt;/D&gt;&lt;D xsi:type="xsd:double"&gt;494.911793&lt;/D&gt;&lt;D xsi:type="xsd:double"&gt;497.860496&lt;/D&gt;&lt;D xsi:type="xsd:double"&gt;502.223328&lt;/D&gt;&lt;D xsi:type="xsd:double"&gt;504.068499&lt;/D&gt;&lt;D xsi:type="xsd:double"&gt;504.600913&lt;/D&gt;&lt;D xsi:type="xsd:double"&gt;505.75202&lt;/D&gt;&lt;D xsi:type="xsd:double"&gt;503.480569&lt;/D&gt;&lt;D xsi:type="xsd:double"&gt;505.395256&lt;/D&gt;&lt;D xsi:type="xsd:double"&gt;505.510361&lt;/D&gt;&lt;D xsi:type="xsd:double"&gt;505.69007&lt;/D&gt;&lt;D xsi:type="xsd:double"&gt;504.150046&lt;/D&gt;&lt;D xsi:type="xsd:double"&gt;501.689985&lt;/D&gt;&lt;D xsi:type="xsd:double"&gt;502.918444&lt;/D&gt;&lt;D xsi:type="xsd:double"&gt;500.58055&lt;/D&gt;&lt;D xsi:type="xsd:double"&gt;498.238814&lt;/D&gt;&lt;D xsi:type="xsd:double"&gt;494.661096&lt;/D&gt;&lt;D xsi:type="xsd:double"&gt;495.91755&lt;/D&gt;&lt;D xsi:type="xsd:double"&gt;494.303919&lt;/D&gt;&lt;D xsi:type="xsd:double"&gt;488.912262&lt;/D&gt;&lt;D xsi:type="xsd:double"&gt;488.720497&lt;/D&gt;&lt;D xsi:type="xsd:double"&gt;490.417729&lt;/D&gt;&lt;D xsi:type="xsd:double"&gt;495.082822&lt;/D&gt;&lt;D xsi:type="xsd:double"&gt;496.179696&lt;/D&gt;&lt;D xsi:type="xsd:double"&gt;493.064756&lt;/D&gt;&lt;D xsi:type="xsd:double"&gt;491.434109&lt;/D&gt;&lt;D xsi:type="xsd:double"&gt;491.194144&lt;/D&gt;&lt;D xsi:type="xsd:double"&gt;486.712006&lt;/D&gt;&lt;D xsi:type="xsd:double"&gt;481.773472&lt;/D&gt;&lt;D xsi:type="xsd:double"&gt;481.590764&lt;/D&gt;&lt;D xsi:type="xsd:double"&gt;484.533142&lt;/D&gt;&lt;D xsi:type="xsd:double"&gt;479.840213&lt;/D&gt;&lt;D xsi:type="xsd:double"&gt;478.741766&lt;/D&gt;&lt;D xsi:type="xsd:double"&gt;478.409728&lt;/D&gt;&lt;D xsi:type="xsd:double"&gt;483.496358&lt;/D&gt;&lt;D xsi:type="xsd:double"&gt;477.630556&lt;/D&gt;&lt;D xsi:type="xsd:double"&gt;475.711496&lt;/D&gt;&lt;D xsi:type="xsd:double"&gt;474.856254&lt;/D&gt;&lt;D xsi:type="xsd:double"&gt;470.868814&lt;/D&gt;&lt;D xsi:type="xsd:double"&gt;473.258416&lt;/D&gt;&lt;D xsi:type="xsd:double"&gt;473.234171&lt;/D&gt;&lt;D xsi:type="xsd:double"&gt;471.565691&lt;/D&gt;&lt;D xsi:type="xsd:double"&gt;467.269176&lt;/D&gt;&lt;D xsi:type="xsd:double"&gt;463.987313&lt;/D&gt;&lt;D xsi:type="xsd:double"&gt;459.940072&lt;/D&gt;&lt;D xsi:type="xsd:double"&gt;448.205668&lt;/D&gt;&lt;D xsi:type="xsd:double"&gt;454.516142&lt;/D&gt;&lt;D xsi:type="xsd:double"&gt;455.662175&lt;/D&gt;&lt;D xsi:type="xsd:double"&gt;452.693179&lt;/D&gt;&lt;D xsi:type="xsd:double"&gt;450.322554&lt;/D&gt;&lt;D xsi:type="xsd:double"&gt;447.709871&lt;/D&gt;&lt;D xsi:type="xsd:double"&gt;437.67961&lt;/D&gt;&lt;D xsi:type="xsd:double"&gt;444.757194&lt;/D&gt;&lt;D xsi:type="xsd:double"&gt;450.833531&lt;/D&gt;&lt;D xsi:type="xsd:double"&gt;457.647423&lt;/D&gt;&lt;D xsi:type="xsd:double"&gt;460.680184&lt;/D&gt;&lt;D xsi:type="xsd:double"&gt;462.266414&lt;/D&gt;&lt;D xsi:type="xsd:double"&gt;468.511534&lt;/D&gt;&lt;D xsi:type="xsd:double"&gt;476.067063&lt;/D&gt;&lt;D xsi:type="xsd:double"&gt;476.010933&lt;/D&gt;&lt;D xsi:type="xsd:double"&gt;470.697066&lt;/D&gt;&lt;D xsi:type="xsd:double"&gt;470.196016&lt;/D&gt;&lt;D xsi:type="xsd:double"&gt;473.880218&lt;/D&gt;&lt;D xsi:type="xsd:double"&gt;479.203946&lt;/D&gt;&lt;D xsi:type="xsd:double"&gt;486.729921&lt;/D&gt;&lt;D xsi:type="xsd:double"&gt;497.480715&lt;/D&gt;&lt;D xsi:type="xsd:double"&gt;490.857326&lt;/D&gt;&lt;D xsi:type="xsd:double"&gt;489.660852&lt;</t>
        </r>
      </text>
    </comment>
    <comment ref="A32" authorId="0" shapeId="0">
      <text>
        <r>
          <rPr>
            <b/>
            <sz val="9"/>
            <color indexed="81"/>
            <rFont val="Tahoma"/>
            <family val="2"/>
          </rPr>
          <t>/D&gt;&lt;D xsi:type="xsd:double"&gt;488.216221&lt;/D&gt;&lt;D xsi:type="xsd:double"&gt;481.238542&lt;/D&gt;&lt;D xsi:type="xsd:double"&gt;480.854124&lt;/D&gt;&lt;D xsi:type="xsd:double"&gt;475.296528&lt;/D&gt;&lt;D xsi:type="xsd:double"&gt;477.679696&lt;/D&gt;&lt;D xsi:type="xsd:double"&gt;475.873448&lt;/D&gt;&lt;D xsi:type="xsd:double"&gt;483.724478&lt;/D&gt;&lt;D xsi:type="xsd:double"&gt;488.341714&lt;/D&gt;&lt;D xsi:type="xsd:double"&gt;486.873978&lt;/D&gt;&lt;D xsi:type="xsd:double"&gt;483.788501&lt;/D&gt;&lt;D xsi:type="xsd:double"&gt;486.099922&lt;/D&gt;&lt;D xsi:type="xsd:double"&gt;486.568915&lt;/D&gt;&lt;D xsi:type="xsd:double"&gt;494.482057&lt;/D&gt;&lt;D xsi:type="xsd:double"&gt;499.565794&lt;/D&gt;&lt;D xsi:type="xsd:double"&gt;500.232101&lt;/D&gt;&lt;D xsi:type="xsd:double"&gt;492.703727&lt;/D&gt;&lt;D xsi:type="xsd:double"&gt;490.583368&lt;/D&gt;&lt;D xsi:type="xsd:double"&gt;489.974177&lt;/D&gt;&lt;D xsi:type="xsd:double"&gt;489.476064&lt;/D&gt;&lt;D xsi:type="xsd:double"&gt;484.570966&lt;/D&gt;&lt;D xsi:type="xsd:double"&gt;478.190715&lt;/D&gt;&lt;D xsi:type="xsd:double"&gt;473.521019&lt;/D&gt;&lt;D xsi:type="xsd:double"&gt;475.10646&lt;/D&gt;&lt;D xsi:type="xsd:double"&gt;480.830845&lt;/D&gt;&lt;D xsi:type="xsd:double"&gt;477.290732&lt;/D&gt;&lt;D xsi:type="xsd:double"&gt;487.369018&lt;/D&gt;&lt;D xsi:type="xsd:double"&gt;492.778542&lt;/D&gt;&lt;D xsi:type="xsd:double"&gt;494.04656&lt;/D&gt;&lt;D xsi:type="xsd:double"&gt;494.471997&lt;/D&gt;&lt;D xsi:type="xsd:double"&gt;500.524338&lt;/D&gt;&lt;D xsi:type="xsd:double"&gt;500.940074&lt;/D&gt;&lt;D xsi:type="xsd:double"&gt;492.51506&lt;/D&gt;&lt;D xsi:type="xsd:double"&gt;494.759187&lt;/D&gt;&lt;D xsi:type="xsd:double"&gt;489.404591&lt;/D&gt;&lt;D xsi:type="xsd:double"&gt;500.545491&lt;/D&gt;&lt;D xsi:type="xsd:double"&gt;511.544501&lt;/D&gt;&lt;D xsi:type="xsd:double"&gt;512.717647&lt;/D&gt;&lt;D xsi:type="xsd:double"&gt;514.686169&lt;/D&gt;&lt;D xsi:type="xsd:double"&gt;518.209294&lt;/D&gt;&lt;D xsi:type="xsd:double"&gt;523.459546&lt;/D&gt;&lt;D xsi:type="xsd:double"&gt;523.361175&lt;/D&gt;&lt;D xsi:type="xsd:double"&gt;525.060586&lt;/D&gt;&lt;D xsi:type="xsd:double"&gt;524.252671&lt;/D&gt;&lt;D xsi:type="xsd:double"&gt;525.443291&lt;/D&gt;&lt;D xsi:type="xsd:double"&gt;525.280112&lt;/D&gt;&lt;D xsi:type="xsd:double"&gt;526.088275&lt;/D&gt;&lt;D xsi:type="xsd:double"&gt;525.865608&lt;/D&gt;&lt;D xsi:type="xsd:double"&gt;527.863193&lt;/D&gt;&lt;D xsi:type="xsd:double"&gt;526.13585&lt;/D&gt;&lt;D xsi:type="xsd:double"&gt;521.983279&lt;/D&gt;&lt;D xsi:type="xsd:double"&gt;520.187283&lt;/D&gt;&lt;D xsi:type="xsd:double"&gt;517.497083&lt;/D&gt;&lt;D xsi:type="xsd:double"&gt;519.460741&lt;/D&gt;&lt;D xsi:type="xsd:double"&gt;518.023184&lt;/D&gt;&lt;D xsi:type="xsd:double"&gt;515.168843&lt;/D&gt;&lt;D xsi:type="xsd:double"&gt;514.028047&lt;/D&gt;&lt;D xsi:type="xsd:double"&gt;513.392222&lt;/D&gt;&lt;D xsi:type="xsd:double"&gt;512.965724&lt;/D&gt;&lt;D xsi:type="xsd:double"&gt;514.078054&lt;/D&gt;&lt;D xsi:type="xsd:double"&gt;516.134634&lt;/D&gt;&lt;D xsi:type="xsd:double"&gt;519.302136&lt;/D&gt;&lt;D xsi:type="xsd:double"&gt;522.881007&lt;/D&gt;&lt;D xsi:type="xsd:double"&gt;524.280335&lt;/D&gt;&lt;D xsi:type="xsd:double"&gt;526.93965&lt;/D&gt;&lt;D xsi:type="xsd:double"&gt;525.182335&lt;/D&gt;&lt;D xsi:type="xsd:double"&gt;524.555066&lt;/D&gt;&lt;D xsi:type="xsd:double"&gt;519.595982&lt;/D&gt;&lt;D xsi:type="xsd:double"&gt;516.839828&lt;/D&gt;&lt;D xsi:type="xsd:double"&gt;518.417576&lt;/D&gt;&lt;D xsi:type="xsd:double"&gt;517.174955&lt;/D&gt;&lt;D xsi:type="xsd:double"&gt;515.191571&lt;/D&gt;&lt;D xsi:type="xsd:double"&gt;513.079713&lt;/D&gt;&lt;D xsi:type="xsd:double"&gt;511.496617&lt;/D&gt;&lt;D xsi:type="xsd:double"&gt;508.316611&lt;/D&gt;&lt;D xsi:type="xsd:double"&gt;513.993405&lt;/D&gt;&lt;D xsi:type="xsd:double"&gt;511.920371&lt;/D&gt;&lt;D xsi:type="xsd:double"&gt;515.610436&lt;/D&gt;&lt;D xsi:type="xsd:double"&gt;521.601687&lt;/D&gt;&lt;D xsi:type="xsd:double"&gt;522.184722&lt;/D&gt;&lt;D xsi:type="xsd:double"&gt;522.33806&lt;/D&gt;&lt;D xsi:type="xsd:double"&gt;519.822546&lt;/D&gt;&lt;D xsi:type="xsd:double"&gt;519.534243&lt;/D&gt;&lt;D xsi:type="xsd:double"&gt;517.540351&lt;/D&gt;&lt;D xsi:type="xsd:double"&gt;518.987951&lt;/D&gt;&lt;D xsi:type="xsd:double"&gt;519.817935&lt;/D&gt;&lt;D xsi:type="xsd:double"&gt;518.929185&lt;/D&gt;&lt;D xsi:type="xsd:double"&gt;520.730276&lt;/D&gt;&lt;D xsi:type="xsd:double"&gt;521.800827&lt;/D&gt;&lt;D xsi:type="xsd:double"&gt;521.743721&lt;/D&gt;&lt;D xsi:type="xsd:double"&gt;518.998615&lt;/D&gt;&lt;D xsi:type="xsd:double"&gt;515.915344&lt;/D&gt;&lt;D xsi:type="xsd:double"&gt;515.888536&lt;/D&gt;&lt;D xsi:type="xsd:double"&gt;514.447498&lt;/D&gt;&lt;D xsi:type="xsd:double"&gt;516.473081&lt;/D&gt;&lt;D xsi:type="xsd:double"&gt;515.716015&lt;/D&gt;&lt;D xsi:type="xsd:double"&gt;514.534717&lt;/D&gt;&lt;D xsi:type="xsd:double"&gt;515.216891&lt;/D&gt;&lt;D xsi:type="xsd:double"&gt;514.121844&lt;/D&gt;&lt;D xsi:type="xsd:double"&gt;510.920329&lt;/D&gt;&lt;D xsi:type="xsd:double"&gt;515.518888&lt;/D&gt;&lt;D xsi:type="xsd:double"&gt;514.483143&lt;/D&gt;&lt;D xsi:type="xsd:double"&gt;509.89907&lt;/D&gt;&lt;D xsi:type="xsd:double"&gt;505.839475&lt;/D&gt;&lt;D xsi:type="xsd:double"&gt;503.000575&lt;/D&gt;&lt;D xsi:type="xsd:double"&gt;503.096237&lt;/D&gt;&lt;D xsi:type="xsd:double"&gt;505.198233&lt;/D&gt;&lt;D xsi:type="xsd:double"&gt;501.87857&lt;/D&gt;&lt;D xsi:type="xsd:double"&gt;501.466252&lt;/D&gt;&lt;D xsi:type="xsd:double"&gt;504.910602&lt;/D&gt;&lt;D xsi:type="xsd:double"&gt;504.488869&lt;/D&gt;&lt;D xsi:type="xsd:double"&gt;511.681981&lt;/D&gt;&lt;D xsi:type="xsd:double"&gt;509.336986&lt;/D&gt;&lt;D xsi:type="xsd:double"&gt;512.580568&lt;/D&gt;&lt;D xsi:type="xsd:double"&gt;510.780298&lt;/D&gt;&lt;D xsi:type="xsd:double"&gt;514.992654&lt;/D&gt;&lt;D xsi:type="xsd:double"&gt;517.205228&lt;/D&gt;&lt;D xsi:type="xsd:double"&gt;519.539786&lt;/D&gt;&lt;D xsi:type="xsd:double"&gt;519.696924&lt;/D&gt;&lt;D xsi:type="xsd:double"&gt;521.071473&lt;/D&gt;&lt;D xsi:type="xsd:double"&gt;520.758438&lt;/D&gt;&lt;D xsi:type="xsd:double"&gt;519.154445&lt;/D&gt;&lt;D xsi:type="xsd:double"&gt;519.897807&lt;/D&gt;&lt;D xsi:type="xsd:double"&gt;519.746647&lt;/D&gt;&lt;D xsi:type="xsd:double"&gt;515.718966&lt;/D&gt;&lt;D xsi:type="xsd:double"&gt;516.377417&lt;/D&gt;&lt;D xsi:type="xsd:double"&gt;512.767256&lt;/D&gt;&lt;D xsi:type="xsd:double"&gt;508.769038&lt;/D&gt;&lt;D xsi:type="xsd:double"&gt;509.960837&lt;/D&gt;&lt;D xsi:type="xsd:double"&gt;506.987234&lt;/D&gt;&lt;D xsi:type="xsd:double"&gt;513.448163&lt;/D&gt;&lt;D xsi:type="xsd:double"&gt;514.856155&lt;/D&gt;&lt;D xsi:type="xsd:double"&gt;515.862083&lt;/D&gt;&lt;D xsi:type="xsd:double"&gt;517.597931&lt;/D&gt;&lt;D xsi:type="xsd:double"&gt;517.722066&lt;/D&gt;&lt;D xsi:type="xsd:double"&gt;515.655703&lt;/D&gt;&lt;D xsi:type="xsd:double"&gt;517.011873&lt;/D&gt;&lt;D xsi:type="xsd:double"&gt;517.03746&lt;/D&gt;&lt;D xsi:type="xsd:double"&gt;516.139984&lt;/D&gt;&lt;D xsi:type="xsd:double"&gt;520.583627&lt;/D&gt;&lt;D xsi:type="xsd:double"&gt;519.462081&lt;/D&gt;&lt;D xsi:type="xsd:double"&gt;517.232891&lt;/D&gt;&lt;D xsi:type="xsd:double"&gt;513.617705&lt;/D&gt;&lt;D xsi:type="xsd:double"&gt;510.386636&lt;/D&gt;&lt;D xsi:type="xsd:double"&gt;510.607926&lt;/D&gt;&lt;D xsi:type="xsd:double"&gt;508.833926&lt;/D&gt;&lt;D xsi:type="xsd:double"&gt;505.039155&lt;/D&gt;&lt;D xsi:type="xsd:double"&gt;506.899413&lt;/D&gt;&lt;D xsi:type="xsd:double"&gt;509.001351&lt;/D&gt;&lt;D xsi:type="xsd:double"&gt;509.693782&lt;/D&gt;&lt;D xsi:type="xsd:double"&gt;511.314098&lt;/D&gt;&lt;D xsi:type="xsd:double"&gt;509.910705&lt;/D&gt;&lt;D xsi:type="xsd:double"&gt;506.321229&lt;/D&gt;&lt;D xsi:type="xsd:double"&gt;508.081802&lt;/D&gt;&lt;D xsi:type="xsd:double"&gt;511.670383&lt;/D&gt;&lt;D xsi:type="xsd:double"&gt;512.735932&lt;/D&gt;&lt;D xsi:type="xsd:double"&gt;517.051847&lt;/D&gt;&lt;D xsi:type="xsd:double"&gt;518.316048&lt;/D&gt;&lt;D xsi:type="xsd:double"&gt;516.118837&lt;/D&gt;&lt;D xsi:type="xsd:double"&gt;512.490853&lt;/D&gt;&lt;D xsi:type="xsd:double"&gt;510.522793&lt;/D&gt;&lt;D xsi:type="xsd:double"&gt;511.291895&lt;/D&gt;&lt;D xsi:type="xsd:double"&gt;509.432027&lt;/D&gt;&lt;D xsi:type="xsd:double"&gt;511.041254&lt;/D&gt;&lt;D xsi:type="xsd:double"&gt;504.180558&lt;/D&gt;&lt;D xsi:type="xsd:double"&gt;502.315405&lt;/D&gt;&lt;D xsi:type="xsd:double"&gt;508.552071&lt;/D&gt;&lt;D xsi:type="xsd:double"&gt;503.815537&lt;/D&gt;&lt;D xsi:type="xsd:double"&gt;501.891043&lt;/D&gt;&lt;D xsi:type="xsd:double"&gt;499.649264&lt;/D&gt;&lt;D xsi:type="xsd:double"&gt;505.440105&lt;/D&gt;&lt;D xsi:type="xsd:double"&gt;501.27241&lt;/D&gt;&lt;D xsi:type="xsd:double"&gt;504.133761&lt;/D&gt;&lt;D xsi:type="xsd:double"&gt;506.899748&lt;/D&gt;&lt;D xsi:type="xsd:double"&gt;499.363251&lt;/D&gt;&lt;D xsi:type="xsd:double"&gt;508.479714&lt;/D&gt;&lt;D xsi:type="xsd:double"&gt;516.945574&lt;/D&gt;&lt;D xsi:type="xsd:double"&gt;517.332414&lt;/D&gt;&lt;D xsi:type="xsd:double"&gt;516.890254&lt;/D&gt;&lt;D xsi:type="xsd:double"&gt;522.474298&lt;/D&gt;&lt;D xsi:type="xsd:double"&gt;522.487402&lt;/D&gt;&lt;D xsi:type="xsd:double"&gt;522.867071&lt;/D&gt;&lt;D xsi:type="xsd:double"&gt;525.305842&lt;/D&gt;&lt;D xsi:type="xsd:double"&gt;527.294885&lt;/D&gt;&lt;D xsi:type="xsd:double"&gt;525.444648&lt;/D&gt;&lt;D xsi:type="xsd:double"&gt;519.647102&lt;/D&gt;&lt;D xsi:type="xsd:double"&gt;517.331148&lt;/D&gt;&lt;D xsi:type="xsd:double"&gt;517.964612&lt;/D&gt;&lt;D xsi:type="xsd:double"&gt;514.622593&lt;/D&gt;&lt;D xsi:type="xsd:double"&gt;511.33813&lt;/D&gt;&lt;D xsi:type="xsd:double"&gt;511.904329&lt;/D&gt;&lt;D xsi:type="xsd:double"&gt;518.079101&lt;/D&gt;&lt;D xsi:type="xsd:double"&gt;523.832068&lt;/D&gt;&lt;D xsi:type="xsd:double"&gt;528.397366&lt;/D&gt;&lt;D xsi:type="xsd:double"&gt;524.119423&lt;/D&gt;&lt;D xsi:type="xsd:double"&gt;518.201966&lt;/D&gt;&lt;D xsi:type="xsd:double"&gt;518.917215&lt;/D&gt;&lt;D xsi:type="xsd:double"&gt;519.812029&lt;/D&gt;&lt;D xsi:type="xsd:double"&gt;522.599612&lt;/D&gt;&lt;D xsi:type="xsd:double"&gt;521.253043&lt;/D&gt;&lt;D xsi:type="xsd:double"&gt;514.952096&lt;/D&gt;&lt;D xsi:type="xsd:double"&gt;508.444814&lt;/D&gt;&lt;D xsi:type="xsd:double"&gt;506.837467&lt;/D&gt;&lt;D xsi:type="xsd:double"&gt;500.907452&lt;/D&gt;&lt;D xsi:type="xsd:double"&gt;500.704332&lt;/D&gt;&lt;D xsi:type="xsd:double"&gt;513.297084&lt;/D&gt;&lt;D xsi:type="xsd:double"&gt;512.965011&lt;/D&gt;&lt;D xsi:type="xsd:double"&gt;515.734718&lt;/D&gt;&lt;D xsi:type="xsd:double"&gt;531.462129&lt;/D&gt;&lt;D xsi:type="xsd:double"&gt;541.208766&lt;/D&gt;&lt;D xsi:type="xsd:double"&gt;541.673257&lt;/D&gt;&lt;D xsi:type="xsd:double"&gt;541.495829&lt;/D&gt;&lt;D xsi:type="xsd:double"&gt;546.887738&lt;/D&gt;&lt;D xsi:type="xsd:double"&gt;550.317007&lt;/D&gt;&lt;D xsi:type="xsd:double"&gt;546.683916&lt;/D&gt;&lt;D xsi:type="xsd:double"&gt;545.990378&lt;/D&gt;&lt;D xsi:type="xsd:double"&gt;545.173366&lt;/D&gt;&lt;D xsi:type="xsd:double"&gt;542.501447&lt;/D&gt;&lt;D xsi:type="xsd:double"&gt;539.265821&lt;/D&gt;&lt;D xsi:type="xsd:double"&gt;536.703834&lt;/D&gt;&lt;D xsi:type="xsd:double"&gt;537.135645&lt;/D&gt;&lt;D xsi:type="xsd:double"&gt;534.405295&lt;/D&gt;&lt;D xsi:type="xsd:double"&gt;533.234615&lt;/D&gt;&lt;D xsi:type="xsd:double"&gt;529.73912&lt;/D&gt;&lt;D xsi:type="xsd:double"&gt;527.725428&lt;/D&gt;&lt;D xsi:type="xsd:double"&gt;528.016156&lt;/D&gt;&lt;D xsi:type="xsd:double"&gt;527.2852&lt;/D&gt;&lt;D xsi:type="xsd:double"&gt;526.685618&lt;/D&gt;&lt;D xsi:type="xsd:double"&gt;523.264989&lt;/D&gt;&lt;D xsi:type="xsd:double"&gt;519.149905&lt;/D&gt;&lt;D xsi:type="xsd:double"&gt;516.757363&lt;/D&gt;&lt;D xsi:type="xsd:double"&gt;513.025948&lt;/D&gt;&lt;D xsi:type="xsd:double"&gt;513.511197&lt;/D&gt;&lt;D xsi:type="xsd:double"&gt;512.232967&lt;/D&gt;&lt;D xsi:type="xsd:double"&gt;511.096867&lt;/D&gt;&lt;D xsi:type="xsd:double"&gt;511.286093&lt;/D&gt;&lt;D xsi:type="xsd:double"&gt;511.189432&lt;/D&gt;&lt;D xsi:type="xsd:double"&gt;509.962865&lt;/D&gt;&lt;D xsi:type="xsd:double"&gt;510.121461&lt;/D&gt;&lt;D xsi:type="xsd:double"&gt;511.678835&lt;/D&gt;&lt;D xsi:type="xsd:double"&gt;507.081249&lt;/D&gt;&lt;D xsi:type="xsd:double"&gt;505.505876&lt;/D&gt;&lt;D xsi:type="xsd:double"&gt;506.844282&lt;/D&gt;&lt;D xsi:type="xsd:double"&gt;506.30612&lt;/D&gt;&lt;D xsi:type="xsd:double"&gt;506.23397&lt;/D&gt;&lt;D xsi:type="xsd:double"&gt;504.078525&lt;/D&gt;&lt;D xsi:type="xsd:double"&gt;501.417195&lt;/D&gt;&lt;D xsi:type="xsd:double"&gt;500.299178&lt;/D&gt;&lt;D xsi:type="xsd:double"&gt;502.330185&lt;/D&gt;&lt;D xsi:type="xsd:double"&gt;503.918765&lt;/D&gt;&lt;D xsi:type="xsd:double"&gt;503.470521&lt;/D&gt;&lt;D xsi:type="xsd:double"&gt;505.442384&lt;/D&gt;&lt;D xsi:type="xsd:double"&gt;504.116711&lt;/D&gt;&lt;D xsi:type="xsd:double"&gt;504.453645&lt;/D&gt;&lt;D xsi:type="xsd:double"&gt;502.020267&lt;/D&gt;&lt;D xsi:type="xsd:double"&gt;503.348779&lt;/D&gt;&lt;D xsi:type="xsd:double"&gt;501.434371&lt;/D&gt;&lt;D xsi:type="xsd:double"&gt;500.510899&lt;/D&gt;&lt;D xsi:type="xsd:double"&gt;497.278707&lt;/D&gt;&lt;D xsi:type="xsd:double"&gt;496.747593&lt;/D&gt;&lt;D xsi:type="xsd:double"&gt;496.737181&lt;/D&gt;&lt;D xsi:type="xsd:double"&gt;492.814974&lt;/D&gt;&lt;D xsi:type="xsd:double"&gt;495.525414&lt;/D&gt;&lt;D xsi:type="xsd:double"&gt;496.607843&lt;/D&gt;&lt;D xsi:type="xsd:double"&gt;497.856511&lt;/D&gt;&lt;D xsi:type="xsd:double"&gt;498.586312&lt;/D&gt;&lt;D xsi:type="xsd:double"&gt;500.427944&lt;/D&gt;&lt;D xsi:type="xsd:double"&gt;499.576465&lt;/D&gt;&lt;D xsi:type="xsd:double"&gt;499.396579&lt;/D&gt;&lt;D xsi:type="xsd:double"&gt;498.858528&lt;/D&gt;&lt;D xsi:type="xsd:double"&gt;498.438678&lt;/D&gt;&lt;D xsi:type="xsd:double"&gt;498.077309&lt;/D&gt;&lt;D xsi:type="xsd:double"&gt;496.624669&lt;/D&gt;&lt;D xsi:type="xsd:double"&gt;495.964009&lt;/D&gt;&lt;D xsi:type="xsd:double"&gt;495.689626&lt;/D&gt;&lt;D xsi:type="xsd:double"&gt;493.663846&lt;/D&gt;&lt;D xsi:type="xsd:double"&gt;493.497674&lt;/D&gt;&lt;D xsi:type="xsd:double"&gt;495.158324&lt;/D&gt;&lt;D xsi:type="xsd:double"&gt;495.00782&lt;/D&gt;&lt;D xsi:type="xsd:double"&gt;496.39286&lt;/D&gt;&lt;D xsi:type="xsd:double"&gt;495.754519&lt;/D&gt;&lt;D xsi:type="xsd:double"&gt;495.661031&lt;/D&gt;&lt;D xsi:type="xsd:double"&gt;494.934729&lt;/D&gt;&lt;D xsi:type="xsd:double"&gt;495.799185&lt;/D&gt;&lt;D xsi:type="xsd:double"&gt;495.087016&lt;/D&gt;&lt;D xsi:type="xsd:double"&gt;493.923703&lt;/D&gt;&lt;D xsi:type="xsd:double"&gt;493.894416&lt;/D&gt;&lt;D xsi:type="xsd:double"&gt;493.001378&lt;/D&gt;&lt;D xsi:type="xsd:double"&gt;490.555141&lt;/D&gt;&lt;D xsi:type="xsd:double"&gt;490.889718&lt;/D&gt;&lt;D xsi:type="xsd:double"&gt;491.32958&lt;/D&gt;&lt;D xsi:type="xsd:double"&gt;490.162224&lt;/D&gt;&lt;D xsi:type="xsd:double"&gt;489.62943&lt;/D&gt;&lt;D xsi:type="xsd:double"&gt;487.830856&lt;/D&gt;&lt;D xsi:type="xsd:double"&gt;486.878674&lt;/D&gt;&lt;D xsi:type="xsd:double"&gt;484.629797&lt;/D&gt;&lt;D xsi:type="xsd:double"&gt;484.012915&lt;/D&gt;&lt;D xsi:type="xsd:double"&gt;483.071114&lt;/D&gt;&lt;D xsi:type="xsd:double"&gt;484.748625&lt;/D&gt;&lt;D xsi:type="xsd:double"&gt;486.661422&lt;/D&gt;&lt;D xsi:type="xsd:double"&gt;486.054434&lt;/D&gt;&lt;D xsi:type="xsd:double"&gt;488.055641&lt;/D&gt;&lt;D xsi:type="xsd:double"&gt;487.370727&lt;/D&gt;&lt;D xsi:type="xsd:double"&gt;486.355953&lt;/D&gt;&lt;D xsi:type="xsd:double"&gt;485.180547&lt;/D&gt;&lt;D xsi:type="xsd:double"&gt;484.135654&lt;/D&gt;&lt;D xsi:type="xsd:double"&gt;484.82826&lt;/D&gt;&lt;D xsi:type="xsd:double"&gt;485.304889&lt;/D&gt;&lt;D xsi:type="xsd:double"&gt;483.786895&lt;/D&gt;&lt;D xsi:type="xsd:double"&gt;479.61459&lt;/D&gt;&lt;D xsi:type="xsd:double"&gt;479.570013&lt;/D&gt;&lt;D xsi:type="xsd:double"&gt;478.04187&lt;/D&gt;&lt;D xsi:type="xsd:double"&gt;477.162463&lt;/D&gt;&lt;D xsi:type="xsd:double"&gt;479.898434&lt;/D&gt;&lt;D xsi:type="xsd:double"&gt;478.405615&lt;/D&gt;&lt;D xsi:type="xsd:double"&gt;475.792819&lt;/D&gt;&lt;D xsi:type="xsd:double"&gt;474.906408&lt;/D&gt;&lt;D xsi:type="xsd:double"&gt;475.370766&lt;/D&gt;&lt;D xsi:type="xsd:double"&gt;475.017028&lt;/D&gt;&lt;D xsi:type="xsd:double"&gt;473.807268&lt;/D&gt;&lt;D xsi:type="xsd:double"&gt;473.989489&lt;/D&gt;&lt;D xsi:type="xsd:double"&gt;474.481529&lt;/D&gt;&lt;D xsi:type="xsd:double"&gt;471.232842&lt;/D&gt;&lt;D xsi:type="xsd:double"&gt;470.62714&lt;/D&gt;&lt;D xsi:type="xsd:double"&gt;472.096592&lt;/D&gt;&lt;D xsi:type="xsd:double"&gt;475.753096&lt;/D&gt;&lt;D xsi:type="xsd:double"&gt;474.315726&lt;/D&gt;&lt;D xsi:type="xsd:double"&gt;475.095056&lt;/D&gt;&lt;D xsi:type="xsd:double"&gt;471.334064&lt;/D&gt;&lt;D xsi:type="xsd:double"&gt;472.581394&lt;/D&gt;&lt;D xsi:type="xsd:double"&gt;477.889813&lt;/D&gt;&lt;D xsi:type="xsd:double"&gt;479.451589&lt;/D&gt;&lt;D xsi:type="xsd:double"&gt;480.352738&lt;/D&gt;&lt;D xsi:type="xsd:double"&gt;479.072449&lt;/D&gt;&lt;D xsi:type="xsd:double"&gt;479.111198&lt;/D&gt;&lt;D xsi:type="xsd:double"&gt;479.756763&lt;/D&gt;&lt;D xsi:type="xsd:double"&gt;479.726635&lt;/D&gt;&lt;D xsi:type="xsd:double"&gt;477.583466&lt;/D&gt;&lt;D xsi:type="xsd:double"&gt;477.245481&lt;/D&gt;&lt;D xsi:type="xsd:double"&gt;478.249729&lt;/D&gt;&lt;D xsi:type="xsd:double"&gt;477.551058&lt;/D&gt;&lt;D xsi:type="xsd:double"&gt;477.237896&lt;/D&gt;&lt;D xsi:type="xsd:double"&gt;476.132737&lt;/D&gt;&lt;D xsi:type="xsd:double"&gt;476.768252&lt;/D&gt;&lt;D xsi:type="xsd:double"&gt;477.704933&lt;/D&gt;&lt;D xsi:type="xsd:double"&gt;476.72015&lt;/D&gt;&lt;D xsi:type="xsd:double"&gt;474.444959&lt;/D&gt;&lt;D xsi:type="xsd:double"&gt;474.126609&lt;/D&gt;&lt;D xsi:type="xsd:double"&gt;473.783588&lt;/D&gt;&lt;D xsi:type="xsd:double"&gt;471.058279&lt;/D&gt;&lt;D xsi:type="xsd:double"&gt;469.617553&lt;/D&gt;&lt;D xsi:type="xsd:double"&gt;465.308685&lt;/D&gt;&lt;D xsi:type="xsd:double"&gt;465.157482&lt;/D&gt;&lt;D xsi:type="xsd:double"&gt;463.958359&lt;/D&gt;&lt;D xsi:type="xsd:double"&gt;463.249976&lt;/D&gt;&lt;D xsi:type="xsd:double"&gt;465.878156&lt;/D&gt;&lt;D xsi:type="xsd:double"&gt;466.161253&lt;/D&gt;&lt;D xsi:type="xsd:double"&gt;465.087899&lt;/D&gt;&lt;D xsi:type="xsd:double"&gt;465.937007&lt;/D&gt;&lt;D xsi:type="xsd:double"&gt;468.449596&lt;/D&gt;&lt;D xsi:type="xsd:double"&gt;465.638574&lt;/D&gt;&lt;D xsi:type="xsd:double"&gt;467.900318&lt;/D&gt;&lt;D xsi:type="xsd:double"&gt;466.982008&lt;/D&gt;&lt;D xsi:type="xsd:double"&gt;466.085741&lt;/D&gt;&lt;D xsi:type="xsd:double"&gt;465.632216&lt;/D&gt;&lt;D xsi:type="xsd:double"&gt;466.292931&lt;/D&gt;&lt;D xsi:type="xsd:double"&gt;469.525646&lt;/D&gt;&lt;D xsi:type="xsd:double"&gt;466.155823&lt;/D&gt;&lt;D xsi:type="xsd:double"&gt;464.735724&lt;/D&gt;&lt;D xsi:type="xsd:double"&gt;468.273231&lt;/D&gt;&lt;D xsi:type="xsd:double"&gt;467.687164&lt;/D&gt;&lt;D xsi:type="xsd:double"&gt;465.479891&lt;/D&gt;&lt;D xsi:type="xsd:double"&gt;466.839626&lt;/D&gt;&lt;D xsi:type="xsd:double"&gt;467.188607&lt;/D&gt;&lt;D xsi:type="xsd:double"&gt;467.632319&lt;/D&gt;&lt;D xsi:type="xsd:double"&gt;467.423656&lt;/D&gt;&lt;D xsi:type="xsd:double"&gt;468.734348&lt;/D&gt;&lt;D xsi:type="xsd:double"&gt;469.35457&lt;/D&gt;&lt;D xsi:type="xsd:double"&gt;466.40367&lt;/D&gt;&lt;D xsi:type="xsd:double"&gt;463.794072&lt;/D&gt;&lt;D xsi:type="xsd:double"&gt;463.728861&lt;/D&gt;&lt;D xsi:type="xsd:double"&gt;464.49597&lt;/D&gt;&lt;D xsi:type="xsd:double"&gt;464.882246&lt;/D&gt;&lt;D xsi:type="xsd:double"&gt;462.930885&lt;/D&gt;&lt;D xsi:type="xsd:double"&gt;462.662385&lt;/D&gt;&lt;D xsi:type="xsd:double"&gt;462.237346&lt;/D&gt;&lt;D xsi:type="xsd:double"&gt;459.639619&lt;/D&gt;&lt;D xsi:type="xsd:double"&gt;456.288398&lt;/D&gt;&lt;D xsi:type="xsd:double"&gt;457.686514&lt;/D&gt;&lt;D xsi:type="xsd:double"&gt;463.106222&lt;/D&gt;&lt;D xsi:type="xsd:double"&gt;461.868494&lt;/D&gt;&lt;D xsi:type="xsd:double"&gt;459.595503&lt;/D&gt;&lt;D xsi:type="xsd:double"&gt;459.112901&lt;/D&gt;&lt;D xsi:type="xsd:double"&gt;459.859302&lt;/D&gt;&lt;D xsi:type="xsd:double"&gt;459.086686&lt;/D&gt;&lt;D xsi:type="xsd:double"&gt;459.646434&lt;/D&gt;&lt;D xsi:type="xsd:double"&gt;459.171446&lt;/D&gt;&lt;D xsi:type="xsd:double"&gt;457.051099&lt;/D&gt;&lt;D xsi:type="xsd:double"&gt;456.620845&lt;/D&gt;&lt;D xsi:type="xsd:double"&gt;457.396701&lt;/D&gt;&lt;D xsi:type="xsd:double"&gt;456.173916&lt;/D&gt;&lt;D xsi:type="xsd:double"&gt;455.173439&lt;/D&gt;&lt;D xsi:type="xsd:double"&gt;455.879113&lt;/D&gt;&lt;D xsi:type="xsd:double"&gt;456.305237&lt;/D&gt;&lt;D xsi:type="xsd:double"&gt;456.225225&lt;/D&gt;&lt;D xsi:type="xsd:double"&gt;453.40614&lt;/D&gt;&lt;D xsi:type="xsd:double"&gt;446.535561&lt;/D&gt;&lt;D xsi:type="xsd:double"&gt;447.353193&lt;/D&gt;&lt;D xsi:type="xsd:double"&gt;444.564983&lt;/D&gt;&lt;D xsi:type="xsd:double"&gt;445.30777&lt;/D&gt;&lt;D xsi:type="xsd:double"&gt;447.459748&lt;/D&gt;&lt;D xsi:type="xsd:double"&gt;444.663742&lt;/D&gt;&lt;D xsi:type="xsd:double"&gt;446.55019&lt;/D&gt;&lt;D xsi:type="xsd:double"&gt;447.411776&lt;/D&gt;&lt;D xsi:type="xsd:double"&gt;447.357704&lt;/D&gt;&lt;D xsi:type="xsd:double"&gt;447.259861&lt;/D&gt;&lt;D xsi:type="xsd:double"&gt;447.588818&lt;/D&gt;&lt;D xsi:type="xsd:double"&gt;447.755374&lt;/D&gt;&lt;D xsi:type="xsd:double"&gt;448.425261&lt;/D&gt;&lt;D xsi:type="xsd:double"&gt;448.197586&lt;/D&gt;&lt;D xsi:type="xsd:double"&gt;448.866378&lt;/D&gt;&lt;D xsi:type="xsd:double"&gt;450.78526&lt;/D&gt;&lt;D xsi:type="xsd:double"&gt;450.222889&lt;/D&gt;&lt;D xsi:type="xsd:double"&gt;450.598556&lt;/D&gt;&lt;D xsi:type="xsd:double"&gt;447.402907&lt;/D&gt;&lt;D xsi:type="xsd:double"&gt;447.719978&lt;/D&gt;&lt;D xsi:type="xsd:double"&gt;447.477587&lt;/D&gt;&lt;D xsi:type="xsd:double"&gt;446.924824&lt;/D&gt;&lt;D xsi:type="xsd:double"&gt;448.049121&lt;/D&gt;&lt;D xsi:type="xsd:double"&gt;451.058772&lt;/D&gt;&lt;D xsi:type="xsd:double"&gt;451.25943&lt;/D&gt;&lt;D xsi:type="xsd:double"&gt;451.359427&lt;/D&gt;&lt;D xsi:type="xsd:double"&gt;448.200405&lt;/D&gt;&lt;D xsi:type="xsd:double"&gt;445.61027&lt;/D&gt;&lt;D xsi:type="xsd:double"&gt;447.052441&lt;/D&gt;&lt;D xsi:type="xsd:double"&gt;445.524499&lt;/D&gt;&lt;D xsi:type="xsd:double"&gt;443.208295&lt;/D&gt;&lt;D xsi:type="xsd:double"&gt;443.570607&lt;/D&gt;&lt;D xsi:type="xsd:double"&gt;444.913135&lt;/D&gt;&lt;D xsi:type="xsd:double"&gt;445.911259&lt;/D&gt;&lt;D xsi:type="xsd:double"&gt;446.447522&lt;/D&gt;&lt;D xsi:type="xsd:double"&gt;446.688759&lt;/D&gt;&lt;D xsi:type="xsd:double"&gt;448.414364&lt;/D&gt;&lt;D xsi:type="xsd:double"&gt;444.5033&lt;/D&gt;&lt;D xsi:type="xsd:double"&gt;445.324594&lt;/D&gt;&lt;D xsi:type="xsd:double"&gt;445.322087&lt;/D&gt;&lt;D xsi:type="xsd:double"&gt;446.745858&lt;/D&gt;&lt;D xsi:type="xsd:double"&gt;446.043885&lt;/D&gt;&lt;D xsi:type="xsd:double"&gt;445.917795&lt;/D&gt;&lt;D xsi:type="xsd:double"&gt;444.165308&lt;/D&gt;&lt;D xsi:type="xsd:double"&gt;444.517151&lt;/D&gt;&lt;D xsi:type="xsd:double"&gt;443.670561&lt;/D&gt;&lt;D xsi:type="xsd:double"&gt;441.135553&lt;/D&gt;&lt;D xsi:type="xsd:double"&gt;441.144163&lt;/D&gt;&lt;D xsi:type="xsd:double"&gt;439.012001&lt;/D&gt;&lt;D xsi:type="xsd:double"&gt;437.231847&lt;/D&gt;&lt;D xsi:type="xsd:double"&gt;435.892608&lt;/D&gt;&lt;D xsi:type="xsd:double"&gt;434.725383&lt;/D&gt;&lt;D xsi:type="xsd:double"&gt;435.085587&lt;/D&gt;&lt;D xsi:type="xsd:double"&gt;436.449879&lt;/D&gt;&lt;D xsi:type="xsd:double"&gt;434.019431&lt;/D&gt;&lt;D xsi:type="xsd:double"&gt;433.534354&lt;/D&gt;&lt;D xsi:type="xsd:double"&gt;433.128319&lt;/D&gt;&lt;D xsi:type="xsd:double"&gt;433.251804&lt;/D&gt;&lt;D xsi:type="xsd:double"&gt;435.840222&lt;/D&gt;&lt;D xsi:type="xsd:double"&gt;435.958728&lt;/D&gt;&lt;D xsi:type="xsd:double"&gt;436.168968&lt;/D&gt;&lt;D xsi:type="xsd:double"&gt;432.702547&lt;/D&gt;&lt;D xsi:type="xsd:double"&gt;430.398574&lt;/D&gt;&lt;D xsi:type="xsd:double"&gt;430.221471&lt;/D&gt;&lt;D xsi:type="xsd:double"&gt;428.840833&lt;/D&gt;&lt;D xsi:type="xsd:double"&gt;431.099544&lt;/D&gt;&lt;D xsi:type="xsd:double"&gt;430.333357&lt;/D&gt;&lt;D xsi:type="xsd:double"&gt;431.549376&lt;/D&gt;&lt;D xsi:type="xsd:double"&gt;430.54995&lt;/D&gt;&lt;D xsi:type="xsd:double"&gt;428.904455&lt;/D&gt;&lt;D xsi:type="xsd:double"&gt;429.166038&lt;/D&gt;&lt;D xsi:type="xsd:double"&gt;428.214953&lt;/D&gt;&lt;D xsi:type="xsd:double"&gt;429.679229&lt;/D&gt;&lt;D xsi:type="xsd:double"&gt;429.572458&lt;/D&gt;&lt;D xsi:type="xsd:double"&gt;427.21431&lt;/D&gt;&lt;D xsi:type="xsd:double"&gt;423.614712&lt;/D&gt;&lt;D xsi:type="xsd:double"&gt;421.839407&lt;/D&gt;&lt;D xsi:type="xsd:double"&gt;422.018398&lt;/D&gt;&lt;D xsi:type="xsd:double"&gt;421.110206&lt;/D&gt;&lt;D xsi:type="xsd:double"&gt;422.95141&lt;/D&gt;&lt;D xsi:type="xsd:double"&gt;422.489623&lt;/D&gt;&lt;D xsi:type="xsd:double"&gt;422.252509&lt;/D&gt;&lt;D xsi:type="xsd:double"&gt;423.183305&lt;/D&gt;&lt;D xsi:type="xsd:double"&gt;423.478541&lt;/D&gt;&lt;D xsi:type="xsd:double"&gt;422.906308&lt;/D&gt;&lt;D xsi:type="xsd:double"&gt;422.298095&lt;/D&gt;&lt;D xsi:type="xsd:double"&gt;422.363829&lt;/D&gt;&lt;D xsi:type="xsd:double"&gt;425.072777&lt;/D&gt;&lt;D xsi:type="xsd:double"&gt;427.519026&lt;/D&gt;&lt;D xsi:type="xsd:double"&gt;424.296831&lt;/D&gt;&lt;D xsi:type="xsd:double"&gt;424.556175&lt;/D&gt;&lt;D xsi:type="xsd:double"&gt;423.084399&lt;/D&gt;&lt;D xsi:type="xsd:double"&gt;421.701029&lt;/D&gt;&lt;D xsi:type="xsd:double"&gt;416.754112&lt;/D&gt;&lt;D xsi:type="xsd:double"&gt;414.272782&lt;/D&gt;&lt;D xsi:type="xsd:double"&gt;412.250194&lt;/D&gt;&lt;D xsi:type="xsd:double"&gt;412.459687&lt;/D&gt;&lt;D xsi:type="xsd:double"&gt;413.429691&lt;/D&gt;&lt;D xsi:type="xsd:double"&gt;413.927565&lt;/D&gt;&lt;D xsi:type="xsd:double"&gt;413.640069&lt;/D&gt;&lt;D xsi:type="xsd:double"&gt;414.96015&lt;/D&gt;&lt;D xsi:type="xsd:double"&gt;412.565227&lt;/D&gt;&lt;D xsi:type="xsd:double"&gt;413.367271&lt;/D&gt;&lt;D xsi:type="xsd:double"&gt;412.298945&lt;/D&gt;&lt;D xsi:type="xsd:double"&gt;409.316357&lt;/D&gt;&lt;D xsi:type="xsd:double"&gt;411.530686&lt;/D&gt;&lt;D xsi:type="xsd:double"&gt;409.680183&lt;/D&gt;&lt;D xsi:type="xsd:double"&gt;410.127703&lt;/D&gt;&lt;D xsi:type="xsd:double"&gt;407.944741&lt;/D&gt;&lt;D xsi:type="xsd:double"&gt;409.471601&lt;/D&gt;&lt;D xsi:type="xsd:double"&gt;411.750979&lt;/D&gt;&lt;D xsi:type="xsd:double"&gt;410.939622&lt;/D&gt;&lt;D xsi:type="xsd:double"&gt;411.057411&lt;/D&gt;&lt;D xsi:type="xsd:double"&gt;409.344983&lt;/D&gt;&lt;D xsi:type="xsd:double"&gt;403.096426&lt;/D&gt;&lt;D xsi:type="xsd:double"&gt;404.831843&lt;/D&gt;&lt;D xsi:type="xsd:double"&gt;406.3518&lt;/D&gt;&lt;D xsi:type="xsd:double"&gt;409.383807&lt;/D&gt;&lt;D xsi:type="xsd:double"&gt;411.014994&lt;/D&gt;&lt;D xsi:type="xsd:double"&gt;410.942557&lt;/D&gt;&lt;D xsi:type="xsd:double"&gt;411.833291&lt;/D&gt;&lt;D xsi:type="xsd:double"&gt;413.23571&lt;/D&gt;&lt;D xsi:type="xsd:double"&gt;413.901742&lt;/D&gt;&lt;D xsi:type="xsd:double"&gt;414.997873&lt;/D&gt;&lt;D xsi:type="xsd:double"&gt;413.537025&lt;/D&gt;&lt;D xsi:type="xsd:double"&gt;414.268461&lt;/D&gt;&lt;D xsi:type="xsd:double"&gt;414.850162&lt;/D&gt;&lt;D xsi:type="xsd:double"&gt;413.387696&lt;/D&gt;&lt;D xsi:type="xsd:double"&gt;409.823344&lt;/D&gt;&lt;D xsi:type="xsd:double"&gt;411.2085&lt;/D&gt;&lt;D xsi:type="xsd:double"&gt;410.000094&lt;/D&gt;&lt;D xsi:type="xsd:double"&gt;411.892474&lt;/D&gt;&lt;D xsi:type="xsd:double"&gt;413.069758&lt;/D&gt;&lt;D xsi:type="xsd:double"&gt;417.828993&lt;/D&gt;&lt;D xsi:type="xsd:double"&gt;416.144563&lt;/D&gt;&lt;D xsi:type="xsd:double"&gt;417.554078&lt;/D&gt;&lt;D xsi:type="xsd:double"&gt;418.054807&lt;/D&gt;&lt;D xsi:type="xsd:double"&gt;417.35637&lt;/D&gt;&lt;D xsi:type="xsd:double"&gt;418.233708&lt;/D&gt;&lt;D xsi:type="xsd:double"&gt;418.43435&lt;/D&gt;&lt;D xsi:type="xsd:double"&gt;417.664531&lt;/D&gt;&lt;D xsi:type="xsd:double"&gt;418.869377&lt;/D&gt;&lt;D xsi:type="xsd:double"&gt;417.573907&lt;/D&gt;&lt;D xsi:type="xsd:double"&gt;416.202437&lt;/D&gt;&lt;D xsi:type="xsd:double"&gt;420.016852&lt;/D&gt;&lt;D xsi:type="xsd:double"&gt;422.532882&lt;/D&gt;&lt;D xsi:type="xsd:double"&gt;417.68662&lt;/D&gt;&lt;D xsi:type="xsd:double"&gt;413.353735&lt;/D&gt;&lt;D xsi:type="xsd:double"&gt;413.263485&lt;/D&gt;&lt;D xsi:type="xsd:double"&gt;411.183438&lt;/D&gt;&lt;D xsi:type="xsd:double"&gt;413.203297&lt;/D&gt;&lt;D xsi:type="xsd:double"&gt;410.349772&lt;/D&gt;&lt;D xsi:type="xsd:double"&gt;410.891355&lt;/D&gt;&lt;D xsi:type="xsd:double"&gt;415.583089&lt;/D&gt;&lt;D xsi:type="xsd:double"&gt;414.903951&lt;/D&gt;&lt;D xsi:type="xsd:double"&gt;423.696001&lt;/D&gt;&lt;D xsi:type="xsd:double"&gt;424.288985&lt;/D&gt;&lt;D xsi:type="xsd:double"&gt;423.815977&lt;/D&gt;&lt;D xsi:type="xsd:double"&gt;420.170004&lt;/D&gt;&lt;D xsi:type="xsd:double"&gt;417.350991&lt;/D&gt;&lt;D xsi:type="xsd:double"&gt;416.613462&lt;/D&gt;&lt;D xsi:type="xsd:double"&gt;417.767447&lt;/D&gt;&lt;D xsi:type="xsd:double"&gt;418.035616&lt;/D&gt;&lt;D xsi:type="xsd:double"&gt;418.418358&lt;/D&gt;&lt;D xsi:type="xsd:double"&gt;418.515579&lt;/D&gt;&lt;D xsi:type="xsd:double"&gt;419.284773&lt;/D&gt;&lt;D xsi:type="xsd:double"&gt;421.370705&lt;/D&gt;&lt;D xsi:type="xsd:double"&gt;419.971243&lt;/D&gt;&lt;D xsi:type="xsd:double"&gt;420.115316&lt;/D&gt;&lt;D xsi:type="xsd:double"&gt;421.495134&lt;/D&gt;&lt;D xsi:type="xsd:double"&gt;420.036363&lt;/D&gt;&lt;D xsi:type="xsd:double"&gt;420.18191&lt;/D&gt;&lt;D xsi:type="xsd:double"&gt;422.030363&lt;/D&gt;&lt;D xsi:type="xsd:double"&gt;421.021301&lt;/D&gt;&lt;D xsi:type="xsd:double"&gt;420.831887&lt;/D&gt;&lt;D xsi:type="xsd:double"&gt;418.802476&lt;/D&gt;&lt;D xsi:type="xsd:double"&gt;418.864868&lt;/D&gt;&lt;D xsi:type="xsd:double"&gt;416.789657&lt;/D&gt;&lt;D xsi:type="xsd:double"&gt;415.581684&lt;/D&gt;&lt;D xsi:type="xsd:double"&gt;413.170113&lt;/D&gt;&lt;D xsi:type="xsd:double"&gt;411.854856&lt;/D&gt;&lt;D xsi:type="xsd:double"&gt;412.953132&lt;/D&gt;&lt;D xsi:type="xsd:double"&gt;415.652967&lt;/D&gt;&lt;D xsi:type="xsd:double"&gt;416.08836&lt;/D&gt;&lt;D xsi:type="xsd:double"&gt;413.121229&lt;/D&gt;&lt;D xsi:type="xsd:double"&gt;412.780317&lt;/D&gt;&lt;D xsi:type="xsd:double"&gt;412.53607&lt;/D&gt;&lt;D xsi:type="xsd:double"&gt;412.010039&lt;/D&gt;&lt;D xsi:type="xsd:double"&gt;412.674564&lt;/D&gt;&lt;D xsi:type="xsd:double"&gt;412.43063&lt;/D&gt;&lt;D xsi:type="xsd:double"&gt;412.824265&lt;/D&gt;&lt;D xsi:type="xsd:double"&gt;410.833075&lt;/D&gt;&lt;D xsi:type="xsd:double"&gt;412.060181&lt;/D&gt;&lt;D xsi:type="xsd:double"&gt;411.218435&lt;/D&gt;&lt;D xsi:type="xsd:double"&gt;411.696165&lt;/D&gt;&lt;D xsi:type="xsd:double"&gt;409.303445&lt;/D&gt;&lt;D xsi:type="xsd:double"&gt;408.390721&lt;/D&gt;&lt;D xsi:type="xsd:double"&gt;404.878734&lt;/D&gt;&lt;D xsi:type="xsd:double"&gt;400.989551&lt;/D&gt;&lt;D xsi:type="xsd:double"&gt;396.922951&lt;/D&gt;&lt;D xsi:type="xsd:double"&gt;395.8416&lt;/D&gt;&lt;D xsi:type="xsd:double"&gt;397.506658&lt;/D&gt;&lt;D xsi:type="xsd:double"&gt;401.06924&lt;/D&gt;&lt;D xsi:type="xsd:double"&gt;399.289731&lt;/D&gt;&lt;D xsi:type="xsd:double"&gt;394.603224&lt;/D&gt;&lt;D xsi:type="xsd:double"&gt;386.14321&lt;/D&gt;&lt;D xsi:type="xsd:double"&gt;379.692037&lt;/D&gt;&lt;D xsi:type="xsd:double"&gt;388.265322&lt;/D&gt;&lt;D xsi:type="xsd:double"&gt;407.686254&lt;/D&gt;&lt;D xsi:type="xsd:double"&gt;402.222911&lt;/D&gt;&lt;D xsi:type="xsd:double"&gt;402.212507&lt;/D&gt;&lt;D xsi:type="xsd:double"&gt;400.998392&lt;/D&gt;&lt;D xsi:type="xsd:double"&gt;394.116447&lt;/D&gt;&lt;D xsi:type="xsd:double"&gt;392.139926&lt;/D&gt;&lt;D xsi:type="xsd:double"&gt;393.787541&lt;/D&gt;&lt;D xsi:type="xsd:double"&gt;392.805514&lt;/D&gt;&lt;D xsi:type="xsd:double"&gt;396.41132&lt;/D&gt;&lt;D xsi:type="xsd:double"&gt;401.3658&lt;/D&gt;&lt;D xsi:type="xsd:double"&gt;407.095758&lt;/D&gt;&lt;D xsi:type="xsd:double"&gt;409.663412&lt;/D&gt;&lt;D xsi:type="xsd:double"&gt;408.257182&lt;/D&gt;&lt;D xsi:type="xsd:double"&gt;405.913937&lt;/D&gt;&lt;D xsi:type="xsd:double"&gt;403.869275&lt;/D&gt;&lt;D xsi:type="xsd:double"&gt;402.486817&lt;/D&gt;&lt;D xsi:type="xsd:double"&gt;402.183176&lt;/D&gt;&lt;D xsi:type="xsd:double"&gt;402.574386&lt;/D&gt;&lt;D xsi:type="xsd:double"&gt;402.93181&lt;/D&gt;&lt;D xsi:type="xsd:double"&gt;401.813166&lt;/D&gt;&lt;D xsi:type="xsd:double"&gt;400.94872&lt;/D&gt;&lt;D xsi:type="xsd:double"&gt;397.231824&lt;/D&gt;&lt;D xsi:type="xsd:double"&gt;393.211893&lt;/D&gt;&lt;D xsi:type="xsd:double"&gt;393.953605&lt;/D&gt;&lt;D xsi:type="xsd:double"&gt;391.13193&lt;/D&gt;&lt;D xsi:type="xsd:double"&gt;394.670431&lt;/D&gt;&lt;D xsi:type="xsd:double"&gt;395.136457&lt;/D&gt;&lt;D xsi:type="xsd:double"&gt;396.418534&lt;/D&gt;&lt;D xsi:type="xsd:double"&gt;393.627194&lt;/D&gt;&lt;D xsi:type="xsd:double"&gt;397.178319&lt;/D&gt;&lt;D xsi:type="xsd:double"&gt;397.994013&lt;/D&gt;&lt;D xsi:type="xsd:double"&gt;399.880028&lt;/D&gt;&lt;D xsi:type="xsd:double"&gt;395.375607&lt;/D&gt;&lt;D xsi:type="xsd:double"&gt;395.656079&lt;/D&gt;&lt;D xsi:type="xsd:double"&gt;395.416017&lt;/D&gt;&lt;D xsi:type="xsd:double"&gt;396.231539&lt;/D&gt;&lt;D xsi:type="xsd:double"&gt;399.773718&lt;/D&gt;&lt;D xsi:type="xsd:double"&gt;404.165211&lt;/D&gt;&lt;D xsi:type="xsd:double"&gt;403.339675&lt;/D&gt;&lt;D xsi:type="xsd:double"&gt;404.947292&lt;/D&gt;&lt;D xsi:type="xsd:double"&gt;406.771455&lt;/D&gt;&lt;D xsi:type="xsd:double"&gt;406.681426&lt;/D&gt;&lt;D xsi:type="xsd:double"&gt;405.869294&lt;/D&gt;&lt;D xsi:type="xsd:double"&gt;406.918725&lt;/D&gt;&lt;D xsi:type="xsd:double"&gt;408.260372&lt;/D&gt;&lt;D xsi:type="xsd:double"&gt;409.051612&lt;/D&gt;&lt;D xsi:type="xsd:double"&gt;408.747901&lt;/D&gt;&lt;D xsi:type="xsd:double"&gt;404.491829&lt;/D&gt;&lt;D xsi:type="xsd:double"&gt;403.584717&lt;/D&gt;&lt;D xsi:type="xsd:double"&gt;403.848936&lt;/D&gt;&lt;D xsi:type="xsd:double"&gt;402.528321&lt;/D&gt;&lt;D xsi:type="xsd:double"&gt;397.121178&lt;/D&gt;&lt;D xsi:type="xsd:double"&gt;394.16717&lt;/D&gt;&lt;D xsi:type="xsd:double"&gt;393.830351&lt;/D&gt;&lt;D xsi:type="xsd:double"&gt;391.176812&lt;/D&gt;&lt;D xsi:type="xsd:double"&gt;393.714108&lt;/D&gt;&lt;D xsi:type="xsd:double"&gt;390.676985&lt;/D&gt;&lt;D xsi:type="xsd:double"&gt;396.168082&lt;/D&gt;&lt;D xsi:type="xsd:double"&gt;396.00934&lt;/D&gt;&lt;D xsi:type="xsd:double"&gt;398.255485&lt;/D&gt;&lt;D xsi:type="xsd:double"&gt;399.152354&lt;/D&gt;&lt;D xsi:type="xsd:double"&gt;394.529099&lt;/D&gt;&lt;D xsi:type="xsd:double"&gt;392.654918&lt;/D&gt;&lt;D xsi:type="xsd:double"&gt;391.507143&lt;/D&gt;&lt;D xsi:type="xsd:double"&gt;393.865938&lt;/D&gt;&lt;D xsi:type="xsd:double"&gt;396.965084&lt;/D&gt;&lt;D xsi:type="xsd:double"&gt;396.915912&lt;/D&gt;&lt;D xsi:type="xsd:double"&gt;397.213954&lt;/D&gt;&lt;D xsi:type="xsd:double"&gt;396.177169&lt;/D&gt;&lt;D xsi:type="xsd:double"&gt;390.253974&lt;/D&gt;&lt;D xsi:type="xsd:double"&gt;389.728152&lt;/D&gt;&lt;D xsi:type="xsd:double"&gt;392.159526&lt;/D&gt;&lt;D xsi:type="xsd:double"&gt;391.746886&lt;/D&gt;&lt;D xsi:type="xsd:double"&gt;384.943584&lt;/D&gt;&lt;D xsi:type="xsd:double"&gt;385.09563&lt;/D&gt;&lt;D xsi:type="xsd:double"&gt;384.071756&lt;/D&gt;&lt;D xsi:type="xsd:double"&gt;387.446758&lt;/D&gt;&lt;D xsi:type="xsd:double"&gt;387.330382&lt;/D&gt;&lt;D xsi:type="xsd:double"&gt;384.683229&lt;/D&gt;&lt;D xsi:type="xsd:double"&gt;381.93607&lt;/D&gt;&lt;D xsi:type="xsd:double"&gt;378.379489&lt;/D&gt;&lt;D xsi:type="xsd:double"&gt;371.66232&lt;/D&gt;&lt;D xsi:type="xsd:double"&gt;373.231656&lt;/D&gt;&lt;D xsi:type="xsd:double"&gt;372.880118&lt;/D&gt;&lt;D xsi:type="xsd:double"&gt;368.769366&lt;/D&gt;&lt;D xsi:type="xsd:double"&gt;370.473504&lt;/D&gt;&lt;D xsi:type="xsd:double"&gt;374.458198&lt;/D&gt;&lt;D xsi:type="xsd:double"&gt;369.740156&lt;/D&gt;&lt;D xsi:type="xsd:double"&gt;371.153278&lt;/D&gt;&lt;D xsi:type="xsd:double"&gt;370.823672&lt;/D&gt;&lt;D xsi:type="xsd:double"&gt;365.319712&lt;/D&gt;&lt;D xsi:type="xsd:double"&gt;357.072619&lt;/D&gt;&lt;D xsi:type="xsd:double"&gt;353.351589&lt;/D&gt;&lt;D xsi:type="xsd:double"&gt;358.078386&lt;/D&gt;&lt;D xsi:type="xsd:double"&gt;358.430592&lt;/D&gt;&lt;D xsi:type="xsd:double"&gt;360.807193&lt;/D&gt;&lt;D xsi:type="xsd:double"&gt;366.570194&lt;/D&gt;&lt;D xsi:type="xsd:double"&gt;371.989421&lt;/D&gt;&lt;D xsi:type="xsd:double"&gt;369.386137&lt;/D&gt;&lt;D xsi:type="xsd:double"&gt;369.307202&lt;/D&gt;&lt;D xsi:type="xsd:double"&gt;375.985688&lt;/D&gt;&lt;D xsi:type="xsd:double"&gt;375.016737&lt;/D&gt;&lt;D xsi:type="xsd:double"&gt;367.639334&lt;/D&gt;&lt;D xsi:type="xsd:double"&gt;367.052226&lt;/D&gt;&lt;D xsi:type="xsd:double"&gt;367.633072&lt;/D&gt;&lt;D xsi:type="xsd:double"&gt;364.838131&lt;/D&gt;&lt;D xsi:type="xsd:double"&gt;367.969616&lt;/D&gt;&lt;D xsi:type="xsd:double"&gt;358.449034&lt;/D&gt;&lt;D xsi:type="xsd:double"&gt;357.321876&lt;/D&gt;&lt;D xsi:type="xsd:double"&gt;364.612655&lt;/D&gt;&lt;D xsi:type="xsd:double"&gt;364.472326&lt;/D&gt;&lt;D xsi:type="xsd:double"&gt;371.237388&lt;/D&gt;&lt;D xsi:type="xsd:double"&gt;370.512019&lt;/D&gt;&lt;D xsi:type="xsd:double"&gt;373.979228&lt;/D&gt;&lt;D xsi:type="xsd:double"&gt;373.099157&lt;/D&gt;&lt;D xsi:type="xsd:double"&gt;374.750801&lt;/D&gt;&lt;D xsi:type="xsd:double"&gt;377.914666&lt;/D&gt;&lt;D xsi:type="xsd:double"&gt;386.276807&lt;/D&gt;&lt;D xsi:type="xsd:double"&gt;391.140119&lt;/D&gt;&lt;D xsi:type="xsd:double"&gt;391.159115&lt;/D&gt;&lt;D xsi:type="xsd:double"&gt;399.362433&lt;/D&gt;&lt;D xsi:type="xsd:double"&gt;402.192436&lt;/D&gt;&lt;D xsi:type="xsd:double"&gt;404.584728&lt;/D&gt;&lt;D xsi:type="xsd:double"&gt;401.309819&lt;/D&gt;&lt;D xsi:type="xsd:double"&gt;402.274493&lt;/D&gt;&lt;D xsi:type="xsd:double"&gt;401.688726&lt;/D&gt;&lt;D xsi:type="xsd:double"&gt;396.6452&lt;/D&gt;&lt;D xsi:type="xsd:double"&gt;394.047661&lt;/D&gt;&lt;D xsi:type="xsd:double"&gt;392.845057&lt;/D&gt;&lt;D xsi:type="xsd:double"&gt;397.93315&lt;/D&gt;&lt;D xsi:type="xsd:double"&gt;400.467277&lt;/D&gt;&lt;D xsi:type="xsd:double"&gt;395.154561&lt;/D&gt;&lt;D xsi:type="xsd:double"&gt;391.629516&lt;/D&gt;&lt;D xsi:type="xsd:double"&gt;392.947389&lt;/D&gt;&lt;D xsi:type="xsd:double"&gt;399.3502&lt;/D&gt;&lt;D xsi:type="xsd:double"&gt;399.757724&lt;/D&gt;&lt;D xsi:type="xsd:double"&gt;401.138336&lt;/D&gt;&lt;D xsi:type="xsd:double"&gt;405.185669&lt;/D&gt;&lt;D xsi:type="xsd:double"&gt;407.182585&lt;/D&gt;&lt;D xsi:type="xsd:double"&gt;403.92769&lt;/D&gt;&lt;D xsi:type="xsd:double"&gt;407.956288&lt;/D&gt;&lt;D xsi:type="xsd:double"&gt;411.150549&lt;/D&gt;&lt;D xsi:type="xsd:double"&gt;407.197126&lt;/D&gt;&lt;D xsi:type="xsd:double"&gt;409.045407&lt;/D&gt;&lt;D xsi:type="xsd:double"&gt;408.966566&lt;/D&gt;&lt;D xsi:type="xsd:double"&gt;408.596685&lt;/D&gt;&lt;D xsi:type="xsd:double"&gt;409.082481&lt;/D&gt;&lt;D xsi:type="xsd:double"&gt;410.398005&lt;/D&gt;&lt;D xsi:type="xsd:double"&gt;409.607297&lt;/D&gt;&lt;D xsi:type="xsd:double"&gt;406.977379&lt;/D&gt;&lt;D xsi:type="xsd:double"&gt;403.667515&lt;/D&gt;&lt;D xsi:type="xsd:double"&gt;401.283221&lt;/D&gt;&lt;D xsi:type="xsd:double"&gt;398.779334&lt;/D&gt;&lt;D xsi:type="xsd:double"&gt;403.115137&lt;/D&gt;&lt;D xsi:type="xsd:double"&gt;407.540371&lt;/D&gt;&lt;D xsi:type="xsd:double"&gt;407.242821&lt;/D&gt;&lt;D xsi:type="xsd:double"&gt;407.955318&lt;/D&gt;&lt;D xsi:type="xsd:double"&gt;411.157489&lt;/D&gt;&lt;D xsi:type="xsd:double"&gt;413.092691&lt;/D&gt;&lt;D xsi:type="xsd:double"&gt;413.954109&lt;/D&gt;&lt;D xsi:type="xsd:double"&gt;414.377982&lt;/D&gt;&lt;D xsi:type="xsd:double"&gt;413.403483&lt;/D&gt;&lt;D xsi:type="xsd:double"&gt;411.249061&lt;/D&gt;&lt;D xsi:type="xsd:double"&gt;411.345456&lt;/D&gt;&lt;D xsi:type="xsd:double"&gt;413.644232&lt;/D&gt;&lt;D xsi:type="xsd:double"&gt;409.858462&lt;/D&gt;&lt;D xsi:type="xsd:double"&gt;411.994184&lt;/D&gt;&lt;D xsi:type="xsd:double"&gt;412.3916&lt;/D&gt;&lt;D xsi:type="xsd:double"&gt;408.140623&lt;/D&gt;&lt;D xsi:type="xsd:double"&gt;404.597912&lt;/D&gt;&lt;D xsi:type="xsd:double"&gt;405.862191&lt;/D&gt;&lt;D xsi:type="xsd:double"&gt;406.513829&lt;/D&gt;&lt;D xsi:type="xsd:double"&gt;407.213648&lt;/D&gt;&lt;D xsi:type="xsd:double"&gt;405.492313&lt;/D&gt;&lt;D xsi:type="xsd:double"&gt;399.818737&lt;/D&gt;&lt;D xsi:type="xsd:double"&gt;401.802199&lt;/D&gt;&lt;D xsi:type="xsd:double"&gt;405.214477&lt;/D&gt;&lt;D xsi:type="xsd:double"&gt;404.805484&lt;/D&gt;&lt;D xsi:type="xsd:double"&gt;402.071166&lt;/D&gt;&lt;D xsi:type="xsd:double"&gt;399.982269&lt;/D&gt;&lt;D xsi:type="xsd:double"&gt;396.229777&lt;/D&gt;&lt;D xsi:type="xsd:double"&gt;395.123114&lt;/D&gt;&lt;D xsi:type="xsd:double"&gt;387.705958&lt;/D&gt;&lt;D xsi:type="xsd:double"&gt;383.231712&lt;/D&gt;&lt;D xsi:type="xsd:double"&gt;381.651191&lt;/D&gt;&lt;D xsi:type="xsd:double"&gt;374.057932&lt;/D&gt;&lt;D xsi:type="xsd:double"&gt;376.395206&lt;/D&gt;&lt;D xsi:type="xsd:double"&gt;384.300331&lt;/D&gt;&lt;D xsi:type="xsd:double"&gt;382.542643&lt;/D&gt;&lt;D xsi:type="xsd:double"&gt;384.850515&lt;/D&gt;&lt;D xsi:type="xsd:double"&gt;386.511885&lt;/D&gt;&lt;D xsi:type="xsd:double"&gt;392.994387&lt;/D&gt;&lt;D xsi:type="xsd:double"&gt;394.042559&lt;/D&gt;&lt;D xsi:type="xsd:double"&gt;398.766992&lt;/D&gt;&lt;D xsi:type="xsd:double"&gt;398.745752&lt;/D&gt;&lt;D xsi:type="xsd:double"&gt;393.688211&lt;/D&gt;&lt;D xsi:type="xsd:double"&gt;390.736747&lt;/D&gt;&lt;D xsi:type="xsd:double"&gt;391.957434&lt;/D&gt;&lt;D xsi:type="xsd:double"&gt;391.689528&lt;/D&gt;&lt;D xsi:type="xsd:double"&gt;392.543975&lt;/D&gt;&lt;D xsi:type="xsd:double"&gt;391.422808&lt;/D&gt;&lt;D xsi:type="xsd:double"&gt;384.49402&lt;/D&gt;&lt;D xsi:type="xsd:double"&gt;391.029038&lt;/D&gt;&lt;D xsi:type="xsd:double"&gt;389.220481&lt;/D&gt;&lt;D xsi:type="xsd:double"&gt;386.167318&lt;/D&gt;&lt;D xsi:type="xsd:double"&gt;396.733306&lt;/D&gt;&lt;D xsi:type="xsd:double"&gt;399.560802&lt;/D&gt;&lt;D xsi:type="xsd:double"&gt;397.584358&lt;/D&gt;&lt;D xsi:type="xsd:double"&gt;388.963956&lt;/D&gt;&lt;D xsi:type="xsd:double"&gt;381.909474&lt;/D&gt;&lt;D xsi:type="xsd:double"&gt;382.360981&lt;/D&gt;&lt;D xsi:type="xsd:double"&gt;397.644817&lt;/D&gt;&lt;D xsi:type="xsd:double"&gt;408.567434&lt;/D&gt;&lt;D xsi:type="xsd:double"&gt;415.312101&lt;/D&gt;&lt;D xsi:type="xsd:double"&gt;419.632733&lt;/D&gt;&lt;D xsi:type="xsd:double"&gt;421.001739&lt;/D&gt;&lt;D xsi:type="xsd:double"&gt;420.293276&lt;/D&gt;&lt;D xsi:type="xsd:double"&gt;419.801648&lt;/D&gt;&lt;D xsi:type="xsd:double"&gt;419.873949&lt;/D&gt;&lt;D xsi:type="xsd:double"&gt;422.213509&lt;/D&gt;&lt;D xsi:type="xsd:double"&gt;426.354405&lt;/D&gt;&lt;D xsi:type="xsd:double"&gt;422.029282&lt;/D&gt;&lt;D xsi:type="xsd:double"&gt;423.185773&lt;/D&gt;&lt;D xsi:type="xsd:double"&gt;425.708753&lt;/D&gt;&lt;D xsi:type="xsd:double"&gt;424.915291&lt;/D&gt;&lt;D xsi:type="xsd:double"&gt;425.315015&lt;/D&gt;&lt;D xsi:type="xsd:double"&gt;426.781417&lt;/D&gt;&lt;D xsi:type="xsd:double"&gt;425.155831&lt;/D&gt;&lt;D xsi:type="xsd:double"&gt;425.638749&lt;/D&gt;&lt;</t>
        </r>
      </text>
    </comment>
    <comment ref="A33" authorId="0" shapeId="0">
      <text>
        <r>
          <rPr>
            <b/>
            <sz val="9"/>
            <color indexed="81"/>
            <rFont val="Tahoma"/>
            <family val="2"/>
          </rPr>
          <t>D xsi:type="xsd:double"&gt;422.253757&lt;/D&gt;&lt;D xsi:type="xsd:double"&gt;419.378528&lt;/D&gt;&lt;D xsi:type="xsd:double"&gt;422.80223&lt;/D&gt;&lt;D xsi:type="xsd:double"&gt;427.182817&lt;/D&gt;&lt;D xsi:type="xsd:double"&gt;428.371213&lt;/D&gt;&lt;D xsi:type="xsd:double"&gt;431.22162&lt;/D&gt;&lt;D xsi:type="xsd:double"&gt;431.962996&lt;/D&gt;&lt;D xsi:type="xsd:double"&gt;431.955337&lt;/D&gt;&lt;D xsi:type="xsd:double"&gt;432.191697&lt;/D&gt;&lt;D xsi:type="xsd:double"&gt;429.012626&lt;/D&gt;&lt;D xsi:type="xsd:double"&gt;429.425306&lt;/D&gt;&lt;D xsi:type="xsd:double"&gt;427.187698&lt;/D&gt;&lt;D xsi:type="xsd:double"&gt;423.367317&lt;/D&gt;&lt;D xsi:type="xsd:double"&gt;417.123821&lt;/D&gt;&lt;D xsi:type="xsd:double"&gt;414.108701&lt;/D&gt;&lt;D xsi:type="xsd:double"&gt;419.238935&lt;/D&gt;&lt;D xsi:type="xsd:double"&gt;420.843423&lt;/D&gt;&lt;D xsi:type="xsd:double"&gt;426.011363&lt;/D&gt;&lt;D xsi:type="xsd:double"&gt;426.015377&lt;/D&gt;&lt;D xsi:type="xsd:double"&gt;423.509388&lt;/D&gt;&lt;D xsi:type="xsd:double"&gt;423.348884&lt;/D&gt;&lt;D xsi:type="xsd:double"&gt;432.752087&lt;/D&gt;&lt;D xsi:type="xsd:double"&gt;434.250168&lt;/D&gt;&lt;D xsi:type="xsd:double"&gt;435.406855&lt;/D&gt;&lt;D xsi:type="xsd:double"&gt;437.526973&lt;/D&gt;&lt;D xsi:type="xsd:double"&gt;437.401262&lt;/D&gt;&lt;D xsi:type="xsd:double"&gt;432.181064&lt;/D&gt;&lt;D xsi:type="xsd:double"&gt;433.572893&lt;/D&gt;&lt;D xsi:type="xsd:double"&gt;429.155318&lt;/D&gt;&lt;D xsi:type="xsd:double"&gt;429.310959&lt;/D&gt;&lt;D xsi:type="xsd:double"&gt;428.111369&lt;/D&gt;&lt;D xsi:type="xsd:double"&gt;431.379213&lt;/D&gt;&lt;D xsi:type="xsd:double"&gt;433.278868&lt;/D&gt;&lt;D xsi:type="xsd:double"&gt;432.731459&lt;/D&gt;&lt;D xsi:type="xsd:double"&gt;426.951633&lt;/D&gt;&lt;D xsi:type="xsd:double"&gt;427.349832&lt;/D&gt;&lt;D xsi:type="xsd:double"&gt;429.377862&lt;/D&gt;&lt;D xsi:type="xsd:double"&gt;432.924753&lt;/D&gt;&lt;D xsi:type="xsd:double"&gt;436.439978&lt;/D&gt;&lt;D xsi:type="xsd:double"&gt;434.986198&lt;/D&gt;&lt;D xsi:type="xsd:double"&gt;434.232035&lt;/D&gt;&lt;D xsi:type="xsd:double"&gt;434.514758&lt;/D&gt;&lt;D xsi:type="xsd:double"&gt;437.386699&lt;/D&gt;&lt;D xsi:type="xsd:double"&gt;438.315679&lt;/D&gt;&lt;D xsi:type="xsd:double"&gt;435.926522&lt;/D&gt;&lt;D xsi:type="xsd:double"&gt;441.322203&lt;/D&gt;&lt;D xsi:type="xsd:double"&gt;442.701314&lt;/D&gt;&lt;D xsi:type="xsd:double"&gt;441.350285&lt;/D&gt;&lt;D xsi:type="xsd:double"&gt;441.516905&lt;/D&gt;&lt;D xsi:type="xsd:double"&gt;442.614743&lt;/D&gt;&lt;D xsi:type="xsd:double"&gt;442.362149&lt;/D&gt;&lt;D xsi:type="xsd:double"&gt;441.220142&lt;/D&gt;&lt;D xsi:type="xsd:double"&gt;438.193248&lt;/D&gt;&lt;D xsi:type="xsd:double"&gt;436.86799&lt;/D&gt;&lt;D xsi:type="xsd:double"&gt;438.098909&lt;/D&gt;&lt;D xsi:type="xsd:double"&gt;439.275938&lt;/D&gt;&lt;D xsi:type="xsd:double"&gt;433.256898&lt;/D&gt;&lt;D xsi:type="xsd:double"&gt;434.744242&lt;/D&gt;&lt;D xsi:type="xsd:double"&gt;435.213194&lt;/D&gt;&lt;D xsi:type="xsd:double"&gt;439.032192&lt;/D&gt;&lt;D xsi:type="xsd:double"&gt;438.182572&lt;/D&gt;&lt;D xsi:type="xsd:double"&gt;436.296098&lt;/D&gt;&lt;D xsi:type="xsd:double"&gt;440.648396&lt;/D&gt;&lt;D xsi:type="xsd:double"&gt;442.630899&lt;/D&gt;&lt;D xsi:type="xsd:double"&gt;442.169614&lt;/D&gt;&lt;D xsi:type="xsd:double"&gt;441.565081&lt;/D&gt;&lt;D xsi:type="xsd:double"&gt;439.613912&lt;/D&gt;&lt;D xsi:type="xsd:double"&gt;438.118294&lt;/D&gt;&lt;D xsi:type="xsd:double"&gt;436.819753&lt;/D&gt;&lt;D xsi:type="xsd:double"&gt;435.817794&lt;/D&gt;&lt;D xsi:type="xsd:double"&gt;434.010937&lt;/D&gt;&lt;D xsi:type="xsd:double"&gt;438.286849&lt;/D&gt;&lt;D xsi:type="xsd:double"&gt;436.978782&lt;/D&gt;&lt;D xsi:type="xsd:double"&gt;436.113011&lt;/D&gt;&lt;D xsi:type="xsd:double"&gt;434.627578&lt;/D&gt;&lt;D xsi:type="xsd:double"&gt;435.931163&lt;/D&gt;&lt;D xsi:type="xsd:double"&gt;433.99654&lt;/D&gt;&lt;D xsi:type="xsd:double"&gt;432.469087&lt;/D&gt;&lt;D xsi:type="xsd:double"&gt;431.317251&lt;/D&gt;&lt;D xsi:type="xsd:double"&gt;431.353026&lt;/D&gt;&lt;D xsi:type="xsd:double"&gt;427.452515&lt;/D&gt;&lt;D xsi:type="xsd:double"&gt;424.555314&lt;/D&gt;&lt;D xsi:type="xsd:double"&gt;424.758438&lt;/D&gt;&lt;D xsi:type="xsd:double"&gt;428.107282&lt;/D&gt;&lt;D xsi:type="xsd:double"&gt;424.887588&lt;/D&gt;&lt;D xsi:type="xsd:double"&gt;425.10278&lt;/D&gt;&lt;D xsi:type="xsd:double"&gt;428.254489&lt;/D&gt;&lt;D xsi:type="xsd:double"&gt;431.832543&lt;/D&gt;&lt;D xsi:type="xsd:double"&gt;432.924607&lt;/D&gt;&lt;D xsi:type="xsd:double"&gt;431.908272&lt;/D&gt;&lt;D xsi:type="xsd:double"&gt;426.617672&lt;/D&gt;&lt;D xsi:type="xsd:double"&gt;426.854815&lt;/D&gt;&lt;D xsi:type="xsd:double"&gt;422.687655&lt;/D&gt;&lt;D xsi:type="xsd:double"&gt;423.058173&lt;/D&gt;&lt;D xsi:type="xsd:double"&gt;418.580179&lt;/D&gt;&lt;D xsi:type="xsd:double"&gt;420.909672&lt;/D&gt;&lt;D xsi:type="xsd:double"&gt;416.762683&lt;/D&gt;&lt;D xsi:type="xsd:double"&gt;417.179391&lt;/D&gt;&lt;D xsi:type="xsd:double"&gt;424.286034&lt;/D&gt;&lt;D xsi:type="xsd:double"&gt;424.861355&lt;/D&gt;&lt;D xsi:type="xsd:double"&gt;429.76872&lt;/D&gt;&lt;D xsi:type="xsd:double"&gt;429.226471&lt;/D&gt;&lt;D xsi:type="xsd:double"&gt;431.351281&lt;/D&gt;&lt;D xsi:type="xsd:double"&gt;433.210332&lt;/D&gt;&lt;D xsi:type="xsd:double"&gt;432.474304&lt;/D&gt;&lt;D xsi:type="xsd:double"&gt;432.88099&lt;/D&gt;&lt;D xsi:type="xsd:double"&gt;433.462857&lt;/D&gt;&lt;D xsi:type="xsd:double"&gt;432.81687&lt;/D&gt;&lt;D xsi:type="xsd:double"&gt;431.617742&lt;/D&gt;&lt;D xsi:type="xsd:double"&gt;431.165517&lt;/D&gt;&lt;D xsi:type="xsd:double"&gt;429.60154&lt;/D&gt;&lt;D xsi:type="xsd:double"&gt;429.212384&lt;/D&gt;&lt;D xsi:type="xsd:double"&gt;428.199486&lt;/D&gt;&lt;D xsi:type="xsd:double"&gt;427.786308&lt;/D&gt;&lt;D xsi:type="xsd:double"&gt;424.691339&lt;/D&gt;&lt;D xsi:type="xsd:double"&gt;419.946182&lt;/D&gt;&lt;D xsi:type="xsd:double"&gt;421.128661&lt;/D&gt;&lt;D xsi:type="xsd:double"&gt;418.86056&lt;/D&gt;&lt;D xsi:type="xsd:double"&gt;420.50244&lt;/D&gt;&lt;D xsi:type="xsd:double"&gt;422.184984&lt;/D&gt;&lt;D xsi:type="xsd:double"&gt;419.41837&lt;/D&gt;&lt;D xsi:type="xsd:double"&gt;419.243375&lt;/D&gt;&lt;D xsi:type="xsd:double"&gt;414.10477&lt;/D&gt;&lt;D xsi:type="xsd:double"&gt;410.327879&lt;/D&gt;&lt;D xsi:type="xsd:double"&gt;414.410397&lt;/D&gt;&lt;D xsi:type="xsd:double"&gt;413.917519&lt;/D&gt;&lt;D xsi:type="xsd:double"&gt;417.73832&lt;/D&gt;&lt;D xsi:type="xsd:double"&gt;419.210323&lt;/D&gt;&lt;D xsi:type="xsd:double"&gt;418.254536&lt;/D&gt;&lt;D xsi:type="xsd:double"&gt;418.520372&lt;/D&gt;&lt;D xsi:type="xsd:double"&gt;414.655979&lt;/D&gt;&lt;D xsi:type="xsd:double"&gt;411.824994&lt;/D&gt;&lt;D xsi:type="xsd:double"&gt;409.619505&lt;/D&gt;&lt;D xsi:type="xsd:double"&gt;406.951292&lt;/D&gt;&lt;D xsi:type="xsd:double"&gt;407.403743&lt;/D&gt;&lt;D xsi:type="xsd:double"&gt;410.394327&lt;/D&gt;&lt;D xsi:type="xsd:double"&gt;409.873942&lt;/D&gt;&lt;D xsi:type="xsd:double"&gt;411.687899&lt;/D&gt;&lt;D xsi:type="xsd:double"&gt;413.842395&lt;/D&gt;&lt;D xsi:type="xsd:double"&gt;406.05761&lt;/D&gt;&lt;D xsi:type="xsd:double"&gt;404.051019&lt;/D&gt;&lt;D xsi:type="xsd:double"&gt;408.010446&lt;/D&gt;&lt;D xsi:type="xsd:double"&gt;415.917703&lt;/D&gt;&lt;D xsi:type="xsd:double"&gt;417.120335&lt;/D&gt;&lt;D xsi:type="xsd:double"&gt;419.524013&lt;/D&gt;&lt;D xsi:type="xsd:double"&gt;422.048921&lt;/D&gt;&lt;D xsi:type="xsd:double"&gt;421.271981&lt;/D&gt;&lt;D xsi:type="xsd:double"&gt;420.512473&lt;/D&gt;&lt;D xsi:type="xsd:double"&gt;420.081784&lt;/D&gt;&lt;D xsi:type="xsd:double"&gt;420.149674&lt;/D&gt;&lt;D xsi:type="xsd:double"&gt;418.196313&lt;/D&gt;&lt;D xsi:type="xsd:double"&gt;415.436575&lt;/D&gt;&lt;D xsi:type="xsd:double"&gt;407.265317&lt;/D&gt;&lt;D xsi:type="xsd:double"&gt;403.187398&lt;/D&gt;&lt;D xsi:type="xsd:double"&gt;403.60998&lt;/D&gt;&lt;D xsi:type="xsd:double"&gt;408.73772&lt;/D&gt;&lt;D xsi:type="xsd:double"&gt;414.334694&lt;/D&gt;&lt;D xsi:type="xsd:double"&gt;414.76587&lt;/D&gt;&lt;D xsi:type="xsd:double"&gt;420.220476&lt;/D&gt;&lt;D xsi:type="xsd:double"&gt;421.719297&lt;/D&gt;&lt;D xsi:type="xsd:double"&gt;424.752232&lt;/D&gt;&lt;D xsi:type="xsd:double"&gt;424.393556&lt;/D&gt;&lt;D xsi:type="xsd:double"&gt;425.026785&lt;/D&gt;&lt;D xsi:type="xsd:double"&gt;424.144744&lt;/D&gt;&lt;D xsi:type="xsd:double"&gt;422.836329&lt;/D&gt;&lt;D xsi:type="xsd:double"&gt;425.821425&lt;/D&gt;&lt;D xsi:type="xsd:double"&gt;428.009278&lt;/D&gt;&lt;D xsi:type="xsd:double"&gt;426.745541&lt;/D&gt;&lt;D xsi:type="xsd:double"&gt;426.242058&lt;/D&gt;&lt;D xsi:type="xsd:double"&gt;425.311095&lt;/D&gt;&lt;D xsi:type="xsd:double"&gt;422.096383&lt;/D&gt;&lt;D xsi:type="xsd:double"&gt;421.926435&lt;/D&gt;&lt;D xsi:type="xsd:double"&gt;422.638347&lt;/D&gt;&lt;D xsi:type="xsd:double"&gt;419.608615&lt;/D&gt;&lt;D xsi:type="xsd:double"&gt;420.318006&lt;/D&gt;&lt;D xsi:type="xsd:double"&gt;420.193023&lt;/D&gt;&lt;D xsi:type="xsd:double"&gt;420.076939&lt;/D&gt;&lt;D xsi:type="xsd:double"&gt;420.365847&lt;/D&gt;&lt;D xsi:type="xsd:double"&gt;420.055019&lt;/D&gt;&lt;D xsi:type="xsd:double"&gt;417.945374&lt;/D&gt;&lt;D xsi:type="xsd:double"&gt;418.222961&lt;/D&gt;&lt;D xsi:type="xsd:double"&gt;418.317439&lt;/D&gt;&lt;D xsi:type="xsd:double"&gt;416.887498&lt;/D&gt;&lt;D xsi:type="xsd:double"&gt;417.223678&lt;/D&gt;&lt;D xsi:type="xsd:double"&gt;419.450861&lt;/D&gt;&lt;D xsi:type="xsd:double"&gt;414.937186&lt;/D&gt;&lt;D xsi:type="xsd:double"&gt;414.188865&lt;/D&gt;&lt;D xsi:type="xsd:double"&gt;413.241659&lt;/D&gt;&lt;D xsi:type="xsd:double"&gt;408.70329&lt;/D&gt;&lt;D xsi:type="xsd:double"&gt;409.228097&lt;/D&gt;&lt;D xsi:type="xsd:double"&gt;407.379634&lt;/D&gt;&lt;D xsi:type="xsd:double"&gt;404.824427&lt;/D&gt;&lt;D xsi:type="xsd:double"&gt;405.44714&lt;/D&gt;&lt;D xsi:type="xsd:double"&gt;399.939917&lt;/D&gt;&lt;D xsi:type="xsd:double"&gt;396.992012&lt;/D&gt;&lt;D xsi:type="xsd:double"&gt;392.12993&lt;/D&gt;&lt;D xsi:type="xsd:double"&gt;393.23569&lt;/D&gt;&lt;D xsi:type="xsd:double"&gt;397.058294&lt;/D&gt;&lt;D xsi:type="xsd:double"&gt;397.661206&lt;/D&gt;&lt;D xsi:type="xsd:double"&gt;400.451273&lt;/D&gt;&lt;D xsi:type="xsd:double"&gt;407.024716&lt;/D&gt;&lt;D xsi:type="xsd:double"&gt;411.097374&lt;/D&gt;&lt;D xsi:type="xsd:double"&gt;408.983381&lt;/D&gt;&lt;D xsi:type="xsd:double"&gt;413.002322&lt;/D&gt;&lt;D xsi:type="xsd:double"&gt;411.427585&lt;/D&gt;&lt;D xsi:type="xsd:double"&gt;409.615768&lt;/D&gt;&lt;D xsi:type="xsd:double"&gt;412.260687&lt;/D&gt;&lt;D xsi:type="xsd:double"&gt;416.850208&lt;/D&gt;&lt;D xsi:type="xsd:double"&gt;417.858922&lt;/D&gt;&lt;D xsi:type="xsd:double"&gt;419.753509&lt;/D&gt;&lt;D xsi:type="xsd:double"&gt;418.78355&lt;/D&gt;&lt;D xsi:type="xsd:double"&gt;423.721712&lt;/D&gt;&lt;D xsi:type="xsd:double"&gt;421.980695&lt;/D&gt;&lt;D xsi:type="xsd:double"&gt;424.557978&lt;/D&gt;&lt;D xsi:type="xsd:double"&gt;428.198878&lt;/D&gt;&lt;D xsi:type="xsd:double"&gt;428.839446&lt;/D&gt;&lt;D xsi:type="xsd:double"&gt;427.489246&lt;/D&gt;&lt;D xsi:type="xsd:double"&gt;426.503734&lt;/D&gt;&lt;D xsi:type="xsd:double"&gt;425.335188&lt;/D&gt;&lt;D xsi:type="xsd:double"&gt;426.16948&lt;/D&gt;&lt;D xsi:type="xsd:double"&gt;428.164127&lt;/D&gt;&lt;D xsi:type="xsd:double"&gt;428.158174&lt;/D&gt;&lt;D xsi:type="xsd:double"&gt;428.143782&lt;/D&gt;&lt;D xsi:type="xsd:double"&gt;430.906509&lt;/D&gt;&lt;D xsi:type="xsd:double"&gt;432.373927&lt;/D&gt;&lt;D xsi:type="xsd:double"&gt;432.085394&lt;/D&gt;&lt;D xsi:type="xsd:double"&gt;432.859197&lt;/D&gt;&lt;D xsi:type="xsd:double"&gt;431.177412&lt;/D&gt;&lt;D xsi:type="xsd:double"&gt;431.549445&lt;/D&gt;&lt;D xsi:type="xsd:double"&gt;430.562726&lt;/D&gt;&lt;D xsi:type="xsd:double"&gt;432.25102&lt;/D&gt;&lt;D xsi:type="xsd:double"&gt;431.649681&lt;/D&gt;&lt;D xsi:type="xsd:double"&gt;430.684052&lt;/D&gt;&lt;D xsi:type="xsd:double"&gt;428.546878&lt;/D&gt;&lt;D xsi:type="xsd:double"&gt;429.79879&lt;/D&gt;&lt;D xsi:type="xsd:double"&gt;428.60244&lt;/D&gt;&lt;D xsi:type="xsd:double"&gt;428.373801&lt;/D&gt;&lt;D xsi:type="xsd:double"&gt;426.403474&lt;/D&gt;&lt;D xsi:type="xsd:double"&gt;423.410136&lt;/D&gt;&lt;D xsi:type="xsd:double"&gt;423.637228&lt;/D&gt;&lt;D xsi:type="xsd:double"&gt;422.043505&lt;/D&gt;&lt;D xsi:type="xsd:double"&gt;419.698802&lt;/D&gt;&lt;D xsi:type="xsd:double"&gt;420.060897&lt;/D&gt;&lt;D xsi:type="xsd:double"&gt;416.936144&lt;/D&gt;&lt;D xsi:type="xsd:double"&gt;415.904083&lt;/D&gt;&lt;D xsi:type="xsd:double"&gt;417.996751&lt;/D&gt;&lt;D xsi:type="xsd:double"&gt;419.394603&lt;/D&gt;&lt;D xsi:type="xsd:double"&gt;422.280404&lt;/D&gt;&lt;D xsi:type="xsd:double"&gt;420.908339&lt;/D&gt;&lt;D xsi:type="xsd:double"&gt;423.043056&lt;/D&gt;&lt;D xsi:type="xsd:double"&gt;429.287634&lt;/D&gt;&lt;D xsi:type="xsd:double"&gt;430.244823&lt;/D&gt;&lt;D xsi:type="xsd:double"&gt;431.071351&lt;/D&gt;&lt;D xsi:type="xsd:double"&gt;431.046208&lt;/D&gt;&lt;D xsi:type="xsd:double"&gt;432.900279&lt;/D&gt;&lt;D xsi:type="xsd:double"&gt;432.288778&lt;/D&gt;&lt;D xsi:type="xsd:double"&gt;431.41222&lt;/D&gt;&lt;D xsi:type="xsd:double"&gt;428.57947&lt;/D&gt;&lt;D xsi:type="xsd:double"&gt;429.496755&lt;/D&gt;&lt;D xsi:type="xsd:double"&gt;427.450258&lt;/D&gt;&lt;D xsi:type="xsd:double"&gt;431.232977&lt;/D&gt;&lt;D xsi:type="xsd:double"&gt;429.00807&lt;/D&gt;&lt;D xsi:type="xsd:double"&gt;430.116006&lt;/D&gt;&lt;D xsi:type="xsd:double"&gt;427.476298&lt;/D&gt;&lt;D xsi:type="xsd:double"&gt;427.306689&lt;/D&gt;&lt;D xsi:type="xsd:double"&gt;429.779102&lt;/D&gt;&lt;D xsi:type="xsd:double"&gt;428.97605&lt;/D&gt;&lt;D xsi:type="xsd:double"&gt;431.84387&lt;/D&gt;&lt;D xsi:type="xsd:double"&gt;433.789102&lt;/D&gt;&lt;D xsi:type="xsd:double"&gt;432.149722&lt;/D&gt;&lt;D xsi:type="xsd:double"&gt;431.258561&lt;/D&gt;&lt;D xsi:type="xsd:double"&gt;428.746303&lt;/D&gt;&lt;D xsi:type="xsd:double"&gt;427.982899&lt;/D&gt;&lt;D xsi:type="xsd:double"&gt;427.223241&lt;/D&gt;&lt;D xsi:type="xsd:double"&gt;427.194406&lt;/D&gt;&lt;D xsi:type="xsd:double"&gt;427.403988&lt;/D&gt;&lt;D xsi:type="xsd:double"&gt;429.000227&lt;/D&gt;&lt;D xsi:type="xsd:double"&gt;429.320164&lt;/D&gt;&lt;D xsi:type="xsd:double"&gt;429.802425&lt;/D&gt;&lt;D xsi:type="xsd:double"&gt;427.23394&lt;/D&gt;&lt;D xsi:type="xsd:double"&gt;425.208593&lt;/D&gt;&lt;D xsi:type="xsd:double"&gt;424.94719&lt;/D&gt;&lt;D xsi:type="xsd:double"&gt;425.121483&lt;/D&gt;&lt;D xsi:type="xsd:double"&gt;424.99382&lt;/D&gt;&lt;D xsi:type="xsd:double"&gt;426.302687&lt;/D&gt;&lt;D xsi:type="xsd:double"&gt;427.273955&lt;/D&gt;&lt;D xsi:type="xsd:double"&gt;427.037172&lt;/D&gt;&lt;D xsi:type="xsd:double"&gt;426.526663&lt;/D&gt;&lt;D xsi:type="xsd:double"&gt;424.140423&lt;/D&gt;&lt;D xsi:type="xsd:double"&gt;422.25468&lt;/D&gt;&lt;D xsi:type="xsd:double"&gt;422.040339&lt;/D&gt;&lt;D xsi:type="xsd:double"&gt;422.07142&lt;/D&gt;&lt;D xsi:type="xsd:double"&gt;421.534151&lt;/D&gt;&lt;D xsi:type="xsd:double"&gt;421.586351&lt;/D&gt;&lt;D xsi:type="xsd:double"&gt;420.008513&lt;/D&gt;&lt;D xsi:type="xsd:double"&gt;420.109108&lt;/D&gt;&lt;D xsi:type="xsd:double"&gt;418.410646&lt;/D&gt;&lt;D xsi:type="xsd:double"&gt;417.108853&lt;/D&gt;&lt;D xsi:type="xsd:double"&gt;415.409916&lt;/D&gt;&lt;D xsi:type="xsd:double"&gt;413.46528&lt;/D&gt;&lt;D xsi:type="xsd:double"&gt;415.435703&lt;/D&gt;&lt;D xsi:type="xsd:double"&gt;414.80311&lt;/D&gt;&lt;D xsi:type="xsd:double"&gt;414.381425&lt;/D&gt;&lt;D xsi:type="xsd:double"&gt;417.255783&lt;/D&gt;&lt;D xsi:type="xsd:double"&gt;417.528091&lt;/D&gt;&lt;D xsi:type="xsd:double"&gt;416.556347&lt;/D&gt;&lt;D xsi:type="xsd:double"&gt;413.641079&lt;/D&gt;&lt;D xsi:type="xsd:double"&gt;414.475443&lt;/D&gt;&lt;D xsi:type="xsd:double"&gt;413.682911&lt;/D&gt;&lt;D xsi:type="xsd:double"&gt;413.544466&lt;/D&gt;&lt;D xsi:type="xsd:double"&gt;414.789351&lt;/D&gt;&lt;D xsi:type="xsd:double"&gt;414.721096&lt;/D&gt;&lt;D xsi:type="xsd:double"&gt;414.70803&lt;/D&gt;&lt;D xsi:type="xsd:double"&gt;414.094018&lt;/D&gt;&lt;D xsi:type="xsd:double"&gt;413.118039&lt;/D&gt;&lt;D xsi:type="xsd:double"&gt;410.684455&lt;/D&gt;&lt;D xsi:type="xsd:double"&gt;410.279162&lt;/D&gt;&lt;D xsi:type="xsd:double"&gt;413.046569&lt;/D&gt;&lt;D xsi:type="xsd:double"&gt;412.599704&lt;/D&gt;&lt;D xsi:type="xsd:double"&gt;413.413211&lt;/D&gt;&lt;D xsi:type="xsd:double"&gt;411.396772&lt;/D&gt;&lt;D xsi:type="xsd:double"&gt;410.761981&lt;/D&gt;&lt;D xsi:type="xsd:double"&gt;409.378314&lt;/D&gt;&lt;D xsi:type="xsd:double"&gt;405.27215&lt;/D&gt;&lt;D xsi:type="xsd:double"&gt;405.279043&lt;/D&gt;&lt;D xsi:type="xsd:double"&gt;404.138685&lt;/D&gt;&lt;D xsi:type="xsd:double"&gt;408.291679&lt;/D&gt;&lt;D xsi:type="xsd:double"&gt;412.216653&lt;/D&gt;&lt;D xsi:type="xsd:double"&gt;409.532373&lt;/D&gt;&lt;D xsi:type="xsd:double"&gt;408.228937&lt;/D&gt;&lt;D xsi:type="xsd:double"&gt;411.864893&lt;/D&gt;&lt;D xsi:type="xsd:double"&gt;413.73613&lt;/D&gt;&lt;D xsi:type="xsd:double"&gt;414.455343&lt;/D&gt;&lt;D xsi:type="xsd:double"&gt;413.446261&lt;/D&gt;&lt;D xsi:type="xsd:double"&gt;411.021308&lt;/D&gt;&lt;D xsi:type="xsd:double"&gt;407.952643&lt;/D&gt;&lt;D xsi:type="xsd:double"&gt;405.619655&lt;/D&gt;&lt;D xsi:type="xsd:double"&gt;405.580948&lt;/D&gt;&lt;D xsi:type="xsd:double"&gt;405.453885&lt;/D&gt;&lt;D xsi:type="xsd:double"&gt;403.118635&lt;/D&gt;&lt;D xsi:type="xsd:double"&gt;404.359781&lt;/D&gt;&lt;D xsi:type="xsd:double"&gt;404.379638&lt;/D&gt;&lt;D xsi:type="xsd:double"&gt;405.629561&lt;/D&gt;&lt;D xsi:type="xsd:double"&gt;407.347062&lt;/D&gt;&lt;D xsi:type="xsd:double"&gt;404.405384&lt;/D&gt;&lt;D xsi:type="xsd:double"&gt;401.352372&lt;/D&gt;&lt;D xsi:type="xsd:double"&gt;403.907821&lt;/D&gt;&lt;D xsi:type="xsd:double"&gt;407.019541&lt;/D&gt;&lt;D xsi:type="xsd:double"&gt;408.967181&lt;/D&gt;&lt;D xsi:type="xsd:double"&gt;409.881795&lt;/D&gt;&lt;D xsi:type="xsd:double"&gt;411.411238&lt;/D&gt;&lt;D xsi:type="xsd:double"&gt;412.649118&lt;/D&gt;&lt;D xsi:type="xsd:double"&gt;410.620498&lt;/D&gt;&lt;D xsi:type="xsd:double"&gt;410.224169&lt;/D&gt;&lt;D xsi:type="xsd:double"&gt;405.05517&lt;/D&gt;&lt;D xsi:type="xsd:double"&gt;410.129422&lt;/D&gt;&lt;D xsi:type="xsd:double"&gt;408.452198&lt;/D&gt;&lt;D xsi:type="xsd:double"&gt;407.369541&lt;/D&gt;&lt;D xsi:type="xsd:double"&gt;408.341372&lt;/D&gt;&lt;D xsi:type="xsd:double"&gt;408.224457&lt;/D&gt;&lt;D xsi:type="xsd:double"&gt;406.400983&lt;/D&gt;&lt;D xsi:type="xsd:double"&gt;405.183866&lt;/D&gt;&lt;D xsi:type="xsd:double"&gt;405.337252&lt;/D&gt;&lt;D xsi:type="xsd:double"&gt;406.536809&lt;/D&gt;&lt;D xsi:type="xsd:double"&gt;404.177065&lt;/D&gt;&lt;D xsi:type="xsd:double"&gt;402.158761&lt;/D&gt;&lt;D xsi:type="xsd:double"&gt;401.27498&lt;/D&gt;&lt;D xsi:type="xsd:double"&gt;400.193124&lt;/D&gt;&lt;D xsi:type="xsd:double"&gt;395.904773&lt;/D&gt;&lt;D xsi:type="xsd:double"&gt;394.883056&lt;/D&gt;&lt;D xsi:type="xsd:double"&gt;390.361657&lt;/D&gt;&lt;D xsi:type="xsd:double"&gt;385.321627&lt;/D&gt;&lt;D xsi:type="xsd:double"&gt;384.836281&lt;/D&gt;&lt;D xsi:type="xsd:double"&gt;385.663911&lt;/D&gt;&lt;D xsi:type="xsd:double"&gt;391.921084&lt;/D&gt;&lt;D xsi:type="xsd:double"&gt;393.893891&lt;/D&gt;&lt;D xsi:type="xsd:double"&gt;393.073225&lt;/D&gt;&lt;D xsi:type="xsd:double"&gt;394.651405&lt;/D&gt;&lt;D xsi:type="xsd:double"&gt;393.131299&lt;/D&gt;&lt;D xsi:type="xsd:double"&gt;396.87229&lt;/D&gt;&lt;D xsi:type="xsd:double"&gt;404.536571&lt;/D&gt;&lt;D xsi:type="xsd:double"&gt;407.558566&lt;/D&gt;&lt;D xsi:type="xsd:double"&gt;406.81639&lt;/D&gt;&lt;D xsi:type="xsd:double"&gt;406.403952&lt;/D&gt;&lt;D xsi:type="xsd:double"&gt;406.950859&lt;/D&gt;&lt;D xsi:type="xsd:double"&gt;407.236883&lt;/D&gt;&lt;D xsi:type="xsd:double"&gt;405.310265&lt;/D&gt;&lt;D xsi:type="xsd:double"&gt;404.013714&lt;/D&gt;&lt;D xsi:type="xsd:double"&gt;405.82935&lt;/D&gt;&lt;D xsi:type="xsd:double"&gt;403.604206&lt;/D&gt;&lt;D xsi:type="xsd:double"&gt;404.874339&lt;/D&gt;&lt;D xsi:type="xsd:double"&gt;404.24895&lt;/D&gt;&lt;D xsi:type="xsd:double"&gt;402.862371&lt;/D&gt;&lt;D xsi:type="xsd:double"&gt;404.243705&lt;/D&gt;&lt;D xsi:type="xsd:double"&gt;404.549036&lt;/D&gt;&lt;D xsi:type="xsd:double"&gt;408.548765&lt;/D&gt;&lt;D xsi:type="xsd:double"&gt;407.432626&lt;/D&gt;&lt;D xsi:type="xsd:double"&gt;406.807305&lt;/D&gt;&lt;D xsi:type="xsd:double"&gt;404.885204&lt;/D&gt;&lt;D xsi:type="xsd:double"&gt;403.523028&lt;/D&gt;&lt;D xsi:type="xsd:double"&gt;402.8854&lt;/D&gt;&lt;D xsi:type="xsd:double"&gt;400.359213&lt;/D&gt;&lt;D xsi:type="xsd:double"&gt;398.644033&lt;/D&gt;&lt;D xsi:type="xsd:double"&gt;397.714748&lt;/D&gt;&lt;D xsi:type="xsd:double"&gt;393.010879&lt;/D&gt;&lt;D xsi:type="xsd:double"&gt;394.199912&lt;/D&gt;&lt;D xsi:type="xsd:double"&gt;391.890789&lt;/D&gt;&lt;D xsi:type="xsd:double"&gt;392.158863&lt;/D&gt;&lt;D xsi:type="xsd:double"&gt;395.143501&lt;/D&gt;&lt;D xsi:type="xsd:double"&gt;398.668773&lt;/D&gt;&lt;D xsi:type="xsd:double"&gt;399.429638&lt;/D&gt;&lt;D xsi:type="xsd:double"&gt;397.874137&lt;/D&gt;&lt;D xsi:type="xsd:double"&gt;394.69505&lt;/D&gt;&lt;D xsi:type="xsd:double"&gt;395.8651&lt;/D&gt;&lt;D xsi:type="xsd:double"&gt;398.051776&lt;/D&gt;&lt;D xsi:type="xsd:double"&gt;400.279848&lt;/D&gt;&lt;D xsi:type="xsd:double"&gt;402.047494&lt;/D&gt;&lt;D xsi:type="xsd:double"&gt;400.844614&lt;/D&gt;&lt;D xsi:type="xsd:double"&gt;400.057301&lt;/D&gt;&lt;D xsi:type="xsd:double"&gt;400.675374&lt;/D&gt;&lt;D xsi:type="xsd:double"&gt;400.492807&lt;/D&gt;&lt;D xsi:type="xsd:double"&gt;398.782864&lt;/D&gt;&lt;D xsi:type="xsd:double"&gt;398.339724&lt;/D&gt;&lt;D xsi:type="xsd:double"&gt;399.674566&lt;/D&gt;&lt;D xsi:type="xsd:double"&gt;401.113049&lt;/D&gt;&lt;D xsi:type="xsd:double"&gt;399.956867&lt;/D&gt;&lt;D xsi:type="xsd:double"&gt;397.481307&lt;/D&gt;&lt;D xsi:type="xsd:double"&gt;394.484526&lt;/D&gt;&lt;D xsi:type="xsd:double"&gt;394.318918&lt;/D&gt;&lt;D xsi:type="xsd:double"&gt;394.889188&lt;/D&gt;&lt;D xsi:type="xsd:double"&gt;393.984257&lt;/D&gt;&lt;D xsi:type="xsd:double"&gt;392.903161&lt;/D&gt;&lt;D xsi:type="xsd:double"&gt;397.396895&lt;/D&gt;&lt;D xsi:type="xsd:double"&gt;395.576798&lt;/D&gt;&lt;D xsi:type="xsd:double"&gt;397.004127&lt;/D&gt;&lt;D xsi:type="xsd:double"&gt;395.726995&lt;/D&gt;&lt;D xsi:type="xsd:double"&gt;397.109359&lt;/D&gt;&lt;D xsi:type="xsd:double"&gt;399.446555&lt;/D&gt;&lt;D xsi:type="xsd:double"&gt;399.734918&lt;/D&gt;&lt;D xsi:type="xsd:double"&gt;398.728192&lt;/D&gt;&lt;D xsi:type="xsd:double"&gt;397.925716&lt;/D&gt;&lt;D xsi:type="xsd:double"&gt;398.068593&lt;/D&gt;&lt;D xsi:type="xsd:double"&gt;396.800578&lt;/D&gt;&lt;D xsi:type="xsd:double"&gt;399.294168&lt;/D&gt;&lt;D xsi:type="xsd:double"&gt;396.772525&lt;/D&gt;&lt;D xsi:type="xsd:double"&gt;396.397306&lt;/D&gt;&lt;D xsi:type="xsd:double"&gt;393.519365&lt;/D&gt;&lt;D xsi:type="xsd:double"&gt;389.816515&lt;/D&gt;&lt;D xsi:type="xsd:double"&gt;387.081057&lt;/D&gt;&lt;D xsi:type="xsd:double"&gt;387.782222&lt;/D&gt;&lt;D xsi:type="xsd:double"&gt;386.61214&lt;/D&gt;&lt;D xsi:type="xsd:double"&gt;383.708805&lt;/D&gt;&lt;D xsi:type="xsd:double"&gt;377.591928&lt;/D&gt;&lt;D xsi:type="xsd:double"&gt;378.466347&lt;/D&gt;&lt;D xsi:type="xsd:double"&gt;381.205536&lt;/D&gt;&lt;D xsi:type="xsd:double"&gt;383.788896&lt;/D&gt;&lt;D xsi:type="xsd:double"&gt;382.639034&lt;/D&gt;&lt;D xsi:type="xsd:double"&gt;384.131639&lt;/D&gt;&lt;D xsi:type="xsd:double"&gt;384.616066&lt;/D&gt;&lt;D xsi:type="xsd:double"&gt;382.069953&lt;/D&gt;&lt;D xsi:type="xsd:double"&gt;385.093689&lt;/D&gt;&lt;D xsi:type="xsd:double"&gt;385.611454&lt;/D&gt;&lt;D xsi:type="xsd:double"&gt;385.147659&lt;/D&gt;&lt;D xsi:type="xsd:double"&gt;385.67722&lt;/D&gt;&lt;D xsi:type="xsd:double"&gt;386.429415&lt;/D&gt;&lt;D xsi:type="xsd:double"&gt;387.482&lt;/D&gt;&lt;D xsi:type="xsd:double"&gt;390.055969&lt;/D&gt;&lt;D xsi:type="xsd:double"&gt;386.580782&lt;/D&gt;&lt;D xsi:type="xsd:double"&gt;383.496476&lt;/D&gt;&lt;D xsi:type="xsd:double"&gt;383.308885&lt;/D&gt;&lt;D xsi:type="xsd:double"&gt;379.853551&lt;/D&gt;&lt;D xsi:type="xsd:double"&gt;379.831523&lt;/D&gt;&lt;D xsi:type="xsd:double"&gt;380.514489&lt;/D&gt;&lt;D xsi:type="xsd:double"&gt;379.038221&lt;/D&gt;&lt;D xsi:type="xsd:double"&gt;375.374529&lt;/D&gt;&lt;D xsi:type="xsd:double"&gt;371.626746&lt;/D&gt;&lt;D xsi:type="xsd:double"&gt;370.221091&lt;/D&gt;&lt;D xsi:type="xsd:double"&gt;369.514296&lt;/D&gt;&lt;D xsi:type="xsd:double"&gt;367.0975&lt;/D&gt;&lt;D xsi:type="xsd:double"&gt;363.976137&lt;/D&gt;&lt;D xsi:type="xsd:double"&gt;365.447123&lt;/D&gt;&lt;D xsi:type="xsd:double"&gt;364.737015&lt;/D&gt;&lt;D xsi:type="xsd:double"&gt;365.939732&lt;/D&gt;&lt;D xsi:type="xsd:double"&gt;371.085671&lt;/D&gt;&lt;D xsi:type="xsd:double"&gt;371.983554&lt;/D&gt;&lt;D xsi:type="xsd:double"&gt;369.181433&lt;/D&gt;&lt;D xsi:type="xsd:double"&gt;367.469775&lt;/D&gt;&lt;D xsi:type="xsd:double"&gt;370.218061&lt;/D&gt;&lt;D xsi:type="xsd:double"&gt;370.939089&lt;/D&gt;&lt;D xsi:type="xsd:double"&gt;373.137446&lt;/D&gt;&lt;D xsi:type="xsd:double"&gt;373.092321&lt;/D&gt;&lt;D xsi:type="xsd:double"&gt;377.571989&lt;/D&gt;&lt;D xsi:type="xsd:double"&gt;377.521357&lt;/D&gt;&lt;D xsi:type="xsd:double"&gt;376.483581&lt;/D&gt;&lt;D xsi:type="xsd:double"&gt;376.833099&lt;/D&gt;&lt;D xsi:type="xsd:double"&gt;376.821915&lt;/D&gt;&lt;D xsi:type="xsd:double"&gt;374.58721&lt;/D&gt;&lt;D xsi:type="xsd:double"&gt;376.870105&lt;/D&gt;&lt;D xsi:type="xsd:double"&gt;377.831735&lt;/D&gt;&lt;D xsi:type="xsd:double"&gt;378.533214&lt;/D&gt;&lt;D xsi:type="xsd:double"&gt;376.514422&lt;/D&gt;&lt;D xsi:type="xsd:double"&gt;372.489791&lt;/D&gt;&lt;D xsi:type="xsd:double"&gt;373.281763&lt;/D&gt;&lt;D xsi:type="xsd:double"&gt;372.967722&lt;/D&gt;&lt;D xsi:type="xsd:double"&gt;374.914163&lt;/D&gt;&lt;D xsi:type="xsd:double"&gt;375.283271&lt;/D&gt;&lt;D xsi:type="xsd:double"&gt;375.605491&lt;/D&gt;&lt;D xsi:type="xsd:double"&gt;376.019311&lt;/D&gt;&lt;D xsi:type="xsd:double"&gt;375.56215&lt;/D&gt;&lt;D xsi:type="xsd:double"&gt;373.848091&lt;/D&gt;&lt;D xsi:type="xsd:double"&gt;373.620198&lt;/D&gt;&lt;D xsi:type="xsd:double"&gt;371.997497&lt;/D&gt;&lt;D xsi:type="xsd:double"&gt;371.097852&lt;/D&gt;&lt;D xsi:type="xsd:double"&gt;371.154697&lt;/D&gt;&lt;D xsi:type="xsd:double"&gt;370.280647&lt;/D&gt;&lt;D xsi:type="xsd:double"&gt;369.814782&lt;/D&gt;&lt;D xsi:type="xsd:double"&gt;363.506446&lt;/D&gt;&lt;D xsi:type="xsd:double"&gt;362.314657&lt;/D&gt;&lt;D xsi:type="xsd:double"&gt;359.615175&lt;/D&gt;&lt;D xsi:type="xsd:double"&gt;358.249402&lt;/D&gt;&lt;D xsi:type="xsd:double"&gt;356.154588&lt;/D&gt;&lt;D xsi:type="xsd:double"&gt;357.948758&lt;/D&gt;&lt;D xsi:type="xsd:double"&gt;358.254014&lt;/D&gt;&lt;D xsi:type="xsd:double"&gt;355.811311&lt;/D&gt;&lt;D xsi:type="xsd:double"&gt;355.463811&lt;/D&gt;&lt;D xsi:type="xsd:double"&gt;352.400527&lt;/D&gt;&lt;D xsi:type="xsd:double"&gt;348.852987&lt;/D&gt;&lt;D xsi:type="xsd:double"&gt;346.201369&lt;/D&gt;&lt;D xsi:type="xsd:double"&gt;351.386441&lt;/D&gt;&lt;D xsi:type="xsd:double"&gt;352.31714&lt;/D&gt;&lt;D xsi:type="xsd:double"&gt;365.184687&lt;/D&gt;&lt;D xsi:type="xsd:double"&gt;367.270598&lt;/D&gt;&lt;D xsi:type="xsd:double"&gt;366.088585&lt;/D&gt;&lt;D xsi:type="xsd:double"&gt;363.048263&lt;/D&gt;&lt;D xsi:type="xsd:double"&gt;362.69814&lt;/D&gt;&lt;D xsi:type="xsd:double"&gt;361.701251&lt;/D&gt;&lt;D xsi:type="xsd:double"&gt;362.988935&lt;/D&gt;&lt;D xsi:type="xsd:double"&gt;365.918106&lt;/D&gt;&lt;D xsi:type="xsd:double"&gt;365.608437&lt;/D&gt;&lt;D xsi:type="xsd:double"&gt;362.427925&lt;/D&gt;&lt;D xsi:type="xsd:double"&gt;361.826014&lt;/D&gt;&lt;D xsi:type="xsd:double"&gt;367.328109&lt;/D&gt;&lt;D xsi:type="xsd:double"&gt;366.929688&lt;/D&gt;&lt;D xsi:type="xsd:double"&gt;367.1948&lt;/D&gt;&lt;D xsi:type="xsd:double"&gt;371.872581&lt;/D&gt;&lt;D xsi:type="xsd:double"&gt;371.542529&lt;/D&gt;&lt;D xsi:type="xsd:double"&gt;373.67883&lt;/D&gt;&lt;D xsi:type="xsd:double"&gt;372.536923&lt;/D&gt;&lt;D xsi:type="xsd:double"&gt;372.658605&lt;/D&gt;&lt;D xsi:type="xsd:double"&gt;377.88757&lt;/D&gt;&lt;D xsi:type="xsd:double"&gt;379.593928&lt;/D&gt;&lt;D xsi:type="xsd:double"&gt;379.10422&lt;/D&gt;&lt;D xsi:type="xsd:double"&gt;377.807774&lt;/D&gt;&lt;D xsi:type="xsd:double"&gt;376.737548&lt;/D&gt;&lt;D xsi:type="xsd:double"&gt;377.355604&lt;/D&gt;&lt;D xsi:type="xsd:double"&gt;376.280867&lt;/D&gt;&lt;D xsi:type="xsd:double"&gt;374.210264&lt;/D&gt;&lt;D xsi:type="xsd:double"&gt;374.242316&lt;/D&gt;&lt;D xsi:type="xsd:double"&gt;374.63896&lt;/D&gt;&lt;D xsi:type="xsd:double"&gt;376.4061&lt;/D&gt;&lt;D xsi:type="xsd:double"&gt;373.484778&lt;/D&gt;&lt;D xsi:type="xsd:double"&gt;370.959624&lt;/D&gt;&lt;D xsi:type="xsd:double"&gt;370.933569&lt;/D&gt;&lt;D xsi:type="xsd:double"&gt;367.918088&lt;/D&gt;&lt;D xsi:type="xsd:double"&gt;367.248813&lt;/D&gt;&lt;D xsi:type="xsd:double"&gt;369.422027&lt;/D&gt;&lt;D xsi:type="xsd:double"&gt;367.213847&lt;/D&gt;&lt;D xsi:type="xsd:double"&gt;364.654709&lt;/D&gt;&lt;D xsi:type="xsd:double"&gt;365.186087&lt;/D&gt;&lt;D xsi:type="xsd:double"&gt;362.913396&lt;/D&gt;&lt;D xsi:type="xsd:double"&gt;361.048987&lt;/D&gt;&lt;D xsi:type="xsd:double"&gt;357.443071&lt;/D&gt;&lt;D xsi:type="xsd:double"&gt;356.347134&lt;/D&gt;&lt;D xsi:type="xsd:double"&gt;353.879368&lt;/D&gt;&lt;D xsi:type="xsd:double"&gt;355.57789&lt;/D&gt;&lt;D xsi:type="xsd:double"&gt;359.899165&lt;/D&gt;&lt;D xsi:type="xsd:double"&gt;357.960567&lt;/D&gt;&lt;D xsi:type="xsd:double"&gt;364.259777&lt;/D&gt;&lt;D xsi:type="xsd:double"&gt;366.051594&lt;/D&gt;&lt;D xsi:type="xsd:double"&gt;363.558423&lt;/D&gt;&lt;D xsi:type="xsd:double"&gt;358.919308&lt;/D&gt;&lt;D xsi:type="xsd:double"&gt;357.10069&lt;/D&gt;&lt;D xsi:type="xsd:double"&gt;355.523927&lt;/D&gt;&lt;D xsi:type="xsd:double"&gt;356.589553&lt;/D&gt;&lt;D xsi:type="xsd:double"&gt;357.66849&lt;/D&gt;&lt;D xsi:type="xsd:double"&gt;360.007901&lt;/D&gt;&lt;D xsi:type="xsd:double"&gt;358.469544&lt;/D&gt;&lt;D xsi:type="xsd:double"&gt;359.982493&lt;/D&gt;&lt;D xsi:type="xsd:double"&gt;358.708477&lt;/D&gt;&lt;D xsi:type="xsd:double"&gt;359.377111&lt;/D&gt;&lt;D xsi:type="xsd:double"&gt;357.80108&lt;/D&gt;&lt;D xsi:type="xsd:double"&gt;358.74985&lt;/D&gt;&lt;D xsi:type="xsd:double"&gt;357.796537&lt;/D&gt;&lt;D xsi:type="xsd:double"&gt;359.65739&lt;/D&gt;&lt;D xsi:type="xsd:double"&gt;357.924153&lt;/D&gt;&lt;D xsi:type="xsd:double"&gt;359.071227&lt;/D&gt;&lt;D xsi:type="xsd:double"&gt;362.563295&lt;/D&gt;&lt;D xsi:type="xsd:double"&gt;361.85441&lt;/D&gt;&lt;D xsi:type="xsd:double"&gt;359.628435&lt;/D&gt;&lt;D xsi:type="xsd:double"&gt;360.750512&lt;/D&gt;&lt;D xsi:type="xsd:double"&gt;361.343159&lt;/D&gt;&lt;D xsi:type="xsd:double"&gt;360.097378&lt;/D&gt;&lt;D xsi:type="xsd:double"&gt;358.912161&lt;/D&gt;&lt;D xsi:type="xsd:double"&gt;358.415327&lt;/D&gt;&lt;D xsi:type="xsd:double"&gt;357.552821&lt;/D&gt;&lt;D xsi:type="xsd:double"&gt;353.811068&lt;/D&gt;&lt;D xsi:type="xsd:double"&gt;353.611182&lt;/D&gt;&lt;D xsi:type="xsd:double"&gt;354.430356&lt;/D&gt;&lt;D xsi:type="xsd:double"&gt;352.821099&lt;/D&gt;&lt;D xsi:type="xsd:double"&gt;349.71062&lt;/D&gt;&lt;D xsi:type="xsd:double"&gt;351.343377&lt;/D&gt;&lt;D xsi:type="xsd:double"&gt;353.688858&lt;/D&gt;&lt;D xsi:type="xsd:double"&gt;351.485333&lt;/D&gt;&lt;D xsi:type="xsd:double"&gt;356.081452&lt;/D&gt;&lt;D xsi:type="xsd:double"&gt;358.053679&lt;/D&gt;&lt;D xsi:type="xsd:double"&gt;355.316086&lt;/D&gt;&lt;D xsi:type="xsd:double"&gt;356.318015&lt;/D&gt;&lt;D xsi:type="xsd:double"&gt;356.766172&lt;/D&gt;&lt;D xsi:type="xsd:double"&gt;356.525028&lt;/D&gt;&lt;D xsi:type="xsd:double"&gt;354.719799&lt;/D&gt;&lt;D xsi:type="xsd:double"&gt;355.855002&lt;/D&gt;&lt;D xsi:type="xsd:double"&gt;353.920594&lt;/D&gt;&lt;D xsi:type="xsd:double"&gt;355.514845&lt;/D&gt;&lt;D xsi:type="xsd:double"&gt;354.972572&lt;/D&gt;&lt;D xsi:type="xsd:double"&gt;353.982624&lt;/D&gt;&lt;D xsi:type="xsd:double"&gt;357.759447&lt;/D&gt;&lt;D xsi:type="xsd:double"&gt;355.101601&lt;/D&gt;&lt;D xsi:type="xsd:double"&gt;355.94949&lt;/D&gt;&lt;D xsi:type="xsd:double"&gt;356.287159&lt;/D&gt;&lt;D xsi:type="xsd:double"&gt;354.273055&lt;/D&gt;&lt;D xsi:type="xsd:double"&gt;355.105852&lt;/D&gt;&lt;D xsi:type="xsd:double"&gt;353.180943&lt;/D&gt;&lt;D xsi:type="xsd:double"&gt;352.678407&lt;/D&gt;&lt;D xsi:type="xsd:double"&gt;352.91342&lt;/D&gt;&lt;D xsi:type="xsd:double"&gt;351.769523&lt;/D&gt;&lt;D xsi:type="xsd:double"&gt;351.018731&lt;/D&gt;&lt;D xsi:type="xsd:double"&gt;349.338755&lt;/D&gt;&lt;D xsi:type="xsd:double"&gt;350.278409&lt;/D&gt;&lt;D xsi:type="xsd:double"&gt;350.024505&lt;/D&gt;&lt;D xsi:type="xsd:double"&gt;350.08319&lt;/D&gt;&lt;D xsi:type="xsd:double"&gt;349.487699&lt;/D&gt;&lt;D xsi:type="xsd:double"&gt;346.821501&lt;/D&gt;&lt;D xsi:type="xsd:double"&gt;345.60548&lt;/D&gt;&lt;D xsi:type="xsd:double"&gt;346.882677&lt;/D&gt;&lt;D xsi:type="xsd:double"&gt;347.679318&lt;/D&gt;&lt;D xsi:type="xsd:double"&gt;346.618951&lt;/D&gt;&lt;D xsi:type="xsd:double"&gt;347.089083&lt;/D&gt;&lt;D xsi:type="xsd:double"&gt;339.749192&lt;/D&gt;&lt;D xsi:type="xsd:double"&gt;337.175856&lt;/D&gt;&lt;D xsi:type="xsd:double"&gt;339.021235&lt;/D&gt;&lt;D xsi:type="xsd:double"&gt;338.83272&lt;/D&gt;&lt;D xsi:type="xsd:double"&gt;339.228802&lt;/D&gt;&lt;D xsi:type="xsd:double"&gt;339.801231&lt;/D&gt;&lt;D xsi:type="xsd:double"&gt;342.587888&lt;/D&gt;&lt;D xsi:type="xsd:double"&gt;341.957733&lt;/D&gt;&lt;D xsi:type="xsd:double"&gt;341.449519&lt;/D&gt;&lt;D xsi:type="xsd:double"&gt;338.381623&lt;/D&gt;&lt;D xsi:type="xsd:double"&gt;336.357645&lt;/D&gt;&lt;D xsi:type="xsd:double"&gt;336.816151&lt;/D&gt;&lt;D xsi:type="xsd:double"&gt;337.791706&lt;/D&gt;&lt;D xsi:type="xsd:double"&gt;336.989678&lt;/D&gt;&lt;D xsi:type="xsd:double"&gt;334.997751&lt;/D&gt;&lt;D xsi:type="xsd:double"&gt;334.517766&lt;/D&gt;&lt;D xsi:type="xsd:double"&gt;334.04382&lt;/D&gt;&lt;D xsi:type="xsd:double"&gt;333.057424&lt;/D&gt;&lt;D xsi:type="xsd:double"&gt;332.326741&lt;/D&gt;&lt;D xsi:type="xsd:double"&gt;332.40644&lt;/D&gt;&lt;D xsi:type="xsd:double"&gt;332.641809&lt;/D&gt;&lt;D xsi:type="xsd:double"&gt;332.325403&lt;/D&gt;&lt;D xsi:type="xsd:double"&gt;329.411808&lt;/D&gt;&lt;D xsi:type="xsd:double"&gt;328.636335&lt;/D&gt;&lt;D xsi:type="xsd:double"&gt;329.30334&lt;/D&gt;&lt;D xsi:type="xsd:double"&gt;329.829285&lt;/D&gt;&lt;D xsi:type="xsd:double"&gt;324.663278&lt;/D&gt;&lt;D xsi:type="xsd:double"&gt;323.936564&lt;/D&gt;&lt;D xsi:type="xsd:double"&gt;323.778851&lt;/D&gt;&lt;D xsi:type="xsd:double"&gt;317.350403&lt;/D&gt;&lt;D xsi:type="xsd:double"&gt;317.660863&lt;/D&gt;&lt;D xsi:type="xsd:double"&gt;318.642426&lt;/D&gt;&lt;D xsi:type="xsd:double"&gt;321.963391&lt;/D&gt;&lt;D xsi:type="xsd:double"&gt;322.803964&lt;/D&gt;&lt;D xsi:type="xsd:double"&gt;323.252189&lt;/D&gt;&lt;D xsi:type="xsd:double"&gt;323.58722&lt;/D&gt;&lt;D xsi:type="xsd:double"&gt;326.830435&lt;/D&gt;&lt;D xsi:type="xsd:double"&gt;331.710298&lt;/D&gt;&lt;D xsi:type="xsd:double"&gt;329.703785&lt;/D&gt;&lt;D xsi:type="xsd:double"&gt;330.396444&lt;/D&gt;&lt;D xsi:type="xsd:double"&gt;331.8241&lt;/D&gt;&lt;D xsi:type="xsd:double"&gt;329.067024&lt;/D&gt;&lt;D xsi:type="xsd:double"&gt;328.588189&lt;/D&gt;&lt;D xsi:type="xsd:double"&gt;329.5003&lt;/D&gt;&lt;D xsi:type="xsd:double"&gt;328.425323&lt;/D&gt;&lt;D xsi:type="xsd:double"&gt;328.791969&lt;/D&gt;&lt;D xsi:type="xsd:double"&gt;333.840272&lt;/D&gt;&lt;D xsi:type="xsd:double"&gt;334.102369&lt;/D&gt;&lt;D xsi:type="xsd:double"&gt;338.220455&lt;/D&gt;&lt;D xsi:type="xsd:double"&gt;338.138296&lt;/D&gt;&lt;D xsi:type="xsd:double"&gt;335.56808&lt;/D&gt;&lt;D xsi:type="xsd:double"&gt;331.549942&lt;/D&gt;&lt;D xsi:type="xsd:double"&gt;330.117954&lt;/D&gt;&lt;D xsi:type="xsd:double"&gt;330.70872&lt;/D&gt;&lt;D xsi:type="xsd:double"&gt;329.732533&lt;/D&gt;&lt;D xsi:type="xsd:double"&gt;331.757417&lt;/D&gt;&lt;D xsi:type="xsd:double"&gt;334.665808&lt;/D&gt;&lt;D xsi:type="xsd:double"&gt;336.959302&lt;/D&gt;&lt;D xsi:type="xsd:double"&gt;335.564598&lt;/D&gt;&lt;D xsi:type="xsd:double"&gt;333.208813&lt;/D&gt;&lt;D xsi:type="xsd:double"&gt;333.496782&lt;/D&gt;&lt;D xsi:type="xsd:double"&gt;333.296316&lt;/D&gt;&lt;D xsi:type="xsd:double"&gt;331.577595&lt;/D&gt;&lt;D xsi:type="xsd:double"&gt;333.31482&lt;/D&gt;&lt;D xsi:type="xsd:double"&gt;330.601733&lt;/D&gt;&lt;D xsi:type="xsd:double"&gt;335.023164&lt;/D&gt;&lt;D xsi:type="xsd:double"&gt;336.135576&lt;/D&gt;&lt;D xsi:type="xsd:double"&gt;337.60764&lt;/D&gt;&lt;D xsi:type="xsd:double"&gt;336.47283&lt;/D&gt;&lt;D xsi:type="xsd:double"&gt;338.487817&lt;/D&gt;&lt;D xsi:type="xsd:double"&gt;337.422375&lt;/D&gt;&lt;D xsi:type="xsd:double"&gt;338.800873&lt;/D&gt;&lt;D xsi:type="xsd:double"&gt;340.032836&lt;/D&gt;&lt;D xsi:type="xsd:double"&gt;334.690381&lt;/D&gt;&lt;D xsi:type="xsd:double"&gt;331.719599&lt;/D&gt;&lt;D xsi:type="xsd:double"&gt;330.392148&lt;/D&gt;&lt;D xsi:type="xsd:double"&gt;329.067796&lt;/D&gt;&lt;D xsi:type="xsd:double"&gt;330.29521&lt;/D&gt;&lt;D xsi:type="xsd:double"&gt;326.32942&lt;/D&gt;&lt;D xsi:type="xsd:double"&gt;320.486318&lt;/D&gt;&lt;D xsi:type="xsd:double"&gt;321.131717&lt;/D&gt;&lt;D xsi:type="xsd:double"&gt;322.13655&lt;/D&gt;&lt;D xsi:type="xsd:double"&gt;320.425742&lt;/D&gt;&lt;D xsi:type="xsd:double"&gt;323.257113&lt;/D&gt;&lt;D xsi:type="xsd:double"&gt;323.644205&lt;/D&gt;&lt;D xsi:type="xsd:double"&gt;324.322347&lt;/D&gt;&lt;D xsi:type="xsd:double"&gt;324.358137&lt;/D&gt;&lt;D xsi:type="xsd:double"&gt;324.594484&lt;/D&gt;&lt;D xsi:type="xsd:double"&gt;324.965701&lt;/D&gt;&lt;D xsi:type="xsd:double"&gt;326.451284&lt;/D&gt;&lt;D xsi:type="xsd:double"&gt;325.378463&lt;/D&gt;&lt;D xsi:type="xsd:double"&gt;325.561208&lt;/D&gt;&lt;D xsi:type="xsd:double"&gt;325.182519&lt;/D&gt;&lt;D xsi:type="xsd:double"&gt;322.730984&lt;/D&gt;&lt;D xsi:type="xsd:double"&gt;323.008549&lt;/D&gt;&lt;D xsi:type="xsd:double"&gt;322.537333&lt;/D&gt;&lt;D xsi:type="xsd:double"&gt;323.279967&lt;/D&gt;&lt;D xsi:type="xsd:double"&gt;323.155875&lt;/D&gt;&lt;D xsi:type="xsd:double"&gt;322.418259&lt;/D&gt;&lt;D xsi:type="xsd:double"&gt;322.372257&lt;/D&gt;&lt;D xsi:type="xsd:double"&gt;320.465117&lt;/D&gt;&lt;D xsi:type="xsd:double"&gt;318.042755&lt;/D&gt;&lt;D xsi:type="xsd:double"&gt;312.261587&lt;/D&gt;&lt;D xsi:type="xsd:double"&gt;315.551139&lt;/D&gt;&lt;D xsi:type="xsd:double"&gt;316.023655&lt;/D&gt;&lt;D xsi:type="xsd:double"&gt;316.612538&lt;/D&gt;&lt;D xsi:type="xsd:double"&gt;315.45471&lt;/D&gt;&lt;D xsi:type="xsd:double"&gt;309.495958&lt;/D&gt;&lt;D xsi:type="xsd:double"&gt;303.283147&lt;/D&gt;&lt;D xsi:type="xsd:double"&gt;303.692074&lt;/D&gt;&lt;D xsi:type="xsd:double"&gt;305.843677&lt;/D&gt;&lt;D xsi:type="xsd:double"&gt;311.126177&lt;/D&gt;&lt;D xsi:type="xsd:double"&gt;314.943148&lt;/D&gt;&lt;D xsi:type="xsd:double"&gt;312.583109&lt;/D&gt;&lt;D xsi:type="xsd:double"&gt;310.477286&lt;/D&gt;&lt;D xsi:type="xsd:double"&gt;309.378103&lt;/D&gt;&lt;D xsi:type="xsd:double"&gt;309.3962&lt;/D&gt;&lt;D xsi:type="xsd:double"&gt;304.899494&lt;/D&gt;&lt;D xsi:type="xsd:double"&gt;308.168831&lt;/D&gt;&lt;D xsi:type="xsd:double"&gt;308.241103&lt;/D&gt;&lt;D xsi:type="xsd:double"&gt;309.478714&lt;/D&gt;&lt;D xsi:type="xsd:double"&gt;311.065725&lt;/D&gt;&lt;D xsi:type="xsd:double"&gt;314.32737&lt;/D&gt;&lt;D xsi:type="xsd:double"&gt;316.385295&lt;/D&gt;&lt;D xsi:type="xsd:double"&gt;313.335571&lt;/D&gt;&lt;D xsi:type="xsd:double"&gt;312.110836&lt;/D&gt;&lt;D xsi:type="xsd:double"&gt;302.927802&lt;/D&gt;&lt;D xsi:type="xsd:double"&gt;303.588287&lt;/D&gt;&lt;D xsi:type="xsd:double"&gt;300.833133&lt;/D&gt;&lt;D xsi:type="xsd:double"&gt;300.244036&lt;/D&gt;&lt;D xsi:type="xsd:double"&gt;304.630842&lt;/D&gt;&lt;D xsi:type="xsd:double"&gt;305.525949&lt;/D&gt;&lt;D xsi:type="xsd:double"&gt;311.192246&lt;/D&gt;&lt;D xsi:type="xsd:double"&gt;310.423772&lt;/D&gt;&lt;D xsi:type="xsd:double"&gt;306.669002&lt;/D&gt;&lt;D xsi:type="xsd:double"&gt;305.597418&lt;/D&gt;&lt;D xsi:type="xsd:double"&gt;302.343485&lt;/D&gt;&lt;D xsi:type="xsd:double"&gt;301.301396&lt;/D&gt;&lt;D xsi:type="xsd:double"&gt;301.417234&lt;/D&gt;&lt;D xsi:type="xsd:double"&gt;299.767362&lt;/D&gt;&lt;D xsi:type="xsd:double"&gt;300.415916&lt;/D&gt;&lt;D xsi:type="xsd:double"&gt;301.164854&lt;/D&gt;&lt;D xsi:type="xsd:double"&gt;299.145276&lt;/D&gt;&lt;D xsi:type="xsd:double"&gt;292.882055&lt;/D&gt;&lt;D xsi:type="xsd:double"&gt;291.149492&lt;/D&gt;&lt;D xsi:type="xsd:double"&gt;292.014205&lt;/D&gt;&lt;D xsi:type="xsd:double"&gt;297.984611&lt;/D&gt;&lt;D xsi:type="xsd:double"&gt;298.873404&lt;/D&gt;&lt;D xsi:type="xsd:double"&gt;303.900044&lt;/D&gt;&lt;D xsi:type="xsd:double"&gt;300.226396&lt;/D&gt;&lt;D xsi:type="xsd:double"&gt;300.867132&lt;/D&gt;&lt;D xsi:type="xsd:double"&gt;299.746815&lt;/D&gt;&lt;D xsi:type="xsd:double"&gt;303.440161&lt;/D&gt;&lt;D xsi:type="xsd:double"&gt;301.332211&lt;/D&gt;&lt;D xsi:type="xsd:double"&gt;298.17136&lt;/D&gt;&lt;D xsi:type="xsd:double"&gt;301.644978&lt;/D&gt;&lt;D xsi:type="xsd:double"&gt;304.697997&lt;/D&gt;&lt;D xsi:type="xsd:double"&gt;307.671482&lt;/D&gt;&lt;D xsi:type="xsd:double"&gt;310.203569&lt;/D&gt;&lt;D xsi:type="xsd:double"&gt;314.986506&lt;/D&gt;&lt;D xsi:type="xsd:double"&gt;315.970302&lt;/D&gt;&lt;D xsi:type="xsd:double"&gt;314.927342&lt;/D&gt;&lt;D xsi:type="xsd:double"&gt;317.686157&lt;/D&gt;&lt;D xsi:type="xsd:double"&gt;320.359134&lt;/D&gt;&lt;D xsi:type="xsd:double"&gt;321.71631&lt;/D&gt;&lt;D xsi:type="xsd:double"&gt;326.488015&lt;/D&gt;&lt;D xsi:type="xsd:double"&gt;328.279747&lt;/D&gt;&lt;D xsi:type="xsd:double"&gt;329.315131&lt;/D&gt;&lt;D xsi:type="xsd:double"&gt;328.67259&lt;/D&gt;&lt;D xsi:type="xsd:double"&gt;329.447328&lt;/D&gt;&lt;D xsi:type="xsd:double"&gt;328.131965&lt;/D&gt;&lt;D xsi:type="xsd:double"&gt;326.199955&lt;/D&gt;&lt;D xsi:type="xsd:double"&gt;323.148984&lt;/D&gt;&lt;D xsi:type="xsd:double"&gt;321.339119&lt;/D&gt;&lt;D xsi:type="xsd:double"&gt;325.770113&lt;/D&gt;&lt;D xsi:type="xsd:double"&gt;324.968935&lt;/D&gt;&lt;D xsi:type="xsd:double"&gt;326.340696&lt;/D&gt;&lt;D xsi:type="xsd:double"&gt;326.90051&lt;/D&gt;&lt;D xsi:type="xsd:double"&gt;322.44043&lt;/D&gt;&lt;D xsi:type="xsd:double"&gt;323.053835&lt;/D&gt;&lt;D xsi:type="xsd:double"&gt;326.472405&lt;/D&gt;&lt;D xsi:type="xsd:double"&gt;322.207235&lt;/D&gt;&lt;D xsi:type="xsd:double"&gt;320.600115&lt;/D&gt;&lt;D xsi:type="xsd:double"&gt;325.620414&lt;/D&gt;&lt;D xsi:type="xsd:double"&gt;328.274669&lt;/D&gt;&lt;D xsi:type="xsd:double"&gt;328.658151&lt;/D&gt;&lt;D xsi:type="xsd:double"&gt;334.961505&lt;/D&gt;&lt;D xsi:type="xsd:double"&gt;336.265707&lt;/D&gt;&lt;D xsi:type="xsd:double"&gt;333.297311&lt;/D&gt;&lt;D xsi:type="xsd:double"&gt;331.473857&lt;/D&gt;&lt;D xsi:type="xsd:double"&gt;333.495307&lt;/D&gt;&lt;D xsi:type="xsd:double"&gt;336.154894&lt;/D&gt;&lt;D xsi:type="xsd:double"&gt;335.930346&lt;/D&gt;&lt;D xsi:type="xsd:double"&gt;332.485665&lt;/D&gt;&lt;D xsi:type="xsd:double"&gt;331.561111&lt;/D&gt;&lt;D xsi:type="xsd:double"&gt;333.637028&lt;/D&gt;</t>
        </r>
      </text>
    </comment>
    <comment ref="A34" authorId="0" shapeId="0">
      <text>
        <r>
          <rPr>
            <b/>
            <sz val="9"/>
            <color indexed="81"/>
            <rFont val="Tahoma"/>
            <family val="2"/>
          </rPr>
          <t>&lt;D xsi:type="xsd:double"&gt;334.680791&lt;/D&gt;&lt;D xsi:type="xsd:double"&gt;337.135996&lt;/D&gt;&lt;D xsi:type="xsd:double"&gt;336.181442&lt;/D&gt;&lt;D xsi:type="xsd:double"&gt;334.828839&lt;/D&gt;&lt;D xsi:type="xsd:double"&gt;332.951557&lt;/D&gt;&lt;D xsi:type="xsd:double"&gt;333.578216&lt;/D&gt;&lt;D xsi:type="xsd:double"&gt;328.716217&lt;/D&gt;&lt;D xsi:type="xsd:double"&gt;329.606419&lt;/D&gt;&lt;D xsi:type="xsd:double"&gt;328.976767&lt;/D&gt;&lt;D xsi:type="xsd:double"&gt;324.019292&lt;/D&gt;&lt;D xsi:type="xsd:double"&gt;322.993719&lt;/D&gt;&lt;D xsi:type="xsd:double"&gt;329.867078&lt;/D&gt;&lt;D xsi:type="xsd:double"&gt;331.900113&lt;/D&gt;&lt;D xsi:type="xsd:double"&gt;333.076804&lt;/D&gt;&lt;D xsi:type="xsd:double"&gt;331.927427&lt;/D&gt;&lt;D xsi:type="xsd:double"&gt;332.437042&lt;/D&gt;&lt;D xsi:type="xsd:double"&gt;330.8431&lt;/D&gt;&lt;D xsi:type="xsd:double"&gt;331.847698&lt;/D&gt;&lt;D xsi:type="xsd:double"&gt;330.127966&lt;/D&gt;&lt;D xsi:type="xsd:double"&gt;329.158089&lt;/D&gt;&lt;D xsi:type="xsd:double"&gt;330.400839&lt;/D&gt;&lt;D xsi:type="xsd:double"&gt;328.866549&lt;/D&gt;&lt;D xsi:type="xsd:double"&gt;326.57504&lt;/D&gt;&lt;D xsi:type="xsd:double"&gt;325.718633&lt;/D&gt;&lt;D xsi:type="xsd:double"&gt;325.098454&lt;/D&gt;&lt;D xsi:type="xsd:double"&gt;326.51869&lt;/D&gt;&lt;D xsi:type="xsd:double"&gt;323.960295&lt;/D&gt;&lt;D xsi:type="xsd:double"&gt;327.991429&lt;/D&gt;&lt;D xsi:type="xsd:double"&gt;327.28506&lt;/D&gt;&lt;D xsi:type="xsd:double"&gt;326.129329&lt;/D&gt;&lt;D xsi:type="xsd:double"&gt;325.009304&lt;/D&gt;&lt;D xsi:type="xsd:double"&gt;325.118687&lt;/D&gt;&lt;D xsi:type="xsd:double"&gt;321.87599&lt;/D&gt;&lt;D xsi:type="xsd:double"&gt;320.780178&lt;/D&gt;&lt;D xsi:type="xsd:double"&gt;316.654852&lt;/D&gt;&lt;D xsi:type="xsd:double"&gt;315.666524&lt;/D&gt;&lt;D xsi:type="xsd:double"&gt;317.679149&lt;/D&gt;&lt;D xsi:type="xsd:double"&gt;318.629534&lt;/D&gt;&lt;D xsi:type="xsd:double"&gt;316.385042&lt;/D&gt;&lt;D xsi:type="xsd:double"&gt;314.924067&lt;/D&gt;&lt;D xsi:type="xsd:double"&gt;316.240018&lt;/D&gt;&lt;D xsi:type="xsd:double"&gt;314.491024&lt;/D&gt;&lt;D xsi:type="xsd:double"&gt;313.755733&lt;/D&gt;&lt;D xsi:type="xsd:double"&gt;310.927346&lt;/D&gt;&lt;D xsi:type="xsd:double"&gt;308.241953&lt;/D&gt;&lt;D xsi:type="xsd:double"&gt;305.101303&lt;/D&gt;&lt;D xsi:type="xsd:double"&gt;306.521326&lt;/D&gt;&lt;D xsi:type="xsd:double"&gt;305.64337&lt;/D&gt;&lt;D xsi:type="xsd:double"&gt;306.370471&lt;/D&gt;&lt;D xsi:type="xsd:double"&gt;302.296006&lt;/D&gt;&lt;D xsi:type="xsd:double"&gt;301.958368&lt;/D&gt;&lt;D xsi:type="xsd:double"&gt;303.367399&lt;/D&gt;&lt;D xsi:type="xsd:double"&gt;305.035548&lt;/D&gt;&lt;D xsi:type="xsd:double"&gt;305.680652&lt;/D&gt;&lt;D xsi:type="xsd:double"&gt;299.510738&lt;/D&gt;&lt;D xsi:type="xsd:double"&gt;298.306013&lt;/D&gt;&lt;D xsi:type="xsd:double"&gt;296.135991&lt;/D&gt;&lt;D xsi:type="xsd:double"&gt;300.055108&lt;/D&gt;&lt;D xsi:type="xsd:double"&gt;299.89747&lt;/D&gt;&lt;D xsi:type="xsd:double"&gt;297.618685&lt;/D&gt;&lt;D xsi:type="xsd:double"&gt;295.422368&lt;/D&gt;&lt;D xsi:type="xsd:double"&gt;294.729926&lt;/D&gt;&lt;D xsi:type="xsd:double"&gt;287.903732&lt;/D&gt;&lt;D xsi:type="xsd:double"&gt;291.008519&lt;/D&gt;&lt;D xsi:type="xsd:double"&gt;289.901193&lt;/D&gt;&lt;D xsi:type="xsd:double"&gt;289.357338&lt;/D&gt;&lt;D xsi:type="xsd:double"&gt;294.393401&lt;/D&gt;&lt;D xsi:type="xsd:double"&gt;296.834157&lt;/D&gt;&lt;D xsi:type="xsd:double"&gt;301.281172&lt;/D&gt;&lt;D xsi:type="xsd:double"&gt;299.023826&lt;/D&gt;&lt;D xsi:type="xsd:double"&gt;304.534936&lt;/D&gt;&lt;D xsi:type="xsd:double"&gt;303.490141&lt;/D&gt;&lt;D xsi:type="xsd:double"&gt;305.264401&lt;/D&gt;&lt;D xsi:type="xsd:double"&gt;302.454467&lt;/D&gt;&lt;D xsi:type="xsd:double"&gt;301.680644&lt;/D&gt;&lt;D xsi:type="xsd:double"&gt;300.446747&lt;/D&gt;&lt;D xsi:type="xsd:double"&gt;289.722946&lt;/D&gt;&lt;D xsi:type="xsd:double"&gt;287.800609&lt;/D&gt;&lt;D xsi:type="xsd:double"&gt;279.129884&lt;/D&gt;&lt;D xsi:type="xsd:double"&gt;280.576339&lt;/D&gt;&lt;D xsi:type="xsd:double"&gt;286.957241&lt;/D&gt;&lt;D xsi:type="xsd:double"&gt;287.805939&lt;/D&gt;&lt;D xsi:type="xsd:double"&gt;294.671874&lt;/D&gt;&lt;D xsi:type="xsd:double"&gt;296.546789&lt;/D&gt;&lt;D xsi:type="xsd:double"&gt;300.484886&lt;/D&gt;&lt;D xsi:type="xsd:double"&gt;303.57476&lt;/D&gt;&lt;D xsi:type="xsd:double"&gt;304.63003&lt;/D&gt;&lt;D xsi:type="xsd:double"&gt;306.8152&lt;/D&gt;&lt;D xsi:type="xsd:double"&gt;300.230392&lt;/D&gt;&lt;D xsi:type="xsd:double"&gt;301.663737&lt;/D&gt;&lt;D xsi:type="xsd:double"&gt;309.873329&lt;/D&gt;&lt;D xsi:type="xsd:double"&gt;307.487418&lt;/D&gt;&lt;D xsi:type="xsd:double"&gt;307.037817&lt;/D&gt;&lt;D xsi:type="xsd:double"&gt;307.219539&lt;/D&gt;&lt;D xsi:type="xsd:double"&gt;303.47455&lt;/D&gt;&lt;D xsi:type="xsd:double"&gt;299.91229&lt;/D&gt;&lt;D xsi:type="xsd:double"&gt;310.434215&lt;/D&gt;&lt;D xsi:type="xsd:double"&gt;319.208886&lt;/D&gt;&lt;D xsi:type="xsd:double"&gt;317.794413&lt;/D&gt;&lt;D xsi:type="xsd:double"&gt;305.260319&lt;/D&gt;&lt;D xsi:type="xsd:double"&gt;304.02939&lt;/D&gt;&lt;D xsi:type="xsd:double"&gt;307.351906&lt;/D&gt;&lt;D xsi:type="xsd:double"&gt;302.264621&lt;/D&gt;&lt;D xsi:type="xsd:double"&gt;295.685404&lt;/D&gt;&lt;D xsi:type="xsd:double"&gt;298.499262&lt;/D&gt;&lt;D xsi:type="xsd:double"&gt;298.750064&lt;/D&gt;&lt;D xsi:type="xsd:double"&gt;298.134834&lt;/D&gt;&lt;D xsi:type="xsd:double"&gt;301.13656&lt;/D&gt;&lt;D xsi:type="xsd:double"&gt;297.120613&lt;/D&gt;&lt;D xsi:type="xsd:double"&gt;298.262963&lt;/D&gt;&lt;D xsi:type="xsd:double"&gt;294.060928&lt;/D&gt;&lt;D xsi:type="xsd:double"&gt;292.998761&lt;/D&gt;&lt;D xsi:type="xsd:double"&gt;285.677217&lt;/D&gt;&lt;D xsi:type="xsd:double"&gt;284.35756&lt;/D&gt;&lt;D xsi:type="xsd:double"&gt;277.098171&lt;/D&gt;&lt;D xsi:type="xsd:double"&gt;272.078237&lt;/D&gt;&lt;D xsi:type="xsd:double"&gt;273.005442&lt;/D&gt;&lt;D xsi:type="xsd:double"&gt;280.639409&lt;/D&gt;&lt;D xsi:type="xsd:double"&gt;286.89447&lt;/D&gt;&lt;D xsi:type="xsd:double"&gt;285.147104&lt;/D&gt;&lt;D xsi:type="xsd:double"&gt;289.171478&lt;/D&gt;&lt;D xsi:type="xsd:double"&gt;280.649833&lt;/D&gt;&lt;D xsi:type="xsd:double"&gt;277.842298&lt;/D&gt;&lt;D xsi:type="xsd:double"&gt;277.382061&lt;/D&gt;&lt;D xsi:type="xsd:double"&gt;290.407506&lt;/D&gt;&lt;D xsi:type="xsd:double"&gt;296.350908&lt;/D&gt;&lt;D xsi:type="xsd:double"&gt;295.08118&lt;/D&gt;&lt;D xsi:type="xsd:double"&gt;300.521055&lt;/D&gt;&lt;D xsi:type="xsd:double"&gt;298.534077&lt;/D&gt;&lt;D xsi:type="xsd:double"&gt;292.668625&lt;/D&gt;&lt;D xsi:type="xsd:double"&gt;290.841499&lt;/D&gt;&lt;D xsi:type="xsd:double"&gt;288.414537&lt;/D&gt;&lt;D xsi:type="xsd:double"&gt;291.98336&lt;/D&gt;&lt;D xsi:type="xsd:double"&gt;300.59439&lt;/D&gt;&lt;D xsi:type="xsd:double"&gt;301.287246&lt;/D&gt;&lt;D xsi:type="xsd:double"&gt;293.413339&lt;/D&gt;&lt;D xsi:type="xsd:double"&gt;302.186453&lt;/D&gt;&lt;D xsi:type="xsd:double"&gt;309.029056&lt;/D&gt;&lt;D xsi:type="xsd:double"&gt;310.617982&lt;/D&gt;&lt;D xsi:type="xsd:double"&gt;306.491347&lt;/D&gt;&lt;D xsi:type="xsd:double"&gt;304.954903&lt;/D&gt;&lt;D xsi:type="xsd:double"&gt;297.603382&lt;/D&gt;&lt;D xsi:type="xsd:double"&gt;295.627533&lt;/D&gt;&lt;D xsi:type="xsd:double"&gt;298.930487&lt;/D&gt;&lt;D xsi:type="xsd:double"&gt;296.833872&lt;/D&gt;&lt;D xsi:type="xsd:double"&gt;290.172899&lt;/D&gt;&lt;D xsi:type="xsd:double"&gt;290.418281&lt;/D&gt;&lt;D xsi:type="xsd:double"&gt;295.030224&lt;/D&gt;&lt;D xsi:type="xsd:double"&gt;307.851568&lt;/D&gt;&lt;D xsi:type="xsd:double"&gt;306.7802&lt;/D&gt;&lt;D xsi:type="xsd:double"&gt;308.393529&lt;/D&gt;&lt;D xsi:type="xsd:double"&gt;302.113745&lt;/D&gt;&lt;D xsi:type="xsd:double"&gt;298.952724&lt;/D&gt;&lt;D xsi:type="xsd:double"&gt;290.544371&lt;/D&gt;&lt;D xsi:type="xsd:double"&gt;297.724438&lt;/D&gt;&lt;D xsi:type="xsd:double"&gt;291.498353&lt;/D&gt;&lt;D xsi:type="xsd:double"&gt;307.12666&lt;/D&gt;&lt;D xsi:type="xsd:double"&gt;311.603811&lt;/D&gt;&lt;D xsi:type="xsd:double"&gt;324.853936&lt;/D&gt;&lt;D xsi:type="xsd:double"&gt;327.333506&lt;/D&gt;&lt;D xsi:type="xsd:double"&gt;334.335491&lt;/D&gt;&lt;D xsi:type="xsd:double"&gt;335.896061&lt;/D&gt;&lt;D xsi:type="xsd:double"&gt;337.664372&lt;/D&gt;&lt;D xsi:type="xsd:double"&gt;339.215821&lt;/D&gt;&lt;D xsi:type="xsd:double"&gt;344.724943&lt;/D&gt;&lt;D xsi:type="xsd:double"&gt;344.061369&lt;/D&gt;&lt;D xsi:type="xsd:double"&gt;345.98514&lt;/D&gt;&lt;D xsi:type="xsd:double"&gt;344.48046&lt;/D&gt;&lt;D xsi:type="xsd:double"&gt;339.866958&lt;/D&gt;&lt;D xsi:type="xsd:double"&gt;337.870196&lt;/D&gt;&lt;D xsi:type="xsd:double"&gt;333.27518&lt;/D&gt;&lt;D xsi:type="xsd:double"&gt;337.389015&lt;/D&gt;&lt;D xsi:type="xsd:double"&gt;336.863115&lt;/D&gt;&lt;D xsi:type="xsd:double"&gt;339.073023&lt;/D&gt;&lt;D xsi:type="xsd:double"&gt;335.502203&lt;/D&gt;&lt;D xsi:type="xsd:double"&gt;338.045665&lt;/D&gt;&lt;D xsi:type="xsd:double"&gt;345.183614&lt;/D&gt;&lt;D xsi:type="xsd:double"&gt;347.387833&lt;/D&gt;&lt;D xsi:type="xsd:double"&gt;344.818278&lt;/D&gt;&lt;D xsi:type="xsd:double"&gt;345.898633&lt;/D&gt;&lt;D xsi:type="xsd:double"&gt;345.04435&lt;/D&gt;&lt;D xsi:type="xsd:double"&gt;341.817036&lt;/D&gt;&lt;D xsi:type="xsd:double"&gt;337.460198&lt;/D&gt;&lt;D xsi:type="xsd:double"&gt;333.088923&lt;/D&gt;&lt;D xsi:type="xsd:double"&gt;329.487479&lt;/D&gt;&lt;D xsi:type="xsd:double"&gt;328.210319&lt;/D&gt;&lt;D xsi:type="xsd:double"&gt;329.151514&lt;/D&gt;&lt;D xsi:type="xsd:double"&gt;333.580301&lt;/D&gt;&lt;D xsi:type="xsd:double"&gt;333.948025&lt;/D&gt;&lt;D xsi:type="xsd:double"&gt;328.864171&lt;/D&gt;&lt;D xsi:type="xsd:double"&gt;328.867484&lt;/D&gt;&lt;D xsi:type="xsd:double"&gt;327.458536&lt;/D&gt;&lt;D xsi:type="xsd:double"&gt;330.592103&lt;/D&gt;&lt;D xsi:type="xsd:double"&gt;335.713291&lt;/D&gt;&lt;D xsi:type="xsd:double"&gt;331.468289&lt;/D&gt;&lt;D xsi:type="xsd:double"&gt;331.638378&lt;/D&gt;&lt;D xsi:type="xsd:double"&gt;336.493491&lt;/D&gt;&lt;D xsi:type="xsd:double"&gt;335.272343&lt;/D&gt;&lt;D xsi:type="xsd:double"&gt;337.792233&lt;/D&gt;&lt;D xsi:type="xsd:double"&gt;337.177266&lt;/D&gt;&lt;D xsi:type="xsd:double"&gt;339.734788&lt;/D&gt;&lt;D xsi:type="xsd:double"&gt;341.03905&lt;/D&gt;&lt;D xsi:type="xsd:double"&gt;343.622644&lt;/D&gt;&lt;D xsi:type="xsd:double"&gt;347.895734&lt;/D&gt;&lt;D xsi:type="xsd:double"&gt;343.500545&lt;/D&gt;&lt;D xsi:type="xsd:double"&gt;340.36334&lt;/D&gt;&lt;D xsi:type="xsd:double"&gt;338.258889&lt;/D&gt;&lt;D xsi:type="xsd:double"&gt;337.524043&lt;/D&gt;&lt;D xsi:type="xsd:double"&gt;336.629606&lt;/D&gt;&lt;D xsi:type="xsd:double"&gt;342.804558&lt;/D&gt;&lt;D xsi:type="xsd:double"&gt;344.818262&lt;/D&gt;&lt;D xsi:type="xsd:double"&gt;344.067156&lt;/D&gt;&lt;D xsi:type="xsd:double"&gt;340.890975&lt;/D&gt;&lt;D xsi:type="xsd:double"&gt;342.648001&lt;/D&gt;&lt;D xsi:type="xsd:double"&gt;344.419257&lt;/D&gt;&lt;D xsi:type="xsd:double"&gt;346.306092&lt;/D&gt;&lt;D xsi:type="xsd:double"&gt;348.422978&lt;/D&gt;&lt;D xsi:type="xsd:double"&gt;350.455623&lt;/D&gt;&lt;D xsi:type="xsd:double"&gt;347.468871&lt;/D&gt;&lt;D xsi:type="xsd:double"&gt;348.746449&lt;/D&gt;&lt;D xsi:type="xsd:double"&gt;347.831714&lt;/D&gt;&lt;D xsi:type="xsd:double"&gt;351.738448&lt;/D&gt;&lt;D xsi:type="xsd:double"&gt;354.916631&lt;/D&gt;&lt;D xsi:type="xsd:double"&gt;357.721546&lt;/D&gt;&lt;D xsi:type="xsd:double"&gt;356.902207&lt;/D&gt;&lt;D xsi:type="xsd:double"&gt;355.951968&lt;/D&gt;&lt;D xsi:type="xsd:double"&gt;353.00676&lt;/D&gt;&lt;D xsi:type="xsd:double"&gt;352.000961&lt;/D&gt;&lt;D xsi:type="xsd:double"&gt;349.976286&lt;/D&gt;&lt;D xsi:type="xsd:double"&gt;350.830428&lt;/D&gt;&lt;D xsi:type="xsd:double"&gt;348.006745&lt;/D&gt;&lt;D xsi:type="xsd:double"&gt;341.133775&lt;/D&gt;&lt;D xsi:type="xsd:double"&gt;339.283462&lt;/D&gt;&lt;D xsi:type="xsd:double"&gt;344.761445&lt;/D&gt;&lt;D xsi:type="xsd:double"&gt;344.454244&lt;/D&gt;&lt;D xsi:type="xsd:double"&gt;345.070062&lt;/D&gt;&lt;D xsi:type="xsd:double"&gt;343.660676&lt;/D&gt;&lt;D xsi:type="xsd:double"&gt;347.868573&lt;/D&gt;&lt;D xsi:type="xsd:double"&gt;348.719562&lt;/D&gt;&lt;D xsi:type="xsd:double"&gt;347.181859&lt;/D&gt;&lt;D xsi:type="xsd:double"&gt;348.045603&lt;/D&gt;&lt;D xsi:type="xsd:double"&gt;346.53809&lt;/D&gt;&lt;D xsi:type="xsd:double"&gt;346.911017&lt;/D&gt;&lt;D xsi:type="xsd:double"&gt;345.661215&lt;/D&gt;&lt;D xsi:type="xsd:double"&gt;343.640481&lt;/D&gt;&lt;D xsi:type="xsd:double"&gt;343.418565&lt;/D&gt;&lt;D xsi:type="xsd:double"&gt;340.035096&lt;/D&gt;&lt;D xsi:type="xsd:double"&gt;339.376175&lt;/D&gt;&lt;D xsi:type="xsd:double"&gt;340.543737&lt;/D&gt;&lt;D xsi:type="xsd:double"&gt;339.770575&lt;/D&gt;&lt;D xsi:type="xsd:double"&gt;336.564917&lt;/D&gt;&lt;D xsi:type="xsd:double"&gt;336.287751&lt;/D&gt;&lt;D xsi:type="xsd:double"&gt;335.091225&lt;/D&gt;&lt;D xsi:type="xsd:double"&gt;330.118606&lt;/D&gt;&lt;D xsi:type="xsd:double"&gt;328.17958&lt;/D&gt;&lt;D xsi:type="xsd:double"&gt;324.032661&lt;/D&gt;&lt;D xsi:type="xsd:double"&gt;326.489129&lt;/D&gt;&lt;D xsi:type="xsd:double"&gt;334.006021&lt;/D&gt;&lt;D xsi:type="xsd:double"&gt;336.726593&lt;/D&gt;&lt;D xsi:type="xsd:double"&gt;336.676509&lt;/D&gt;&lt;D xsi:type="xsd:double"&gt;343.262312&lt;/D&gt;&lt;D xsi:type="xsd:double"&gt;343.59175&lt;/D&gt;&lt;D xsi:type="xsd:double"&gt;342.957479&lt;/D&gt;&lt;D xsi:type="xsd:double"&gt;345.342376&lt;/D&gt;&lt;D xsi:type="xsd:double"&gt;345.702984&lt;/D&gt;&lt;D xsi:type="xsd:double"&gt;342.000173&lt;/D&gt;&lt;D xsi:type="xsd:double"&gt;342.608094&lt;/D&gt;&lt;D xsi:type="xsd:double"&gt;344.822572&lt;/D&gt;&lt;D xsi:type="xsd:double"&gt;342.189498&lt;/D&gt;&lt;D xsi:type="xsd:double"&gt;338.528716&lt;/D&gt;&lt;D xsi:type="xsd:double"&gt;339.515614&lt;/D&gt;&lt;D xsi:type="xsd:double"&gt;341.569355&lt;/D&gt;&lt;D xsi:type="xsd:double"&gt;347.831274&lt;/D&gt;&lt;D xsi:type="xsd:double"&gt;346.775326&lt;/D&gt;&lt;D xsi:type="xsd:double"&gt;344.93939&lt;/D&gt;&lt;D xsi:type="xsd:double"&gt;343.036164&lt;/D&gt;&lt;D xsi:type="xsd:double"&gt;343.218922&lt;/D&gt;&lt;D xsi:type="xsd:double"&gt;341.791281&lt;/D&gt;&lt;D xsi:type="xsd:double"&gt;341.016751&lt;/D&gt;&lt;D xsi:type="xsd:double"&gt;342.853169&lt;/D&gt;&lt;D xsi:type="xsd:double"&gt;344.631396&lt;/D&gt;&lt;D xsi:type="xsd:double"&gt;342.922537&lt;/D&gt;&lt;D xsi:type="xsd:double"&gt;341.247283&lt;/D&gt;&lt;D xsi:type="xsd:double"&gt;341.00123&lt;/D&gt;&lt;D xsi:type="xsd:double"&gt;341.720457&lt;/D&gt;&lt;D xsi:type="xsd:double"&gt;340.981125&lt;/D&gt;&lt;D xsi:type="xsd:double"&gt;335.58085&lt;/D&gt;&lt;D xsi:type="xsd:double"&gt;334.542803&lt;/D&gt;&lt;D xsi:type="xsd:double"&gt;339.391501&lt;/D&gt;&lt;D xsi:type="xsd:double"&gt;338.7915&lt;/D&gt;&lt;D xsi:type="xsd:double"&gt;336.88457&lt;/D&gt;&lt;D xsi:type="xsd:double"&gt;337.194684&lt;/D&gt;&lt;D xsi:type="xsd:double"&gt;335.048449&lt;/D&gt;&lt;D xsi:type="xsd:double"&gt;333.650259&lt;/D&gt;&lt;D xsi:type="xsd:double"&gt;337.419877&lt;/D&gt;&lt;D xsi:type="xsd:double"&gt;338.971144&lt;/D&gt;&lt;D xsi:type="xsd:double"&gt;337.415606&lt;/D&gt;&lt;D xsi:type="xsd:double"&gt;336.72144&lt;/D&gt;&lt;D xsi:type="xsd:double"&gt;335.193587&lt;/D&gt;&lt;D xsi:type="xsd:double"&gt;330.789229&lt;/D&gt;&lt;D xsi:type="xsd:double"&gt;329.039563&lt;/D&gt;&lt;D xsi:type="xsd:double"&gt;330.764256&lt;/D&gt;&lt;D xsi:type="xsd:double"&gt;331.577838&lt;/D&gt;&lt;D xsi:type="xsd:double"&gt;332.145664&lt;/D&gt;&lt;D xsi:type="xsd:double"&gt;333.224965&lt;/D&gt;&lt;D xsi:type="xsd:double"&gt;332.870272&lt;/D&gt;&lt;D xsi:type="xsd:double"&gt;330.63638&lt;/D&gt;&lt;D xsi:type="xsd:double"&gt;329.66201&lt;/D&gt;&lt;D xsi:type="xsd:double"&gt;329.839298&lt;/D&gt;&lt;D xsi:type="xsd:double"&gt;328.612024&lt;/D&gt;&lt;D xsi:type="xsd:double"&gt;327.996622&lt;/D&gt;&lt;D xsi:type="xsd:double"&gt;328.228989&lt;/D&gt;&lt;D xsi:type="xsd:double"&gt;328.233464&lt;/D&gt;&lt;D xsi:type="xsd:double"&gt;327.60267&lt;/D&gt;&lt;D xsi:type="xsd:double"&gt;324.522057&lt;/D&gt;&lt;D xsi:type="xsd:double"&gt;324.258579&lt;/D&gt;&lt;D xsi:type="xsd:double"&gt;324.604616&lt;/D&gt;&lt;D xsi:type="xsd:double"&gt;324.860922&lt;/D&gt;&lt;D xsi:type="xsd:double"&gt;326.988941&lt;/D&gt;&lt;D xsi:type="xsd:double"&gt;326.217084&lt;/D&gt;&lt;D xsi:type="xsd:double"&gt;323.938733&lt;/D&gt;&lt;D xsi:type="xsd:double"&gt;322.830159&lt;/D&gt;&lt;D xsi:type="xsd:double"&gt;321.740704&lt;/D&gt;&lt;D xsi:type="xsd:double"&gt;322.970692&lt;/D&gt;&lt;D xsi:type="xsd:double"&gt;321.784383&lt;/D&gt;&lt;D xsi:type="xsd:double"&gt;322.132369&lt;/D&gt;&lt;D xsi:type="xsd:double"&gt;319.658145&lt;/D&gt;&lt;D xsi:type="xsd:double"&gt;314.386193&lt;/D&gt;&lt;D xsi:type="xsd:double"&gt;308.381103&lt;/D&gt;&lt;D xsi:type="xsd:double"&gt;310.200096&lt;/D&gt;&lt;D xsi:type="xsd:double"&gt;312.332843&lt;/D&gt;&lt;D xsi:type="xsd:double"&gt;315.52211&lt;/D&gt;&lt;D xsi:type="xsd:double"&gt;312.747399&lt;/D&gt;&lt;D xsi:type="xsd:double"&gt;318.307746&lt;/D&gt;&lt;D xsi:type="xsd:double"&gt;319.115835&lt;/D&gt;&lt;D xsi:type="xsd:double"&gt;318.805186&lt;/D&gt;&lt;D xsi:type="xsd:double"&gt;313.773121&lt;/D&gt;&lt;D xsi:type="xsd:double"&gt;313.586653&lt;/D&gt;&lt;D xsi:type="xsd:double"&gt;319.242714&lt;/D&gt;&lt;D xsi:type="xsd:double"&gt;319.70106&lt;/D&gt;&lt;D xsi:type="xsd:double"&gt;323.020995&lt;/D&gt;&lt;D xsi:type="xsd:double"&gt;323.884755&lt;/D&gt;&lt;D xsi:type="xsd:double"&gt;326.012401&lt;/D&gt;&lt;D xsi:type="xsd:double"&gt;326.573407&lt;/D&gt;&lt;D xsi:type="xsd:double"&gt;327.393314&lt;/D&gt;&lt;D xsi:type="xsd:double"&gt;326.908372&lt;/D&gt;&lt;D xsi:type="xsd:double"&gt;319.603963&lt;/D&gt;&lt;D xsi:type="xsd:double"&gt;319.289739&lt;/D&gt;&lt;D xsi:type="xsd:double"&gt;316.778117&lt;/D&gt;&lt;D xsi:type="xsd:double"&gt;315.946653&lt;/D&gt;&lt;D xsi:type="xsd:double"&gt;315.635721&lt;/D&gt;&lt;D xsi:type="xsd:double"&gt;313.819267&lt;/D&gt;&lt;D xsi:type="xsd:double"&gt;316.723136&lt;/D&gt;&lt;D xsi:type="xsd:double"&gt;317.985144&lt;/D&gt;&lt;D xsi:type="xsd:double"&gt;316.088185&lt;/D&gt;&lt;D xsi:type="xsd:double"&gt;316.56719&lt;/D&gt;&lt;D xsi:type="xsd:double"&gt;315.690253&lt;/D&gt;&lt;D xsi:type="xsd:double"&gt;312.646508&lt;/D&gt;&lt;D xsi:type="xsd:double"&gt;317.464763&lt;/D&gt;&lt;D xsi:type="xsd:double"&gt;316.82936&lt;/D&gt;&lt;D xsi:type="xsd:double"&gt;317.642729&lt;/D&gt;&lt;D xsi:type="xsd:double"&gt;316.376604&lt;/D&gt;&lt;D xsi:type="xsd:double"&gt;312.467188&lt;/D&gt;&lt;D xsi:type="xsd:double"&gt;313.392425&lt;/D&gt;&lt;D xsi:type="xsd:double"&gt;312.993076&lt;/D&gt;&lt;D xsi:type="xsd:double"&gt;312.292005&lt;/D&gt;&lt;D xsi:type="xsd:double"&gt;312.215006&lt;/D&gt;&lt;D xsi:type="xsd:double"&gt;310.416515&lt;/D&gt;&lt;D xsi:type="xsd:double"&gt;304.899709&lt;/D&gt;&lt;D xsi:type="xsd:double"&gt;306.691635&lt;/D&gt;&lt;D xsi:type="xsd:double"&gt;305.163525&lt;/D&gt;&lt;D xsi:type="xsd:double"&gt;306.026172&lt;/D&gt;&lt;D xsi:type="xsd:double"&gt;305.712474&lt;/D&gt;&lt;D xsi:type="xsd:double"&gt;304.932646&lt;/D&gt;&lt;D xsi:type="xsd:double"&gt;305.153055&lt;/D&gt;&lt;D xsi:type="xsd:double"&gt;300.51518&lt;/D&gt;&lt;D xsi:type="xsd:double"&gt;302.158587&lt;/D&gt;&lt;D xsi:type="xsd:double"&gt;301.762579&lt;/D&gt;&lt;D xsi:type="xsd:double"&gt;302.238125&lt;/D&gt;&lt;D xsi:type="xsd:double"&gt;298.46501&lt;/D&gt;&lt;D xsi:type="xsd:double"&gt;298.493268&lt;/D&gt;&lt;D xsi:type="xsd:double"&gt;299.244038&lt;/D&gt;&lt;D xsi:type="xsd:double"&gt;298.907527&lt;/D&gt;&lt;D xsi:type="xsd:double"&gt;298.012914&lt;/D&gt;&lt;D xsi:type="xsd:double"&gt;293.759012&lt;/D&gt;&lt;D xsi:type="xsd:double"&gt;293.090373&lt;/D&gt;&lt;D xsi:type="xsd:double"&gt;291.10002&lt;/D&gt;&lt;D xsi:type="xsd:double"&gt;290.066696&lt;/D&gt;&lt;D xsi:type="xsd:double"&gt;291.717035&lt;/D&gt;&lt;D xsi:type="xsd:double"&gt;288.631642&lt;/D&gt;&lt;D xsi:type="xsd:double"&gt;286.712858&lt;/D&gt;&lt;D xsi:type="xsd:double"&gt;279.064262&lt;/D&gt;&lt;D xsi:type="xsd:double"&gt;279.804035&lt;/D&gt;&lt;D xsi:type="xsd:double"&gt;280.97139&lt;/D&gt;&lt;D xsi:type="xsd:double"&gt;278.158181&lt;/D&gt;&lt;D xsi:type="xsd:double"&gt;277.24271&lt;/D&gt;&lt;D xsi:type="xsd:double"&gt;278.830838&lt;/D&gt;&lt;D xsi:type="xsd:double"&gt;282.495394&lt;/D&gt;&lt;D xsi:type="xsd:double"&gt;282.68818&lt;/D&gt;&lt;D xsi:type="xsd:double"&gt;285.858886&lt;/D&gt;&lt;D xsi:type="xsd:double"&gt;288.700597&lt;/D&gt;&lt;D xsi:type="xsd:double"&gt;288.516498&lt;/D&gt;&lt;D xsi:type="xsd:double"&gt;285.353267&lt;/D&gt;&lt;D xsi:type="xsd:double"&gt;284.575995&lt;/D&gt;&lt;D xsi:type="xsd:double"&gt;284.96953&lt;/D&gt;&lt;D xsi:type="xsd:double"&gt;286.714497&lt;/D&gt;&lt;D xsi:type="xsd:double"&gt;294.737478&lt;/D&gt;&lt;D xsi:type="xsd:double"&gt;298.156244&lt;/D&gt;&lt;D xsi:type="xsd:double"&gt;296.635519&lt;/D&gt;&lt;D xsi:type="xsd:double"&gt;296.836002&lt;/D&gt;&lt;D xsi:type="xsd:double"&gt;296.711908&lt;/D&gt;&lt;D xsi:type="xsd:double"&gt;296.751324&lt;/D&gt;&lt;D xsi:type="xsd:double"&gt;296.694882&lt;/D&gt;&lt;D xsi:type="xsd:double"&gt;289.751058&lt;/D&gt;&lt;D xsi:type="xsd:double"&gt;290.605459&lt;/D&gt;&lt;D xsi:type="xsd:double"&gt;290.746911&lt;/D&gt;&lt;D xsi:type="xsd:double"&gt;291.098785&lt;/D&gt;&lt;D xsi:type="xsd:double"&gt;290.621411&lt;/D&gt;&lt;D xsi:type="xsd:double"&gt;287.716518&lt;/D&gt;&lt;D xsi:type="xsd:double"&gt;285.762791&lt;/D&gt;&lt;D xsi:type="xsd:double"&gt;280.570578&lt;/D&gt;&lt;D xsi:type="xsd:double"&gt;281.291964&lt;/D&gt;&lt;D xsi:type="xsd:double"&gt;280.019691&lt;/D&gt;&lt;D xsi:type="xsd:double"&gt;280.298507&lt;/D&gt;&lt;D xsi:type="xsd:double"&gt;285.807357&lt;/D&gt;&lt;D xsi:type="xsd:double"&gt;285.967227&lt;/D&gt;&lt;D xsi:type="xsd:double"&gt;284.892989&lt;/D&gt;&lt;D xsi:type="xsd:double"&gt;280.789003&lt;/D&gt;&lt;D xsi:type="xsd:double"&gt;280.778948&lt;/D&gt;&lt;D xsi:type="xsd:double"&gt;278.860648&lt;/D&gt;&lt;D xsi:type="xsd:double"&gt;275.519375&lt;/D&gt;&lt;D xsi:type="xsd:double"&gt;271.026057&lt;/D&gt;&lt;D xsi:type="xsd:double"&gt;267.023458&lt;/D&gt;&lt;D xsi:type="xsd:double"&gt;266.740377&lt;/D&gt;&lt;D xsi:type="xsd:double"&gt;268.247293&lt;/D&gt;&lt;D xsi:type="xsd:double"&gt;270.022917&lt;/D&gt;&lt;D xsi:type="xsd:double"&gt;278.77786&lt;/D&gt;&lt;D xsi:type="xsd:double"&gt;277.928563&lt;/D&gt;&lt;D xsi:type="xsd:double"&gt;278.747669&lt;/D&gt;&lt;D xsi:type="xsd:double"&gt;282.069216&lt;/D&gt;&lt;D xsi:type="xsd:double"&gt;284.444874&lt;/D&gt;&lt;D xsi:type="xsd:double"&gt;288.298723&lt;/D&gt;&lt;D xsi:type="xsd:double"&gt;286.164612&lt;/D&gt;&lt;D xsi:type="xsd:double"&gt;285.343824&lt;/D&gt;&lt;D xsi:type="xsd:double"&gt;284.825424&lt;/D&gt;&lt;D xsi:type="xsd:double"&gt;283.986844&lt;/D&gt;&lt;D xsi:type="xsd:double"&gt;279.873911&lt;/D&gt;&lt;D xsi:type="xsd:double"&gt;277.011286&lt;/D&gt;&lt;D xsi:type="xsd:double"&gt;275.421885&lt;/D&gt;&lt;D xsi:type="xsd:double"&gt;269.384539&lt;/D&gt;&lt;D xsi:type="xsd:double"&gt;268.136983&lt;/D&gt;&lt;D xsi:type="xsd:double"&gt;267.169129&lt;/D&gt;&lt;D xsi:type="xsd:double"&gt;272.309192&lt;/D&gt;&lt;D xsi:type="xsd:double"&gt;279.607199&lt;/D&gt;&lt;D xsi:type="xsd:double"&gt;276.351617&lt;/D&gt;&lt;D xsi:type="xsd:double"&gt;274.132515&lt;/D&gt;&lt;D xsi:type="xsd:double"&gt;276.921406&lt;/D&gt;&lt;D xsi:type="xsd:double"&gt;277.400718&lt;/D&gt;&lt;D xsi:type="xsd:double"&gt;269.565568&lt;/D&gt;&lt;D xsi:type="xsd:double"&gt;267.423882&lt;/D&gt;&lt;D xsi:type="xsd:double"&gt;272.292575&lt;/D&gt;&lt;D xsi:type="xsd:double"&gt;274.241091&lt;/D&gt;&lt;D xsi:type="xsd:double"&gt;271.844808&lt;/D&gt;&lt;D xsi:type="xsd:double"&gt;280.104929&lt;/D&gt;&lt;D xsi:type="xsd:double"&gt;284.871515&lt;/D&gt;&lt;D xsi:type="xsd:double"&gt;285.786401&lt;/D&gt;&lt;D xsi:type="xsd:double"&gt;288.307018&lt;/D&gt;&lt;D xsi:type="xsd:double"&gt;295.358594&lt;/D&gt;&lt;D xsi:type="xsd:double"&gt;296.413757&lt;/D&gt;&lt;D xsi:type="xsd:double"&gt;292.973126&lt;/D&gt;&lt;D xsi:type="xsd:double"&gt;295.218569&lt;/D&gt;&lt;D xsi:type="xsd:double"&gt;281.619762&lt;/D&gt;&lt;D xsi:type="xsd:double"&gt;288.214593&lt;/D&gt;&lt;D xsi:type="xsd:double"&gt;296.314307&lt;/D&gt;&lt;D xsi:type="xsd:double"&gt;300.134582&lt;/D&gt;&lt;D xsi:type="xsd:double"&gt;307.723275&lt;/D&gt;&lt;D xsi:type="xsd:double"&gt;307.347819&lt;/D&gt;&lt;D xsi:type="xsd:double"&gt;309.274809&lt;/D&gt;&lt;D xsi:type="xsd:double"&gt;305.799632&lt;/D&gt;&lt;D xsi:type="xsd:double"&gt;308.229917&lt;/D&gt;&lt;D xsi:type="xsd:double"&gt;314.639945&lt;/D&gt;&lt;D xsi:type="xsd:double"&gt;313.484628&lt;/D&gt;&lt;D xsi:type="xsd:double"&gt;311.869418&lt;/D&gt;&lt;D xsi:type="xsd:double"&gt;313.592452&lt;/D&gt;&lt;D xsi:type="xsd:double"&gt;314.03157&lt;/D&gt;&lt;D xsi:type="xsd:double"&gt;311.227296&lt;/D&gt;&lt;D xsi:type="xsd:double"&gt;313.102361&lt;/D&gt;&lt;D xsi:type="xsd:double"&gt;318.046003&lt;/D&gt;&lt;D xsi:type="xsd:double"&gt;317.470535&lt;/D&gt;&lt;D xsi:type="xsd:double"&gt;314.008488&lt;/D&gt;&lt;D xsi:type="xsd:double"&gt;315.050468&lt;/D&gt;&lt;D xsi:type="xsd:double"&gt;313.811053&lt;/D&gt;&lt;D xsi:type="xsd:double"&gt;310.8222&lt;/D&gt;&lt;D xsi:type="xsd:double"&gt;311.545855&lt;/D&gt;&lt;D xsi:type="xsd:double"&gt;312.465608&lt;/D&gt;&lt;D xsi:type="xsd:double"&gt;312.191879&lt;/D&gt;&lt;D xsi:type="xsd:double"&gt;310.659979&lt;/D&gt;&lt;D xsi:type="xsd:double"&gt;307.404434&lt;/D&gt;&lt;D xsi:type="xsd:double"&gt;307.491198&lt;/D&gt;&lt;D xsi:type="xsd:double"&gt;307.160305&lt;/D&gt;&lt;D xsi:type="xsd:double"&gt;305.137855&lt;/D&gt;&lt;D xsi:type="xsd:double"&gt;304.643995&lt;/D&gt;&lt;D xsi:type="xsd:double"&gt;304.407706&lt;/D&gt;&lt;D xsi:type="xsd:double"&gt;306.838088&lt;/D&gt;&lt;D xsi:type="xsd:double"&gt;305.022295&lt;/D&gt;&lt;D xsi:type="xsd:double"&gt;304.742367&lt;/D&gt;&lt;D xsi:type="xsd:double"&gt;306.205288&lt;/D&gt;&lt;D xsi:type="xsd:double"&gt;307.664238&lt;/D&gt;&lt;D xsi:type="xsd:double"&gt;305.14454&lt;/D&gt;&lt;D xsi:type="xsd:double"&gt;302.1957&lt;/D&gt;&lt;D xsi:type="xsd:double"&gt;303.775989&lt;/D&gt;&lt;D xsi:type="xsd:double"&gt;302.61929&lt;/D&gt;&lt;D xsi:type="xsd:double"&gt;302.232646&lt;/D&gt;&lt;D xsi:type="xsd:double"&gt;300.562344&lt;/D&gt;&lt;D xsi:type="xsd:double"&gt;300.691217&lt;/D&gt;&lt;D xsi:type="xsd:double"&gt;299.305786&lt;/D&gt;&lt;D xsi:type="xsd:double"&gt;295.457714&lt;/D&gt;&lt;D xsi:type="xsd:double"&gt;296.053061&lt;/D&gt;&lt;D xsi:type="xsd:double"&gt;294.008821&lt;/D&gt;&lt;D xsi:type="xsd:double"&gt;291.58202&lt;/D&gt;&lt;D xsi:type="xsd:double"&gt;289.497382&lt;/D&gt;&lt;D xsi:type="xsd:double"&gt;286.906575&lt;/D&gt;&lt;D xsi:type="xsd:double"&gt;289.358742&lt;/D&gt;&lt;D xsi:type="xsd:double"&gt;288.590245&lt;/D&gt;&lt;D xsi:type="xsd:double"&gt;291.229956&lt;/D&gt;&lt;D xsi:type="xsd:double"&gt;289.64154&lt;/D&gt;&lt;D xsi:type="xsd:double"&gt;291.026446&lt;/D&gt;&lt;D xsi:type="xsd:double"&gt;289.957152&lt;/D&gt;&lt;D xsi:type="xsd:double"&gt;287.472497&lt;/D&gt;&lt;D xsi:type="xsd:double"&gt;283.138669&lt;/D&gt;&lt;D xsi:type="xsd:double"&gt;283.395788&lt;/D&gt;&lt;D xsi:type="xsd:double"&gt;281.462699&lt;/D&gt;&lt;D xsi:type="xsd:double"&gt;281.25443&lt;/D&gt;&lt;D xsi:type="xsd:double"&gt;278.773581&lt;/D&gt;&lt;D xsi:type="xsd:double"&gt;279.551518&lt;/D&gt;&lt;D xsi:type="xsd:double"&gt;283.109893&lt;/D&gt;&lt;D xsi:type="xsd:double"&gt;291.379596&lt;/D&gt;&lt;D xsi:type="xsd:double"&gt;292.263374&lt;/D&gt;&lt;D xsi:type="xsd:double"&gt;288.525765&lt;/D&gt;&lt;D xsi:type="xsd:double"&gt;286.327287&lt;/D&gt;&lt;D xsi:type="xsd:double"&gt;288.541445&lt;/D&gt;&lt;D xsi:type="xsd:double"&gt;290.757899&lt;/D&gt;&lt;D xsi:type="xsd:double"&gt;291.831896&lt;/D&gt;&lt;D xsi:type="xsd:double"&gt;293.895354&lt;/D&gt;&lt;D xsi:type="xsd:double"&gt;294.285827&lt;/D&gt;&lt;D xsi:type="xsd:double"&gt;298.764912&lt;/D&gt;&lt;D xsi:type="xsd:double"&gt;303.321998&lt;/D&gt;&lt;D xsi:type="xsd:double"&gt;308.149812&lt;/D&gt;&lt;D xsi:type="xsd:double"&gt;306.334897&lt;/D&gt;&lt;D xsi:type="xsd:double"&gt;309.181047&lt;/D&gt;&lt;D xsi:type="xsd:double"&gt;307.714666&lt;/D&gt;&lt;D xsi:type="xsd:double"&gt;307.56602&lt;/D&gt;&lt;D xsi:type="xsd:double"&gt;309.593167&lt;/D&gt;&lt;D xsi:type="xsd:double"&gt;307.136113&lt;/D&gt;&lt;D xsi:type="xsd:double"&gt;305.865172&lt;/D&gt;&lt;D xsi:type="xsd:double"&gt;306.291346&lt;/D&gt;&lt;D xsi:type="xsd:double"&gt;305.893909&lt;/D&gt;&lt;D xsi:type="xsd:double"&gt;304.692121&lt;/D&gt;&lt;D xsi:type="xsd:double"&gt;299.435157&lt;/D&gt;&lt;D xsi:type="xsd:double"&gt;299.715092&lt;/D&gt;&lt;D xsi:type="xsd:double"&gt;301.203194&lt;/D&gt;&lt;D xsi:type="xsd:double"&gt;300.864392&lt;/D&gt;&lt;D xsi:type="xsd:double"&gt;299.64478&lt;/D&gt;&lt;D xsi:type="xsd:double"&gt;297.970307&lt;/D&gt;&lt;D xsi:type="xsd:double"&gt;295.996735&lt;/D&gt;&lt;D xsi:type="xsd:double"&gt;294.91349&lt;/D&gt;&lt;D xsi:type="xsd:double"&gt;292.460676&lt;/D&gt;&lt;D xsi:type="xsd:double"&gt;292.928465&lt;/D&gt;&lt;D xsi:type="xsd:double"&gt;298.187714&lt;/D&gt;&lt;D xsi:type="xsd:double"&gt;296.497407&lt;/D&gt;&lt;D xsi:type="xsd:double"&gt;298.229362&lt;/D&gt;&lt;D xsi:type="xsd:double"&gt;295.897412&lt;/D&gt;&lt;D xsi:type="xsd:double"&gt;295.271232&lt;/D&gt;&lt;D xsi:type="xsd:double"&gt;294.022903&lt;/D&gt;&lt;D xsi:type="xsd:double"&gt;294.826983&lt;/D&gt;&lt;D xsi:type="xsd:double"&gt;298.376013&lt;/D&gt;&lt;D xsi:type="xsd:double"&gt;299.289742&lt;/D&gt;&lt;D xsi:type="xsd:double"&gt;299.768755&lt;/D&gt;&lt;D xsi:type="xsd:double"&gt;300.326893&lt;/D&gt;&lt;D xsi:type="xsd:double"&gt;299.574473&lt;/D&gt;&lt;D xsi:type="xsd:double"&gt;293.666632&lt;/D&gt;&lt;D xsi:type="xsd:double"&gt;292.206923&lt;/D&gt;&lt;D xsi:type="xsd:double"&gt;299.507952&lt;/D&gt;&lt;D xsi:type="xsd:double"&gt;296.894285&lt;/D&gt;&lt;D xsi:type="xsd:double"&gt;298.360727&lt;/D&gt;&lt;D xsi:type="xsd:double"&gt;293.399846&lt;/D&gt;&lt;D xsi:type="xsd:double"&gt;294.927942&lt;/D&gt;&lt;D xsi:type="xsd:double"&gt;299.815123&lt;/D&gt;&lt;D xsi:type="xsd:double"&gt;299.318582&lt;/D&gt;&lt;D xsi:type="xsd:double"&gt;300.700272&lt;/D&gt;&lt;D xsi:type="xsd:double"&gt;296.097983&lt;/D&gt;&lt;D xsi:type="xsd:double"&gt;294.67119&lt;/D&gt;&lt;D xsi:type="xsd:double"&gt;297.343282&lt;/D&gt;&lt;D xsi:type="xsd:double"&gt;295.804909&lt;/D&gt;&lt;D xsi:type="xsd:double"&gt;295.865022&lt;/D&gt;&lt;D xsi:type="xsd:double"&gt;289.259421&lt;/D&gt;&lt;D xsi:type="xsd:double"&gt;288.155966&lt;/D&gt;&lt;D xsi:type="xsd:double"&gt;285.097346&lt;/D&gt;&lt;D xsi:type="xsd:double"&gt;281.703949&lt;/D&gt;&lt;D xsi:type="xsd:double"&gt;283.153899&lt;/D&gt;&lt;D xsi:type="xsd:double"&gt;282.588492&lt;/D&gt;&lt;D xsi:type="xsd:double"&gt;287.695968&lt;/D&gt;&lt;D xsi:type="xsd:double"&gt;283.306798&lt;/D&gt;&lt;D xsi:type="xsd:double"&gt;289.503155&lt;/D&gt;&lt;D xsi:type="xsd:double"&gt;292.142437&lt;/D&gt;&lt;D xsi:type="xsd:double"&gt;295.229509&lt;/D&gt;&lt;D xsi:type="xsd:double"&gt;297.22791&lt;/D&gt;&lt;D xsi:type="xsd:double"&gt;297.496262&lt;/D&gt;&lt;D xsi:type="xsd:double"&gt;298.210273&lt;/D&gt;&lt;D xsi:type="xsd:double"&gt;299.42494&lt;/D&gt;&lt;D xsi:type="xsd:double"&gt;295.774818&lt;/D&gt;&lt;D xsi:type="xsd:double"&gt;298.488619&lt;/D&gt;&lt;D xsi:type="xsd:double"&gt;297.433322&lt;/D&gt;&lt;D xsi:type="xsd:double"&gt;292.053151&lt;/D&gt;&lt;D xsi:type="xsd:double"&gt;292.871012&lt;/D&gt;&lt;D xsi:type="xsd:double"&gt;291.355143&lt;/D&gt;&lt;D xsi:type="xsd:double"&gt;290.603671&lt;/D&gt;&lt;D xsi:type="xsd:double"&gt;286.911477&lt;/D&gt;&lt;D xsi:type="xsd:double"&gt;286.496985&lt;/D&gt;&lt;D xsi:type="xsd:double"&gt;280.806183&lt;/D&gt;&lt;D xsi:type="xsd:double"&gt;278.232785&lt;/D&gt;&lt;D xsi:type="xsd:double"&gt;281.549809&lt;/D&gt;&lt;D xsi:type="xsd:double"&gt;287.232419&lt;/D&gt;&lt;D xsi:type="xsd:double"&gt;286.883345&lt;/D&gt;&lt;D xsi:type="xsd:double"&gt;287.000954&lt;/D&gt;&lt;D xsi:type="xsd:double"&gt;284.412052&lt;/D&gt;&lt;D xsi:type="xsd:double"&gt;286.096136&lt;/D&gt;&lt;D xsi:type="xsd:double"&gt;289.844687&lt;/D&gt;&lt;D xsi:type="xsd:double"&gt;291.217242&lt;/D&gt;&lt;D xsi:type="xsd:double"&gt;287.971212&lt;/D&gt;&lt;D xsi:type="xsd:double"&gt;290.201219&lt;/D&gt;&lt;D xsi:type="xsd:double"&gt;290.879475&lt;/D&gt;&lt;D xsi:type="xsd:double"&gt;289.746682&lt;/D&gt;&lt;D xsi:type="xsd:double"&gt;284.874018&lt;/D&gt;&lt;D xsi:type="xsd:double"&gt;284.152765&lt;/D&gt;&lt;D xsi:type="xsd:double"&gt;284.73396&lt;/D&gt;&lt;D xsi:type="xsd:double"&gt;283.463869&lt;/D&gt;&lt;D xsi:type="xsd:double"&gt;281.292607&lt;/D&gt;&lt;D xsi:type="xsd:double"&gt;279.591469&lt;/D&gt;&lt;D xsi:type="xsd:double"&gt;273.355703&lt;/D&gt;&lt;D xsi:type="xsd:double"&gt;270.387784&lt;/D&gt;&lt;D xsi:type="xsd:double"&gt;268.814316&lt;/D&gt;&lt;D xsi:type="xsd:double"&gt;270.960281&lt;/D&gt;&lt;D xsi:type="xsd:double"&gt;275.09561&lt;/D&gt;&lt;D xsi:type="xsd:double"&gt;277.457972&lt;/D&gt;&lt;D xsi:type="xsd:double"&gt;275.311077&lt;/D&gt;&lt;D xsi:type="xsd:double"&gt;275.800632&lt;/D&gt;&lt;D xsi:type="xsd:double"&gt;276.952289&lt;/D&gt;&lt;D xsi:type="xsd:double"&gt;276.427389&lt;/D&gt;&lt;D xsi:type="xsd:double"&gt;274.205893&lt;/D&gt;&lt;D xsi:type="xsd:double"&gt;269.981188&lt;/D&gt;&lt;D xsi:type="xsd:double"&gt;266.642475&lt;/D&gt;&lt;D xsi:type="xsd:double"&gt;265.495961&lt;/D&gt;&lt;D xsi:type="xsd:double"&gt;262.865306&lt;/D&gt;&lt;D xsi:type="xsd:double"&gt;270.776019&lt;/D&gt;&lt;D xsi:type="xsd:double"&gt;272.4712&lt;/D&gt;&lt;D xsi:type="xsd:double"&gt;269.086273&lt;/D&gt;&lt;D xsi:type="xsd:double"&gt;267.201901&lt;/D&gt;&lt;D xsi:type="xsd:double"&gt;269.99838&lt;/D&gt;&lt;D xsi:type="xsd:double"&gt;270.611005&lt;/D&gt;&lt;D xsi:type="xsd:double"&gt;269.823939&lt;/D&gt;&lt;D xsi:type="xsd:double"&gt;270.322954&lt;/D&gt;&lt;D xsi:type="xsd:double"&gt;271.709881&lt;/D&gt;&lt;D xsi:type="xsd:double"&gt;271.598192&lt;/D&gt;&lt;D xsi:type="xsd:double"&gt;266.14184&lt;/D&gt;&lt;D xsi:type="xsd:double"&gt;264.404466&lt;/D&gt;&lt;D xsi:type="xsd:double"&gt;260.5396&lt;/D&gt;&lt;D xsi:type="xsd:double"&gt;262.157196&lt;/D&gt;&lt;D xsi:type="xsd:double"&gt;262.949992&lt;/D&gt;&lt;D xsi:type="xsd:double"&gt;261.499097&lt;/D&gt;&lt;D xsi:type="xsd:double"&gt;260.815635&lt;/D&gt;&lt;D xsi:type="xsd:double"&gt;255.872123&lt;/D&gt;&lt;D xsi:type="xsd:double"&gt;255.910583&lt;/D&gt;&lt;D xsi:type="xsd:double"&gt;253.73986&lt;/D&gt;&lt;D xsi:type="xsd:double"&gt;249.855812&lt;/D&gt;&lt;D xsi:type="xsd:double"&gt;249.069449&lt;/D&gt;&lt;D xsi:type="xsd:double"&gt;246.921035&lt;/D&gt;&lt;D xsi:type="xsd:double"&gt;239.970703&lt;/D&gt;&lt;D xsi:type="xsd:double"&gt;236.886838&lt;/D&gt;&lt;D xsi:type="xsd:double"&gt;234.39387&lt;/D&gt;&lt;D xsi:type="xsd:double"&gt;235.777939&lt;/D&gt;&lt;D xsi:type="xsd:double"&gt;234.469849&lt;/D&gt;&lt;D xsi:type="xsd:double"&gt;236.86079&lt;/D&gt;&lt;D xsi:type="xsd:double"&gt;239.336593&lt;/D&gt;&lt;D xsi:type="xsd:double"&gt;241.437252&lt;/D&gt;&lt;D xsi:type="xsd:double"&gt;247.326949&lt;/D&gt;&lt;D xsi:type="xsd:double"&gt;244.904905&lt;/D&gt;&lt;D xsi:type="xsd:double"&gt;246.538728&lt;/D&gt;&lt;D xsi:type="xsd:double"&gt;244.867522&lt;/D&gt;&lt;D xsi:type="xsd:double"&gt;243.02748&lt;/D&gt;&lt;D xsi:type="xsd:double"&gt;241.255657&lt;/D&gt;&lt;D xsi:type="xsd:double"&gt;237.702184&lt;/D&gt;&lt;D xsi:type="xsd:double"&gt;238.385966&lt;/D&gt;&lt;D xsi:type="xsd:double"&gt;244.656735&lt;/D&gt;&lt;D xsi:type="xsd:double"&gt;242.982334&lt;/D&gt;&lt;D xsi:type="xsd:double"&gt;241.837196&lt;/D&gt;&lt;D xsi:type="xsd:double"&gt;244.13399&lt;/D&gt;&lt;D xsi:type="xsd:double"&gt;246.233786&lt;/D&gt;&lt;D xsi:type="xsd:double"&gt;252.805036&lt;/D&gt;&lt;D xsi:type="xsd:double"&gt;253.388276&lt;/D&gt;&lt;D xsi:type="xsd:double"&gt;251.231033&lt;/D&gt;&lt;D xsi:type="xsd:double"&gt;249.443769&lt;/D&gt;&lt;D xsi:type="xsd:double"&gt;247.81871&lt;/D&gt;&lt;D xsi:type="xsd:double"&gt;249.974415&lt;/D&gt;&lt;D xsi:type="xsd:double"&gt;250.609756&lt;/D&gt;&lt;D xsi:type="xsd:double"&gt;250.026488&lt;/D&gt;&lt;D xsi:type="xsd:double"&gt;254.286&lt;/D&gt;&lt;D xsi:type="xsd:double"&gt;253.293471&lt;/D&gt;&lt;D xsi:type="xsd:double"&gt;246.693769&lt;/D&gt;&lt;D xsi:type="xsd:double"&gt;242.890403&lt;/D&gt;&lt;D xsi:type="xsd:double"&gt;241.97108&lt;/D&gt;&lt;D xsi:type="xsd:double"&gt;242.78894&lt;/D&gt;&lt;D xsi:type="xsd:double"&gt;239.236552&lt;/D&gt;&lt;D xsi:type="xsd:double"&gt;238.209475&lt;/D&gt;&lt;D xsi:type="xsd:double"&gt;242.342148&lt;/D&gt;&lt;D xsi:type="xsd:double"&gt;240.654027&lt;/D&gt;&lt;D xsi:type="xsd:double"&gt;237.439073&lt;/D&gt;&lt;D xsi:type="xsd:double"&gt;233.197928&lt;/D&gt;&lt;D xsi:type="xsd:double"&gt;232.902212&lt;/D&gt;&lt;D xsi:type="xsd:double"&gt;233.023063&lt;/D&gt;&lt;D xsi:type="xsd:double"&gt;238.356972&lt;/D&gt;&lt;D xsi:type="xsd:double"&gt;238.871822&lt;/D&gt;&lt;D xsi:type="xsd:double"&gt;241.180249&lt;/D&gt;&lt;D xsi:type="xsd:double"&gt;236.391248&lt;/D&gt;&lt;D xsi:type="xsd:double"&gt;236.47276&lt;/D&gt;&lt;D xsi:type="xsd:double"&gt;233.441495&lt;/D&gt;&lt;D xsi:type="xsd:double"&gt;233.086195&lt;/D&gt;&lt;D xsi:type="xsd:double"&gt;225.959851&lt;/D&gt;&lt;D xsi:type="xsd:double"&gt;225.240834&lt;/D&gt;&lt;D xsi:type="xsd:double"&gt;223.018845&lt;/D&gt;&lt;D xsi:type="xsd:double"&gt;217.767341&lt;/D&gt;&lt;D xsi:type="xsd:double"&gt;220.407614&lt;/D&gt;&lt;D xsi:type="xsd:double"&gt;222.261179&lt;/D&gt;&lt;D xsi:type="xsd:double"&gt;217.864821&lt;/D&gt;&lt;D xsi:type="xsd:double"&gt;216.005738&lt;/D&gt;&lt;D xsi:type="xsd:double"&gt;215.680379&lt;/D&gt;&lt;D xsi:type="xsd:double"&gt;214.294686&lt;/D&gt;&lt;D xsi:type="xsd:double"&gt;221.869231&lt;/D&gt;&lt;D xsi:type="xsd:double"&gt;220.790397&lt;/D&gt;&lt;D xsi:type="xsd:double"&gt;217.906514&lt;/D&gt;&lt;D xsi:type="xsd:double"&gt;217.608653&lt;/D&gt;&lt;D xsi:type="xsd:double"&gt;218.437738&lt;/D&gt;&lt;D xsi:type="xsd:double"&gt;217.003823&lt;/D&gt;&lt;D xsi:type="xsd:double"&gt;210.359892&lt;/D&gt;&lt;D xsi:type="xsd:double"&gt;209.965709&lt;/D&gt;&lt;D xsi:type="xsd:double"&gt;213.765254&lt;/D&gt;&lt;D xsi:type="xsd:double"&gt;214.960695&lt;/D&gt;&lt;D xsi:type="xsd:double"&gt;214.326808&lt;/D&gt;&lt;D xsi:type="xsd:double"&gt;205.211117&lt;/D&gt;&lt;D xsi:type="xsd:double"&gt;202.036078&lt;/D&gt;&lt;D xsi:type="xsd:double"&gt;198.897042&lt;/D&gt;&lt;D xsi:type="xsd:double"&gt;207.212343&lt;/D&gt;&lt;D xsi:type="xsd:double"&gt;211.302237&lt;/D&gt;&lt;D xsi:type="xsd:double"&gt;208.126949&lt;/D&gt;&lt;D xsi:type="xsd:double"&gt;206.698797&lt;/D&gt;&lt;D xsi:type="xsd:double"&gt;207.976487&lt;/D&gt;&lt;D xsi:type="xsd:double"&gt;197.96662&lt;/D&gt;&lt;D xsi:type="xsd:double"&gt;201.086835&lt;/D&gt;&lt;D xsi:type="xsd:double"&gt;197.371067&lt;/D&gt;&lt;D xsi:type="xsd:double"&gt;195.002285&lt;/D&gt;&lt;D xsi:type="xsd:double"&gt;191.917373&lt;/D&gt;&lt;D xsi:type="xsd:double"&gt;189.506129&lt;/D&gt;&lt;D xsi:type="xsd:double"&gt;186.612039&lt;/D&gt;&lt;D xsi:type="xsd:double"&gt;183.215545&lt;/D&gt;&lt;D xsi:type="xsd:double"&gt;181.567482&lt;/D&gt;&lt;D xsi:type="xsd:double"&gt;172.703691&lt;/D&gt;&lt;D xsi:type="xsd:double"&gt;174.802975&lt;/D&gt;&lt;D xsi:type="xsd:double"&gt;175.458305&lt;/D&gt;&lt;D xsi:type="xsd:double"&gt;180.570216&lt;/D&gt;&lt;D xsi:type="xsd:double"&gt;176.095322&lt;/D&gt;&lt;D xsi:type="xsd:double"&gt;177.956297&lt;/D&gt;&lt;D xsi:type="xsd:double"&gt;187.167649&lt;/D&gt;&lt;D xsi:type="xsd:double"&gt;190.303651&lt;/D&gt;&lt;D xsi:type="xsd:double"&gt;190.300776&lt;/D&gt;&lt;D xsi:type="xsd:double"&gt;191.090299&lt;/D&gt;&lt;D xsi:type="xsd:double"&gt;189.019397&lt;/D&gt;&lt;D xsi:type="xsd:double"&gt;192.213321&lt;/D&gt;&lt;D xsi:type="xsd:double"&gt;196.815038&lt;/D&gt;&lt;D xsi:type="xsd:double"&gt;196.892017&lt;/D&gt;&lt;D xsi:type="xsd:double"&gt;198.248393&lt;/D&gt;&lt;D xsi:type="xsd:double"&gt;208.557069&lt;/D&gt;&lt;D xsi:type="xsd:double"&gt;208.265769&lt;/D&gt;&lt;D xsi:type="xsd:double"&gt;210.325315&lt;/D&gt;&lt;D xsi:type="xsd:double"&gt;210.932454&lt;/D&gt;&lt;D xsi:type="xsd:double"&gt;217.899229&lt;/D&gt;&lt;D xsi:type="xsd:double"&gt;216.234433&lt;/D&gt;&lt;D xsi:type="xsd:double"&gt;211.452434&lt;/D&gt;&lt;D xsi:type="xsd:double"&gt;210.311232&lt;/D&gt;&lt;D xsi:type="xsd:double"&gt;208.971189&lt;/D&gt;&lt;D xsi:type="xsd:double"&gt;205.326605&lt;/D&gt;&lt;D xsi:type="xsd:double"&gt;208.022741&lt;/D&gt;&lt;D xsi:type="xsd:double"&gt;212.402994&lt;/D&gt;&lt;D xsi:type="xsd:double"&gt;217.121385&lt;/D&gt;&lt;D xsi:type="xsd:double"&gt;211.122745&lt;/D&gt;&lt;D xsi:type="xsd:double"&gt;208.197214&lt;/D&gt;&lt;D xsi:type="xsd:double"&gt;204.167043&lt;/D&gt;&lt;D xsi:type="xsd:double"&gt;205.564768&lt;/D&gt;&lt;D xsi:type="xsd:double"&gt;207.38781&lt;/D&gt;&lt;D xsi:type="xsd:double"&gt;203.935837&lt;/D&gt;&lt;D xsi:type="xsd:double"&gt;214.38792&lt;/D&gt;&lt;D xsi:type="xsd:double"&gt;211.166391&lt;/D&gt;&lt;D xsi:type="xsd:double"&gt;213.775603&lt;/D&gt;&lt;D xsi:type="xsd:double"&gt;220.168178&lt;/D&gt;&lt;D xsi:type="xsd:double"&gt;223.205409&lt;/D&gt;&lt;D xsi:type="xsd:double"&gt;228.382112&lt;/D&gt;&lt;D xsi:type="xsd:double"&gt;232.220295&lt;/D&gt;&lt;D xsi:type="xsd:double"&gt;233.093074&lt;/D&gt;&lt;D xsi:type="xsd:double"&gt;235.814955&lt;/D&gt;&lt;D xsi:type="xsd:double"&gt;234.50388&lt;/D&gt;&lt;D xsi:type="xsd:double"&gt;233.978351&lt;/D&gt;&lt;D xsi:type="xsd:double"&gt;227.6834&lt;/D&gt;&lt;D xsi:type="xsd:double"&gt;226.682669&lt;/D&gt;&lt;D xsi:type="xsd:double"&gt;223.030235&lt;/D&gt;&lt;D xsi:type="xsd:double"&gt;221.090939&lt;/D&gt;&lt;D xsi:type="xsd:double"&gt;219.947859&lt;/D&gt;&lt;D xsi:type="xsd:double"&gt;220.107048&lt;/D&gt;&lt;D xsi:type="xsd:double"&gt;221.534792&lt;/D&gt;&lt;D xsi:type="xsd:double"&gt;225.270771&lt;/D&gt;&lt;D xsi:type="xsd:double"&gt;228.388499&lt;/D&gt;&lt;D xsi:type="xsd:double"&gt;230.177741&lt;/D&gt;&lt;D xsi:type="xsd:double"&gt;227.158819&lt;/D&gt;&lt;D xsi:type="xsd:double"&gt;221.023315&lt;/D&gt;&lt;D xsi:type="xsd:double"&gt;219.292434&lt;/D&gt;&lt;D xsi:type="xsd:double"&gt;221.494574&lt;/D&gt;&lt;D xsi:type="xsd:double"&gt;222.774502&lt;/D&gt;&lt;D xsi:type="xsd:double"&gt;219.268053&lt;/D&gt;&lt;D xsi:type="xsd:double"&gt;220.871368&lt;/D&gt;&lt;D xsi:type="xsd:double"&gt;208.955685&lt;/D&gt;&lt;D xsi:type="xsd:double"&gt;208.260627&lt;/D&gt;&lt;D xsi:type="xsd:double"&gt;211.819584&lt;/D&gt;&lt;D xsi:type="xsd:double"&gt;208.725509&lt;/D&gt;&lt;D xsi:type="xsd:double"&gt;205.509178&lt;/D&gt;&lt;D xsi:type="xsd:double"&gt;220.049573&lt;/D&gt;&lt;D xsi:type="xsd:double"&gt;215.932842&lt;/D&gt;&lt;D xsi:type="xsd:double"&gt;212.388992&lt;/D&gt;&lt;D xsi:type="xsd:double"&gt;208.700072&lt;/D&gt;&lt;D xsi:type="xsd:double"&gt;195.822686&lt;/D&gt;&lt;D xsi:type="xsd:double"&gt;190.472611&lt;/D&gt;&lt;D xsi:type="xsd:double"&gt;202.658755&lt;/D&gt;&lt;D xsi:type="xsd:double"&gt;212.006436&lt;/D&gt;&lt;D xsi:type="xsd:double"&gt;212.146946&lt;/D&gt;&lt;D xsi:type="xsd:double"&gt;217.147615&lt;/D&gt;&lt;D xsi:type="xsd:double"&gt;2</t>
        </r>
      </text>
    </comment>
    <comment ref="A35" authorId="0" shapeId="0">
      <text>
        <r>
          <rPr>
            <b/>
            <sz val="9"/>
            <color indexed="81"/>
            <rFont val="Tahoma"/>
            <family val="2"/>
          </rPr>
          <t>20.170953&lt;/D&gt;&lt;D xsi:type="xsd:double"&gt;215.153781&lt;/D&gt;&lt;D xsi:type="xsd:double"&gt;224.127705&lt;/D&gt;&lt;D xsi:type="xsd:double"&gt;232.889603&lt;/D&gt;&lt;D xsi:type="xsd:double"&gt;231.867482&lt;/D&gt;&lt;D xsi:type="xsd:double"&gt;228.418975&lt;/D&gt;&lt;D xsi:type="xsd:double"&gt;243.001212&lt;/D&gt;&lt;D xsi:type="xsd:double"&gt;248.640747&lt;/D&gt;&lt;D xsi:type="xsd:double"&gt;237.587347&lt;/D&gt;&lt;D xsi:type="xsd:double"&gt;236.111398&lt;/D&gt;&lt;D xsi:type="xsd:double"&gt;234.620993&lt;/D&gt;&lt;D xsi:type="xsd:double"&gt;226.340532&lt;/D&gt;&lt;D xsi:type="xsd:double"&gt;218.290377&lt;/D&gt;&lt;D xsi:type="xsd:double"&gt;204.101094&lt;/D&gt;&lt;D xsi:type="xsd:double"&gt;213.270959&lt;/D&gt;&lt;D xsi:type="xsd:double"&gt;223.549886&lt;/D&gt;&lt;D xsi:type="xsd:double"&gt;224.136145&lt;/D&gt;&lt;D xsi:type="xsd:double"&gt;239.817291&lt;/D&gt;&lt;D xsi:type="xsd:double"&gt;244.125871&lt;/D&gt;&lt;D xsi:type="xsd:double"&gt;234.569156&lt;/D&gt;&lt;D xsi:type="xsd:double"&gt;231.831061&lt;/D&gt;&lt;D xsi:type="xsd:double"&gt;236.582132&lt;/D&gt;&lt;D xsi:type="xsd:double"&gt;254.679538&lt;/D&gt;&lt;D xsi:type="xsd:double"&gt;247.504776&lt;/D&gt;&lt;D xsi:type="xsd:double"&gt;226.421575&lt;/D&gt;&lt;D xsi:type="xsd:double"&gt;238.136129&lt;/D&gt;&lt;D xsi:type="xsd:double"&gt;247.862441&lt;/D&gt;&lt;D xsi:type="xsd:double"&gt;257.95948&lt;/D&gt;&lt;D xsi:type="xsd:double"&gt;265.872458&lt;/D&gt;&lt;D xsi:type="xsd:double"&gt;283.267417&lt;/D&gt;&lt;D xsi:type="xsd:double"&gt;284.557262&lt;/D&gt;&lt;D xsi:type="xsd:double"&gt;295.175151&lt;/D&gt;&lt;D xsi:type="xsd:double"&gt;294.790289&lt;/D&gt;&lt;D xsi:type="xsd:double"&gt;290.102566&lt;/D&gt;&lt;D xsi:type="xsd:double"&gt;311.40359&lt;/D&gt;&lt;D xsi:type="xsd:double"&gt;314.383823&lt;/D&gt;&lt;D xsi:type="xsd:double"&gt;310.27272&lt;/D&gt;&lt;D xsi:type="xsd:double"&gt;311.496813&lt;/D&gt;&lt;D xsi:type="xsd:double"&gt;315.828156&lt;/D&gt;&lt;D xsi:type="xsd:double"&gt;320.314543&lt;/D&gt;&lt;D xsi:type="xsd:double"&gt;301.752042&lt;/D&gt;&lt;D xsi:type="xsd:double"&gt;296.104603&lt;/D&gt;&lt;D xsi:type="xsd:double"&gt;304.925982&lt;/D&gt;&lt;D xsi:type="xsd:double"&gt;308.449349&lt;/D&gt;&lt;D xsi:type="xsd:double"&gt;319.951922&lt;/D&gt;&lt;D xsi:type="xsd:double"&gt;314.863385&lt;/D&gt;&lt;D xsi:type="xsd:double"&gt;315.857036&lt;/D&gt;&lt;D xsi:type="xsd:double"&gt;316.36737&lt;/D&gt;&lt;D xsi:type="xsd:double"&gt;324.971111&lt;/D&gt;&lt;D xsi:type="xsd:double"&gt;317.506915&lt;/D&gt;&lt;D xsi:type="xsd:double"&gt;321.142406&lt;/D&gt;&lt;D xsi:type="xsd:double"&gt;329.952653&lt;/D&gt;&lt;D xsi:type="xsd:double"&gt;332.906532&lt;/D&gt;&lt;D xsi:type="xsd:double"&gt;337.612025&lt;/D&gt;&lt;D xsi:type="xsd:double"&gt;338.186172&lt;/D&gt;&lt;D xsi:type="xsd:double"&gt;334.286184&lt;/D&gt;&lt;D xsi:type="xsd:double"&gt;331.777102&lt;/D&gt;&lt;D xsi:type="xsd:double"&gt;332.746222&lt;/D&gt;&lt;D xsi:type="xsd:double"&gt;335.967419&lt;/D&gt;&lt;D xsi:type="xsd:double"&gt;333.784217&lt;/D&gt;&lt;D xsi:type="xsd:double"&gt;332.80446&lt;/D&gt;&lt;D xsi:type="xsd:double"&gt;330.281313&lt;/D&gt;&lt;D xsi:type="xsd:double"&gt;335.609222&lt;/D&gt;&lt;D xsi:type="xsd:double"&gt;337.77831&lt;/D&gt;&lt;D xsi:type="xsd:double"&gt;339.187468&lt;/D&gt;&lt;D xsi:type="xsd:double"&gt;337.562645&lt;/D&gt;&lt;D xsi:type="xsd:double"&gt;341.336345&lt;/D&gt;&lt;D xsi:type="xsd:double"&gt;344.474864&lt;/D&gt;&lt;D xsi:type="xsd:double"&gt;341.795716&lt;/D&gt;&lt;D xsi:type="xsd:double"&gt;341.227565&lt;/D&gt;&lt;D xsi:type="xsd:double"&gt;345.190033&lt;/D&gt;&lt;D xsi:type="xsd:double"&gt;342.805944&lt;/D&gt;&lt;D xsi:type="xsd:double"&gt;338.202786&lt;/D&gt;&lt;D xsi:type="xsd:double"&gt;341.975168&lt;/D&gt;&lt;D xsi:type="xsd:double"&gt;345.745524&lt;/D&gt;&lt;D xsi:type="xsd:double"&gt;347.481476&lt;/D&gt;&lt;D xsi:type="xsd:double"&gt;341.741358&lt;/D&gt;&lt;D xsi:type="xsd:double"&gt;340.400406&lt;/D&gt;&lt;D xsi:type="xsd:double"&gt;343.742795&lt;/D&gt;&lt;D xsi:type="xsd:double"&gt;345.2373&lt;/D&gt;&lt;D xsi:type="xsd:double"&gt;350.247428&lt;/D&gt;&lt;D xsi:type="xsd:double"&gt;347.948487&lt;/D&gt;&lt;D xsi:type="xsd:double"&gt;346.284427&lt;/D&gt;&lt;D xsi:type="xsd:double"&gt;344.064359&lt;/D&gt;&lt;D xsi:type="xsd:double"&gt;343.839991&lt;/D&gt;&lt;D xsi:type="xsd:double"&gt;338.226035&lt;/D&gt;&lt;D xsi:type="xsd:double"&gt;335.195238&lt;/D&gt;&lt;D xsi:type="xsd:double"&gt;340.172764&lt;/D&gt;&lt;D xsi:type="xsd:double"&gt;341.030178&lt;/D&gt;&lt;D xsi:type="xsd:double"&gt;344.02295&lt;/D&gt;&lt;D xsi:type="xsd:double"&gt;344.449323&lt;/D&gt;&lt;D xsi:type="xsd:double"&gt;344.847746&lt;/D&gt;&lt;D xsi:type="xsd:double"&gt;345.224431&lt;/D&gt;&lt;D xsi:type="xsd:double"&gt;346.804884&lt;/D&gt;&lt;D xsi:type="xsd:double"&gt;348.275629&lt;/D&gt;&lt;D xsi:type="xsd:double"&gt;352.563563&lt;/D&gt;&lt;D xsi:type="xsd:double"&gt;355.397974&lt;/D&gt;&lt;D xsi:type="xsd:double"&gt;354.293378&lt;/D&gt;&lt;D xsi:type="xsd:double"&gt;356.149773&lt;/D&gt;&lt;D xsi:type="xsd:double"&gt;362.006471&lt;/D&gt;&lt;D xsi:type="xsd:double"&gt;359.816965&lt;/D&gt;&lt;D xsi:type="xsd:double"&gt;360.88589&lt;/D&gt;&lt;D xsi:type="xsd:double"&gt;362.627722&lt;/D&gt;&lt;D xsi:type="xsd:double"&gt;367.660805&lt;/D&gt;&lt;D xsi:type="xsd:double"&gt;369.616853&lt;/D&gt;&lt;D xsi:type="xsd:double"&gt;372.475018&lt;/D&gt;&lt;D xsi:type="xsd:double"&gt;371.809106&lt;/D&gt;&lt;D xsi:type="xsd:double"&gt;369.606705&lt;/D&gt;&lt;D xsi:type="xsd:double"&gt;366.898534&lt;/D&gt;&lt;D xsi:type="xsd:double"&gt;368.518683&lt;/D&gt;&lt;D xsi:type="xsd:double"&gt;372.345506&lt;/D&gt;&lt;D xsi:type="xsd:double"&gt;377.914342&lt;/D&gt;&lt;D xsi:type="xsd:double"&gt;380.16454&lt;/D&gt;&lt;D xsi:type="xsd:double"&gt;385.197597&lt;/D&gt;&lt;D xsi:type="xsd:double"&gt;381.622324&lt;/D&gt;&lt;D xsi:type="xsd:double"&gt;383.317058&lt;/D&gt;&lt;D xsi:type="xsd:double"&gt;385.479393&lt;/D&gt;&lt;D xsi:type="xsd:double"&gt;387.748348&lt;/D&gt;&lt;D xsi:type="xsd:double"&gt;386.236825&lt;/D&gt;&lt;D xsi:type="xsd:double"&gt;384.829904&lt;/D&gt;&lt;D xsi:type="xsd:double"&gt;384.207583&lt;/D&gt;&lt;D xsi:type="xsd:double"&gt;385.802631&lt;/D&gt;&lt;D xsi:type="xsd:double"&gt;390.068541&lt;/D&gt;&lt;D xsi:type="xsd:double"&gt;390.145712&lt;/D&gt;&lt;D xsi:type="xsd:double"&gt;393.603197&lt;/D&gt;&lt;D xsi:type="xsd:double"&gt;397.075766&lt;/D&gt;&lt;D xsi:type="xsd:double"&gt;395.588403&lt;/D&gt;&lt;D xsi:type="xsd:double"&gt;392.629045&lt;/D&gt;&lt;D xsi:type="xsd:double"&gt;388.798621&lt;/D&gt;&lt;D xsi:type="xsd:double"&gt;387.671146&lt;/D&gt;&lt;D xsi:type="xsd:double"&gt;387.355277&lt;/D&gt;&lt;D xsi:type="xsd:double"&gt;384.247649&lt;/D&gt;&lt;D xsi:type="xsd:double"&gt;387.645952&lt;/D&gt;&lt;D xsi:type="xsd:double"&gt;387.048625&lt;/D&gt;&lt;D xsi:type="xsd:double"&gt;390.542002&lt;/D&gt;&lt;D xsi:type="xsd:double"&gt;388.641388&lt;/D&gt;&lt;D xsi:type="xsd:double"&gt;388.656347&lt;/D&gt;&lt;D xsi:type="xsd:double"&gt;384.907331&lt;/D&gt;&lt;D xsi:type="xsd:double"&gt;383.299953&lt;/D&gt;&lt;D xsi:type="xsd:double"&gt;383.108166&lt;/D&gt;&lt;D xsi:type="xsd:double"&gt;385.44428&lt;/D&gt;&lt;D xsi:type="xsd:double"&gt;384.448569&lt;/D&gt;&lt;D xsi:type="xsd:double"&gt;381.283013&lt;/D&gt;&lt;D xsi:type="xsd:double"&gt;382.314333&lt;/D&gt;&lt;D xsi:type="xsd:double"&gt;381.953439&lt;/D&gt;&lt;D xsi:type="xsd:double"&gt;383.952176&lt;/D&gt;&lt;D xsi:type="xsd:double"&gt;381.721215&lt;/D&gt;&lt;D xsi:type="xsd:double"&gt;377.970342&lt;/D&gt;&lt;D xsi:type="xsd:double"&gt;378.359744&lt;/D&gt;&lt;D xsi:type="xsd:double"&gt;370.084337&lt;/D&gt;&lt;D xsi:type="xsd:double"&gt;368.599748&lt;/D&gt;&lt;D xsi:type="xsd:double"&gt;371.453079&lt;/D&gt;&lt;D xsi:type="xsd:double"&gt;375.483837&lt;/D&gt;&lt;D xsi:type="xsd:double"&gt;374.558872&lt;/D&gt;&lt;D xsi:type="xsd:double"&gt;376.896116&lt;/D&gt;&lt;D xsi:type="xsd:double"&gt;379.803516&lt;/D&gt;&lt;D xsi:type="xsd:double"&gt;377.888908&lt;/D&gt;&lt;D xsi:type="xsd:double"&gt;376.211224&lt;/D&gt;&lt;D xsi:type="xsd:double"&gt;375.062185&lt;/D&gt;&lt;D xsi:type="xsd:double"&gt;371.147067&lt;/D&gt;&lt;D xsi:type="xsd:double"&gt;363.985082&lt;/D&gt;&lt;D xsi:type="xsd:double"&gt;363.888756&lt;/D&gt;&lt;D xsi:type="xsd:double"&gt;365.468272&lt;/D&gt;&lt;D xsi:type="xsd:double"&gt;366.196112&lt;/D&gt;&lt;D xsi:type="xsd:double"&gt;366.490269&lt;/D&gt;&lt;D xsi:type="xsd:double"&gt;358.237457&lt;/D&gt;&lt;D xsi:type="xsd:double"&gt;354.391787&lt;/D&gt;&lt;D xsi:type="xsd:double"&gt;354.225114&lt;/D&gt;&lt;D xsi:type="xsd:double"&gt;359.63792&lt;/D&gt;&lt;D xsi:type="xsd:double"&gt;348.536368&lt;/D&gt;&lt;D xsi:type="xsd:double"&gt;356.930688&lt;/D&gt;&lt;D xsi:type="xsd:double"&gt;361.835082&lt;/D&gt;&lt;D xsi:type="xsd:double"&gt;363.520093&lt;/D&gt;&lt;D xsi:type="xsd:double"&gt;360.782109&lt;/D&gt;&lt;D xsi:type="xsd:double"&gt;353.12231&lt;/D&gt;&lt;D xsi:type="xsd:double"&gt;358.594508&lt;/D&gt;&lt;D xsi:type="xsd:double"&gt;363.755999&lt;/D&gt;&lt;D xsi:type="xsd:double"&gt;367.088705&lt;/D&gt;&lt;D xsi:type="xsd:double"&gt;364.161292&lt;/D&gt;&lt;D xsi:type="xsd:double"&gt;366.459879&lt;/D&gt;&lt;D xsi:type="xsd:double"&gt;370.41087&lt;/D&gt;&lt;D xsi:type="xsd:double"&gt;378.025845&lt;/D&gt;&lt;D xsi:type="xsd:double"&gt;380.858653&lt;/D&gt;&lt;D xsi:type="xsd:double"&gt;377.749864&lt;/D&gt;&lt;D xsi:type="xsd:double"&gt;373.843986&lt;/D&gt;&lt;D xsi:type="xsd:double"&gt;368.279997&lt;/D&gt;&lt;D xsi:type="xsd:double"&gt;368.082916&lt;/D&gt;&lt;D xsi:type="xsd:double"&gt;366.603706&lt;/D&gt;&lt;D xsi:type="xsd:double"&gt;369.417326&lt;/D&gt;&lt;D xsi:type="xsd:double"&gt;365.55311&lt;/D&gt;&lt;D xsi:type="xsd:double"&gt;367.078785&lt;/D&gt;&lt;D xsi:type="xsd:double"&gt;366.076404&lt;/D&gt;&lt;D xsi:type="xsd:double"&gt;364.045142&lt;/D&gt;&lt;D xsi:type="xsd:double"&gt;358.09024899999997&lt;/D&gt;&lt;D xsi:type="xsd:double"&gt;358.532779&lt;/D&gt;&lt;D xsi:type="xsd:double"&gt;358.967525&lt;/D&gt;&lt;D xsi:type="xsd:double"&gt;361.240983&lt;/D&gt;&lt;D xsi:type="xsd:double"&gt;364.583118&lt;/D&gt;&lt;D xsi:type="xsd:double"&gt;375.956047&lt;/D&gt;&lt;D xsi:type="xsd:double"&gt;375.857189&lt;/D&gt;&lt;D xsi:type="xsd:double"&gt;369.934914&lt;/D&gt;&lt;D xsi:type="xsd:double"&gt;366.212284&lt;/D&gt;&lt;D xsi:type="xsd:double"&gt;368.631683&lt;/D&gt;&lt;D xsi:type="xsd:double"&gt;364.732851&lt;/D&gt;&lt;D xsi:type="xsd:double"&gt;364.596624&lt;/D&gt;&lt;D xsi:type="xsd:double"&gt;363.813215&lt;/D&gt;&lt;D xsi:type="xsd:double"&gt;353.138908&lt;/D&gt;&lt;D xsi:type="xsd:double"&gt;351.341846&lt;/D&gt;&lt;D xsi:type="xsd:double"&gt;365.256702&lt;/D&gt;&lt;D xsi:type="xsd:double"&gt;367.894837&lt;/D&gt;&lt;D xsi:type="xsd:double"&gt;372.815151&lt;/D&gt;&lt;D xsi:type="xsd:double"&gt;380.126286&lt;/D&gt;&lt;D xsi:type="xsd:double"&gt;389.069451&lt;/D&gt;&lt;D xsi:type="xsd:double"&gt;385.680523&lt;/D&gt;&lt;D xsi:type="xsd:double"&gt;389.097539&lt;/D&gt;&lt;D xsi:type="xsd:double"&gt;389.264865&lt;/D&gt;&lt;D xsi:type="xsd:double"&gt;388.393757&lt;/D&gt;&lt;D xsi:type="xsd:double"&gt;390.225409&lt;/D&gt;&lt;D xsi:type="xsd:double"&gt;392.25788&lt;/D&gt;&lt;D xsi:type="xsd:double"&gt;399.810801&lt;/D&gt;&lt;D xsi:type="xsd:double"&gt;400.469879&lt;/D&gt;&lt;D xsi:type="xsd:double"&gt;403.251031&lt;/D&gt;&lt;D xsi:type="xsd:double"&gt;404.652701&lt;/D&gt;&lt;D xsi:type="xsd:double"&gt;403.661314&lt;/D&gt;&lt;D xsi:type="xsd:double"&gt;405.294116&lt;/D&gt;&lt;D xsi:type="xsd:double"&gt;403.10634&lt;/D&gt;&lt;D xsi:type="xsd:double"&gt;400.307817&lt;/D&gt;&lt;D xsi:type="xsd:double"&gt;394.259595&lt;/D&gt;&lt;D xsi:type="xsd:double"&gt;393.281067&lt;/D&gt;&lt;D xsi:type="xsd:double"&gt;394.001411&lt;/D&gt;&lt;D xsi:type="xsd:double"&gt;392.881557&lt;/D&gt;&lt;D xsi:type="xsd:double"&gt;400.977828&lt;/D&gt;&lt;D xsi:type="xsd:double"&gt;405.953333&lt;/D&gt;&lt;D xsi:type="xsd:double"&gt;411.891087&lt;/D&gt;&lt;D xsi:type="xsd:double"&gt;411.447689&lt;/D&gt;&lt;D xsi:type="xsd:double"&gt;416.177036&lt;/D&gt;&lt;D xsi:type="xsd:double"&gt;413.893533&lt;/D&gt;&lt;D xsi:type="xsd:double"&gt;412.425294&lt;/D&gt;&lt;D xsi:type="xsd:double"&gt;408.858036&lt;/D&gt;&lt;D xsi:type="xsd:double"&gt;404.256453&lt;/D&gt;&lt;D xsi:type="xsd:double"&gt;406.596484&lt;/D&gt;&lt;D xsi:type="xsd:double"&gt;408.104941&lt;/D&gt;&lt;D xsi:type="xsd:double"&gt;405.443946&lt;/D&gt;&lt;D xsi:type="xsd:double"&gt;402.506438&lt;/D&gt;&lt;D xsi:type="xsd:double"&gt;395.106777&lt;/D&gt;&lt;D xsi:type="xsd:double"&gt;393.675965&lt;/D&gt;&lt;D xsi:type="xsd:double"&gt;396.16406&lt;/D&gt;&lt;D xsi:type="xsd:double"&gt;390.751902&lt;/D&gt;&lt;D xsi:type="xsd:double"&gt;398.537026&lt;/D&gt;&lt;D xsi:type="xsd:double"&gt;395.101519&lt;/D&gt;&lt;D xsi:type="xsd:double"&gt;401.495391&lt;/D&gt;&lt;D xsi:type="xsd:double"&gt;403.081938&lt;/D&gt;&lt;D xsi:type="xsd:double"&gt;408.757541&lt;/D&gt;&lt;D xsi:type="xsd:double"&gt;405.977217&lt;/D&gt;&lt;D xsi:type="xsd:double"&gt;399.909559&lt;/D&gt;&lt;D xsi:type="xsd:double"&gt;406.476238&lt;/D&gt;&lt;D xsi:type="xsd:double"&gt;411.805631&lt;/D&gt;&lt;D xsi:type="xsd:double"&gt;414.655408&lt;/D&gt;&lt;D xsi:type="xsd:double"&gt;419.514763&lt;/D&gt;&lt;D xsi:type="xsd:double"&gt;415.049281&lt;/D&gt;&lt;D xsi:type="xsd:double"&gt;418.68695&lt;/D&gt;&lt;D xsi:type="xsd:double"&gt;420.710403&lt;/D&gt;&lt;D xsi:type="xsd:double"&gt;427.634226&lt;/D&gt;&lt;D xsi:type="xsd:double"&gt;423.260268&lt;/D&gt;&lt;D xsi:type="xsd:double"&gt;425.461727&lt;/D&gt;&lt;D xsi:type="xsd:double"&gt;421.419643&lt;/D&gt;&lt;D xsi:type="xsd:double"&gt;415.140597&lt;/D&gt;&lt;D xsi:type="xsd:double"&gt;412.756736&lt;/D&gt;&lt;D xsi:type="xsd:double"&gt;414.139177&lt;/D&gt;&lt;D xsi:type="xsd:double"&gt;408.68451&lt;/D&gt;&lt;D xsi:type="xsd:double"&gt;412.586358&lt;/D&gt;&lt;D xsi:type="xsd:double"&gt;419.527539&lt;/D&gt;&lt;D xsi:type="xsd:double"&gt;418.979587&lt;/D&gt;&lt;D xsi:type="xsd:double"&gt;417.607285&lt;/D&gt;&lt;D xsi:type="xsd:double"&gt;421.998881&lt;/D&gt;&lt;D xsi:type="xsd:double"&gt;423.876723&lt;/D&gt;&lt;D xsi:type="xsd:double"&gt;424.30757&lt;/D&gt;&lt;D xsi:type="xsd:double"&gt;422.564561&lt;/D&gt;&lt;D xsi:type="xsd:double"&gt;421.515922&lt;/D&gt;&lt;D xsi:type="xsd:double"&gt;418.40097&lt;/D&gt;&lt;D xsi:type="xsd:double"&gt;420.193255&lt;/D&gt;&lt;D xsi:type="xsd:double"&gt;416.071731&lt;/D&gt;&lt;D xsi:type="xsd:double"&gt;416.266755&lt;/D&gt;&lt;D xsi:type="xsd:double"&gt;417.091424&lt;/D&gt;&lt;D xsi:type="xsd:double"&gt;415.895888&lt;/D&gt;&lt;D xsi:type="xsd:double"&gt;411.922735&lt;/D&gt;&lt;D xsi:type="xsd:double"&gt;411.337564&lt;/D&gt;&lt;D xsi:type="xsd:double"&gt;407.249783&lt;/D&gt;&lt;D xsi:type="xsd:double"&gt;405.309538&lt;/D&gt;&lt;D xsi:type="xsd:double"&gt;405.944291&lt;/D&gt;&lt;D xsi:type="xsd:double"&gt;405.980932&lt;/D&gt;&lt;D xsi:type="xsd:double"&gt;404.780822&lt;/D&gt;&lt;D xsi:type="xsd:double"&gt;404.474351&lt;/D&gt;&lt;D xsi:type="xsd:double"&gt;396.298819&lt;/D&gt;&lt;D xsi:type="xsd:double"&gt;390.214025&lt;/D&gt;&lt;D xsi:type="xsd:double"&gt;393.338061&lt;/D&gt;&lt;D xsi:type="xsd:double"&gt;393.646633&lt;/D&gt;&lt;D xsi:type="xsd:double"&gt;391.111006&lt;/D&gt;&lt;D xsi:type="xsd:double"&gt;390.125312&lt;/D&gt;&lt;D xsi:type="xsd:double"&gt;384.782307&lt;/D&gt;&lt;D xsi:type="xsd:double"&gt;387.259656&lt;/D&gt;&lt;D xsi:type="xsd:double"&gt;392.113862&lt;/D&gt;&lt;D xsi:type="xsd:double"&gt;390.163939&lt;/D&gt;&lt;D xsi:type="xsd:double"&gt;394.19487&lt;/D&gt;&lt;D xsi:type="xsd:double"&gt;391.493732&lt;/D&gt;&lt;D xsi:type="xsd:double"&gt;385.820019&lt;/D&gt;&lt;D xsi:type="xsd:double"&gt;384.563293&lt;/D&gt;&lt;D xsi:type="xsd:double"&gt;381.002886&lt;/D&gt;&lt;D xsi:type="xsd:double"&gt;387.564175&lt;/D&gt;&lt;D xsi:type="xsd:double"&gt;387.82374&lt;/D&gt;&lt;D xsi:type="xsd:double"&gt;384.825812&lt;/D&gt;&lt;D xsi:type="xsd:double"&gt;382.318316&lt;/D&gt;&lt;D xsi:type="xsd:double"&gt;377.251805&lt;/D&gt;&lt;D xsi:type="xsd:double"&gt;375.990707&lt;/D&gt;&lt;D xsi:type="xsd:double"&gt;372.660826&lt;/D&gt;&lt;D xsi:type="xsd:double"&gt;366.9884&lt;/D&gt;&lt;D xsi:type="xsd:double"&gt;373.767097&lt;/D&gt;&lt;D xsi:type="xsd:double"&gt;379.809074&lt;/D&gt;&lt;D xsi:type="xsd:double"&gt;385.347724&lt;/D&gt;&lt;D xsi:type="xsd:double"&gt;383.151474&lt;/D&gt;&lt;D xsi:type="xsd:double"&gt;389.71492&lt;/D&gt;&lt;D xsi:type="xsd:double"&gt;398.04518&lt;/D&gt;&lt;D xsi:type="xsd:double"&gt;391.186836&lt;/D&gt;&lt;D xsi:type="xsd:double"&gt;388.894922&lt;/D&gt;&lt;D xsi:type="xsd:double"&gt;386.863878&lt;/D&gt;&lt;D xsi:type="xsd:double"&gt;392.020785&lt;/D&gt;&lt;D xsi:type="xsd:double"&gt;389.873279&lt;/D&gt;&lt;D xsi:type="xsd:double"&gt;393.343983&lt;/D&gt;&lt;D xsi:type="xsd:double"&gt;392.352724&lt;/D&gt;&lt;D xsi:type="xsd:double"&gt;390.070951&lt;/D&gt;&lt;D xsi:type="xsd:double"&gt;396.663934&lt;/D&gt;&lt;D xsi:type="xsd:double"&gt;405.648542&lt;/D&gt;&lt;D xsi:type="xsd:double"&gt;407.752861&lt;/D&gt;&lt;D xsi:type="xsd:double"&gt;413.218277&lt;/D&gt;&lt;D xsi:type="xsd:double"&gt;411.977372&lt;/D&gt;&lt;D xsi:type="xsd:double"&gt;414.616581&lt;/D&gt;&lt;D xsi:type="xsd:double"&gt;411.713471&lt;/D&gt;&lt;D xsi:type="xsd:double"&gt;413.78604&lt;/D&gt;&lt;D xsi:type="xsd:double"&gt;414.288782&lt;/D&gt;&lt;D xsi:type="xsd:double"&gt;414.661339&lt;/D&gt;&lt;D xsi:type="xsd:double"&gt;412.162114&lt;/D&gt;&lt;D xsi:type="xsd:double"&gt;406.81117&lt;/D&gt;&lt;D xsi:type="xsd:double"&gt;406.400055&lt;/D&gt;&lt;D xsi:type="xsd:double"&gt;409.419224&lt;/D&gt;&lt;D xsi:type="xsd:double"&gt;407.96363&lt;/D&gt;&lt;D xsi:type="xsd:double"&gt;406.051523&lt;/D&gt;&lt;D xsi:type="xsd:double"&gt;405.790174&lt;/D&gt;&lt;D xsi:type="xsd:double"&gt;403.530644&lt;/D&gt;&lt;D xsi:type="xsd:double"&gt;399.786765&lt;/D&gt;&lt;D xsi:type="xsd:double"&gt;398.312613&lt;/D&gt;&lt;D xsi:type="xsd:double"&gt;396.067791&lt;/D&gt;&lt;D xsi:type="xsd:double"&gt;396.195767&lt;/D&gt;&lt;D xsi:type="xsd:double"&gt;397.695045&lt;/D&gt;&lt;D xsi:type="xsd:double"&gt;398.978139&lt;/D&gt;&lt;D xsi:type="xsd:double"&gt;401.844245&lt;/D&gt;&lt;D xsi:type="xsd:double"&gt;401.954562&lt;/D&gt;&lt;D xsi:type="xsd:double"&gt;403.821297&lt;/D&gt;&lt;D xsi:type="xsd:double"&gt;403.719309&lt;/D&gt;&lt;D xsi:type="xsd:double"&gt;403.248908&lt;/D&gt;&lt;D xsi:type="xsd:double"&gt;399.146606&lt;/D&gt;&lt;D xsi:type="xsd:double"&gt;395.32644&lt;/D&gt;&lt;D xsi:type="xsd:double"&gt;392.702069&lt;/D&gt;&lt;D xsi:type="xsd:double"&gt;395.713286&lt;/D&gt;&lt;D xsi:type="xsd:double"&gt;394.234091&lt;/D&gt;&lt;D xsi:type="xsd:double"&gt;394.411828&lt;/D&gt;&lt;D xsi:type="xsd:double"&gt;399.771345&lt;/D&gt;&lt;D xsi:type="xsd:double"&gt;403.982504&lt;/D&gt;&lt;D xsi:type="xsd:double"&gt;405.188101&lt;/D&gt;&lt;D xsi:type="xsd:double"&gt;403.989945&lt;/D&gt;&lt;D xsi:type="xsd:double"&gt;401.520069&lt;/D&gt;&lt;D xsi:type="xsd:double"&gt;399.120327&lt;/D&gt;&lt;D xsi:type="xsd:double"&gt;398.701109&lt;/D&gt;&lt;D xsi:type="xsd:double"&gt;397.217466&lt;/D&gt;&lt;D xsi:type="xsd:double"&gt;396.612795&lt;/D&gt;&lt;D xsi:type="xsd:double"&gt;400.589044&lt;/D&gt;&lt;D xsi:type="xsd:double"&gt;399.391716&lt;/D&gt;&lt;D xsi:type="xsd:double"&gt;398.891695&lt;/D&gt;&lt;D xsi:type="xsd:double"&gt;398.429484&lt;/D&gt;&lt;D xsi:type="xsd:double"&gt;396.252961&lt;/D&gt;&lt;D xsi:type="xsd:double"&gt;396.910612&lt;/D&gt;&lt;D xsi:type="xsd:double"&gt;395.664798&lt;/D&gt;&lt;D xsi:type="xsd:double"&gt;395.578306&lt;/D&gt;&lt;D xsi:type="xsd:double"&gt;395.47983&lt;/D&gt;&lt;D xsi:type="xsd:double"&gt;393.461509&lt;/D&gt;&lt;D xsi:type="xsd:double"&gt;397.710586&lt;/D&gt;&lt;D xsi:type="xsd:double"&gt;396.072612&lt;/D&gt;&lt;D xsi:type="xsd:double"&gt;398.399362&lt;/D&gt;&lt;D xsi:type="xsd:double"&gt;396.448751&lt;/D&gt;&lt;D xsi:type="xsd:double"&gt;394.434664&lt;/D&gt;&lt;D xsi:type="xsd:double"&gt;393.134553&lt;/D&gt;&lt;D xsi:type="xsd:double"&gt;390.675023&lt;/D&gt;&lt;D xsi:type="xsd:double"&gt;391.143711&lt;/D&gt;&lt;D xsi:type="xsd:double"&gt;392.758212&lt;/D&gt;&lt;D xsi:type="xsd:double"&gt;393.397084&lt;/D&gt;&lt;D xsi:type="xsd:double"&gt;393.825302&lt;/D&gt;&lt;D xsi:type="xsd:double"&gt;391.21658&lt;/D&gt;&lt;D xsi:type="xsd:double"&gt;391.946208&lt;/D&gt;&lt;D xsi:type="xsd:double"&gt;392.667858&lt;/D&gt;&lt;D xsi:type="xsd:double"&gt;389.078097&lt;/D&gt;&lt;D xsi:type="xsd:double"&gt;390.924105&lt;/D&gt;&lt;D xsi:type="xsd:double"&gt;390.656296&lt;/D&gt;&lt;D xsi:type="xsd:double"&gt;390.094596&lt;/D&gt;&lt;D xsi:type="xsd:double"&gt;385.614201&lt;/D&gt;&lt;D xsi:type="xsd:double"&gt;384.359413&lt;/D&gt;&lt;D xsi:type="xsd:double"&gt;383.293606&lt;/D&gt;&lt;D xsi:type="xsd:double"&gt;384.441319&lt;/D&gt;&lt;D xsi:type="xsd:double"&gt;382.265022&lt;/D&gt;&lt;D xsi:type="xsd:double"&gt;382.428429&lt;/D&gt;&lt;D xsi:type="xsd:double"&gt;381.370496&lt;/D&gt;&lt;D xsi:type="xsd:double"&gt;379.708518&lt;/D&gt;&lt;D xsi:type="xsd:double"&gt;376.175944&lt;/D&gt;&lt;D xsi:type="xsd:double"&gt;375.299506&lt;/D&gt;&lt;D xsi:type="xsd:double"&gt;375.550937&lt;/D&gt;&lt;D xsi:type="xsd:double"&gt;373.915206&lt;/D&gt;&lt;D xsi:type="xsd:double"&gt;376.014522&lt;/D&gt;&lt;D xsi:type="xsd:double"&gt;377.646807&lt;/D&gt;&lt;D xsi:type="xsd:double"&gt;377.989597&lt;/D&gt;&lt;D xsi:type="xsd:double"&gt;377.471236&lt;/D&gt;&lt;D xsi:type="xsd:double"&gt;374.176783&lt;/D&gt;&lt;D xsi:type="xsd:double"&gt;370.343126&lt;/D&gt;&lt;D xsi:type="xsd:double"&gt;367.818263&lt;/D&gt;&lt;D xsi:type="xsd:double"&gt;363.631744&lt;/D&gt;&lt;D xsi:type="xsd:double"&gt;364.030383&lt;/D&gt;&lt;D xsi:type="xsd:double"&gt;360.211928&lt;/D&gt;&lt;D xsi:type="xsd:double"&gt;363.805474&lt;/D&gt;&lt;D xsi:type="xsd:double"&gt;368.770733&lt;/D&gt;&lt;D xsi:type="xsd:double"&gt;367.384175&lt;/D&gt;&lt;D xsi:type="xsd:double"&gt;366.768332&lt;/D&gt;&lt;D xsi:type="xsd:double"&gt;363.229955&lt;/D&gt;&lt;D xsi:type="xsd:double"&gt;362.599406&lt;/D&gt;&lt;D xsi:type="xsd:double"&gt;357.307809&lt;/D&gt;&lt;D xsi:type="xsd:double"&gt;363.53778&lt;/D&gt;&lt;D xsi:type="xsd:double"&gt;366.302135&lt;/D&gt;&lt;D xsi:type="xsd:double"&gt;368.777039&lt;/D&gt;&lt;D xsi:type="xsd:double"&gt;372.259934&lt;/D&gt;&lt;D xsi:type="xsd:double"&gt;381.930409&lt;/D&gt;&lt;D xsi:type="xsd:double"&gt;381.292217&lt;/D&gt;&lt;D xsi:type="xsd:double"&gt;380.72976&lt;/D&gt;&lt;D xsi:type="xsd:double"&gt;380.166185&lt;/D&gt;&lt;D xsi:type="xsd:double"&gt;381.48697&lt;/D&gt;&lt;D xsi:type="xsd:double"&gt;380.68818&lt;/D&gt;&lt;D xsi:type="xsd:double"&gt;381.131133&lt;/D&gt;&lt;D xsi:type="xsd:double"&gt;379.739296&lt;/D&gt;&lt;D xsi:type="xsd:double"&gt;375.528417&lt;/D&gt;&lt;D xsi:type="xsd:double"&gt;372.909881&lt;/D&gt;&lt;D xsi:type="xsd:double"&gt;375.032732&lt;/D&gt;&lt;D xsi:type="xsd:double"&gt;375.746402&lt;/D&gt;&lt;D xsi:type="xsd:double"&gt;377.108833&lt;/D&gt;&lt;D xsi:type="xsd:double"&gt;376.038023&lt;/D&gt;&lt;D xsi:type="xsd:double"&gt;374.654857&lt;/D&gt;&lt;D xsi:type="xsd:double"&gt;375.328201&lt;/D&gt;&lt;D xsi:type="xsd:double"&gt;374.725463&lt;/D&gt;&lt;D xsi:type="xsd:double"&gt;371.202209&lt;/D&gt;&lt;D xsi:type="xsd:double"&gt;370.345109&lt;/D&gt;&lt;D xsi:type="xsd:double"&gt;368.415113&lt;/D&gt;&lt;D xsi:type="xsd:double"&gt;368.277339&lt;/D&gt;&lt;D xsi:type="xsd:double"&gt;370.487538&lt;/D&gt;&lt;D xsi:type="xsd:double"&gt;372.987352&lt;/D&gt;&lt;D xsi:type="xsd:double"&gt;370.504066&lt;/D&gt;&lt;D xsi:type="xsd:double"&gt;368.973931&lt;/D&gt;&lt;D xsi:type="xsd:double"&gt;369.528163&lt;/D&gt;&lt;D xsi:type="xsd:double"&gt;368.223762&lt;/D&gt;&lt;D xsi:type="xsd:double"&gt;368.761901&lt;/D&gt;&lt;D xsi:type="xsd:double"&gt;368.706969&lt;/D&gt;&lt;D xsi:type="xsd:double"&gt;367.756804&lt;/D&gt;&lt;D xsi:type="xsd:double"&gt;364.65708&lt;/D&gt;&lt;D xsi:type="xsd:double"&gt;362.124809&lt;/D&gt;&lt;D xsi:type="xsd:double"&gt;364.153391&lt;/D&gt;&lt;D xsi:type="xsd:double"&gt;364.223432&lt;/D&gt;&lt;D xsi:type="xsd:double"&gt;364.029787&lt;/D&gt;&lt;D xsi:type="xsd:double"&gt;367.762947&lt;/D&gt;&lt;D xsi:type="xsd:double"&gt;369.201916&lt;/D&gt;&lt;D xsi:type="xsd:double"&gt;367.783807&lt;/D&gt;&lt;D xsi:type="xsd:double"&gt;368.39829&lt;/D&gt;&lt;D xsi:type="xsd:double"&gt;368.166132&lt;/D&gt;&lt;D xsi:type="xsd:double"&gt;365.154628&lt;/D&gt;&lt;D xsi:type="xsd:double"&gt;364.722789&lt;/D&gt;&lt;D xsi:type="xsd:double"&gt;366.178796&lt;/D&gt;&lt;D xsi:type="xsd:double"&gt;367.153827&lt;/D&gt;&lt;D xsi:type="xsd:double"&gt;365.920228&lt;/D&gt;&lt;D xsi:type="xsd:double"&gt;366.388348&lt;/D&gt;&lt;D xsi:type="xsd:double"&gt;367.132931&lt;/D&gt;&lt;D xsi:type="xsd:double"&gt;366.963507&lt;/D&gt;&lt;D xsi:type="xsd:double"&gt;364.559158&lt;/D&gt;&lt;D xsi:type="xsd:double"&gt;363.789481&lt;/D&gt;&lt;D xsi:type="xsd:double"&gt;363.457434&lt;/D&gt;&lt;D xsi:type="xsd:double"&gt;363.678127&lt;/D&gt;&lt;D xsi:type="xsd:double"&gt;363.701287&lt;/D&gt;&lt;D xsi:type="xsd:double"&gt;363.817224&lt;/D&gt;&lt;D xsi:type="xsd:double"&gt;363.333936&lt;/D&gt;&lt;D xsi:type="xsd:double"&gt;361.777173&lt;/D&gt;&lt;D xsi:type="xsd:double"&gt;359.60074&lt;/D&gt;&lt;D xsi:type="xsd:double"&gt;360.042929&lt;/D&gt;&lt;D xsi:type="xsd:double"&gt;358.693713&lt;/D&gt;&lt;D xsi:type="xsd:double"&gt;354.464504&lt;/D&gt;&lt;D xsi:type="xsd:double"&gt;354.584156&lt;/D&gt;&lt;D xsi:type="xsd:double"&gt;358.029641&lt;/D&gt;&lt;D xsi:type="xsd:double"&gt;358.192218&lt;/D&gt;&lt;D xsi:type="xsd:double"&gt;355.683023&lt;/D&gt;&lt;D xsi:type="xsd:double"&gt;354.605242&lt;/D&gt;&lt;D xsi:type="xsd:double"&gt;355.539181&lt;/D&gt;&lt;D xsi:type="xsd:double"&gt;356.295061&lt;/D&gt;&lt;D xsi:type="xsd:double"&gt;355.941947&lt;/D&gt;&lt;D xsi:type="xsd:double"&gt;354.992102&lt;/D&gt;&lt;D xsi:type="xsd:double"&gt;353.270367&lt;/D&gt;&lt;D xsi:type="xsd:double"&gt;353.708852&lt;/D&gt;&lt;D xsi:type="xsd:double"&gt;352.934246&lt;/D&gt;&lt;D xsi:type="xsd:double"&gt;353.819266&lt;/D&gt;&lt;D xsi:type="xsd:double"&gt;354.500523&lt;/D&gt;&lt;D xsi:type="xsd:double"&gt;352.276005&lt;/D&gt;&lt;D xsi:type="xsd:double"&gt;349.101553&lt;/D&gt;&lt;D xsi:type="xsd:double"&gt;349.571837&lt;/D&gt;&lt;D xsi:type="xsd:double"&gt;350.172508&lt;/D&gt;&lt;D xsi:type="xsd:double"&gt;350.749546&lt;/D&gt;&lt;D xsi:type="xsd:double"&gt;349.99366&lt;/D&gt;&lt;D xsi:type="xsd:double"&gt;351.20746&lt;/D&gt;&lt;D xsi:type="xsd:double"&gt;352.440985&lt;/D&gt;&lt;D xsi:type="xsd:double"&gt;350.270573&lt;/D&gt;&lt;D xsi:type="xsd:double"&gt;348.689149&lt;/D&gt;&lt;D xsi:type="xsd:double"&gt;348.483101&lt;/D&gt;&lt;D xsi:type="xsd:double"&gt;347.470578&lt;/D&gt;&lt;D xsi:type="xsd:double"&gt;346.75316&lt;/D&gt;&lt;D xsi:type="xsd:double"&gt;345.679497&lt;/D&gt;&lt;D xsi:type="xsd:double"&gt;344.692308&lt;/D&gt;&lt;D xsi:type="xsd:double"&gt;346.508875&lt;/D&gt;&lt;D xsi:type="xsd:double"&gt;344.747334&lt;/D&gt;&lt;D xsi:type="xsd:double"&gt;343.591934&lt;/D&gt;&lt;D xsi:type="xsd:double"&gt;341.215071&lt;/D&gt;&lt;D xsi:type="xsd:double"&gt;341.809234&lt;/D&gt;&lt;D xsi:type="xsd:double"&gt;341.18334&lt;/D&gt;&lt;D xsi:type="xsd:double"&gt;340.837642&lt;/D&gt;&lt;D xsi:type="xsd:double"&gt;342.4189&lt;/D&gt;&lt;D xsi:type="xsd:double"&gt;339.947484&lt;/D&gt;&lt;D xsi:type="xsd:double"&gt;338.174771&lt;/D&gt;&lt;D xsi:type="xsd:double"&gt;338.872435&lt;/D&gt;&lt;D xsi:type="xsd:double"&gt;338.275888&lt;/D&gt;&lt;D xsi:type="xsd:double"&gt;338.9118&lt;/D&gt;&lt;D xsi:type="xsd:double"&gt;338.312602&lt;/D&gt;&lt;D xsi:type="xsd:double"&gt;335.98378&lt;/D&gt;&lt;D xsi:type="xsd:double"&gt;334.107789&lt;/D&gt;&lt;D xsi:type="xsd:double"&gt;333.534059&lt;/D&gt;&lt;D xsi:type="xsd:double"&gt;335.135651&lt;/D&gt;&lt;D xsi:type="xsd:double"&gt;335.089911&lt;/D&gt;&lt;D xsi:type="xsd:double"&gt;334.164274&lt;/D&gt;&lt;D xsi:type="xsd:double"&gt;334.813958&lt;/D&gt;&lt;D xsi:type="xsd:double"&gt;333.896657&lt;/D&gt;&lt;D xsi:type="xsd:double"&gt;334.157157&lt;/D&gt;&lt;D xsi:type="xsd:double"&gt;333.397236&lt;/D&gt;&lt;D xsi:type="xsd:double"&gt;332.19313&lt;/D&gt;&lt;D xsi:type="xsd:double"&gt;329.389468&lt;/D&gt;&lt;D xsi:type="xsd:double"&gt;331.430413&lt;/D&gt;&lt;D xsi:type="xsd:double"&gt;331.116923&lt;/D&gt;&lt;D xsi:type="xsd:double"&gt;334.371751&lt;/D&gt;&lt;D xsi:type="xsd:double"&gt;338.060538&lt;/D&gt;&lt;D xsi:type="xsd:double"&gt;336.42169&lt;/D&gt;&lt;D xsi:type="xsd:double"&gt;334.809047&lt;/D&gt;&lt;D xsi:type="xsd:double"&gt;334.886937&lt;/D&gt;&lt;D xsi:type="xsd:double"&gt;333.535461&lt;/D&gt;&lt;D xsi:type="xsd:double"&gt;332.662595&lt;/D&gt;&lt;D xsi:type="xsd:double"&gt;331.430064&lt;/D&gt;&lt;D xsi:type="xsd:double"&gt;332.185085&lt;/D&gt;&lt;D xsi:type="xsd:double"&gt;332.340328&lt;/D&gt;&lt;D xsi:type="xsd:double"&gt;333.846099&lt;/D&gt;&lt;D xsi:type="xsd:double"&gt;333.741461&lt;/D&gt;&lt;D xsi:type="xsd:double"&gt;334.032576&lt;/D&gt;&lt;D xsi:type="xsd:double"&gt;334.19359&lt;/D&gt;&lt;D xsi:type="xsd:double"&gt;333.421616&lt;/D&gt;&lt;D xsi:type="xsd:double"&gt;330.10704&lt;/D&gt;&lt;D xsi:type="xsd:double"&gt;326.438835&lt;/D&gt;&lt;D xsi:type="xsd:double"&gt;325.440317&lt;/D&gt;&lt;D xsi:type="xsd:double"&gt;326.287032&lt;/D&gt;&lt;D xsi:type="xsd:double"&gt;327.487817&lt;/D&gt;&lt;D xsi:type="xsd:double"&gt;326.632995&lt;/D&gt;&lt;D xsi:type="xsd:double"&gt;326.547582&lt;/D&gt;&lt;D xsi:type="xsd:double"&gt;329.208056&lt;/D&gt;&lt;D xsi:type="xsd:double"&gt;327.030841&lt;/D&gt;&lt;D xsi:type="xsd:double"&gt;327.829468&lt;/D&gt;&lt;D xsi:type="xsd:double"&gt;324.851561&lt;/D&gt;&lt;D xsi:type="xsd:double"&gt;327.036802&lt;/D&gt;&lt;D xsi:type="xsd:double"&gt;327.235044&lt;/D&gt;&lt;D xsi:type="xsd:double"&gt;323.929265&lt;/D&gt;&lt;D xsi:type="xsd:double"&gt;321.242269&lt;/D&gt;&lt;D xsi:type="xsd:double"&gt;321.194648&lt;/D&gt;&lt;D xsi:type="xsd:double"&gt;319.074768&lt;/D&gt;&lt;D xsi:type="xsd:double"&gt;315.394642&lt;/D&gt;&lt;D xsi:type="xsd:double"&gt;317.471563&lt;/D&gt;&lt;D xsi:type="xsd:double"&gt;316.353837&lt;/D&gt;&lt;D xsi:type="xsd:double"&gt;310.507637&lt;/D&gt;&lt;D xsi:type="xsd:double"&gt;311.636918&lt;/D&gt;&lt;D xsi:type="xsd:double"&gt;313.986553&lt;/D&gt;&lt;D xsi:type="xsd:double"&gt;317.836524&lt;/D&gt;&lt;D xsi:type="xsd:double"&gt;322.052078&lt;/D&gt;&lt;D xsi:type="xsd:double"&gt;324.833942&lt;/D&gt;&lt;D xsi:type="xsd:double"&gt;325.351981&lt;/D&gt;&lt;D xsi:type="xsd:double"&gt;325.045638&lt;/D&gt;&lt;D xsi:type="xsd:double"&gt;325.191183&lt;/D&gt;&lt;D xsi:type="xsd:double"&gt;323.691474&lt;/D&gt;&lt;D xsi:type="xsd:double"&gt;327.295137&lt;/D&gt;&lt;D xsi:type="xsd:double"&gt;325.107967&lt;/D&gt;&lt;D xsi:type="xsd:double"&gt;319.605808&lt;/D&gt;&lt;D xsi:type="xsd:double"&gt;313.235469&lt;/D&gt;&lt;D xsi:type="xsd:double"&gt;313.392497&lt;/D&gt;&lt;D xsi:type="xsd:double"&gt;314.756897&lt;/D&gt;&lt;D xsi:type="xsd:double"&gt;313.891969&lt;/D&gt;&lt;D xsi:type="xsd:double"&gt;314.47867&lt;/D&gt;&lt;D xsi:type="xsd:double"&gt;314.47287&lt;/D&gt;&lt;D xsi:type="xsd:double"&gt;312.059031&lt;/D&gt;&lt;D xsi:type="xsd:double"&gt;312.056849&lt;/D&gt;&lt;D xsi:type="xsd:double"&gt;314.265606&lt;/D&gt;&lt;D xsi:type="xsd:double"&gt;313.46621&lt;/D&gt;&lt;D xsi:type="xsd:double"&gt;306.994009&lt;/D&gt;&lt;D xsi:type="xsd:double"&gt;305.156556&lt;/D&gt;&lt;D xsi:type="xsd:double"&gt;311.954363&lt;/D&gt;&lt;D xsi:type="xsd:double"&gt;315.556836&lt;/D&gt;&lt;D xsi:type="xsd:double"&gt;313.50383&lt;/D&gt;&lt;D xsi:type="xsd:double"&gt;319.452246&lt;/D&gt;&lt;D xsi:type="xsd:double"&gt;321.806953&lt;/D&gt;&lt;D xsi:type="xsd:double"&gt;326.897537&lt;/D&gt;&lt;D xsi:type="xsd:double"&gt;330.932215&lt;/D&gt;&lt;D xsi:type="xsd:double"&gt;327.999855&lt;/D&gt;&lt;D xsi:type="xsd:double"&gt;325.738174&lt;/D&gt;&lt;D xsi:type="xsd:double"&gt;325.362838&lt;/D&gt;&lt;D xsi:type="xsd:double"&gt;328.6351&lt;/D&gt;&lt;D xsi:type="xsd:double"&gt;325.164757&lt;/D&gt;&lt;D xsi:type="xsd:double"&gt;322.08926&lt;/D&gt;&lt;D xsi:type="xsd:double"&gt;324.28641&lt;/D&gt;&lt;D xsi:type="xsd:double"&gt;322.495893&lt;/D&gt;&lt;D xsi:type="xsd:double"&gt;326.746031&lt;/D&gt;&lt;D xsi:type="xsd:double"&gt;327.611556&lt;/D&gt;&lt;D xsi:type="xsd:double"&gt;330.888625&lt;/D&gt;&lt;D xsi:type="xsd:double"&gt;336.523583&lt;/D&gt;&lt;D xsi:type="xsd:double"&gt;337.327203&lt;/D&gt;&lt;D xsi:type="xsd:double"&gt;340.591895&lt;/D&gt;&lt;D xsi:type="xsd:double"&gt;345.216119&lt;/D&gt;&lt;D xsi:type="xsd:double"&gt;348.011176&lt;/D&gt;&lt;D xsi:type="xsd:double"&gt;348.923168&lt;/D&gt;&lt;D xsi:type="xsd:double"&gt;347.995291&lt;/D&gt;&lt;D xsi:type="xsd:double"&gt;347.067222&lt;/D&gt;&lt;D xsi:type="xsd:double"&gt;343.30561&lt;/D&gt;&lt;D xsi:type="xsd:double"&gt;341.711976&lt;/D&gt;&lt;D xsi:type="xsd:double"&gt;343.409373&lt;/D&gt;&lt;D xsi:type="xsd:double"&gt;340.711282&lt;/D&gt;&lt;D xsi:type="xsd:double"&gt;340.189841&lt;/D&gt;&lt;D xsi:type="xsd:double"&gt;340.390657&lt;/D&gt;&lt;D xsi:type="xsd:double"&gt;339.399539&lt;/D&gt;&lt;D xsi:type="xsd:double"&gt;337.970976&lt;/D&gt;&lt;D xsi:type="xsd:double"&gt;338.335932&lt;/D&gt;&lt;D xsi:type="xsd:double"&gt;339.476735&lt;/D&gt;&lt;D xsi:type="xsd:double"&gt;337.928051&lt;/D&gt;&lt;D xsi:type="xsd:double"&gt;337.797908&lt;/D&gt;&lt;D xsi:type="xsd:double"&gt;335.301457&lt;/D&gt;&lt;D xsi:type="xsd:double"&gt;331.624704&lt;/D&gt;&lt;D xsi:type="xsd:double"&gt;330.226547&lt;/D&gt;&lt;D xsi:type="xsd:double"&gt;329.912339&lt;/D&gt;&lt;D xsi:type="xsd:double"&gt;330.884775&lt;/D&gt;&lt;D xsi:type="xsd:double"&gt;333.273546&lt;/D&gt;&lt;D xsi:type="xsd:double"&gt;333.150179&lt;/D&gt;&lt;D xsi:type="xsd:double"&gt;336.057067&lt;/D&gt;&lt;D xsi:type="xsd:double"&gt;335.375109&lt;/D&gt;&lt;D xsi:type="xsd:double"&gt;333.966886&lt;/D&gt;&lt;D xsi:type="xsd:double"&gt;332.103289&lt;/D&gt;&lt;D xsi:type="xsd:double"&gt;329.790669&lt;/D&gt;&lt;D xsi:type="xsd:double"&gt;331.47347&lt;/D&gt;&lt;D xsi:type="xsd:double"&gt;328.689136&lt;/D&gt;&lt;D xsi:type="xsd:double"&gt;327.863142&lt;/D&gt;&lt;D xsi:type="xsd:double"&gt;329.222652&lt;/D&gt;&lt;D xsi:type="xsd:double"&gt;329.484063&lt;/D&gt;&lt;D xsi:type="xsd:double"&gt;328.213541&lt;/D&gt;&lt;D xsi:type="xsd:double"&gt;329.788636&lt;/D&gt;&lt;D xsi:type="xsd:double"&gt;328.803584&lt;/D&gt;&lt;D xsi:type="xsd:double"&gt;330.859391&lt;/D&gt;&lt;D xsi:type="xsd:double"&gt;330.434354&lt;/D&gt;&lt;D xsi:type="xsd:double"&gt;329.381827&lt;/D&gt;&lt;D xsi:type="xsd:double"&gt;328.29768&lt;/D&gt;&lt;D xsi:type="xsd:double"&gt;326.842712&lt;/D&gt;&lt;D xsi:type="xsd:double"&gt;323.92384&lt;/D&gt;&lt;D xsi:type="xsd:double"&gt;321.569711&lt;/D&gt;&lt;D xsi:type="xsd:double"&gt;320.398633&lt;/D&gt;&lt;D xsi:type="xsd:double"&gt;319.618079&lt;/D&gt;&lt;D xsi:type="xsd:double"&gt;320.540255&lt;/D&gt;&lt;D xsi:type="xsd:double"&gt;323.569357&lt;/D&gt;&lt;D xsi:type="xsd:double"&gt;324.342075&lt;/D&gt;&lt;D xsi:type="xsd:double"&gt;325.11646&lt;/D&gt;&lt;D xsi:type="xsd:double"&gt;325.476301&lt;/D&gt;&lt;D xsi:type="xsd:double"&gt;323.744612&lt;/D&gt;&lt;D xsi:type="xsd:double"&gt;326.195634&lt;/D&gt;&lt;D xsi:type="xsd:double"&gt;324.704786&lt;/D&gt;&lt;D xsi:type="xsd:double"&gt;324.333562&lt;/D&gt;&lt;D xsi:type="xsd:double"&gt;323.459728&lt;/D&gt;&lt;D xsi:type="xsd:double"&gt;322.205238&lt;/D&gt;&lt;D xsi:type="xsd:double"&gt;321.90107&lt;/D&gt;&lt;D xsi:type="xsd:double"&gt;321.90028&lt;/D&gt;&lt;D xsi:type="xsd:double"&gt;320.026447&lt;/D&gt;&lt;D xsi:type="xsd:double"&gt;319.5116&lt;/D&gt;&lt;D xsi:type="xsd:double"&gt;317.740888&lt;/D&gt;&lt;D xsi:type="xsd:double"&gt;319.234406&lt;/D&gt;&lt;D xsi:type="xsd:double"&gt;319.764473&lt;/D&gt;&lt;D xsi:type="xsd:double"&gt;318.338406&lt;/D&gt;&lt;D xsi:type="xsd:double"&gt;318.927532&lt;/D&gt;&lt;D xsi:type="xsd:double"&gt;321.009673&lt;/D&gt;&lt;D xsi:type="xsd:double"&gt;320.254737&lt;/D&gt;&lt;D xsi:type="xsd:double"&gt;322.513744&lt;/D&gt;&lt;D xsi:type="xsd:double"&gt;325.042378&lt;/D&gt;&lt;D xsi:type="xsd:double"&gt;324.658133&lt;/D&gt;&lt;D xsi:type="xsd:double"&gt;324.133514&lt;/D&gt;&lt;D xsi:type="xsd:double"&gt;324.175714&lt;/D&gt;&lt;D xsi:type="xsd:double"&gt;321.604991&lt;/D&gt;&lt;D xsi:type="xsd:double"&gt;319.163091&lt;/D&gt;&lt;D xsi:type="xsd:double"&gt;318.462297&lt;/D&gt;&lt;D xsi:type="xsd:double"&gt;317.60699&lt;/D&gt;&lt;D xsi:type="xsd:double"&gt;316.545875&lt;/D&gt;&lt;D xsi:type="xsd:double"&gt;319.921112&lt;/D&gt;&lt;D xsi:type="xsd:double"&gt;316.876998&lt;/D&gt;&lt;D xsi:type="xsd:double"&gt;319.618009&lt;/D&gt;&lt;D xsi:type="xsd:double"&gt;322.371328&lt;/D&gt;&lt;D xsi:type="xsd:double"&gt;322.590978&lt;/D&gt;&lt;D xsi:type="xsd:double"&gt;323.384447&lt;/D&gt;&lt;D xsi:type="xsd:double"&gt;321.547729&lt;/D&gt;&lt;D xsi:type="xsd:double"&gt;322.837459&lt;/D&gt;&lt;D xsi:type="xsd:double"&gt;322.325676&lt;/D&gt;&lt;D xsi:type="xsd:double"&gt;319.19957&lt;/D&gt;&lt;D xsi:type="xsd:double"&gt;319.045753&lt;/D&gt;&lt;D xsi:type="xsd:double"&gt;315.464201&lt;/D&gt;&lt;D xsi:type="xsd:double"&gt;309.630121&lt;/D&gt;&lt;D xsi:type="xsd:double"&gt;311.672927&lt;/D&gt;&lt;D xsi:type="xsd:double"&gt;311.855123&lt;/D&gt;&lt;D xsi:type="xsd:double"&gt;311.057937&lt;/D&gt;&lt;D xsi:type="xsd:double"&gt;312.564877&lt;/D&gt;&lt;D xsi:type="xsd:double"&gt;312.24837&lt;/D&gt;&lt;D xsi:type="xsd:double"&gt;311.102903&lt;/D&gt;&lt;D xsi:type="xsd:double"&gt;310.250564&lt;/D&gt;&lt;D xsi:type="xsd:double"&gt;310.579448&lt;/D&gt;&lt;D xsi:type="xsd:double"&gt;311.432801&lt;/D&gt;&lt;D xsi:type="xsd:double"&gt;310.720426&lt;/D&gt;&lt;D xsi:type="xsd:double"&gt;312.221609&lt;/D&gt;&lt;D xsi:type="xsd:double"&gt;310.809604&lt;/D&gt;&lt;D xsi:type="xsd:double"&gt;309.730167&lt;/D&gt;&lt;D xsi:type="xsd:double"&gt;307.760783&lt;/D&gt;&lt;D xsi:type="xsd:double"&gt;306.896272&lt;/D&gt;&lt;D xsi:type="xsd:double"&gt;306.913709&lt;/D&gt;&lt;D xsi:type="xsd:double"&gt;307.891498&lt;/D&gt;&lt;D xsi:type="xsd:double"&gt;307.068104&lt;/D&gt;&lt;D xsi:type="xsd:double"&gt;306.960502&lt;/D&gt;&lt;D xsi:type="xsd:double"&gt;305.556303&lt;/D&gt;&lt;D xsi:type="xsd:double"&gt;302.432444&lt;/D&gt;&lt;D xsi:type="xsd:double"&gt;303.842212&lt;/D&gt;&lt;D xsi:type="xsd:double"&gt;304.132331&lt;/D&gt;&lt;D xsi:type="xsd:double"&gt;305.158521&lt;/D&gt;&lt;D xsi:type="xsd:double"&gt;305.156426&lt;/D&gt;&lt;D xsi:type="xsd:double"&gt;303.14818&lt;/D&gt;&lt;D xsi:type="xsd:double"&gt;302.770733&lt;/D&gt;&lt;D xsi:type="xsd:double"&gt;301.147848&lt;/D&gt;&lt;D xsi:type="xsd:double"&gt;299.728522&lt;/D&gt;&lt;D xsi:type="xsd:double"&gt;296.485806&lt;/D&gt;&lt;D xsi:type="xsd:double"&gt;296.436592&lt;/D&gt;&lt;D xsi:type="xsd:double"&gt;297.746574&lt;/D&gt;&lt;D xsi:type="xsd:double"&gt;298.350068&lt;/D&gt;&lt;D xsi:type="xsd:double"&gt;296.854808&lt;/D&gt;&lt;D xsi:type="xsd:double"&gt;295.785336&lt;/D&gt;&lt;D xsi:type="xsd:double"&gt;295.869188&lt;/D&gt;&lt;D xsi:type="xsd:double"&gt;296.481793&lt;/D&gt;&lt;D xsi:type="xsd:double"&gt;295.955137&lt;/D&gt;&lt;D xsi:type="xsd:double"&gt;297.309807&lt;/D&gt;&lt;D xsi:type="xsd:double"&gt;295.566374&lt;/D&gt;&lt;D xsi:type="xsd:double"&gt;292.794641&lt;/D&gt;&lt;D xsi:type="xsd:double"&gt;292.318924&lt;/D&gt;&lt;D xsi:type="xsd:double"&gt;289.400097&lt;/D&gt;&lt;D xsi:type="xsd:double"&gt;287.800248&lt;/D&gt;&lt;D xsi:type="xsd:double"&gt;289.75422&lt;/D&gt;&lt;D xsi:type="xsd:double"&gt;290.096575&lt;/D&gt;&lt;D xsi:type="xsd:double"&gt;289.175115&lt;/D&gt;&lt;D xsi:type="xsd:double"&gt;286.112892&lt;/D&gt;&lt;D xsi:type="xsd:double"&gt;285.876989&lt;/D&gt;&lt;D xsi:type="xsd:double"&gt;287.642637&lt;/D&gt;&lt;D xsi:type="xsd:double"&gt;287.190624&lt;/D&gt;&lt;D xsi:type="xsd:double"&gt;290.092569&lt;/D&gt;&lt;D xsi:type="xsd:double"&gt;290.047134&lt;/D&gt;&lt;D xsi:type="xsd:double"&gt;287.867301&lt;/D&gt;&lt;D xsi:type="xsd:double"&gt;290.293266&lt;/D&gt;&lt;D xsi:type="xsd:double"&gt;291.995996&lt;/D&gt;&lt;D xsi:type="xsd:double"&gt;291.758966&lt;/D&gt;&lt;D xsi:type="xsd:double"&gt;292.945231&lt;/D&gt;&lt;D xsi:type="xsd:double"&gt;292.857499&lt;/D&gt;&lt;D xsi:type="xsd:double"&gt;294.953194&lt;/D&gt;&lt;D xsi:type="xsd:double"&gt;298.873599&lt;/D&gt;&lt;D xsi:type="xsd:double"&gt;299.796888&lt;/D&gt;&lt;D xsi:type="xsd:double"&gt;300.60397&lt;/D&gt;&lt;D xsi:type="xsd:double"&gt;299.869497&lt;/D&gt;&lt;D xsi:type="xsd:double"&gt;297.819909&lt;/D&gt;&lt;D xsi:type="xsd:double"&gt;296.339492&lt;/D&gt;&lt;D xsi:type="xsd:double"&gt;297.193819&lt;/D&gt;&lt;D xsi:type="xsd:double"&gt;295.45301&lt;/D&gt;&lt;D xsi:type="xsd:double"&gt;295.878281&lt;/D&gt;&lt;D xsi:type="xsd:double"&gt;296.691831&lt;/D&gt;&lt;D xsi:type="xsd:double"&gt;298.189153&lt;/D&gt;&lt;D xsi:type="xsd:double"&gt;298.377492&lt;/D&gt;&lt;D xsi:type="xsd:double"&gt;299.215317&lt;/D&gt;&lt;D xsi:type="xsd:double"&gt;297.600361&lt;/D&gt;&lt;D xsi:type="xsd:double"&gt;297.838059&lt;/D&gt;&lt;D xsi:type="xsd:double"&gt;297.555848&lt;/D&gt;&lt;D xsi:type="xsd:double"&gt;299.496139&lt;/D&gt;&lt;D xsi:type="xsd:double"&gt;300.076488&lt;/D&gt;&lt;D xsi:type="xsd:double"&gt;297.666555&lt;/D&gt;&lt;D xsi:type="xsd:double"&gt;298.774874&lt;/D&gt;&lt;D xsi:type="xsd:double"&gt;298.308788&lt;/D&gt;&lt;D xsi:type="xsd:double"&gt;295.607821&lt;/D&gt;&lt;D xsi:type="xsd:double"&gt;295.155027&lt;/D&gt;&lt;D xsi:type="xsd:double"&gt;292.202123&lt;/D&gt;&lt;D xsi:type="xsd:double"&gt;288.960143&lt;/D&gt;&lt;D xsi:type="xsd:double"&gt;289.722058&lt;/D&gt;&lt;D xsi:type="xsd:double"&gt;289.844008&lt;/D&gt;&lt;D xsi:type="xsd:double"&gt;290.856507&lt;/D&gt;&lt;D xsi:type="xsd:double"&gt;290.831298&lt;/D&gt;&lt;D xsi:type="xsd:double"&gt;291.977963&lt;/D&gt;&lt;D xsi:type="xsd:double"&gt;293.279461&lt;/D&gt;&lt;D xsi:type="xsd:double"&gt;291.266067&lt;/D&gt;&lt;D xsi:type="xsd:double"&gt;290.690406&lt;/D&gt;&lt;D xsi:type="xsd:double"&gt;292.749965&lt;/D&gt;&lt;D xsi:type="xsd:double"&gt;293.370084&lt;/D&gt;&lt;D xsi:type="xsd:double"&gt;295.538063&lt;/D&gt;&lt;D xsi:type="xsd:double"&gt;295.719414&lt;/D&gt;&lt;D xsi:type="xsd:double"&gt;296.656661&lt;/D&gt;&lt;D xsi:type="xsd:double"&gt;294.704809&lt;/D&gt;&lt;D xsi:type="xsd:double"&gt;292.874528&lt;/D&gt;&lt;D xsi:type="xsd:double"&gt;291.368368&lt;/D&gt;&lt;D xsi:type="xsd:double"&gt;290.888596&lt;/D&gt;&lt;D xsi:type="xsd:double"&gt;293.35444&lt;/D&gt;&lt;D xsi:type="xsd:double"&gt;294.836135&lt;/D&gt;&lt;D xsi:type="xsd:double"&gt;293.888493&lt;/D&gt;&lt;D xsi:type="xsd:double"&gt;291.595116&lt;/D&gt;&lt;D xsi:type="xsd:double"&gt;290.570387&lt;/D&gt;&lt;D xsi:type="xsd:double"&gt;290.937735&lt;/D&gt;&lt;D xsi:type="xsd:double"&gt;289.213093&lt;/D&gt;&lt;D xsi:type="xsd:double"&gt;287.860804&lt;/D&gt;&lt;D xsi:type="xsd:double"&gt;288.215591&lt;/D&gt;&lt;D xsi:type="xsd:double"&gt;288.998384&lt;/D&gt;&lt;D xsi:type="xsd:double"&gt;288.217104&lt;/D&gt;&lt;D xsi:type="xsd:double"&gt;287.466014&lt;/D&gt;&lt;D xsi:type="xsd:double"&gt;286.70684&lt;/D&gt;&lt;D xsi:type="xsd:double"&gt;286.02443&lt;/D&gt;&lt;D xsi:type="xsd:double"&gt;286.68299&lt;/D&gt;&lt;D xsi:type="xsd:double"&gt;287.219248&lt;/D&gt;&lt;D xsi:type="xsd:double"&gt;286.</t>
        </r>
      </text>
    </comment>
    <comment ref="A36" authorId="0" shapeId="0">
      <text>
        <r>
          <rPr>
            <b/>
            <sz val="9"/>
            <color indexed="81"/>
            <rFont val="Tahoma"/>
            <family val="2"/>
          </rPr>
          <t>160913&lt;/D&gt;&lt;D xsi:type="xsd:double"&gt;286.633068&lt;/D&gt;&lt;D xsi:type="xsd:double"&gt;285.164639&lt;/D&gt;&lt;D xsi:type="xsd:double"&gt;282.21855&lt;/D&gt;&lt;D xsi:type="xsd:double"&gt;279.523228&lt;/D&gt;&lt;D xsi:type="xsd:double"&gt;280.716956&lt;/D&gt;&lt;D xsi:type="xsd:double"&gt;281.109581&lt;/D&gt;&lt;D xsi:type="xsd:double"&gt;280.300127&lt;/D&gt;&lt;D xsi:type="xsd:double"&gt;280.437913&lt;/D&gt;&lt;D xsi:type="xsd:double"&gt;281.585603&lt;/D&gt;&lt;D xsi:type="xsd:double"&gt;281.651586&lt;/D&gt;&lt;D xsi:type="xsd:double"&gt;280.06283&lt;/D&gt;&lt;D xsi:type="xsd:double"&gt;280.727926&lt;/D&gt;&lt;D xsi:type="xsd:double"&gt;282.506701&lt;/D&gt;&lt;D xsi:type="xsd:double"&gt;284.37291&lt;/D&gt;&lt;D xsi:type="xsd:double"&gt;284.024812&lt;/D&gt;&lt;D xsi:type="xsd:double"&gt;283.846905&lt;/D&gt;&lt;D xsi:type="xsd:double"&gt;284.720387&lt;/D&gt;&lt;D xsi:type="xsd:double"&gt;282.379138&lt;/D&gt;&lt;D xsi:type="xsd:double"&gt;281.231443&lt;/D&gt;&lt;D xsi:type="xsd:double"&gt;280.345512&lt;/D&gt;&lt;D xsi:type="xsd:double"&gt;279.678481&lt;/D&gt;&lt;D xsi:type="xsd:double"&gt;279.851205&lt;/D&gt;&lt;D xsi:type="xsd:double"&gt;279.972406&lt;/D&gt;&lt;D xsi:type="xsd:double"&gt;280.670276&lt;/D&gt;&lt;D xsi:type="xsd:double"&gt;280.532819&lt;/D&gt;&lt;D xsi:type="xsd:double"&gt;279.863672&lt;/D&gt;&lt;D xsi:type="xsd:double"&gt;279.668363&lt;/D&gt;&lt;D xsi:type="xsd:double"&gt;280.48561&lt;/D&gt;&lt;D xsi:type="xsd:double"&gt;279.899328&lt;/D&gt;&lt;D xsi:type="xsd:double"&gt;278.073808&lt;/D&gt;&lt;D xsi:type="xsd:double"&gt;279.749916&lt;/D&gt;&lt;D xsi:type="xsd:double"&gt;279.025735&lt;/D&gt;&lt;D xsi:type="xsd:double"&gt;278.078338&lt;/D&gt;&lt;D xsi:type="xsd:double"&gt;278.976573&lt;/D&gt;&lt;D xsi:type="xsd:double"&gt;278.837158&lt;/D&gt;&lt;D xsi:type="xsd:double"&gt;277.336567&lt;/D&gt;&lt;D xsi:type="xsd:double"&gt;278.170364&lt;/D&gt;&lt;D xsi:type="xsd:double"&gt;276.557566&lt;/D&gt;&lt;D xsi:type="xsd:double"&gt;274.038634&lt;/D&gt;&lt;D xsi:type="xsd:double"&gt;273.124778&lt;/D&gt;&lt;D xsi:type="xsd:double"&gt;272.639027&lt;/D&gt;&lt;D xsi:type="xsd:double"&gt;274.167154&lt;/D&gt;&lt;D xsi:type="xsd:double"&gt;276.196233&lt;/D&gt;&lt;D xsi:type="xsd:double"&gt;276.565843&lt;/D&gt;&lt;D xsi:type="xsd:double"&gt;278.426918&lt;/D&gt;&lt;D xsi:type="xsd:double"&gt;278.131892&lt;/D&gt;&lt;D xsi:type="xsd:double"&gt;278.013453&lt;/D&gt;&lt;D xsi:type="xsd:double"&gt;277.824301&lt;/D&gt;&lt;D xsi:type="xsd:double"&gt;274.686172&lt;/D&gt;&lt;D xsi:type="xsd:double"&gt;274.235529&lt;/D&gt;&lt;D xsi:type="xsd:double"&gt;273.702214&lt;/D&gt;&lt;D xsi:type="xsd:double"&gt;271.682449&lt;/D&gt;&lt;D xsi:type="xsd:double"&gt;273.872081&lt;/D&gt;&lt;D xsi:type="xsd:double"&gt;274.633764&lt;/D&gt;&lt;D xsi:type="xsd:double"&gt;276.3467&lt;/D&gt;&lt;D xsi:type="xsd:double"&gt;275.290382&lt;/D&gt;&lt;D xsi:type="xsd:double"&gt;275.224964&lt;/D&gt;&lt;D xsi:type="xsd:double"&gt;272.571205&lt;/D&gt;&lt;D xsi:type="xsd:double"&gt;274.383891&lt;/D&gt;&lt;D xsi:type="xsd:double"&gt;272.019064&lt;/D&gt;&lt;D xsi:type="xsd:double"&gt;273.853901&lt;/D&gt;&lt;D xsi:type="xsd:double"&gt;277.193973&lt;/D&gt;&lt;D xsi:type="xsd:double"&gt;280.254712&lt;/D&gt;&lt;D xsi:type="xsd:double"&gt;281.292218&lt;/D&gt;&lt;D xsi:type="xsd:double"&gt;281.673026&lt;/D&gt;&lt;D xsi:type="xsd:double"&gt;281.268477&lt;/D&gt;&lt;D xsi:type="xsd:double"&gt;282.632041&lt;/D&gt;&lt;D xsi:type="xsd:double"&gt;280.988417&lt;/D&gt;&lt;D xsi:type="xsd:double"&gt;280.110823&lt;/D&gt;&lt;D xsi:type="xsd:double"&gt;278.545247&lt;/D&gt;&lt;D xsi:type="xsd:double"&gt;280.012073&lt;/D&gt;&lt;D xsi:type="xsd:double"&gt;280.511691&lt;/D&gt;&lt;D xsi:type="xsd:double"&gt;279.621674&lt;/D&gt;&lt;D xsi:type="xsd:double"&gt;277.669092&lt;/D&gt;&lt;D xsi:type="xsd:double"&gt;279.139138&lt;/D&gt;&lt;D xsi:type="xsd:double"&gt;279.366456&lt;/D&gt;&lt;D xsi:type="xsd:double"&gt;279.647821&lt;/D&gt;&lt;D xsi:type="xsd:double"&gt;282.183605&lt;/D&gt;&lt;D xsi:type="xsd:double"&gt;283.32886&lt;/D&gt;&lt;D xsi:type="xsd:double"&gt;285.084762&lt;/D&gt;&lt;D xsi:type="xsd:double"&gt;285.468956&lt;/D&gt;&lt;D xsi:type="xsd:double"&gt;285.820931&lt;/D&gt;&lt;D xsi:type="xsd:double"&gt;287.2133&lt;/D&gt;&lt;D xsi:type="xsd:double"&gt;288.124836&lt;/D&gt;&lt;D xsi:type="xsd:double"&gt;288.516996&lt;/D&gt;&lt;D xsi:type="xsd:double"&gt;288.832869&lt;/D&gt;&lt;D xsi:type="xsd:double"&gt;289.501161&lt;/D&gt;&lt;D xsi:type="xsd:double"&gt;291.203608&lt;/D&gt;&lt;D xsi:type="xsd:double"&gt;291.058341&lt;/D&gt;&lt;D xsi:type="xsd:double"&gt;291.025892&lt;/D&gt;&lt;D xsi:type="xsd:double"&gt;287.790454&lt;/D&gt;&lt;D xsi:type="xsd:double"&gt;287.551981&lt;/D&gt;&lt;D xsi:type="xsd:double"&gt;288.197&lt;/D&gt;&lt;D xsi:type="xsd:double"&gt;287.494051&lt;/D&gt;&lt;D xsi:type="xsd:double"&gt;287.403132&lt;/D&gt;&lt;D xsi:type="xsd:double"&gt;284.586192&lt;/D&gt;&lt;D xsi:type="xsd:double"&gt;283.334615&lt;/D&gt;&lt;D xsi:type="xsd:double"&gt;283.857106&lt;/D&gt;&lt;D xsi:type="xsd:double"&gt;285.148833&lt;/D&gt;&lt;D xsi:type="xsd:double"&gt;284.700364&lt;/D&gt;&lt;D xsi:type="xsd:double"&gt;285.148522&lt;/D&gt;&lt;D xsi:type="xsd:double"&gt;285.771618&lt;/D&gt;&lt;D xsi:type="xsd:double"&gt;284.872455&lt;/D&gt;&lt;D xsi:type="xsd:double"&gt;283.446601&lt;/D&gt;&lt;D xsi:type="xsd:double"&gt;281.715155&lt;/D&gt;&lt;D xsi:type="xsd:double"&gt;280.115493&lt;/D&gt;&lt;D xsi:type="xsd:double"&gt;281.187673&lt;/D&gt;&lt;D xsi:type="xsd:double"&gt;281.746263&lt;/D&gt;&lt;D xsi:type="xsd:double"&gt;282.098184&lt;/D&gt;&lt;D xsi:type="xsd:double"&gt;279.487606&lt;/D&gt;&lt;D xsi:type="xsd:double"&gt;280.713495&lt;/D&gt;&lt;D xsi:type="xsd:double"&gt;279.583273&lt;/D&gt;&lt;D xsi:type="xsd:double"&gt;278.299376&lt;/D&gt;&lt;D xsi:type="xsd:double"&gt;276.053888&lt;/D&gt;&lt;D xsi:type="xsd:double"&gt;277.049773&lt;/D&gt;&lt;D xsi:type="xsd:double"&gt;277.026862&lt;/D&gt;&lt;D xsi:type="xsd:double"&gt;274.744363&lt;/D&gt;&lt;D xsi:type="xsd:double"&gt;274.66535&lt;/D&gt;&lt;D xsi:type="xsd:double"&gt;274.580149&lt;/D&gt;&lt;D xsi:type="xsd:double"&gt;275.18646&lt;/D&gt;&lt;D xsi:type="xsd:double"&gt;277.732509&lt;/D&gt;&lt;D xsi:type="xsd:double"&gt;278.857711&lt;/D&gt;&lt;D xsi:type="xsd:double"&gt;277.617321&lt;/D&gt;&lt;D xsi:type="xsd:double"&gt;277.007579&lt;/D&gt;&lt;D xsi:type="xsd:double"&gt;278.569549&lt;/D&gt;&lt;D xsi:type="xsd:double"&gt;277.45181&lt;/D&gt;&lt;D xsi:type="xsd:double"&gt;278.098965&lt;/D&gt;&lt;D xsi:type="xsd:double"&gt;277.096214&lt;/D&gt;&lt;D xsi:type="xsd:double"&gt;277.579353&lt;/D&gt;&lt;D xsi:type="xsd:double"&gt;277.808396&lt;/D&gt;&lt;D xsi:type="xsd:double"&gt;279.537312&lt;/D&gt;&lt;D xsi:type="xsd:double"&gt;282.721684&lt;/D&gt;&lt;D xsi:type="xsd:double"&gt;284.520521&lt;/D&gt;&lt;D xsi:type="xsd:double"&gt;284.575769&lt;/D&gt;&lt;D xsi:type="xsd:double"&gt;283.546562&lt;/D&gt;&lt;D xsi:type="xsd:double"&gt;283.93275&lt;/D&gt;&lt;D xsi:type="xsd:double"&gt;282.775498&lt;/D&gt;&lt;D xsi:type="xsd:double"&gt;281.97113&lt;/D&gt;&lt;D xsi:type="xsd:double"&gt;280.947866&lt;/D&gt;&lt;D xsi:type="xsd:double"&gt;279.689221&lt;/D&gt;&lt;D xsi:type="xsd:double"&gt;278.71032&lt;/D&gt;&lt;D xsi:type="xsd:double"&gt;277.006974&lt;/D&gt;&lt;D xsi:type="xsd:double"&gt;278.58382&lt;/D&gt;&lt;D xsi:type="xsd:double"&gt;279.534867&lt;/D&gt;&lt;D xsi:type="xsd:double"&gt;277.628991&lt;/D&gt;&lt;D xsi:type="xsd:double"&gt;276.712993&lt;/D&gt;&lt;D xsi:type="xsd:double"&gt;273.961134&lt;/D&gt;&lt;D xsi:type="xsd:double"&gt;274.375724&lt;/D&gt;&lt;D xsi:type="xsd:double"&gt;274.75612&lt;/D&gt;&lt;D xsi:type="xsd:double"&gt;276.026433&lt;/D&gt;&lt;D xsi:type="xsd:double"&gt;277.825018&lt;/D&gt;&lt;D xsi:type="xsd:double"&gt;278.16555&lt;/D&gt;&lt;D xsi:type="xsd:double"&gt;277.433368&lt;/D&gt;&lt;D xsi:type="xsd:double"&gt;276.984688&lt;/D&gt;&lt;D xsi:type="xsd:double"&gt;274.170483&lt;/D&gt;&lt;D xsi:type="xsd:double"&gt;275.288996&lt;/D&gt;&lt;D xsi:type="xsd:double"&gt;275.271811&lt;/D&gt;&lt;D xsi:type="xsd:double"&gt;273.859303&lt;/D&gt;&lt;D xsi:type="xsd:double"&gt;272.555737&lt;/D&gt;&lt;D xsi:type="xsd:double"&gt;272.129288&lt;/D&gt;&lt;D xsi:type="xsd:double"&gt;272.426065&lt;/D&gt;&lt;D xsi:type="xsd:double"&gt;273.843488&lt;/D&gt;&lt;D xsi:type="xsd:double"&gt;274.094912&lt;/D&gt;&lt;D xsi:type="xsd:double"&gt;271.849568&lt;/D&gt;&lt;D xsi:type="xsd:double"&gt;273.094305&lt;/D&gt;&lt;D xsi:type="xsd:double"&gt;272.585354&lt;/D&gt;&lt;D xsi:type="xsd:double"&gt;269.993832&lt;/D&gt;&lt;D xsi:type="xsd:double"&gt;268.231035&lt;/D&gt;&lt;D xsi:type="xsd:double"&gt;268.350764&lt;/D&gt;&lt;D xsi:type="xsd:double"&gt;268.799907&lt;/D&gt;&lt;D xsi:type="xsd:double"&gt;269.076464&lt;/D&gt;&lt;D xsi:type="xsd:double"&gt;267.481278&lt;/D&gt;&lt;D xsi:type="xsd:double"&gt;264.771153&lt;/D&gt;&lt;D xsi:type="xsd:double"&gt;261.94338&lt;/D&gt;&lt;D xsi:type="xsd:double"&gt;261.095849&lt;/D&gt;&lt;D xsi:type="xsd:double"&gt;260.379094&lt;/D&gt;&lt;D xsi:type="xsd:double"&gt;260.319177&lt;/D&gt;&lt;D xsi:type="xsd:double"&gt;259.235978&lt;/D&gt;&lt;D xsi:type="xsd:double"&gt;256.386857&lt;/D&gt;&lt;D xsi:type="xsd:double"&gt;254.200288&lt;/D&gt;&lt;D xsi:type="xsd:double"&gt;254.933928&lt;/D&gt;&lt;D xsi:type="xsd:double"&gt;255.994828&lt;/D&gt;&lt;D xsi:type="xsd:double"&gt;255.097957&lt;/D&gt;&lt;D xsi:type="xsd:double"&gt;255.558759&lt;/D&gt;&lt;D xsi:type="xsd:double"&gt;255.740231&lt;/D&gt;&lt;D xsi:type="xsd:double"&gt;255.209557&lt;/D&gt;&lt;D xsi:type="xsd:double"&gt;254.188384&lt;/D&gt;&lt;D xsi:type="xsd:double"&gt;255.343226&lt;/D&gt;&lt;D xsi:type="xsd:double"&gt;256.667299&lt;/D&gt;&lt;D xsi:type="xsd:double"&gt;258.677804&lt;/D&gt;&lt;D xsi:type="xsd:double"&gt;258.595697&lt;/D&gt;&lt;D xsi:type="xsd:double"&gt;258.766851&lt;/D&gt;&lt;D xsi:type="xsd:double"&gt;260.360504&lt;/D&gt;&lt;D xsi:type="xsd:double"&gt;259.367966&lt;/D&gt;&lt;D xsi:type="xsd:double"&gt;259.024045&lt;/D&gt;&lt;D xsi:type="xsd:double"&gt;258.004788&lt;/D&gt;&lt;D xsi:type="xsd:double"&gt;254.373356&lt;/D&gt;&lt;D xsi:type="xsd:double"&gt;253.615809&lt;/D&gt;&lt;D xsi:type="xsd:double"&gt;252.590041&lt;/D&gt;&lt;D xsi:type="xsd:double"&gt;251.405493&lt;/D&gt;&lt;D xsi:type="xsd:double"&gt;252.834011&lt;/D&gt;&lt;D xsi:type="xsd:double"&gt;253.011634&lt;/D&gt;&lt;D xsi:type="xsd:double"&gt;253.739298&lt;/D&gt;&lt;D xsi:type="xsd:double"&gt;256.309982&lt;/D&gt;&lt;D xsi:type="xsd:double"&gt;254.289149&lt;/D&gt;&lt;D xsi:type="xsd:double"&gt;255.146621&lt;/D&gt;&lt;D xsi:type="xsd:double"&gt;254.252036&lt;/D&gt;&lt;D xsi:type="xsd:double"&gt;253.398917&lt;/D&gt;&lt;D xsi:type="xsd:double"&gt;255.855071&lt;/D&gt;&lt;D xsi:type="xsd:double"&gt;255.232567&lt;/D&gt;&lt;D xsi:type="xsd:double"&gt;254.389728&lt;/D&gt;&lt;D xsi:type="xsd:double"&gt;252.607786&lt;/D&gt;&lt;D xsi:type="xsd:double"&gt;252.886716&lt;/D&gt;&lt;D xsi:type="xsd:double"&gt;253.223526&lt;/D&gt;&lt;D xsi:type="xsd:double"&gt;251.106158&lt;/D&gt;&lt;D xsi:type="xsd:double"&gt;252.399128&lt;/D&gt;&lt;D xsi:type="xsd:double"&gt;250.693414&lt;/D&gt;&lt;D xsi:type="xsd:double"&gt;249.506809&lt;/D&gt;&lt;D xsi:type="xsd:double"&gt;248.873389&lt;/D&gt;&lt;D xsi:type="xsd:double"&gt;250.148469&lt;/D&gt;&lt;D xsi:type="xsd:double"&gt;249.363076&lt;/D&gt;&lt;D xsi:type="xsd:double"&gt;248.615586&lt;/D&gt;&lt;D xsi:type="xsd:double"&gt;247.286357&lt;/D&gt;&lt;D xsi:type="xsd:double"&gt;247.746609&lt;/D&gt;&lt;D xsi:type="xsd:double"&gt;247.852495&lt;/D&gt;&lt;D xsi:type="xsd:double"&gt;247.19506&lt;/D&gt;&lt;D xsi:type="xsd:double"&gt;246.456168&lt;/D&gt;&lt;D xsi:type="xsd:double"&gt;244.778742&lt;/D&gt;&lt;D xsi:type="xsd:double"&gt;244.141032&lt;/D&gt;&lt;D xsi:type="xsd:double"&gt;242.027636&lt;/D&gt;&lt;D xsi:type="xsd:double"&gt;241.627024&lt;/D&gt;&lt;D xsi:type="xsd:double"&gt;243.296543&lt;/D&gt;&lt;D xsi:type="xsd:double"&gt;244.759942&lt;/D&gt;&lt;D xsi:type="xsd:double"&gt;242.379213&lt;/D&gt;&lt;D xsi:type="xsd:double"&gt;243.049488&lt;/D&gt;&lt;D xsi:type="xsd:double"&gt;245.324735&lt;/D&gt;&lt;D xsi:type="xsd:double"&gt;247.346625&lt;/D&gt;&lt;D xsi:type="xsd:double"&gt;248.581443&lt;/D&gt;&lt;D xsi:type="xsd:double"&gt;248.983995&lt;/D&gt;&lt;D xsi:type="xsd:double"&gt;248.450893&lt;/D&gt;&lt;D xsi:type="xsd:double"&gt;247.722215&lt;/D&gt;&lt;D xsi:type="xsd:double"&gt;246.262815&lt;/D&gt;&lt;D xsi:type="xsd:double"&gt;245.949626&lt;/D&gt;&lt;D xsi:type="xsd:double"&gt;245.075757&lt;/D&gt;&lt;D xsi:type="xsd:double"&gt;246.046938&lt;/D&gt;&lt;D xsi:type="xsd:double"&gt;248.635434&lt;/D&gt;&lt;D xsi:type="xsd:double"&gt;249.339036&lt;/D&gt;&lt;D xsi:type="xsd:double"&gt;251.454783&lt;/D&gt;&lt;D xsi:type="xsd:double"&gt;251.117515&lt;/D&gt;&lt;D xsi:type="xsd:double"&gt;251.414681&lt;/D&gt;&lt;D xsi:type="xsd:double"&gt;251.056387&lt;/D&gt;&lt;D xsi:type="xsd:double"&gt;252.613606&lt;/D&gt;&lt;D xsi:type="xsd:double"&gt;253.25636&lt;/D&gt;&lt;D xsi:type="xsd:double"&gt;253.6582&lt;/D&gt;&lt;D xsi:type="xsd:double"&gt;253.402941&lt;/D&gt;&lt;D xsi:type="xsd:double"&gt;252.635275&lt;/D&gt;&lt;D xsi:type="xsd:double"&gt;253.647228&lt;/D&gt;&lt;D xsi:type="xsd:double"&gt;252.813064&lt;/D&gt;&lt;D xsi:type="xsd:double"&gt;255.043546&lt;/D&gt;&lt;D xsi:type="xsd:double"&gt;255.519173&lt;/D&gt;&lt;D xsi:type="xsd:double"&gt;256.894805&lt;/D&gt;&lt;D xsi:type="xsd:double"&gt;256.438795&lt;/D&gt;&lt;D xsi:type="xsd:double"&gt;257.051152&lt;/D&gt;&lt;D xsi:type="xsd:double"&gt;256.205736&lt;/D&gt;&lt;D xsi:type="xsd:double"&gt;257.272428&lt;/D&gt;&lt;D xsi:type="xsd:double"&gt;255.87609&lt;/D&gt;&lt;D xsi:type="xsd:double"&gt;254.355481&lt;/D&gt;&lt;D xsi:type="xsd:double"&gt;254.78961&lt;/D&gt;&lt;D xsi:type="xsd:double"&gt;255.143289&lt;/D&gt;&lt;D xsi:type="xsd:double"&gt;254.374382&lt;/D&gt;&lt;D xsi:type="xsd:double"&gt;254.09556&lt;/D&gt;&lt;D xsi:type="xsd:double"&gt;253.160322&lt;/D&gt;&lt;D xsi:type="xsd:double"&gt;251.712684&lt;/D&gt;&lt;D xsi:type="xsd:double"&gt;255.160549&lt;/D&gt;&lt;D xsi:type="xsd:double"&gt;254.327346&lt;/D&gt;&lt;D xsi:type="xsd:double"&gt;256.99105&lt;/D&gt;&lt;D xsi:type="xsd:double"&gt;256.756465&lt;/D&gt;&lt;D xsi:type="xsd:double"&gt;252.225409&lt;/D&gt;&lt;D xsi:type="xsd:double"&gt;250.876751&lt;/D&gt;&lt;D xsi:type="xsd:double"&gt;252.770043&lt;/D&gt;&lt;D xsi:type="xsd:double"&gt;252.057665&lt;/D&gt;&lt;D xsi:type="xsd:double"&gt;252.174303&lt;/D&gt;&lt;D xsi:type="xsd:double"&gt;252.622977&lt;/D&gt;&lt;D xsi:type="xsd:double"&gt;249.924634&lt;/D&gt;&lt;D xsi:type="xsd:double"&gt;248.641459&lt;/D&gt;&lt;D xsi:type="xsd:double"&gt;246.279006&lt;/D&gt;&lt;D xsi:type="xsd:double"&gt;245.889229&lt;/D&gt;&lt;D xsi:type="xsd:double"&gt;243.972251&lt;/D&gt;&lt;D xsi:type="xsd:double"&gt;245.385611&lt;/D&gt;&lt;D xsi:type="xsd:double"&gt;242.58698&lt;/D&gt;&lt;D xsi:type="xsd:double"&gt;240.813236&lt;/D&gt;&lt;D xsi:type="xsd:double"&gt;243.451959&lt;/D&gt;&lt;D xsi:type="xsd:double"&gt;244.208546&lt;/D&gt;&lt;D xsi:type="xsd:double"&gt;244.968069&lt;/D&gt;&lt;D xsi:type="xsd:double"&gt;244.014309&lt;/D&gt;&lt;D xsi:type="xsd:double"&gt;242.331885&lt;/D&gt;&lt;D xsi:type="xsd:double"&gt;248.295356&lt;/D&gt;&lt;D xsi:type="xsd:double"&gt;252.249428&lt;/D&gt;&lt;D xsi:type="xsd:double"&gt;255.273487&lt;/D&gt;&lt;D xsi:type="xsd:double"&gt;254.218405&lt;/D&gt;&lt;D xsi:type="xsd:double"&gt;252.312465&lt;/D&gt;&lt;D xsi:type="xsd:double"&gt;250.931966&lt;/D&gt;&lt;D xsi:type="xsd:double"&gt;252.82558&lt;/D&gt;&lt;D xsi:type="xsd:double"&gt;254.428601&lt;/D&gt;&lt;D xsi:type="xsd:double"&gt;258.303987&lt;/D&gt;&lt;D xsi:type="xsd:double"&gt;258.269736&lt;/D&gt;&lt;D xsi:type="xsd:double"&gt;258.378381&lt;/D&gt;&lt;D xsi:type="xsd:double"&gt;257.773683&lt;/D&gt;&lt;D xsi:type="xsd:double"&gt;255.659049&lt;/D&gt;&lt;D xsi:type="xsd:double"&gt;256.407388&lt;/D&gt;&lt;D xsi:type="xsd:double"&gt;258.27988&lt;/D&gt;&lt;D xsi:type="xsd:double"&gt;258.231585&lt;/D&gt;&lt;D xsi:type="xsd:double"&gt;256.418886&lt;/D&gt;&lt;D xsi:type="xsd:double"&gt;256.910125&lt;/D&gt;&lt;D xsi:type="xsd:double"&gt;259.003245&lt;/D&gt;&lt;D xsi:type="xsd:double"&gt;261.627314&lt;/D&gt;&lt;D xsi:type="xsd:double"&gt;261.056761&lt;/D&gt;&lt;D xsi:type="xsd:double"&gt;261.370202&lt;/D&gt;&lt;D xsi:type="xsd:double"&gt;261.523112&lt;/D&gt;&lt;D xsi:type="xsd:double"&gt;261.785964&lt;/D&gt;&lt;D xsi:type="xsd:double"&gt;260.835332&lt;/D&gt;&lt;D xsi:type="xsd:double"&gt;259.667826&lt;/D&gt;&lt;D xsi:type="xsd:double"&gt;257.43039&lt;/D&gt;&lt;D xsi:type="xsd:double"&gt;256.549338&lt;/D&gt;&lt;D xsi:type="xsd:double"&gt;255.703799&lt;/D&gt;&lt;D xsi:type="xsd:double"&gt;252.595004&lt;/D&gt;&lt;D xsi:type="xsd:double"&gt;252.482952&lt;/D&gt;&lt;D xsi:type="xsd:double"&gt;249.301416&lt;/D&gt;&lt;D xsi:type="xsd:double"&gt;249.965273&lt;/D&gt;&lt;D xsi:type="xsd:double"&gt;250.395228&lt;/D&gt;&lt;D xsi:type="xsd:double"&gt;253.780298&lt;/D&gt;&lt;D xsi:type="xsd:double"&gt;255.314228&lt;/D&gt;&lt;D xsi:type="xsd:double"&gt;254.897238&lt;/D&gt;&lt;D xsi:type="xsd:double"&gt;252.483452&lt;/D&gt;&lt;D xsi:type="xsd:double"&gt;250.25833&lt;/D&gt;&lt;D xsi:type="xsd:double"&gt;253.050483&lt;/D&gt;&lt;D xsi:type="xsd:double"&gt;251.994747&lt;/D&gt;&lt;D xsi:type="xsd:double"&gt;256.325976&lt;/D&gt;&lt;D xsi:type="xsd:double"&gt;260.301048&lt;/D&gt;&lt;D xsi:type="xsd:double"&gt;261.32479&lt;/D&gt;&lt;D xsi:type="xsd:double"&gt;262.910912&lt;/D&gt;&lt;D xsi:type="xsd:double"&gt;260.987254&lt;/D&gt;&lt;D xsi:type="xsd:double"&gt;259.797497&lt;/D&gt;&lt;D xsi:type="xsd:double"&gt;261.214796&lt;/D&gt;&lt;D xsi:type="xsd:double"&gt;262.581432&lt;/D&gt;&lt;D xsi:type="xsd:double"&gt;259.511149&lt;/D&gt;&lt;D xsi:type="xsd:double"&gt;258.775012&lt;/D&gt;&lt;D xsi:type="xsd:double"&gt;259.074864&lt;/D&gt;&lt;D xsi:type="xsd:double"&gt;259.097174&lt;/D&gt;&lt;D xsi:type="xsd:double"&gt;259.805633&lt;/D&gt;&lt;D xsi:type="xsd:double"&gt;259.934773&lt;/D&gt;&lt;D xsi:type="xsd:double"&gt;261.976844&lt;/D&gt;&lt;D xsi:type="xsd:double"&gt;262.804741&lt;/D&gt;&lt;D xsi:type="xsd:double"&gt;263.630943&lt;/D&gt;&lt;D xsi:type="xsd:double"&gt;260.882073&lt;/D&gt;&lt;D xsi:type="xsd:double"&gt;261.671139&lt;/D&gt;&lt;D xsi:type="xsd:double"&gt;261.125177&lt;/D&gt;&lt;D xsi:type="xsd:double"&gt;259.542951&lt;/D&gt;&lt;D xsi:type="xsd:double"&gt;258.64399&lt;/D&gt;&lt;D xsi:type="xsd:double"&gt;258.02064&lt;/D&gt;&lt;D xsi:type="xsd:double"&gt;254.887279&lt;/D&gt;&lt;D xsi:type="xsd:double"&gt;254.250924&lt;/D&gt;&lt;D xsi:type="xsd:double"&gt;256.466191&lt;/D&gt;&lt;D xsi:type="xsd:double"&gt;255.958771&lt;/D&gt;&lt;D xsi:type="xsd:double"&gt;255.195006&lt;/D&gt;&lt;D xsi:type="xsd:double"&gt;255.613441&lt;/D&gt;&lt;D xsi:type="xsd:double"&gt;257.59344&lt;/D&gt;&lt;D xsi:type="xsd:double"&gt;259.571387&lt;/D&gt;&lt;D xsi:type="xsd:double"&gt;260.505327&lt;/D&gt;&lt;D xsi:type="xsd:double"&gt;259.960104&lt;/D&gt;&lt;D xsi:type="xsd:double"&gt;260.367277&lt;/D&gt;&lt;D xsi:type="xsd:double"&gt;260.085868&lt;/D&gt;&lt;D xsi:type="xsd:double"&gt;258.391336&lt;/D&gt;&lt;D xsi:type="xsd:double"&gt;256.943024&lt;/D&gt;&lt;D xsi:type="xsd:double"&gt;256.259866&lt;/D&gt;&lt;D xsi:type="xsd:double"&gt;257.089477&lt;/D&gt;&lt;D xsi:type="xsd:double"&gt;255.999733&lt;/D&gt;&lt;D xsi:type="xsd:double"&gt;256.780794&lt;/D&gt;&lt;D xsi:type="xsd:double"&gt;256.516486&lt;/D&gt;&lt;D xsi:type="xsd:double"&gt;256.969014&lt;/D&gt;&lt;D xsi:type="xsd:double"&gt;255.21786&lt;/D&gt;&lt;D xsi:type="xsd:double"&gt;255.764193&lt;/D&gt;&lt;D xsi:type="xsd:double"&gt;255.234802&lt;/D&gt;&lt;D xsi:type="xsd:double"&gt;251.73768&lt;/D&gt;&lt;D xsi:type="xsd:double"&gt;251.131118&lt;/D&gt;&lt;D xsi:type="xsd:double"&gt;250.163807&lt;/D&gt;&lt;D xsi:type="xsd:double"&gt;249.08217&lt;/D&gt;&lt;D xsi:type="xsd:double"&gt;246.722284&lt;/D&gt;&lt;D xsi:type="xsd:double"&gt;246.324286&lt;/D&gt;&lt;D xsi:type="xsd:double"&gt;246.09261&lt;/D&gt;&lt;D xsi:type="xsd:double"&gt;245.298126&lt;/D&gt;&lt;D xsi:type="xsd:double"&gt;244.314751&lt;/D&gt;&lt;D xsi:type="xsd:double"&gt;243.950513&lt;/D&gt;&lt;D xsi:type="xsd:double"&gt;241.727893&lt;/D&gt;&lt;D xsi:type="xsd:double"&gt;241.607732&lt;/D&gt;&lt;D xsi:type="xsd:double"&gt;241.436709&lt;/D&gt;&lt;D xsi:type="xsd:double"&gt;241.200502&lt;/D&gt;&lt;D xsi:type="xsd:double"&gt;239.798636&lt;/D&gt;&lt;D xsi:type="xsd:double"&gt;238.277492&lt;/D&gt;&lt;D xsi:type="xsd:double"&gt;239.325663&lt;/D&gt;&lt;D xsi:type="xsd:double"&gt;239.956545&lt;/D&gt;&lt;D xsi:type="xsd:double"&gt;239.317786&lt;/D&gt;&lt;D xsi:type="xsd:double"&gt;240.381712&lt;/D&gt;&lt;D xsi:type="xsd:double"&gt;240.046359&lt;/D&gt;&lt;D xsi:type="xsd:double"&gt;239.748447&lt;/D&gt;&lt;D xsi:type="xsd:double"&gt;239.463419&lt;/D&gt;&lt;D xsi:type="xsd:double"&gt;236.42411&lt;/D&gt;&lt;D xsi:type="xsd:double"&gt;236.009554&lt;/D&gt;&lt;D xsi:type="xsd:double"&gt;234.407511&lt;/D&gt;&lt;D xsi:type="xsd:double"&gt;233.683327&lt;/D&gt;&lt;D xsi:type="xsd:double"&gt;231.540994&lt;/D&gt;&lt;D xsi:type="xsd:double"&gt;231.044017&lt;/D&gt;&lt;D xsi:type="xsd:double"&gt;231.888365&lt;/D&gt;&lt;D xsi:type="xsd:double"&gt;231.841059&lt;/D&gt;&lt;D xsi:type="xsd:double"&gt;232.156837&lt;/D&gt;&lt;D xsi:type="xsd:double"&gt;235.146923&lt;/D&gt;&lt;D xsi:type="xsd:double"&gt;235.772053&lt;/D&gt;&lt;D xsi:type="xsd:double"&gt;234.604087&lt;/D&gt;&lt;D xsi:type="xsd:double"&gt;232.235509&lt;/D&gt;&lt;D xsi:type="xsd:double"&gt;233.389432&lt;/D&gt;&lt;D xsi:type="xsd:double"&gt;234.493569&lt;/D&gt;&lt;D xsi:type="xsd:double"&gt;233.771048&lt;/D&gt;&lt;D xsi:type="xsd:double"&gt;233.772621&lt;/D&gt;&lt;D xsi:type="xsd:double"&gt;234.496971&lt;/D&gt;&lt;D xsi:type="xsd:double"&gt;234.35594&lt;/D&gt;&lt;D xsi:type="xsd:double"&gt;233.23615&lt;/D&gt;&lt;D xsi:type="xsd:double"&gt;233.691457&lt;/D&gt;&lt;D xsi:type="xsd:double"&gt;233.485952&lt;/D&gt;&lt;D xsi:type="xsd:double"&gt;232.675556&lt;/D&gt;&lt;D xsi:type="xsd:double"&gt;230.085751&lt;/D&gt;&lt;D xsi:type="xsd:double"&gt;229.180654&lt;/D&gt;&lt;D xsi:type="xsd:double"&gt;229.405296&lt;/D&gt;&lt;D xsi:type="xsd:double"&gt;231.110489&lt;/D&gt;&lt;D xsi:type="xsd:double"&gt;233.80352&lt;/D&gt;&lt;D xsi:type="xsd:double"&gt;233.376523&lt;/D&gt;&lt;D xsi:type="xsd:double"&gt;232.490981&lt;/D&gt;&lt;D xsi:type="xsd:double"&gt;234.305905&lt;/D&gt;&lt;D xsi:type="xsd:double"&gt;233.327299&lt;/D&gt;&lt;D xsi:type="xsd:double"&gt;233.594187&lt;/D&gt;&lt;D xsi:type="xsd:double"&gt;233.00404&lt;/D&gt;&lt;D xsi:type="xsd:double"&gt;231.71568&lt;/D&gt;&lt;D xsi:type="xsd:double"&gt;231.038894&lt;/D&gt;&lt;D xsi:type="xsd:double"&gt;229.415322&lt;/D&gt;&lt;D xsi:type="xsd:double"&gt;230.325331&lt;/D&gt;&lt;D xsi:type="xsd:double"&gt;229.168958&lt;/D&gt;&lt;D xsi:type="xsd:double"&gt;228.479391&lt;/D&gt;&lt;D xsi:type="xsd:double"&gt;225.872777&lt;/D&gt;&lt;D xsi:type="xsd:double"&gt;224.593964&lt;/D&gt;&lt;D xsi:type="xsd:double"&gt;220.151284&lt;/D&gt;&lt;D xsi:type="xsd:double"&gt;221.815657&lt;/D&gt;&lt;D xsi:type="xsd:double"&gt;220.715561&lt;/D&gt;&lt;D xsi:type="xsd:double"&gt;222.342397&lt;/D&gt;&lt;D xsi:type="xsd:double"&gt;224.006759&lt;/D&gt;&lt;D xsi:type="xsd:double"&gt;226.24582&lt;/D&gt;&lt;D xsi:type="xsd:double"&gt;225.528884&lt;/D&gt;&lt;D xsi:type="xsd:double"&gt;227.883874&lt;/D&gt;&lt;D xsi:type="xsd:double"&gt;228.294579&lt;/D&gt;&lt;D xsi:type="xsd:double"&gt;225.812388&lt;/D&gt;&lt;D xsi:type="xsd:double"&gt;225.444635&lt;/D&gt;&lt;D xsi:type="xsd:double"&gt;222.99271&lt;/D&gt;&lt;D xsi:type="xsd:double"&gt;223.401768&lt;/D&gt;&lt;D xsi:type="xsd:double"&gt;222.559231&lt;/D&gt;&lt;D xsi:type="xsd:double"&gt;222.237352&lt;/D&gt;&lt;D xsi:type="xsd:double"&gt;224.530776&lt;/D&gt;&lt;D xsi:type="xsd:double"&gt;225.443739&lt;/D&gt;&lt;D xsi:type="xsd:double"&gt;223.39454&lt;/D&gt;&lt;D xsi:type="xsd:double"&gt;223.710924&lt;/D&gt;&lt;D xsi:type="xsd:double"&gt;223.323373&lt;/D&gt;&lt;D xsi:type="xsd:double"&gt;221.78698&lt;/D&gt;&lt;D xsi:type="xsd:double"&gt;219.098102&lt;/D&gt;&lt;D xsi:type="xsd:double"&gt;218.052471&lt;/D&gt;&lt;D xsi:type="xsd:double"&gt;217.065738&lt;/D&gt;&lt;D xsi:type="xsd:double"&gt;216.586817&lt;/D&gt;&lt;D xsi:type="xsd:double"&gt;216.946138&lt;/D&gt;&lt;D xsi:type="xsd:double"&gt;217.274915&lt;/D&gt;&lt;D xsi:type="xsd:double"&gt;218.816851&lt;/D&gt;&lt;D xsi:type="xsd:double"&gt;218.384536&lt;/D&gt;&lt;D xsi:type="xsd:double"&gt;218.232792&lt;/D&gt;&lt;D xsi:type="xsd:double"&gt;217.885066&lt;/D&gt;&lt;D xsi:type="xsd:double"&gt;216.429089&lt;/D&gt;&lt;D xsi:type="xsd:double"&gt;216.287871&lt;/D&gt;&lt;D xsi:type="xsd:double"&gt;214.579926&lt;/D&gt;&lt;D xsi:type="xsd:double"&gt;214.790093&lt;/D&gt;&lt;D xsi:type="xsd:double"&gt;213.292666&lt;/D&gt;&lt;D xsi:type="xsd:double"&gt;212.206968&lt;/D&gt;&lt;D xsi:type="xsd:double"&gt;211.54662&lt;/D&gt;&lt;D xsi:type="xsd:double"&gt;210.192357&lt;/D&gt;&lt;D xsi:type="xsd:double"&gt;210.968917&lt;/D&gt;&lt;D xsi:type="xsd:double"&gt;212.851345&lt;/D&gt;&lt;D xsi:type="xsd:double"&gt;212.852267&lt;/D&gt;&lt;D xsi:type="xsd:double"&gt;214.455124&lt;/D&gt;&lt;D xsi:type="xsd:double"&gt;214.189113&lt;/D&gt;&lt;D xsi:type="xsd:double"&gt;215.378208&lt;/D&gt;&lt;D xsi:type="xsd:double"&gt;216.505317&lt;/D&gt;&lt;D xsi:type="xsd:double"&gt;215.980167&lt;/D&gt;&lt;D xsi:type="xsd:double"&gt;213.909543&lt;/D&gt;&lt;D xsi:type="xsd:double"&gt;213.365442&lt;/D&gt;&lt;D xsi:type="xsd:double"&gt;212.54006999999999&lt;/D&gt;&lt;D xsi:type="xsd:double"&gt;211.168552&lt;/D&gt;&lt;D xsi:type="xsd:double"&gt;212.83463&lt;/D&gt;&lt;D xsi:type="xsd:double"&gt;211.290783&lt;/D&gt;&lt;D xsi:type="xsd:double"&gt;214.080878&lt;/D&gt;&lt;D xsi:type="xsd:double"&gt;215.531099&lt;/D&gt;&lt;D xsi:type="xsd:double"&gt;216.713665&lt;/D&gt;&lt;D xsi:type="xsd:double"&gt;214.703093&lt;/D&gt;&lt;D xsi:type="xsd:double"&gt;213.662029&lt;/D&gt;&lt;D xsi:type="xsd:double"&gt;216.002456&lt;/D&gt;&lt;D xsi:type="xsd:double"&gt;216.93447&lt;/D&gt;&lt;D xsi:type="xsd:double"&gt;216.746209&lt;/D&gt;&lt;D xsi:type="xsd:double"&gt;213.763223&lt;/D&gt;&lt;D xsi:type="xsd:double"&gt;213.840311&lt;/D&gt;&lt;D xsi:type="xsd:double"&gt;210.961618&lt;/D&gt;&lt;D xsi:type="xsd:double"&gt;210.07926&lt;/D&gt;&lt;D xsi:type="xsd:double"&gt;210.822132&lt;/D&gt;&lt;D xsi:type="xsd:double"&gt;211.63862&lt;/D&gt;&lt;D xsi:type="xsd:double"&gt;211.327056&lt;/D&gt;&lt;D xsi:type="xsd:double"&gt;211.572767&lt;/D&gt;&lt;D xsi:type="xsd:double"&gt;212.333785&lt;/D&gt;&lt;D xsi:type="xsd:double"&gt;215.523312&lt;/D&gt;&lt;D xsi:type="xsd:double"&gt;215.321361&lt;/D&gt;&lt;D xsi:type="xsd:double"&gt;218.08992&lt;/D&gt;&lt;D xsi:type="xsd:double"&gt;218.581046&lt;/D&gt;&lt;D xsi:type="xsd:double"&gt;217.508857&lt;/D&gt;&lt;D xsi:type="xsd:double"&gt;213.810527&lt;/D&gt;&lt;D xsi:type="xsd:double"&gt;215.366197&lt;/D&gt;&lt;D xsi:type="xsd:double"&gt;214.801436&lt;/D&gt;&lt;D xsi:type="xsd:double"&gt;211.853085&lt;/D&gt;&lt;D xsi:type="xsd:double"&gt;210.962781&lt;/D&gt;&lt;D xsi:type="xsd:double"&gt;212.700841&lt;/D&gt;&lt;D xsi:type="xsd:double"&gt;212.294607&lt;/D&gt;&lt;D xsi:type="xsd:double"&gt;210.885382&lt;/D&gt;&lt;D xsi:type="xsd:double"&gt;208.507183&lt;/D&gt;&lt;D xsi:type="xsd:double"&gt;208.457677&lt;/D&gt;&lt;D xsi:type="xsd:double"&gt;206.535303&lt;/D&gt;&lt;D xsi:type="xsd:double"&gt;205.335266&lt;/D&gt;&lt;D xsi:type="xsd:double"&gt;204.852203&lt;/D&gt;&lt;D xsi:type="xsd:double"&gt;204.079215&lt;/D&gt;&lt;D xsi:type="xsd:double"&gt;201.528969&lt;/D&gt;&lt;D xsi:type="xsd:double"&gt;200.775692&lt;/D&gt;&lt;D xsi:type="xsd:double"&gt;198.877602&lt;/D&gt;&lt;D xsi:type="xsd:double"&gt;198.841207&lt;/D&gt;&lt;D xsi:type="xsd:double"&gt;198.886518&lt;/D&gt;&lt;D xsi:type="xsd:double"&gt;203.122109&lt;/D&gt;&lt;D xsi:type="xsd:double"&gt;202.891195&lt;/D&gt;&lt;D xsi:type="xsd:double"&gt;201.726029&lt;/D&gt;&lt;D xsi:type="xsd:double"&gt;201.868125&lt;/D&gt;&lt;D xsi:type="xsd:double"&gt;202.197834&lt;/D&gt;&lt;D xsi:type="xsd:double"&gt;200.126052&lt;/D&gt;&lt;D xsi:type="xsd:double"&gt;197.806903&lt;/D&gt;&lt;D xsi:type="xsd:double"&gt;199.950203&lt;/D&gt;&lt;D xsi:type="xsd:double"&gt;200.839785&lt;/D&gt;&lt;D xsi:type="xsd:double"&gt;198.375964&lt;/D&gt;&lt;D xsi:type="xsd:double"&gt;197.919391&lt;/D&gt;&lt;D xsi:type="xsd:double"&gt;196.137361&lt;/D&gt;&lt;D xsi:type="xsd:double"&gt;195.752801&lt;/D&gt;&lt;D xsi:type="xsd:double"&gt;194.530155&lt;/D&gt;&lt;D xsi:type="xsd:double"&gt;194.023&lt;/D&gt;&lt;D xsi:type="xsd:double"&gt;191.139&lt;/D&gt;&lt;D xsi:type="xsd:double"&gt;193.768&lt;/D&gt;&lt;D xsi:type="xsd:double"&gt;195.147&lt;/D&gt;&lt;D xsi:type="xsd:double"&gt;193.542&lt;/D&gt;&lt;D xsi:type="xsd:double"&gt;190.567&lt;/D&gt;&lt;D xsi:type="xsd:double"&gt;190.96&lt;/D&gt;&lt;D xsi:type="xsd:double"&gt;188.648&lt;/D&gt;&lt;D xsi:type="xsd:double"&gt;190.039&lt;/D&gt;&lt;D xsi:type="xsd:double"&gt;188.094&lt;/D&gt;&lt;D xsi:type="xsd:double"&gt;185.535&lt;/D&gt;&lt;D xsi:type="xsd:double"&gt;186.12&lt;/D&gt;&lt;D xsi:type="xsd:double"&gt;185.854&lt;/D&gt;&lt;D xsi:type="xsd:double"&gt;187.527&lt;/D&gt;&lt;D xsi:type="xsd:double"&gt;188.504&lt;/D&gt;&lt;D xsi:type="xsd:double"&gt;186.496&lt;/D&gt;&lt;D xsi:type="xsd:double"&gt;185.656&lt;/D&gt;&lt;D xsi:type="xsd:double"&gt;185.994&lt;/D&gt;&lt;D xsi:type="xsd:double"&gt;182.09&lt;/D&gt;&lt;D xsi:type="xsd:double"&gt;180.201&lt;/D&gt;&lt;D xsi:type="xsd:double"&gt;183.645&lt;/D&gt;&lt;D xsi:type="xsd:double"&gt;184.492&lt;/D&gt;&lt;D xsi:type="xsd:double"&gt;185.335&lt;/D&gt;&lt;D xsi:type="xsd:double"&gt;185.708&lt;/D&gt;&lt;D xsi:type="xsd:double"&gt;184.122&lt;/D&gt;&lt;D xsi:type="xsd:double"&gt;189.072&lt;/D&gt;&lt;D xsi:type="xsd:double"&gt;185.557&lt;/D&gt;&lt;D xsi:type="xsd:double"&gt;184.989&lt;/D&gt;&lt;D xsi:type="xsd:double"&gt;183.617&lt;/D&gt;&lt;D xsi:type="xsd:double"&gt;182.818&lt;/D&gt;&lt;D xsi:type="xsd:double"&gt;178.365&lt;/D&gt;&lt;D xsi:type="xsd:double"&gt;176.429&lt;/D&gt;&lt;D xsi:type="xsd:double"&gt;171.386&lt;/D&gt;&lt;D xsi:type="xsd:double"&gt;172.63&lt;/D&gt;&lt;D xsi:type="xsd:double"&gt;173.856&lt;/D&gt;&lt;D xsi:type="xsd:double"&gt;177.795&lt;/D&gt;&lt;D xsi:type="xsd:double"&gt;178.095&lt;/D&gt;&lt;D xsi:type="xsd:double"&gt;179.695&lt;/D&gt;&lt;D xsi:type="xsd:double"&gt;179.035&lt;/D&gt;&lt;D xsi:type="xsd:double"&gt;181.468&lt;/D&gt;&lt;D xsi:type="xsd:double"&gt;181.416&lt;/D&gt;&lt;D xsi:type="xsd:double"&gt;180.02&lt;/D&gt;&lt;D xsi:type="xsd:double"&gt;178.779&lt;/D&gt;&lt;D xsi:type="xsd:double"&gt;180.253&lt;/D&gt;&lt;D xsi:type="xsd:double"&gt;181.651&lt;/D&gt;&lt;D xsi:type="xsd:double"&gt;184.022&lt;/D&gt;&lt;D xsi:type="xsd:double"&gt;182.514&lt;/D&gt;&lt;D xsi:type="xsd:double"&gt;183.44&lt;/D&gt;&lt;D xsi:type="xsd:double"&gt;185.078&lt;/D&gt;&lt;D xsi:type="xsd:double"&gt;181.684&lt;/D&gt;&lt;D xsi:type="xsd:double"&gt;178.95&lt;/D&gt;&lt;D xsi:type="xsd:double"&gt;179.137&lt;/D&gt;&lt;D xsi:type="xsd:double"&gt;180.944&lt;/D&gt;&lt;D xsi:type="xsd:double"&gt;180.926&lt;/D&gt;&lt;D xsi:type="xsd:double"&gt;180.857&lt;/D&gt;&lt;D xsi:type="xsd:double"&gt;182.537&lt;/D&gt;&lt;D xsi:type="xsd:double"&gt;184.552&lt;/D&gt;&lt;D xsi:type="xsd:double"&gt;184.377&lt;/D&gt;&lt;D xsi:type="xsd:double"&gt;186.706&lt;/D&gt;&lt;D xsi:type="xsd:double"&gt;185.033&lt;/D&gt;&lt;D xsi:type="xsd:double"&gt;183.854&lt;/D&gt;&lt;D xsi:type="xsd:double"&gt;185.578&lt;/D&gt;&lt;D xsi:type="xsd:double"&gt;184.776&lt;/D&gt;&lt;D xsi:type="xsd:double"&gt;183.541&lt;/D&gt;&lt;D xsi:type="xsd:double"&gt;187.549&lt;/D&gt;&lt;D xsi:type="xsd:double"&gt;191.101&lt;/D&gt;&lt;D xsi:type="xsd:double"&gt;189.685&lt;/D&gt;&lt;D xsi:type="xsd:double"&gt;191.807&lt;/D&gt;&lt;D xsi:type="xsd:double"&gt;194.881&lt;/D&gt;&lt;D xsi:type="xsd:double"&gt;197.327&lt;/D&gt;&lt;D xsi:type="xsd:double"&gt;197.925&lt;/D&gt;&lt;D xsi:type="xsd:double"&gt;200.094&lt;/D&gt;&lt;D xsi:type="xsd:double"&gt;198.693&lt;/D&gt;&lt;D xsi:type="xsd:double"&gt;198.537&lt;/D&gt;&lt;D xsi:type="xsd:double"&gt;197.983&lt;/D&gt;&lt;D xsi:type="xsd:double"&gt;195.047&lt;/D&gt;&lt;D xsi:type="xsd:double"&gt;197.931&lt;/D&gt;&lt;D xsi:type="xsd:double"&gt;199.691&lt;/D&gt;&lt;D xsi:type="xsd:double"&gt;196.018&lt;/D&gt;&lt;D xsi:type="xsd:double"&gt;195.275&lt;/D&gt;&lt;D xsi:type="xsd:double"&gt;190.797&lt;/D&gt;&lt;D xsi:type="xsd:double"&gt;190.149&lt;/D&gt;&lt;D xsi:type="xsd:double"&gt;189.017&lt;/D&gt;&lt;D xsi:type="xsd:double"&gt;192.041&lt;/D&gt;&lt;D xsi:type="xsd:double"&gt;192.114&lt;/D&gt;&lt;D xsi:type="xsd:double"&gt;192.399&lt;/D&gt;&lt;D xsi:type="xsd:double"&gt;191.98&lt;/D&gt;&lt;D xsi:type="xsd:double"&gt;189.997&lt;/D&gt;&lt;D xsi:type="xsd:double"&gt;190.842&lt;/D&gt;&lt;D xsi:type="xsd:double"&gt;193.854&lt;/D&gt;&lt;D xsi:type="xsd:double"&gt;194.829&lt;/D&gt;&lt;D xsi:type="xsd:double"&gt;191.218&lt;/D&gt;&lt;D xsi:type="xsd:double"&gt;193.048&lt;/D&gt;&lt;D xsi:type="xsd:double"&gt;193.686&lt;/D&gt;&lt;D xsi:type="xsd:double"&gt;193.182&lt;/D&gt;&lt;D xsi:type="xsd:double"&gt;191.512&lt;/D&gt;&lt;D xsi:type="xsd:double"&gt;195.195&lt;/D&gt;&lt;D xsi:type="xsd:double"&gt;194.296&lt;/D&gt;&lt;D xsi:type="xsd:double"&gt;196.433&lt;/D&gt;&lt;D xsi:type="xsd:double"&gt;197.553&lt;/D&gt;&lt;D xsi:type="xsd:double"&gt;200.263&lt;/D&gt;&lt;D xsi:type="xsd:double"&gt;200.604&lt;/D&gt;&lt;D xsi:type="xsd:double"&gt;199.82&lt;/D&gt;&lt;D xsi:type="xsd:double"&gt;195.65&lt;/D&gt;&lt;D xsi:type="xsd:double"&gt;199.261&lt;/D&gt;&lt;D xsi:type="xsd:double"&gt;199.344&lt;/D&gt;&lt;D xsi:type="xsd:double"&gt;199.46&lt;/D&gt;&lt;D xsi:type="xsd:double"&gt;195.005&lt;/D&gt;&lt;D xsi:type="xsd:double"&gt;193.285&lt;/D&gt;&lt;D xsi:type="xsd:double"&gt;194.042&lt;/D&gt;&lt;D xsi:type="xsd:double"&gt;194.861&lt;/D&gt;&lt;D xsi:type="xsd:double"&gt;193.196&lt;/D&gt;&lt;D xsi:type="xsd:double"&gt;190.005&lt;/D&gt;&lt;D xsi:type="xsd:double"&gt;190.827&lt;/D&gt;&lt;D xsi:type="xsd:double"&gt;189.361&lt;/D&gt;&lt;D xsi:type="xsd:double"&gt;192.706&lt;/D&gt;&lt;D xsi:type="xsd:double"&gt;194.256&lt;/D&gt;&lt;D xsi:type="xsd:double"&gt;197.195&lt;/D&gt;&lt;D xsi:type="xsd:double"&gt;196.82&lt;/D&gt;&lt;D xsi:type="xsd:double"&gt;195.071&lt;/D&gt;&lt;D xsi:type="xsd:double"&gt;192.074&lt;/D&gt;&lt;D xsi:type="xsd:double"&gt;190.489&lt;/D&gt;&lt;D xsi:type="xsd:double"&gt;189.925&lt;/D&gt;&lt;D xsi:type="xsd:double"&gt;187.592&lt;/D&gt;&lt;D xsi:type="xsd:double"&gt;190.857&lt;/D&gt;&lt;D xsi:type="xsd:double"&gt;190.621&lt;/D&gt;&lt;D xsi:type="xsd:double"&gt;188.683&lt;/D&gt;&lt;D xsi:type="xsd:double"&gt;189.223&lt;/D&gt;&lt;D xsi:type="xsd:double"&gt;189.747&lt;/D&gt;&lt;D xsi:type="xsd:double"&gt;191.738&lt;/D&gt;&lt;D xsi:type="xsd:double"&gt;189.851&lt;/D&gt;&lt;D xsi:type="xsd:double"&gt;189.251&lt;/D&gt;&lt;D xsi:type="xsd:double"&gt;185.497&lt;/D&gt;&lt;D xsi:type="xsd:double"&gt;188.692&lt;/D&gt;&lt;D xsi:type="xsd:double"&gt;180.333&lt;/D&gt;&lt;D xsi:type="xsd:double"&gt;179.943&lt;/D&gt;&lt;D xsi:type="xsd:double"&gt;173.467&lt;/D&gt;&lt;D xsi:type="xsd:double"&gt;169.476&lt;/D&gt;&lt;D xsi:type="xsd:double"&gt;172.439&lt;/D&gt;&lt;D xsi:type="xsd:double"&gt;171.851&lt;/D&gt;&lt;D xsi:type="xsd:double"&gt;175.263&lt;/D&gt;&lt;D xsi:type="xsd:double"&gt;178.622&lt;/D&gt;&lt;D xsi:type="xsd:double"&gt;180.494&lt;/D&gt;&lt;D xsi:type="xsd:double"&gt;181.738&lt;/D&gt;&lt;D xsi:type="xsd:double"&gt;177.625&lt;/D&gt;&lt;D xsi:type="xsd:double"&gt;180.959&lt;/D&gt;&lt;D xsi:type="xsd:double"&gt;184.015&lt;/D&gt;&lt;D xsi:type="xsd:double"&gt;179.784&lt;/D&gt;&lt;D xsi:type="xsd:double"&gt;177.008&lt;/D&gt;&lt;D xsi:type="xsd:double"&gt;179.899&lt;/D&gt;&lt;D xsi:type="xsd:double"&gt;183.249&lt;/D&gt;&lt;D xsi:type="xsd:double"&gt;183.641&lt;/D&gt;&lt;D xsi:type="xsd:double"&gt;187.198&lt;/D&gt;&lt;D xsi:type="xsd:double"&gt;189.405&lt;/D&gt;&lt;D xsi:type="xsd:double"&gt;191.596&lt;/D&gt;&lt;D xsi:type="xsd:double"&gt;192.183&lt;/D&gt;&lt;D xsi:type="xsd:double"&gt;193.351&lt;/D&gt;&lt;D xsi:type="xsd:double"&gt;197.729&lt;/D&gt;&lt;D xsi:type="xsd:double"&gt;196.686&lt;/D&gt;&lt;D xsi:type="xsd:double"&gt;194.85&lt;/D&gt;&lt;D xsi:type="xsd:double"&gt;194.386&lt;/D&gt;&lt;D xsi:type="xsd:double"&gt;191.596&lt;/D&gt;&lt;D xsi:type="xsd:double"&gt;193.487&lt;/D&gt;&lt;D xsi:type="xsd:double"&gt;192.151&lt;/D&gt;&lt;D xsi:type="xsd:double"&gt;199.846&lt;/D&gt;&lt;D xsi:type="xsd:double"&gt;199.729&lt;/D&gt;&lt;D xsi:type="xsd:double"&gt;200.866&lt;/D&gt;&lt;D xsi:type="xsd:double"&gt;205.414&lt;/D&gt;&lt;D xsi:type="xsd:double"&gt;205.748&lt;/D&gt;&lt;D xsi:type="xsd:double"&gt;204.976&lt;/D&gt;&lt;D xsi:type="xsd:double"&gt;208.426&lt;/D&gt;&lt;D xsi:type="xsd:double"&gt;205.961&lt;/D&gt;&lt;D xsi:type="xsd:double"&gt;203.539&lt;/D&gt;&lt;D xsi:type="xsd:double"&gt;205.962&lt;/D&gt;&lt;D xsi:type="xsd:double"&gt;202.622&lt;/D&gt;&lt;D xsi:type="xsd:double"&gt;202.218&lt;/D&gt;&lt;D xsi:type="xsd:double"&gt;199.513&lt;/D&gt;&lt;D xsi:type="xsd:double"&gt;195.787&lt;/D&gt;&lt;D xsi:type="xsd:double"&gt;197.698&lt;/D&gt;&lt;D xsi:type="xsd:double"&gt;199.428&lt;/D&gt;&lt;D xsi:type="xsd:double"&gt;197.551&lt;/D&gt;&lt;D xsi:type="xsd:double"&gt;192.066&lt;/D&gt;&lt;D xsi:type="xsd:double"&gt;189.339&lt;/D&gt;&lt;D xsi:type="xsd:double"&gt;186.103&lt;/D&gt;&lt;D xsi:type="xsd:double"&gt;191.653&lt;/D&gt;&lt;D xsi:type="xsd:double"&gt;194.063&lt;/D&gt;&lt;D xsi:type="xsd:double"&gt;199.729&lt;/D&gt;&lt;D xsi:type="xsd:double"&gt;198.942&lt;/D&gt;&lt;D xsi:type="xsd:double"&gt;197.519&lt;/D&gt;&lt;D xsi:type="xsd:double"&gt;189.312&lt;/D&gt;&lt;D xsi:type="xsd:double"&gt;188.701&lt;/D&gt;&lt;D xsi:type="xsd:double"&gt;187.337&lt;/D&gt;&lt;D xsi:type="xsd:double"&gt;183.046&lt;/D&gt;&lt;D xsi:type="xsd:double"&gt;187.739&lt;/D&gt;&lt;D xsi:type="xsd:double"&gt;194.767&lt;/D&gt;&lt;D xsi:type="xsd:double"&gt;201.6&lt;/D&gt;&lt;D xsi:type="xsd:double"&gt;203.328&lt;/D&gt;&lt;D xsi:type="xsd:double"&gt;200.961&lt;/D&gt;&lt;D xsi:type="xsd:double"&gt;203.044&lt;/D&gt;&lt;D xsi:type="xsd:double"&gt;205.871&lt;/D&gt;&lt;D xsi:type="xsd:double"&gt;206.171&lt;/D&gt;&lt;D xsi:type="xsd:double"&gt;207.93&lt;/D&gt;&lt;D xsi:type="xsd:double"&gt;214.347&lt;/D&gt;&lt;D xsi:type="xsd:double"&gt;217.079&lt;/D&gt;&lt;D xsi:type="xsd:double"&gt;217.773&lt;/D&gt;&lt;D xsi:type="xsd:double"&gt;210.171&lt;/D&gt;&lt;D xsi:type="xsd:double"&gt;211.181&lt;/D&gt;&lt;D xsi:type="xsd:double"&gt;215.682&lt;/D&gt;&lt;D xsi:type="xsd:double"&gt;218.252&lt;/D&gt;&lt;D xsi:type="xsd:double"&gt;215.33&lt;/D&gt;&lt;D xsi:type="xsd:double"&gt;212.633&lt;/D&gt;&lt;D xsi:type="xsd:double"&gt;213.818&lt;/D&gt;&lt;D xsi:type="xsd:double"&gt;214.908&lt;/D&gt;&lt;D xsi:type="xsd:double"&gt;215.377&lt;/D&gt;&lt;D xsi:type="xsd:double"&gt;217.593&lt;/D&gt;&lt;D xsi:type="xsd:double"&gt;219.906&lt;/D&gt;&lt;D xsi:type="xsd:double"&gt;223.237&lt;/D&gt;&lt;D xsi:type="xsd:double"&gt;222.819&lt;/D&gt;&lt;D xsi:type="xsd:double"&gt;218.186&lt;/D&gt;&lt;D xsi:type="xsd:double"&gt;220.364&lt;/D&gt;&lt;D xsi:type="xsd:double"&gt;222.674&lt;/D&gt;&lt;D xsi:type="xsd:double"&gt;223.166&lt;/D&gt;&lt;D xsi:type="xsd:double"&gt;224.983&lt;/D&gt;&lt;D xsi:type="xsd:double"&gt;224.626&lt;/D&gt;&lt;D xsi:type="xsd:double"&gt;226.066&lt;/D&gt;&lt;D xsi:type="xsd:double"&gt;228.464&lt;/D&gt;&lt;D xsi:type="xsd:double"&gt;228.471&lt;/D&gt;&lt;D xsi:type="xsd:double"&gt;229.634&lt;/D&gt;&lt;D xsi:type="xsd:double"&gt;232.824&lt;/D&gt;&lt;D xsi:type="xsd:double"&gt;232.829&lt;/D&gt;&lt;D xsi:type="xsd:double"&gt;233.66&lt;/D&gt;&lt;D xsi:type="xsd:double"&gt;234.703&lt;/D&gt;&lt;D xsi:type="xsd:double"&gt;236.028&lt;/D&gt;&lt;D xsi:type="xsd:double"&gt;237.206&lt;/D&gt;&lt;D xsi:type="xsd:double"&gt;236.337&lt;/D&gt;&lt;D xsi:type="xsd:double"&gt;235.666&lt;/D&gt;&lt;D xsi:type="xsd:double"&gt;237.435&lt;/D&gt;&lt;D xsi:type="xsd:double"&gt;239.482&lt;/D&gt;&lt;D xsi:type="xsd:double"&gt;237.474&lt;/D&gt;&lt;D xsi:type="xsd:double"&gt;236.41&lt;/D&gt;&lt;D xsi:type="xsd:double"&gt;235.592&lt;/D&gt;&lt;D xsi:type="xsd:double"&gt;232.888&lt;/D&gt;&lt;D xsi:type="xsd:double"&gt;230.351&lt;/D&gt;&lt;D xsi:type="xsd:double"&gt;232.873&lt;/D&gt;&lt;D xsi:type="xsd:double"&gt;234.93&lt;/D&gt;&lt;D xsi:type="xsd:double"&gt;228.753&lt;/D&gt;&lt;D xsi:type="xsd:double"&gt;230.477&lt;/D&gt;&lt;D xsi:type="xsd:double"&gt;233.211&lt;/D&gt;&lt;D xsi:type="xsd:double"&gt;234.107&lt;/D&gt;&lt;D xsi:type="xsd:double"&gt;234.718&lt;/D&gt;&lt;D xsi:type="xsd:double"&gt;233.131&lt;/D&gt;&lt;D xsi:type="xsd:double"&gt;231.563&lt;/D&gt;&lt;D xsi:type="xsd:double"&gt;233.153&lt;/D&gt;&lt;D xsi:type="xsd:double"&gt;235.437&lt;/D&gt;&lt;D xsi:type="xsd:double"&gt;235.746&lt;/D&gt;&lt;D xsi:type="xsd:double"&gt;236.711&lt;/D&gt;&lt;D xsi:type="xsd:double"&gt;237.768&lt;/D&gt;&lt;D xsi:type="xsd:double"&gt;240.036&lt;/D&gt;&lt;D xsi:type="xsd:double"&gt;240.109&lt;/D&gt;&lt;D xsi:type="xsd:double"&gt;240.313&lt;/D&gt;&lt;D xsi:type="xsd:double"&gt;239.532&lt;/D&gt;&lt;D xsi:type="xsd:double"&gt;234.869&lt;/D&gt;&lt;D xsi:type="xsd:double"&gt;234.941&lt;/D&gt;&lt;D xsi:type="xsd:double"&gt;234.274&lt;/D&gt;&lt;D xsi:type="xsd:double"&gt;238.479&lt;/D&gt;&lt;D xsi:type="xsd:double"&gt;236.132&lt;/D&gt;&lt;D xsi:type="xsd:double"&gt;237.197&lt;/D&gt;&lt;D xsi:type="xsd:double"&gt;238.376&lt;/D&gt;&lt;D xsi:type="xsd:double"&gt;238.92&lt;/D&gt;&lt;D xsi:type="xsd:double"&gt;239.254&lt;/D&gt;&lt;D xsi:type="xsd:double"&gt;240.364&lt;/D&gt;&lt;D xsi:type="xsd:double"&gt;241.466&lt;/D&gt;&lt;D xsi:type="xsd:double"&gt;241.613&lt;/D&gt;&lt;D xsi:type="xsd:double"&gt;240.315&lt;/D&gt;&lt;D xsi:type="xsd:double"&gt;239.52&lt;/D&gt;&lt;D xsi:type="xsd:double"&gt;238.88&lt;/D&gt;&lt;D xsi:type="xsd:double"&gt;241.758&lt;/D&gt;&lt;D xsi:type="xsd:double"&gt;242.63&lt;/D&gt;&lt;D xsi:type="xsd:double"&gt;242.921&lt;/D&gt;&lt;D xsi:type="xsd:double"&gt;245.886&lt;/D&gt;&lt;D xsi:type="xsd:double"&gt;244.581&lt;/D&gt;&lt;D xsi:type="xsd:double"&gt;244.845&lt;/D&gt;&lt;D xsi:type="xsd:double"&gt;242.504&lt;/D&gt;&lt;D xsi:type="xsd:double"&gt;241.775&lt;/D&gt;&lt;D xsi:type="xsd:double"&gt;243.514&lt;/D&gt;&lt;D xsi:type="xsd:double"&gt;245.347&lt;/D&gt;&lt;D xsi:type="xsd:double"&gt;244.861&lt;/D&gt;&lt;D xsi:type="xsd:double"&gt;244.045&lt;/D&gt;&lt;D xsi:type="xsd:double"&gt;242.787&lt;/D&gt;&lt;D xsi:type="xsd:double"&gt;240.13&lt;/D&gt;&lt;D xsi:type="xsd:double"&gt;241.283&lt;/D&gt;&lt;D xsi:type="xsd:double"&gt;235.455&lt;/D&gt;&lt;D xsi:type="xsd:double"&gt;231.208&lt;/D&gt;&lt;D xsi:type="xsd:double"&gt;231.439&lt;/D&gt;&lt;D xsi:type="xsd:double"&gt;230.128&lt;/D&gt;&lt;D xsi:type="xsd:double"&gt;229.953&lt;/D&gt;&lt;D xsi:type="xsd:double"&gt;227.246&lt;/D&gt;&lt;D xsi:type="xsd:double"&gt;226.396&lt;/D&gt;&lt;D xsi:type="xsd:double"&gt;227.248&lt;/D&gt;&lt;D xsi:type="xsd:double"&gt;226.464&lt;/D&gt;&lt;D xsi:type="xsd:double"&gt;231.082&lt;/D&gt;&lt;D xsi:type="xsd:double"&gt;233.058&lt;/D&gt;&lt;D xsi:type="xsd:double"&gt;232.256&lt;/D&gt;&lt;D xsi:type="xsd:double"&gt;230.593&lt;/D&gt;&lt;D xsi:type="xsd:double"&gt;230.786&lt;/D&gt;&lt;D xsi:type="xsd:double"&gt;227.831&lt;/D&gt;&lt;D xsi:type="xsd:double"&gt;225.579&lt;/D&gt;&lt;D xsi:type="xsd:double"&gt;225.153&lt;/D&gt;&lt;D xsi:type="xsd:double"&gt;226.537&lt;/D&gt;&lt;D xsi:type="xsd:double"</t>
        </r>
      </text>
    </comment>
    <comment ref="A37" authorId="0" shapeId="0">
      <text>
        <r>
          <rPr>
            <b/>
            <sz val="9"/>
            <color indexed="81"/>
            <rFont val="Tahoma"/>
            <family val="2"/>
          </rPr>
          <t>&gt;228.346&lt;/D&gt;&lt;D xsi:type="xsd:double"&gt;232.097&lt;/D&gt;&lt;D xsi:type="xsd:double"&gt;233.258&lt;/D&gt;&lt;D xsi:type="xsd:double"&gt;230.258&lt;/D&gt;&lt;D xsi:type="xsd:double"&gt;230.228&lt;/D&gt;&lt;D xsi:type="xsd:double"&gt;235.202&lt;/D&gt;&lt;D xsi:type="xsd:double"&gt;234.591&lt;/D&gt;&lt;D xsi:type="xsd:double"&gt;235.432&lt;/D&gt;&lt;D xsi:type="xsd:double"&gt;234.295&lt;/D&gt;&lt;D xsi:type="xsd:double"&gt;232.893&lt;/D&gt;&lt;D xsi:type="xsd:double"&gt;234.778&lt;/D&gt;&lt;D xsi:type="xsd:double"&gt;235.984&lt;/D&gt;&lt;D xsi:type="xsd:double"&gt;234.104&lt;/D&gt;&lt;D xsi:type="xsd:double"&gt;237.612&lt;/D&gt;&lt;D xsi:type="xsd:double"&gt;236.792&lt;/D&gt;&lt;D xsi:type="xsd:double"&gt;238.823&lt;/D&gt;&lt;D xsi:type="xsd:double"&gt;240.036&lt;/D&gt;&lt;D xsi:type="xsd:double"&gt;240.796&lt;/D&gt;&lt;D xsi:type="xsd:double"&gt;241.734&lt;/D&gt;&lt;D xsi:type="xsd:double"&gt;243.607&lt;/D&gt;&lt;D xsi:type="xsd:double"&gt;245.1&lt;/D&gt;&lt;D xsi:type="xsd:double"&gt;243.568&lt;/D&gt;&lt;D xsi:type="xsd:double"&gt;240.963&lt;/D&gt;&lt;D xsi:type="xsd:double"&gt;240.033&lt;/D&gt;&lt;D xsi:type="xsd:double"&gt;240.98&lt;/D&gt;&lt;D xsi:type="xsd:double"&gt;239.92&lt;/D&gt;&lt;D xsi:type="xsd:double"&gt;237.099&lt;/D&gt;&lt;D xsi:type="xsd:double"&gt;236.602&lt;/D&gt;&lt;D xsi:type="xsd:double"&gt;237.1&lt;/D&gt;&lt;D xsi:type="xsd:double"&gt;236.554&lt;/D&gt;&lt;D xsi:type="xsd:double"&gt;238.026&lt;/D&gt;&lt;D xsi:type="xsd:double"&gt;238.005&lt;/D&gt;&lt;D xsi:type="xsd:double"&gt;237.065&lt;/D&gt;&lt;D xsi:type="xsd:double"&gt;234.356&lt;/D&gt;&lt;D xsi:type="xsd:double"&gt;234.482&lt;/D&gt;&lt;D xsi:type="xsd:double"&gt;238.305&lt;/D&gt;&lt;D xsi:type="xsd:double"&gt;237.751&lt;/D&gt;&lt;D xsi:type="xsd:double"&gt;238.328&lt;/D&gt;&lt;D xsi:type="xsd:double"&gt;242.357&lt;/D&gt;&lt;D xsi:type="xsd:double"&gt;244.391&lt;/D&gt;&lt;D xsi:type="xsd:double"&gt;243.898&lt;/D&gt;&lt;D xsi:type="xsd:double"&gt;238.404&lt;/D&gt;&lt;D xsi:type="xsd:double"&gt;235.694&lt;/D&gt;&lt;D xsi:type="xsd:double"&gt;238&lt;/D&gt;&lt;D xsi:type="xsd:double"&gt;236.767&lt;/D&gt;&lt;D xsi:type="xsd:double"&gt;235.603&lt;/D&gt;&lt;D xsi:type="xsd:double"&gt;239.167&lt;/D&gt;&lt;D xsi:type="xsd:double"&gt;240.756&lt;/D&gt;&lt;D xsi:type="xsd:double"&gt;239.167&lt;/D&gt;&lt;D xsi:type="xsd:double"&gt;237.403&lt;/D&gt;&lt;D xsi:type="xsd:double"&gt;238.668&lt;/D&gt;&lt;D xsi:type="xsd:double"&gt;240.38&lt;/D&gt;&lt;D xsi:type="xsd:double"&gt;238.119&lt;/D&gt;&lt;D xsi:type="xsd:double"&gt;237.669&lt;/D&gt;&lt;D xsi:type="xsd:double"&gt;236.823&lt;/D&gt;&lt;D xsi:type="xsd:double"&gt;236.071&lt;/D&gt;&lt;D xsi:type="xsd:double"&gt;232.844&lt;/D&gt;&lt;D xsi:type="xsd:double"&gt;234.785&lt;/D&gt;&lt;D xsi:type="xsd:double"&gt;235.285&lt;/D&gt;&lt;D xsi:type="xsd:double"&gt;233.586&lt;/D&gt;&lt;D xsi:type="xsd:double"&gt;233.868&lt;/D&gt;&lt;D xsi:type="xsd:double"&gt;231.59&lt;/D&gt;&lt;D xsi:type="xsd:double"&gt;228.591&lt;/D&gt;&lt;D xsi:type="xsd:double"&gt;228.184&lt;/D&gt;&lt;D xsi:type="xsd:double"&gt;224.482&lt;/D&gt;&lt;D xsi:type="xsd:double"&gt;224.425&lt;/D&gt;&lt;D xsi:type="xsd:double"&gt;228.239&lt;/D&gt;&lt;D xsi:type="xsd:double"&gt;232.195&lt;/D&gt;&lt;D xsi:type="xsd:double"&gt;230.652&lt;/D&gt;&lt;D xsi:type="xsd:double"&gt;229.934&lt;/D&gt;&lt;D xsi:type="xsd:double"&gt;229.362&lt;/D&gt;&lt;D xsi:type="xsd:double"&gt;228.117&lt;/D&gt;&lt;D xsi:type="xsd:double"&gt;225.739&lt;/D&gt;&lt;D xsi:type="xsd:double"&gt;226.593&lt;/D&gt;&lt;D xsi:type="xsd:double"&gt;229.459&lt;/D&gt;&lt;D xsi:type="xsd:double"&gt;230.022&lt;/D&gt;&lt;D xsi:type="xsd:double"&gt;228.274&lt;/D&gt;&lt;D xsi:type="xsd:double"&gt;229.945&lt;/D&gt;&lt;D xsi:type="xsd:double"&gt;230.217&lt;/D&gt;&lt;D xsi:type="xsd:double"&gt;227.267&lt;/D&gt;&lt;D xsi:type="xsd:double"&gt;223.648&lt;/D&gt;&lt;D xsi:type="xsd:double"&gt;224.919&lt;/D&gt;&lt;D xsi:type="xsd:double"&gt;226.016&lt;/D&gt;&lt;D xsi:type="xsd:double"&gt;225.721&lt;/D&gt;&lt;D xsi:type="xsd:double"&gt;223.533&lt;/D&gt;&lt;D xsi:type="xsd:double"&gt;221.261&lt;/D&gt;&lt;D xsi:type="xsd:double"&gt;219&lt;/D&gt;&lt;D xsi:type="xsd:double"&gt;219.961&lt;/D&gt;&lt;D xsi:type="xsd:double"&gt;215.388&lt;/D&gt;&lt;D xsi:type="xsd:double"&gt;213.594&lt;/D&gt;&lt;D xsi:type="xsd:double"&gt;213.717&lt;/D&gt;&lt;D xsi:type="xsd:double"&gt;211.383&lt;/D&gt;&lt;D xsi:type="xsd:double"&gt;204.006&lt;/D&gt;&lt;D xsi:type="xsd:double"&gt;209.457&lt;/D&gt;&lt;D xsi:type="xsd:double"&gt;216.139&lt;/D&gt;&lt;D xsi:type="xsd:double"&gt;218.198&lt;/D&gt;&lt;D xsi:type="xsd:double"&gt;219.041&lt;/D&gt;&lt;D xsi:type="xsd:double"&gt;230.967&lt;/D&gt;&lt;D xsi:type="xsd:double"&gt;231.826&lt;/D&gt;&lt;D xsi:type="xsd:double"&gt;235.077&lt;/D&gt;&lt;D xsi:type="xsd:double"&gt;239.578&lt;/D&gt;&lt;D xsi:type="xsd:double"&gt;241.409&lt;/D&gt;&lt;D xsi:type="xsd:double"&gt;242.414&lt;/D&gt;&lt;D xsi:type="xsd:double"&gt;242.011&lt;/D&gt;&lt;D xsi:type="xsd:double"&gt;246.294&lt;/D&gt;&lt;D xsi:type="xsd:double"&gt;248.228&lt;/D&gt;&lt;D xsi:type="xsd:double"&gt;251.324&lt;/D&gt;&lt;D xsi:type="xsd:double"&gt;251.769&lt;/D&gt;&lt;D xsi:type="xsd:double"&gt;248.142&lt;/D&gt;&lt;D xsi:type="xsd:double"&gt;249.328&lt;/D&gt;&lt;D xsi:type="xsd:double"&gt;247.773&lt;/D&gt;&lt;D xsi:type="xsd:double"&gt;248.272&lt;/D&gt;&lt;D xsi:type="xsd:double"&gt;248.106&lt;/D&gt;&lt;D xsi:type="xsd:double"&gt;251.542&lt;/D&gt;&lt;D xsi:type="xsd:double"&gt;252.31&lt;/D&gt;&lt;D xsi:type="xsd:double"&gt;252.37&lt;/D&gt;&lt;D xsi:type="xsd:double"&gt;251.21&lt;/D&gt;&lt;D xsi:type="xsd:double"&gt;250.973&lt;/D&gt;&lt;D xsi:type="xsd:double"&gt;250.097&lt;/D&gt;&lt;D xsi:type="xsd:double"&gt;251.409&lt;/D&gt;&lt;D xsi:type="xsd:double"&gt;254.765&lt;/D&gt;&lt;D xsi:type="xsd:double"&gt;254.301&lt;/D&gt;&lt;D xsi:type="xsd:double"&gt;256.375&lt;/D&gt;&lt;D xsi:type="xsd:double"&gt;257.77&lt;/D&gt;&lt;D xsi:type="xsd:double"&gt;255.973&lt;/D&gt;&lt;D xsi:type="xsd:double"&gt;254.542&lt;/D&gt;&lt;D xsi:type="xsd:double"&gt;252.355&lt;/D&gt;&lt;D xsi:type="xsd:double"&gt;251.953&lt;/D&gt;&lt;D xsi:type="xsd:double"&gt;250.679&lt;/D&gt;&lt;D xsi:type="xsd:double"&gt;249.063&lt;/D&gt;&lt;D xsi:type="xsd:double"&gt;247.377&lt;/D&gt;&lt;D xsi:type="xsd:double"&gt;249.798&lt;/D&gt;&lt;D xsi:type="xsd:double"&gt;252.972&lt;/D&gt;&lt;D xsi:type="xsd:double"&gt;253.78&lt;/D&gt;&lt;D xsi:type="xsd:double"&gt;251.901&lt;/D&gt;&lt;D xsi:type="xsd:double"&gt;252.388&lt;/D&gt;&lt;D xsi:type="xsd:double"&gt;252.316&lt;/D&gt;&lt;D xsi:type="xsd:double"&gt;253.924&lt;/D&gt;&lt;D xsi:type="xsd:double"&gt;253.017&lt;/D&gt;&lt;D xsi:type="xsd:double"&gt;249.087&lt;/D&gt;&lt;D xsi:type="xsd:double"&gt;250.275&lt;/D&gt;&lt;D xsi:type="xsd:double"&gt;251.789&lt;/D&gt;&lt;D xsi:type="xsd:double"&gt;250.667&lt;/D&gt;&lt;D xsi:type="xsd:double"&gt;255.619&lt;/D&gt;&lt;D xsi:type="xsd:double"&gt;260.081&lt;/D&gt;&lt;D xsi:type="xsd:double"&gt;261.275&lt;/D&gt;&lt;D xsi:type="xsd:double"&gt;258.844&lt;/D&gt;&lt;D xsi:type="xsd:double"&gt;257.811&lt;/D&gt;&lt;D xsi:type="xsd:double"&gt;256.484&lt;/D&gt;&lt;D xsi:type="xsd:double"&gt;257.413&lt;/D&gt;&lt;D xsi:type="xsd:double"&gt;258.906&lt;/D&gt;&lt;D xsi:type="xsd:double"&gt;259.428&lt;/D&gt;&lt;D xsi:type="xsd:double"&gt;260.081&lt;/D&gt;&lt;D xsi:type="xsd:double"&gt;257.996&lt;/D&gt;&lt;D xsi:type="xsd:double"&gt;257.47&lt;/D&gt;&lt;D xsi:type="xsd:double"&gt;257.178&lt;/D&gt;&lt;D xsi:type="xsd:double"&gt;259.147&lt;/D&gt;&lt;D xsi:type="xsd:double"&gt;260.729&lt;/D&gt;&lt;D xsi:type="xsd:double"&gt;263.403&lt;/D&gt;&lt;D xsi:type="xsd:double"&gt;264.056&lt;/D&gt;&lt;D xsi:type="xsd:double"&gt;265.658&lt;/D&gt;&lt;D xsi:type="xsd:double"&gt;268.531&lt;/D&gt;&lt;D xsi:type="xsd:double"&gt;270.035&lt;/D&gt;&lt;D xsi:type="xsd:double"&gt;269.021&lt;/D&gt;&lt;D xsi:type="xsd:double"&gt;271.103&lt;/D&gt;&lt;D xsi:type="xsd:double"&gt;268.862&lt;/D&gt;&lt;D xsi:type="xsd:double"&gt;267.679&lt;/D&gt;&lt;D xsi:type="xsd:double"&gt;267.374&lt;/D&gt;&lt;D xsi:type="xsd:double"&gt;267.282&lt;/D&gt;&lt;D xsi:type="xsd:double"&gt;271.01&lt;/D&gt;&lt;D xsi:type="xsd:double"&gt;272.708&lt;/D&gt;&lt;D xsi:type="xsd:double"&gt;275.148&lt;/D&gt;&lt;D xsi:type="xsd:double"&gt;275.044&lt;/D&gt;&lt;D xsi:type="xsd:double"&gt;277.876&lt;/D&gt;&lt;D xsi:type="xsd:double"&gt;278.288&lt;/D&gt;&lt;D xsi:type="xsd:double"&gt;275.382&lt;/D&gt;&lt;D xsi:type="xsd:double"&gt;275.239&lt;/D&gt;&lt;D xsi:type="xsd:double"&gt;273.324&lt;/D&gt;&lt;D xsi:type="xsd:double"&gt;269.381&lt;/D&gt;&lt;D xsi:type="xsd:double"&gt;267.989&lt;/D&gt;&lt;D xsi:type="xsd:double"&gt;269.887&lt;/D&gt;&lt;D xsi:type="xsd:double"&gt;271.987&lt;/D&gt;&lt;D xsi:type="xsd:double"&gt;270.895&lt;/D&gt;&lt;D xsi:type="xsd:double"&gt;272.503&lt;/D&gt;&lt;D xsi:type="xsd:double"&gt;274.136&lt;/D&gt;&lt;D xsi:type="xsd:double"&gt;274.027&lt;/D&gt;&lt;D xsi:type="xsd:double"&gt;271.503&lt;/D&gt;&lt;D xsi:type="xsd:double"&gt;274.78&lt;/D&gt;&lt;D xsi:type="xsd:double"&gt;274.474&lt;/D&gt;&lt;D xsi:type="xsd:double"&gt;271.089&lt;/D&gt;&lt;D xsi:type="xsd:double"&gt;270.865&lt;/D&gt;&lt;D xsi:type="xsd:double"&gt;268.664&lt;/D&gt;&lt;D xsi:type="xsd:double"&gt;266.674&lt;/D&gt;&lt;D xsi:type="xsd:double"&gt;264.079&lt;/D&gt;&lt;D xsi:type="xsd:double"&gt;265.899&lt;/D&gt;&lt;D xsi:type="xsd:double"&gt;269.021&lt;/D&gt;&lt;D xsi:type="xsd:double"&gt;270.255&lt;/D&gt;&lt;D xsi:type="xsd:double"&gt;266.369&lt;/D&gt;&lt;D xsi:type="xsd:double"&gt;258.542&lt;/D&gt;&lt;D xsi:type="xsd:double"&gt;257.74&lt;/D&gt;&lt;D xsi:type="xsd:double"&gt;259.261&lt;/D&gt;&lt;D xsi:type="xsd:double"&gt;256.205&lt;/D&gt;&lt;D xsi:type="xsd:double"&gt;255.98&lt;/D&gt;&lt;D xsi:type="xsd:double"&gt;251.952&lt;/D&gt;&lt;D xsi:type="xsd:double"&gt;250.915&lt;/D&gt;&lt;D xsi:type="xsd:double"&gt;252.948&lt;/D&gt;&lt;D xsi:type="xsd:double"&gt;245.693&lt;/D&gt;&lt;D xsi:type="xsd:double"&gt;244.31&lt;/D&gt;&lt;D xsi:type="xsd:double"&gt;250.473&lt;/D&gt;&lt;D xsi:type="xsd:double"&gt;253.117&lt;/D&gt;&lt;D xsi:type="xsd:double"&gt;251.771&lt;/D&gt;&lt;D xsi:type="xsd:double"&gt;254.319&lt;/D&gt;&lt;D xsi:type="xsd:double"&gt;259.083&lt;/D&gt;&lt;D xsi:type="xsd:double"&gt;254.08&lt;/D&gt;&lt;D xsi:type="xsd:double"&gt;248.415&lt;/D&gt;&lt;D xsi:type="xsd:double"&gt;242.675&lt;/D&gt;&lt;D xsi:type="xsd:double"&gt;248.623&lt;/D&gt;&lt;D xsi:type="xsd:double"&gt;251.48&lt;/D&gt;&lt;D xsi:type="xsd:double"&gt;253.155&lt;/D&gt;&lt;D xsi:type="xsd:double"&gt;251.274&lt;/D&gt;&lt;D xsi:type="xsd:double"&gt;256.944&lt;/D&gt;&lt;D xsi:type="xsd:double"&gt;254.912&lt;/D&gt;&lt;D xsi:type="xsd:double"&gt;260.614&lt;/D&gt;&lt;D xsi:type="xsd:double"&gt;261.256&lt;/D&gt;&lt;D xsi:type="xsd:double"&gt;270.923&lt;/D&gt;&lt;D xsi:type="xsd:double"&gt;275.43&lt;/D&gt;&lt;D xsi:type="xsd:double"&gt;275.18&lt;/D&gt;&lt;D xsi:type="xsd:double"&gt;274.482&lt;/D&gt;&lt;D xsi:type="xsd:double"&gt;271.293&lt;/D&gt;&lt;D xsi:type="xsd:double"&gt;270.023&lt;/D&gt;&lt;D xsi:type="xsd:double"&gt;271.74&lt;/D&gt;&lt;D xsi:type="xsd:double"&gt;271.968&lt;/D&gt;&lt;D xsi:type="xsd:double"&gt;274.542&lt;/D&gt;&lt;D xsi:type="xsd:double"&gt;274.826&lt;/D&gt;&lt;D xsi:type="xsd:double"&gt;271.233&lt;/D&gt;&lt;D xsi:type="xsd:double"&gt;273.155&lt;/D&gt;&lt;D xsi:type="xsd:double"&gt;274.331&lt;/D&gt;&lt;D xsi:type="xsd:double"&gt;278.256&lt;/D&gt;&lt;D xsi:type="xsd:double"&gt;282.429&lt;/D&gt;&lt;D xsi:type="xsd:double"&gt;286.178&lt;/D&gt;&lt;D xsi:type="xsd:double"&gt;284.926&lt;/D&gt;&lt;D xsi:type="xsd:double"&gt;286.646&lt;/D&gt;&lt;D xsi:type="xsd:double"&gt;288.636&lt;/D&gt;&lt;D xsi:type="xsd:double"&gt;285.609&lt;/D&gt;&lt;D xsi:type="xsd:double"&gt;288.595&lt;/D&gt;&lt;D xsi:type="xsd:double"&gt;291.036&lt;/D&gt;&lt;D xsi:type="xsd:double"&gt;293.76&lt;/D&gt;&lt;D xsi:type="xsd:double"&gt;294.257&lt;/D&gt;&lt;D xsi:type="xsd:double"&gt;293.95&lt;/D&gt;&lt;D xsi:type="xsd:double"&gt;298.33&lt;/D&gt;&lt;D xsi:type="xsd:double"&gt;297.271&lt;/D&gt;&lt;D xsi:type="xsd:double"&gt;296.868&lt;/D&gt;&lt;D xsi:type="xsd:double"&gt;295.103&lt;/D&gt;&lt;D xsi:type="xsd:double"&gt;294.123&lt;/D&gt;&lt;D xsi:type="xsd:double"&gt;294.635&lt;/D&gt;&lt;D xsi:type="xsd:double"&gt;295.189&lt;/D&gt;&lt;D xsi:type="xsd:double"&gt;295.618&lt;/D&gt;&lt;D xsi:type="xsd:double"&gt;293.644&lt;/D&gt;&lt;D xsi:type="xsd:double"&gt;293.599&lt;/D&gt;&lt;D xsi:type="xsd:double"&gt;294.285&lt;/D&gt;&lt;D xsi:type="xsd:double"&gt;290.846&lt;/D&gt;&lt;D xsi:type="xsd:double"&gt;289.089&lt;/D&gt;&lt;D xsi:type="xsd:double"&gt;288.871&lt;/D&gt;&lt;D xsi:type="xsd:double"&gt;289.013&lt;/D&gt;&lt;D xsi:type="xsd:double"&gt;286.549&lt;/D&gt;&lt;D xsi:type="xsd:double"&gt;286.175&lt;/D&gt;&lt;D xsi:type="xsd:double"&gt;287.493&lt;/D&gt;&lt;D xsi:type="xsd:double"&gt;288.542&lt;/D&gt;&lt;D xsi:type="xsd:double"&gt;292.035&lt;/D&gt;&lt;D xsi:type="xsd:double"&gt;291.595&lt;/D&gt;&lt;D xsi:type="xsd:double"&gt;285.721&lt;/D&gt;&lt;D xsi:type="xsd:double"&gt;290.113&lt;/D&gt;&lt;D xsi:type="xsd:double"&gt;290.268&lt;/D&gt;&lt;D xsi:type="xsd:double"&gt;289.473&lt;/D&gt;&lt;D xsi:type="xsd:double"&gt;286.68&lt;/D&gt;&lt;D xsi:type="xsd:double"&gt;284.725&lt;/D&gt;&lt;D xsi:type="xsd:double"&gt;280.417&lt;/D&gt;&lt;D xsi:type="xsd:double"&gt;280.336&lt;/D&gt;&lt;D xsi:type="xsd:double"&gt;287.282&lt;/D&gt;&lt;D xsi:type="xsd:double"&gt;289.48&lt;/D&gt;&lt;D xsi:type="xsd:double"&gt;288.218&lt;/D&gt;&lt;D xsi:type="xsd:double"&gt;293.356&lt;/D&gt;&lt;D xsi:type="xsd:double"&gt;296.163&lt;/D&gt;&lt;D xsi:type="xsd:double"&gt;298.03&lt;/D&gt;&lt;D xsi:type="xsd:double"&gt;299.432&lt;/D&gt;&lt;D xsi:type="xsd:double"&gt;296.187&lt;/D&gt;&lt;D xsi:type="xsd:double"&gt;292.619&lt;/D&gt;&lt;D xsi:type="xsd:double"&gt;293.963&lt;/D&gt;&lt;D xsi:type="xsd:double"&gt;296.394&lt;/D&gt;&lt;D xsi:type="xsd:double"&gt;288.724&lt;/D&gt;&lt;D xsi:type="xsd:double"&gt;287.498&lt;/D&gt;&lt;D xsi:type="xsd:double"&gt;285.682&lt;/D&gt;&lt;D xsi:type="xsd:double"&gt;289.477&lt;/D&gt;&lt;D xsi:type="xsd:double"&gt;289.454&lt;/D&gt;&lt;D xsi:type="xsd:double"&gt;291.949&lt;/D&gt;&lt;D xsi:type="xsd:double"&gt;288.862&lt;/D&gt;&lt;D xsi:type="xsd:double"&gt;285.223&lt;/D&gt;&lt;D xsi:type="xsd:double"&gt;290.838&lt;/D&gt;&lt;D xsi:type="xsd:double"&gt;290.787&lt;/D&gt;&lt;D xsi:type="xsd:double"&gt;296.083&lt;/D&gt;&lt;D xsi:type="xsd:double"&gt;297.215&lt;/D&gt;&lt;D xsi:type="xsd:double"&gt;300.953&lt;/D&gt;&lt;D xsi:type="xsd:double"&gt;299.669&lt;/D&gt;&lt;D xsi:type="xsd:double"&gt;294.148&lt;/D&gt;&lt;D xsi:type="xsd:double"&gt;298.497&lt;/D&gt;&lt;D xsi:type="xsd:double"&gt;303.621&lt;/D&gt;&lt;D xsi:type="xsd:double"&gt;306.006&lt;/D&gt;&lt;D xsi:type="xsd:double"&gt;309.332&lt;/D&gt;&lt;D xsi:type="xsd:double"&gt;309.463&lt;/D&gt;&lt;D xsi:type="xsd:double"&gt;308.47&lt;/D&gt;&lt;D xsi:type="xsd:double"&gt;307.817&lt;/D&gt;&lt;D xsi:type="xsd:double"&gt;306.496&lt;/D&gt;&lt;D xsi:type="xsd:double"&gt;304.895&lt;/D&gt;&lt;D xsi:type="xsd:double"&gt;300.081&lt;/D&gt;&lt;D xsi:type="xsd:double"&gt;298.441&lt;/D&gt;&lt;D xsi:type="xsd:double"&gt;294.827&lt;/D&gt;&lt;D xsi:type="xsd:double"&gt;295.507&lt;/D&gt;&lt;D xsi:type="xsd:double"&gt;300.96&lt;/D&gt;&lt;D xsi:type="xsd:double"&gt;298.699&lt;/D&gt;&lt;D xsi:type="xsd:double"&gt;298.238&lt;/D&gt;&lt;D xsi:type="xsd:double"&gt;296.045&lt;/D&gt;&lt;D xsi:type="xsd:double"&gt;289.687&lt;/D&gt;&lt;D xsi:type="xsd:double"&gt;292.461&lt;/D&gt;&lt;D xsi:type="xsd:double"&gt;296.729&lt;/D&gt;&lt;D xsi:type="xsd:double"&gt;297.063&lt;/D&gt;&lt;D xsi:type="xsd:double"&gt;292.335&lt;/D&gt;&lt;D xsi:type="xsd:double"&gt;297.332&lt;/D&gt;&lt;D xsi:type="xsd:double"&gt;302.723&lt;/D&gt;&lt;D xsi:type="xsd:double"&gt;304.411&lt;/D&gt;&lt;D xsi:type="xsd:double"&gt;307.629&lt;/D&gt;&lt;D xsi:type="xsd:double"&gt;311.272&lt;/D&gt;&lt;D xsi:type="xsd:double"&gt;310.834&lt;/D&gt;&lt;D xsi:type="xsd:double"&gt;310.569&lt;/D&gt;&lt;D xsi:type="xsd:double"&gt;311.544&lt;/D&gt;&lt;D xsi:type="xsd:double"&gt;311.309&lt;/D&gt;&lt;D xsi:type="xsd:double"&gt;312.923&lt;/D&gt;&lt;D xsi:type="xsd:double"&gt;309.554&lt;/D&gt;&lt;D xsi:type="xsd:double"&gt;310.046&lt;/D&gt;&lt;D xsi:type="xsd:double"&gt;311.958&lt;/D&gt;&lt;D xsi:type="xsd:double"&gt;311.92&lt;/D&gt;&lt;D xsi:type="xsd:double"&gt;310.881&lt;/D&gt;&lt;D xsi:type="xsd:double"&gt;312.29&lt;/D&gt;&lt;D xsi:type="xsd:double"&gt;313.91&lt;/D&gt;&lt;D xsi:type="xsd:double"&gt;312.121&lt;/D&gt;&lt;D xsi:type="xsd:double"&gt;316.881&lt;/D&gt;&lt;D xsi:type="xsd:double"&gt;319.374&lt;/D&gt;&lt;D xsi:type="xsd:double"&gt;319.292&lt;/D&gt;&lt;D xsi:type="xsd:double"&gt;319.415&lt;/D&gt;&lt;D xsi:type="xsd:double"&gt;321.528&lt;/D&gt;&lt;D xsi:type="xsd:double"&gt;323.68&lt;/D&gt;&lt;D xsi:type="xsd:double"&gt;326.4&lt;/D&gt;&lt;D xsi:type="xsd:double"&gt;326.309&lt;/D&gt;&lt;D xsi:type="xsd:double"&gt;330.019&lt;/D&gt;&lt;D xsi:type="xsd:double"&gt;333.222&lt;/D&gt;&lt;D xsi:type="xsd:double"&gt;329.761&lt;/D&gt;&lt;D xsi:type="xsd:double"&gt;328.631&lt;/D&gt;&lt;D xsi:type="xsd:double"&gt;330.677&lt;/D&gt;&lt;D xsi:type="xsd:double"&gt;331.719&lt;/D&gt;&lt;D xsi:type="xsd:double"&gt;330.706&lt;/D&gt;&lt;D xsi:type="xsd:double"&gt;329.662&lt;/D&gt;&lt;D xsi:type="xsd:double"&gt;328.74&lt;/D&gt;&lt;D xsi:type="xsd:double"&gt;328.082&lt;/D&gt;&lt;D xsi:type="xsd:double"&gt;327.951&lt;/D&gt;&lt;D xsi:type="xsd:double"&gt;327.955&lt;/D&gt;&lt;D xsi:type="xsd:double"&gt;328.977&lt;/D&gt;&lt;D xsi:type="xsd:double"&gt;328.217&lt;/D&gt;&lt;D xsi:type="xsd:double"&gt;327.946&lt;/D&gt;&lt;D xsi:type="xsd:double"&gt;327.533&lt;/D&gt;&lt;D xsi:type="xsd:double"&gt;324.806&lt;/D&gt;&lt;D xsi:type="xsd:double"&gt;323.914&lt;/D&gt;&lt;D xsi:type="xsd:double"&gt;324.428&lt;/D&gt;&lt;D xsi:type="xsd:double"&gt;324.264&lt;/D&gt;&lt;D xsi:type="xsd:double"&gt;324.476&lt;/D&gt;&lt;D xsi:type="xsd:double"&gt;322.52&lt;/D&gt;&lt;D xsi:type="xsd:double"&gt;319.916&lt;/D&gt;&lt;D xsi:type="xsd:double"&gt;321.047&lt;/D&gt;&lt;D xsi:type="xsd:double"&gt;321.559&lt;/D&gt;&lt;D xsi:type="xsd:double"&gt;320.16&lt;/D&gt;&lt;D xsi:type="xsd:double"&gt;318.252&lt;/D&gt;&lt;D xsi:type="xsd:double"&gt;324.073&lt;/D&gt;&lt;D xsi:type="xsd:double"&gt;326.555&lt;/D&gt;&lt;D xsi:type="xsd:double"&gt;328.841&lt;/D&gt;&lt;D xsi:type="xsd:double"&gt;327.875&lt;/D&gt;&lt;D xsi:type="xsd:double"&gt;330.085&lt;/D&gt;&lt;D xsi:type="xsd:double"&gt;333.185&lt;/D&gt;&lt;D xsi:type="xsd:double"&gt;330.966&lt;/D&gt;&lt;D xsi:type="xsd:double"&gt;333.025&lt;/D&gt;&lt;D xsi:type="xsd:double"&gt;337.003&lt;/D&gt;&lt;D xsi:type="xsd:double"&gt;336.662&lt;/D&gt;&lt;D xsi:type="xsd:double"&gt;334.65&lt;/D&gt;&lt;D xsi:type="xsd:double"&gt;335.627&lt;/D&gt;&lt;D xsi:type="xsd:double"&gt;334.57&lt;/D&gt;&lt;D xsi:type="xsd:double"&gt;334.702&lt;/D&gt;&lt;D xsi:type="xsd:double"&gt;334.228&lt;/D&gt;&lt;D xsi:type="xsd:double"&gt;330.649&lt;/D&gt;&lt;D xsi:type="xsd:double"&gt;330.165&lt;/D&gt;&lt;D xsi:type="xsd:double"&gt;332.903&lt;/D&gt;&lt;D xsi:type="xsd:double"&gt;330.209&lt;/D&gt;&lt;D xsi:type="xsd:double"&gt;327.447&lt;/D&gt;&lt;D xsi:type="xsd:double"&gt;329.83&lt;/D&gt;&lt;D xsi:type="xsd:double"&gt;328.211&lt;/D&gt;&lt;D xsi:type="xsd:double"&gt;327.728&lt;/D&gt;&lt;D xsi:type="xsd:double"&gt;327.225&lt;/D&gt;&lt;D xsi:type="xsd:double"&gt;329.425&lt;/D&gt;&lt;D xsi:type="xsd:double"&gt;333.112&lt;/D&gt;&lt;D xsi:type="xsd:double"&gt;333.963&lt;/D&gt;&lt;D xsi:type="xsd:double"&gt;333.49&lt;/D&gt;&lt;D xsi:type="xsd:double"&gt;330.766&lt;/D&gt;&lt;D xsi:type="xsd:double"&gt;331.872&lt;/D&gt;&lt;D xsi:type="xsd:double"&gt;333.212&lt;/D&gt;&lt;D xsi:type="xsd:double"&gt;332.459&lt;/D&gt;&lt;D xsi:type="xsd:double"&gt;330.284&lt;/D&gt;&lt;D xsi:type="xsd:double"&gt;330.963&lt;/D&gt;&lt;D xsi:type="xsd:double"&gt;332.05&lt;/D&gt;&lt;D xsi:type="xsd:double"&gt;333.573&lt;/D&gt;&lt;D xsi:type="xsd:double"&gt;333.161&lt;/D&gt;&lt;D xsi:type="xsd:double"&gt;332.918&lt;/D&gt;&lt;D xsi:type="xsd:double"&gt;333.159&lt;/D&gt;&lt;D xsi:type="xsd:double"&gt;324.905&lt;/D&gt;&lt;D xsi:type="xsd:double"&gt;319.776&lt;/D&gt;&lt;D xsi:type="xsd:double"&gt;320.405&lt;/D&gt;&lt;D xsi:type="xsd:double"&gt;311.744&lt;/D&gt;&lt;D xsi:type="xsd:double"&gt;311.487&lt;/D&gt;&lt;D xsi:type="xsd:double"&gt;311.233&lt;/D&gt;&lt;D xsi:type="xsd:double"&gt;310.081&lt;/D&gt;&lt;D xsi:type="xsd:double"&gt;311.933&lt;/D&gt;&lt;D xsi:type="xsd:double"&gt;315.089&lt;/D&gt;&lt;D xsi:type="xsd:double"&gt;321.205&lt;/D&gt;&lt;D xsi:type="xsd:double"&gt;322.585&lt;/D&gt;&lt;D xsi:type="xsd:double"&gt;328.284&lt;/D&gt;&lt;D xsi:type="xsd:double"&gt;324.018&lt;/D&gt;&lt;D xsi:type="xsd:double"&gt;322.206&lt;/D&gt;&lt;D xsi:type="xsd:double"&gt;318.338&lt;/D&gt;&lt;D xsi:type="xsd:double"&gt;315.999&lt;/D&gt;&lt;D xsi:type="xsd:double"&gt;320.48&lt;/D&gt;&lt;D xsi:type="xsd:double"&gt;323.385&lt;/D&gt;&lt;D xsi:type="xsd:double"&gt;325.27&lt;/D&gt;&lt;D xsi:type="xsd:double"&gt;322.697&lt;/D&gt;&lt;D xsi:type="xsd:double"&gt;323.383&lt;/D&gt;&lt;D xsi:type="xsd:double"&gt;330.526&lt;/D&gt;&lt;D xsi:type="xsd:double"&gt;330.827&lt;/D&gt;&lt;D xsi:type="xsd:double"&gt;328.684&lt;/D&gt;&lt;D xsi:type="xsd:double"&gt;328.429&lt;/D&gt;&lt;D xsi:type="xsd:double"&gt;330.703&lt;/D&gt;&lt;D xsi:type="xsd:double"&gt;331.774&lt;/D&gt;&lt;D xsi:type="xsd:double"&gt;326.833&lt;/D&gt;&lt;D xsi:type="xsd:double"&gt;326.98&lt;/D&gt;&lt;D xsi:type="xsd:double"&gt;325.523&lt;/D&gt;&lt;D xsi:type="xsd:double"&gt;326.541&lt;/D&gt;&lt;D xsi:type="xsd:double"&gt;319.945&lt;/D&gt;&lt;D xsi:type="xsd:double"&gt;319.985&lt;/D&gt;&lt;D xsi:type="xsd:double"&gt;332.862&lt;/D&gt;&lt;D xsi:type="xsd:double"&gt;337.377&lt;/D&gt;&lt;D xsi:type="xsd:double"&gt;341.228&lt;/D&gt;&lt;D xsi:type="xsd:double"&gt;344.151&lt;/D&gt;&lt;D xsi:type="xsd:double"&gt;344.685&lt;/D&gt;&lt;D xsi:type="xsd:double"&gt;341.669&lt;/D&gt;&lt;D xsi:type="xsd:double"&gt;339.212&lt;/D&gt;&lt;D xsi:type="xsd:double"&gt;341.576&lt;/D&gt;&lt;D xsi:type="xsd:double"&gt;343.195&lt;/D&gt;&lt;D xsi:type="xsd:double"&gt;344.498&lt;/D&gt;&lt;D xsi:type="xsd:double"&gt;341.792&lt;/D&gt;&lt;D xsi:type="xsd:double"&gt;347.678&lt;/D&gt;&lt;D xsi:type="xsd:double"&gt;348.215&lt;/D&gt;&lt;D xsi:type="xsd:double"&gt;349.044&lt;/D&gt;&lt;D xsi:type="xsd:double"&gt;348.671&lt;/D&gt;&lt;D xsi:type="xsd:double"&gt;345.856&lt;/D&gt;&lt;D xsi:type="xsd:double"&gt;342.201&lt;/D&gt;&lt;D xsi:type="xsd:double"&gt;342.213&lt;/D&gt;&lt;D xsi:type="xsd:double"&gt;337.615&lt;/D&gt;&lt;D xsi:type="xsd:double"&gt;337.1&lt;/D&gt;&lt;D xsi:type="xsd:double"&gt;335.455&lt;/D&gt;&lt;D xsi:type="xsd:double"&gt;325.304&lt;/D&gt;&lt;D xsi:type="xsd:double"&gt;324.121&lt;/D&gt;&lt;D xsi:type="xsd:double"&gt;326.734&lt;/D&gt;&lt;D xsi:type="xsd:double"&gt;331.885&lt;/D&gt;&lt;D xsi:type="xsd:double"&gt;332.373&lt;/D&gt;&lt;D xsi:type="xsd:double"&gt;327.455&lt;/D&gt;&lt;D xsi:type="xsd:double"&gt;327.816&lt;/D&gt;&lt;D xsi:type="xsd:double"&gt;332.276&lt;/D&gt;&lt;D xsi:type="xsd:double"&gt;334.146&lt;/D&gt;&lt;D xsi:type="xsd:double"&gt;331.141&lt;/D&gt;&lt;D xsi:type="xsd:double"&gt;328.222&lt;/D&gt;&lt;D xsi:type="xsd:double"&gt;323.592&lt;/D&gt;&lt;D xsi:type="xsd:double"&gt;321.238&lt;/D&gt;&lt;D xsi:type="xsd:double"&gt;321.917&lt;/D&gt;&lt;D xsi:type="xsd:double"&gt;323.443&lt;/D&gt;&lt;D xsi:type="xsd:double"&gt;324.339&lt;/D&gt;&lt;D xsi:type="xsd:double"&gt;321.588&lt;/D&gt;&lt;D xsi:type="xsd:double"&gt;322.71&lt;/D&gt;&lt;D xsi:type="xsd:double"&gt;328.229&lt;/D&gt;&lt;D xsi:type="xsd:double"&gt;326.585&lt;/D&gt;&lt;D xsi:type="xsd:double"&gt;327.351&lt;/D&gt;&lt;D xsi:type="xsd:double"&gt;328.822&lt;/D&gt;&lt;D xsi:type="xsd:double"&gt;330.289&lt;/D&gt;&lt;D xsi:type="xsd:double"&gt;333.697&lt;/D&gt;&lt;D xsi:type="xsd:double"&gt;333.98&lt;/D&gt;&lt;D xsi:type="xsd:double"&gt;336.305&lt;/D&gt;&lt;D xsi:type="xsd:double"&gt;332.284&lt;/D&gt;&lt;D xsi:type="xsd:double"&gt;333.416&lt;/D&gt;&lt;D xsi:type="xsd:double"&gt;332.722&lt;/D&gt;&lt;D xsi:type="xsd:double"&gt;327.247&lt;/D&gt;&lt;D xsi:type="xsd:double"&gt;325.394&lt;/D&gt;&lt;D xsi:type="xsd:double"&gt;322.834&lt;/D&gt;&lt;/FQL&gt;&lt;FQL&gt;&lt;Q&gt;892400^JULIAN(FG_PRICE(2/27/2026,1/31/2000,,USD).DATES)&lt;/Q&gt;&lt;R&gt;6559&lt;/R&gt;&lt;C&gt;1&lt;/C&gt;&lt;D xsi:type="xsd:long"&gt;46080&lt;/D&gt;&lt;D xsi:type="xsd:long"&gt;46079&lt;/D&gt;&lt;D xsi:type="xsd:long"&gt;46078&lt;/D&gt;&lt;D xsi:type="xsd:long"&gt;46077&lt;/D&gt;&lt;D xsi:type="xsd:long"&gt;46076&lt;/D&gt;&lt;D xsi:type="xsd:long"&gt;46073&lt;/D&gt;&lt;D xsi:type="xsd:long"&gt;46072&lt;/D&gt;&lt;D xsi:type="xsd:long"&gt;46071&lt;/D&gt;&lt;D xsi:type="xsd:long"&gt;46070&lt;/D&gt;&lt;D xsi:type="xsd:long"&gt;46066&lt;/D&gt;&lt;D xsi:type="xsd:long"&gt;46065&lt;/D&gt;&lt;D xsi:type="xsd:long"&gt;46064&lt;/D&gt;&lt;D xsi:type="xsd:long"&gt;46063&lt;/D&gt;&lt;D xsi:type="xsd:long"&gt;46062&lt;/D&gt;&lt;D xsi:type="xsd:long"&gt;46059&lt;/D&gt;&lt;D xsi:type="xsd:long"&gt;46058&lt;/D&gt;&lt;D xsi:type="xsd:long"&gt;46057&lt;/D&gt;&lt;D xsi:type="xsd:long"&gt;46056&lt;/D&gt;&lt;D xsi:type="xsd:long"&gt;46055&lt;/D&gt;&lt;D xsi:type="xsd:long"&gt;46052&lt;/D&gt;&lt;D xsi:type="xsd:long"&gt;46051&lt;/D&gt;&lt;D xsi:type="xsd:long"&gt;46050&lt;/D&gt;&lt;D xsi:type="xsd:long"&gt;46049&lt;/D&gt;&lt;D xsi:type="xsd:long"&gt;46048&lt;/D&gt;&lt;D xsi:type="xsd:long"&gt;46045&lt;/D&gt;&lt;D xsi:type="xsd:long"&gt;46044&lt;/D&gt;&lt;D xsi:type="xsd:long"&gt;46043&lt;/D&gt;&lt;D xsi:type="xsd:long"&gt;46042&lt;/D&gt;&lt;D xsi:type="xsd:long"&gt;46038&lt;/D&gt;&lt;D xsi:type="xsd:long"&gt;46037&lt;/D&gt;&lt;D xsi:type="xsd:long"&gt;46036&lt;/D&gt;&lt;D xsi:type="xsd:long"&gt;46035&lt;/D&gt;&lt;D xsi:type="xsd:long"&gt;46034&lt;/D&gt;&lt;D xsi:type="xsd:long"&gt;46031&lt;/D&gt;&lt;D xsi:type="xsd:long"&gt;46030&lt;/D&gt;&lt;D xsi:type="xsd:long"&gt;46029&lt;/D&gt;&lt;D xsi:type="xsd:long"&gt;46028&lt;/D&gt;&lt;D xsi:type="xsd:long"&gt;46027&lt;/D&gt;&lt;D xsi:type="xsd:long"&gt;46024&lt;/D&gt;&lt;D xsi:type="xsd:long"&gt;46022&lt;/D&gt;&lt;D xsi:type="xsd:long"&gt;46021&lt;/D&gt;&lt;D xsi:type="xsd:long"&gt;46020&lt;/D&gt;&lt;D xsi:type="xsd:long"&gt;46017&lt;/D&gt;&lt;D xsi:type="xsd:long"&gt;46015&lt;/D&gt;&lt;D xsi:type="xsd:long"&gt;46014&lt;/D&gt;&lt;D xsi:type="xsd:long"&gt;46013&lt;/D&gt;&lt;D xsi:type="xsd:long"&gt;46010&lt;/D&gt;&lt;D xsi:type="xsd:long"&gt;46009&lt;/D&gt;&lt;D xsi:type="xsd:long"&gt;46008&lt;/D&gt;&lt;D xsi:type="xsd:long"&gt;46007&lt;/D&gt;&lt;D xsi:type="xsd:long"&gt;46006&lt;/D&gt;&lt;D xsi:type="xsd:long"&gt;46003&lt;/D&gt;&lt;D xsi:type="xsd:long"&gt;46002&lt;/D&gt;&lt;D xsi:type="xsd:long"&gt;46001&lt;/D&gt;&lt;D xsi:type="xsd:long"&gt;46000&lt;/D&gt;&lt;D xsi:type="xsd:long"&gt;45999&lt;/D&gt;&lt;D xsi:type="xsd:long"&gt;45996&lt;/D&gt;&lt;D xsi:type="xsd:long"&gt;45995&lt;/D&gt;&lt;D xsi:type="xsd:long"&gt;45994&lt;/D&gt;&lt;D xsi:type="xsd:long"&gt;45993&lt;/D&gt;&lt;D xsi:type="xsd:long"&gt;45992&lt;/D&gt;&lt;D xsi:type="xsd:long"&gt;45989&lt;/D&gt;&lt;D xsi:type="xsd:long"&gt;45987&lt;/D&gt;&lt;D xsi:type="xsd:long"&gt;45986&lt;/D&gt;&lt;D xsi:type="xsd:long"&gt;45985&lt;/D&gt;&lt;D xsi:type="xsd:long"&gt;45982&lt;/D&gt;&lt;D xsi:type="xsd:long"&gt;45981&lt;/D&gt;&lt;D xsi:type="xsd:long"&gt;45980&lt;/D&gt;&lt;D xsi:type="xsd:long"&gt;45979&lt;/D&gt;&lt;D xsi:type="xsd:long"&gt;45978&lt;/D&gt;&lt;D xsi:type="xsd:long"&gt;45975&lt;/D&gt;&lt;D xsi:type="xsd:long"&gt;45974&lt;/D&gt;&lt;D xsi:type="xsd:long"&gt;45973&lt;/D&gt;&lt;D xsi:type="xsd:long"&gt;45972&lt;/D&gt;&lt;D xsi:type="xsd:long"&gt;45971&lt;/D&gt;&lt;D xsi:type="xsd:long"&gt;45968&lt;/D&gt;&lt;D xsi:type="xsd:long"&gt;45967&lt;/D&gt;&lt;D xsi:type="xsd:long"&gt;45966&lt;/D&gt;&lt;D xsi:type="xsd:long"&gt;45965&lt;/D&gt;&lt;D xsi:type="xsd:long"&gt;45964&lt;/D&gt;&lt;D xsi:type="xsd:long"&gt;45961&lt;/D&gt;&lt;D xsi:type="xsd:long"&gt;45960&lt;/D&gt;&lt;D xsi:type="xsd:long"&gt;45959&lt;/D&gt;&lt;D xsi:type="xsd:long"&gt;45958&lt;/D&gt;&lt;D xsi:type="xsd:long"&gt;45957&lt;/D&gt;&lt;D xsi:type="xsd:long"&gt;45954&lt;/D&gt;&lt;D xsi:type="xsd:long"&gt;45953&lt;/D&gt;&lt;D xsi:type="xsd:long"&gt;45952&lt;/D&gt;&lt;D xsi:type="xsd:long"&gt;45951&lt;/D&gt;&lt;D xsi:type="xsd:long"&gt;45950&lt;/D&gt;&lt;D xsi:type="xsd:long"&gt;45947&lt;/D&gt;&lt;D xsi:type="xsd:long"&gt;45946&lt;/D&gt;&lt;D xsi:type="xsd:long"&gt;45945&lt;/D&gt;&lt;D xsi:type="xsd:long"&gt;45944&lt;/D&gt;&lt;D xsi:type="xsd:long"&gt;45943&lt;/D&gt;&lt;D xsi:type="xsd:long"&gt;45940&lt;/D&gt;&lt;D xsi:type="xsd:long"&gt;45939&lt;/D&gt;&lt;D xsi:type="xsd:long"&gt;45938&lt;/D&gt;&lt;D xsi:type="xsd:long"&gt;45937&lt;/D&gt;&lt;D xsi:type="xsd:long"&gt;45936&lt;/D&gt;&lt;D xsi:type="xsd:long"&gt;45933&lt;/D&gt;&lt;D xsi:type="xsd:long"&gt;45932&lt;/D&gt;&lt;D xsi:type="xsd:long"&gt;45931&lt;/D&gt;&lt;D xsi:type="xsd:long"&gt;45930&lt;/D&gt;&lt;D xsi:type="xsd:long"&gt;45929&lt;/D&gt;&lt;D xsi:type="xsd:long"&gt;45926&lt;/D&gt;&lt;D xsi:type="xsd:long"&gt;45925&lt;/D&gt;&lt;D xsi:type="xsd:long"&gt;45924&lt;/D&gt;&lt;D xsi:type="xsd:long"&gt;45923&lt;/D&gt;&lt;D xsi:type="xsd:long"&gt;45922&lt;/D&gt;&lt;D xsi:type="xsd:long"&gt;45919&lt;/D&gt;&lt;D xsi:type="xsd:long"&gt;45918&lt;/D&gt;&lt;D xsi:type="xsd:long"&gt;45917&lt;/D&gt;&lt;D xsi:type="xsd:long"&gt;45916&lt;/D&gt;&lt;D xsi:type="xsd:long"&gt;45915&lt;/D&gt;&lt;D xsi:type="xsd:long"&gt;45912&lt;/D&gt;&lt;D xsi:type="xsd:long"&gt;45911&lt;/D&gt;&lt;D xsi:type="xsd:long"&gt;45910&lt;/D&gt;&lt;D xsi:type="xsd:long"&gt;45909&lt;/D&gt;&lt;D xsi:type="xsd:long"&gt;45908&lt;/D&gt;&lt;D xsi:type="xsd:long"&gt;45905&lt;/D&gt;&lt;D xsi:type="xsd:long"&gt;45904&lt;/D&gt;&lt;D xsi:type="xsd:long"&gt;45903&lt;/D&gt;&lt;D xsi:type="xsd:long"&gt;45902&lt;/D&gt;&lt;D xsi:type="xsd:long"&gt;45898&lt;/D&gt;&lt;D xsi:type="xsd:long"&gt;45897&lt;/D&gt;&lt;D xsi:type="xsd:long"&gt;45896&lt;/D&gt;&lt;D xsi:type="xsd:long"&gt;45895&lt;/D&gt;&lt;D xsi:type="xsd:long"&gt;45894&lt;/D&gt;&lt;D xsi:type="xsd:long"&gt;45891&lt;/D&gt;&lt;D xsi:type="xsd:long"&gt;45890&lt;/D&gt;&lt;D xsi:type="xsd:long"&gt;45889&lt;/D&gt;&lt;D xsi:type="xsd:long"&gt;45888&lt;/D&gt;&lt;D xsi:type="xsd:long"&gt;45887&lt;/D&gt;&lt;D xsi:type="xsd:long"&gt;45884&lt;/D&gt;&lt;D xsi:type="xsd:long"&gt;45883&lt;/D&gt;&lt;D xsi:type="xsd:long"&gt;45882&lt;/D&gt;&lt;D xsi:type="xsd:long"&gt;45881&lt;/D&gt;&lt;D xsi:type="xsd:long"&gt;45880&lt;/D&gt;&lt;D xsi:type="xsd:long"&gt;45877&lt;/D&gt;&lt;D xsi:type="xsd:long"&gt;45876&lt;/D&gt;&lt;D xsi:type="xsd:long"&gt;45875&lt;/D&gt;&lt;D xsi:type="xsd:long"&gt;45874&lt;/D&gt;&lt;D xsi:type="xsd:long"&gt;45873&lt;/D&gt;&lt;D xsi:type="xsd:long"&gt;45870&lt;/D&gt;&lt;D xsi:type="xsd:long"&gt;45869&lt;/D&gt;&lt;D xsi:type="xsd:long"&gt;45868&lt;/D&gt;&lt;D xsi:type="xsd:long"&gt;45867&lt;/D&gt;&lt;D xsi:type="xsd:long"&gt;45866&lt;/D&gt;&lt;D xsi:type="xsd:long"&gt;45863&lt;/D&gt;&lt;D xsi:type="xsd:long"&gt;45862&lt;/D&gt;&lt;D xsi:type="xsd:long"&gt;45861&lt;/D&gt;&lt;D xsi:type="xsd:long"&gt;45860&lt;/D&gt;&lt;D xsi:type="xsd:long"&gt;45859&lt;/D&gt;&lt;D xsi:type="xsd:long"&gt;45856&lt;/D&gt;&lt;D xsi:type="xsd:long"&gt;45855&lt;/D&gt;&lt;D xsi:type="xsd:long"&gt;45854&lt;/D&gt;&lt;D xsi:type="xsd:long"&gt;45853&lt;/D&gt;&lt;D xsi:type="xsd:long"&gt;45852&lt;/D&gt;&lt;D xsi:type="xsd:long"&gt;45849&lt;/D&gt;&lt;D xsi:type="xsd:long"&gt;45848&lt;/D&gt;&lt;D xsi:type="xsd:long"&gt;45847&lt;/D&gt;&lt;D xsi:type="xsd:long"&gt;45846&lt;/D&gt;&lt;D xsi:type="xsd:long"&gt;45845&lt;/D&gt;&lt;D xsi:type="xsd:long"&gt;45841&lt;/D&gt;&lt;D xsi:type="xsd:long"&gt;45840&lt;/D&gt;&lt;D xsi:type="xsd:long"&gt;45839&lt;/D&gt;&lt;D xsi:type="xsd:long"&gt;45838&lt;/D&gt;&lt;D xsi:type="xsd:long"&gt;45835&lt;/D&gt;&lt;D xsi:type="xsd:long"&gt;45834&lt;/D&gt;&lt;D xsi:type="xsd:long"&gt;45833&lt;/D&gt;&lt;D xsi:type="xsd:long"&gt;45832&lt;/D&gt;&lt;D xsi:type="xsd:long"&gt;45831&lt;/D&gt;&lt;D xsi:type="xsd:long"&gt;45828&lt;/D&gt;&lt;D xsi:type="xsd:long"&gt;45826&lt;/D&gt;&lt;D xsi:type="xsd:long"&gt;45825&lt;/D&gt;&lt;D xsi:type="xsd:long"&gt;45824&lt;/D&gt;&lt;D xsi:type="xsd:long"&gt;45821&lt;/D&gt;&lt;D xsi:type="xsd:long"&gt;45820&lt;/D&gt;&lt;D xsi:type="xsd:long"&gt;45819&lt;/D&gt;&lt;D xsi:type="xsd:long"&gt;45818&lt;/D&gt;&lt;D xsi:type="xsd:long"&gt;45817&lt;/D&gt;&lt;D xsi:type="xsd:long"&gt;45814&lt;/D&gt;&lt;D xsi:type="xsd:long"&gt;45813&lt;/D&gt;&lt;D xsi:type="xsd:long"&gt;45812&lt;/D&gt;&lt;D xsi:type="xsd:long"&gt;45811&lt;/D&gt;&lt;D xsi:type="xsd:long"&gt;45810&lt;/D&gt;&lt;D xsi:type="xsd:long"&gt;45807&lt;/D&gt;&lt;D xsi:type="xsd:long"&gt;45806&lt;/D&gt;&lt;D xsi:type="xsd:long"&gt;45805&lt;/D&gt;&lt;D xsi:type="xsd:long"&gt;45804&lt;/D&gt;&lt;D xsi:type="xsd:long"&gt;45800&lt;/D&gt;&lt;D xsi:type="xsd:long"&gt;45799&lt;/D&gt;&lt;D xsi:type="xsd:long"&gt;45798&lt;/D&gt;&lt;D xsi:type="xsd:long"&gt;45797&lt;/D&gt;&lt;D xsi:type="xsd:long"&gt;45796&lt;/D&gt;&lt;D xsi:type="xsd:long"&gt;45793&lt;/D&gt;&lt;D xsi:type="xsd:long"&gt;45792&lt;/D&gt;&lt;D xsi:type="xsd:long"&gt;45791&lt;/D&gt;&lt;D xsi:type="xsd:long"&gt;45790&lt;/D&gt;&lt;D xsi:type="xsd:long"&gt;45789&lt;/D&gt;&lt;D xsi:type="xsd:long"&gt;45786&lt;/D&gt;&lt;D xsi:type="xsd:long"&gt;45785&lt;/D&gt;&lt;D xsi:type="xsd:long"&gt;45784&lt;/D&gt;&lt;D xsi:type="xsd:long"&gt;45783&lt;/D&gt;&lt;D xsi:type="xsd:long"&gt;45782&lt;/D&gt;&lt;D xsi:type="xsd:long"&gt;45779&lt;/D&gt;&lt;D xsi:type="xsd:long"&gt;45778&lt;/D&gt;&lt;D xsi:type="xsd:long"&gt;45777&lt;/D&gt;&lt;D xsi:type="xsd:long"&gt;45776&lt;/D&gt;&lt;D xsi:type="xsd:long"&gt;45775&lt;/D&gt;&lt;D xsi:type="xsd:long"&gt;45772&lt;/D&gt;&lt;D xsi:type="xsd:long"&gt;45771&lt;/D&gt;&lt;D xsi:type="xsd:long"&gt;45770&lt;/D&gt;&lt;D xsi:type="xsd:long"&gt;45769&lt;/D&gt;&lt;D xsi:type="xsd:long"&gt;45768&lt;/D&gt;&lt;D xsi:type="xsd:long"&gt;45764&lt;/D&gt;&lt;D xsi:type="xsd:long"&gt;45763&lt;/D&gt;&lt;D xsi:type="xsd:long"&gt;45762&lt;/D&gt;&lt;D xsi:type="xsd:long"&gt;45761&lt;/D&gt;&lt;D xsi:type="xsd:long"&gt;45758&lt;/D&gt;&lt;D xsi:type="xsd:long"&gt;45757&lt;/D&gt;&lt;D xsi:type="xsd:long"&gt;45756&lt;/D&gt;&lt;D xsi:type="xsd:long"&gt;45755&lt;/D&gt;&lt;D xsi:type="xsd:long"&gt;45754&lt;/D&gt;&lt;D xsi:type="xsd:long"&gt;45751&lt;/D&gt;&lt;D xsi:type="xsd:long"&gt;45750&lt;/D&gt;&lt;D xsi:type="xsd:long"&gt;45749&lt;/D&gt;&lt;D xsi:type="xsd:long"&gt;45748&lt;/D&gt;&lt;D xsi:type="xsd:long"&gt;45747&lt;/D&gt;&lt;D xsi:type="xsd:long"&gt;45744&lt;/D&gt;&lt;D xsi:type="xsd:long"&gt;45743&lt;/D&gt;&lt;D xsi:type="xsd:long"&gt;45742&lt;/D&gt;&lt;D xsi:type="xsd:long"&gt;45741&lt;/D&gt;&lt;D xsi:type="xsd:long"&gt;45740&lt;/D&gt;&lt;D xsi:type="xsd:long"&gt;45737&lt;/D&gt;&lt;D xsi:type="xsd:long"&gt;45736&lt;/D&gt;&lt;D xsi:type="xsd:long"&gt;45735&lt;/D&gt;&lt;D xsi:type="xsd:long"&gt;45734&lt;/D&gt;&lt;D xsi:type="xsd:long"&gt;45733&lt;/D&gt;&lt;D xsi:type="xsd:long"&gt;45730&lt;/D&gt;&lt;D xsi:type="xsd:long"&gt;45729&lt;/D&gt;&lt;D xsi:type="xsd:long"&gt;45728&lt;/D&gt;&lt;D xsi:type="xsd:long"&gt;45727&lt;/D&gt;&lt;D xsi:type="xsd:long"&gt;45726&lt;/D&gt;&lt;D xsi:type="xsd:long"&gt;45723&lt;/D&gt;&lt;D xsi:type="xsd:long"&gt;45722&lt;/D&gt;&lt;D xsi:type="xsd:long"&gt;45721&lt;/D&gt;&lt;D xsi:type="xsd:long"&gt;45720&lt;/D&gt;&lt;D xsi:type="xsd:long"&gt;45719&lt;/D&gt;&lt;D xsi:type="xsd:long"&gt;45716&lt;/D&gt;&lt;D xsi:type="xsd:long"&gt;45715&lt;/D&gt;&lt;D xsi:type="xsd:long"&gt;45714&lt;/D&gt;&lt;D xsi:type="xsd:long"&gt;45713&lt;/D&gt;&lt;D xsi:type="xsd:long"&gt;45712&lt;/D&gt;&lt;D xsi:type="xsd:long"&gt;45709&lt;/D&gt;&lt;D xsi:type="xsd:long"&gt;45708&lt;/D&gt;&lt;D xsi:type="xsd:long"&gt;45707&lt;/D&gt;&lt;D xsi:type="xsd:long"&gt;45706&lt;/D&gt;&lt;D xsi:type="xsd:long"&gt;45702&lt;/D&gt;&lt;D xsi:type="xsd:long"&gt;45701&lt;/D&gt;&lt;D xsi:type="xsd:long"&gt;45700&lt;/D&gt;&lt;D xsi:type="xsd:long"&gt;45699&lt;/D&gt;&lt;D xsi:type="xsd:long"&gt;45698&lt;/D&gt;&lt;D xsi:type="xsd:long"&gt;45695&lt;/D&gt;&lt;D xsi:type="xsd:long"&gt;45694&lt;/D&gt;&lt;D xsi:type="xsd:long"&gt;45693&lt;/D&gt;&lt;D xsi:type="xsd:long"&gt;45692&lt;/D&gt;&lt;D xsi:type="xsd:long"&gt;45691&lt;/D&gt;&lt;D xsi:type="xsd:long"&gt;45688&lt;/D&gt;&lt;D xsi:type="xsd:long"&gt;45687&lt;/D&gt;&lt;D xsi:type="xsd:long"&gt;45686&lt;/D&gt;&lt;D xsi:type="xsd:long"&gt;45685&lt;/D&gt;&lt;D xsi:type="xsd:long"&gt;45684&lt;/D&gt;&lt;D xsi:type="xsd:long"&gt;45681&lt;/D&gt;&lt;D xsi:type="xsd:long"&gt;45680&lt;/D&gt;&lt;D xsi:type="xsd:long"&gt;45679&lt;/D&gt;&lt;D xsi:type="xsd:long"&gt;45678&lt;/D&gt;&lt;D xsi:type="xsd:long"&gt;45674&lt;/D&gt;&lt;D xsi:type="xsd:long"&gt;45673&lt;/D&gt;&lt;D xsi:type="xsd:long"&gt;45672&lt;/D&gt;&lt;D xsi:type="xsd:long"&gt;45671&lt;/D&gt;&lt;D xsi:type="xsd:long"&gt;45670&lt;/D&gt;&lt;D xsi:type="xsd:long"&gt;45667&lt;/D&gt;&lt;D xsi:type="xsd:long"&gt;45665&lt;/D&gt;&lt;D xsi:type="xsd:long"&gt;45664&lt;/D&gt;&lt;D xsi:type="xsd:long"&gt;45663&lt;/D&gt;&lt;D xsi:type="xsd:long"&gt;45660&lt;/D&gt;&lt;D xsi:type="xsd:long"&gt;45659&lt;/D&gt;&lt;D xsi:type="xsd:long"&gt;45657&lt;/D&gt;&lt;D xsi:type="xsd:long"&gt;45656&lt;/D&gt;&lt;D xsi:type="xsd:long"&gt;45653&lt;/D&gt;&lt;D xsi:type="xsd:long"&gt;45652&lt;/D&gt;&lt;D xsi:type="xsd:long"&gt;45650&lt;/D&gt;&lt;D xsi:type="xsd:long"&gt;45649&lt;/D&gt;&lt;D xsi:type="xsd:long"&gt;45646&lt;/D&gt;&lt;D xsi:type="xsd:long"&gt;45645&lt;/D&gt;&lt;D xsi:type="xsd:long"&gt;45644&lt;/D&gt;&lt;D xsi:type="xsd:long"&gt;45643&lt;/D&gt;&lt;D xsi:type="xsd:long"&gt;45642&lt;/D&gt;&lt;D xsi:type="xsd:long"&gt;45639&lt;/D&gt;&lt;D xsi:type="xsd:long"&gt;45638&lt;/D&gt;&lt;D xsi:type="xsd:long"&gt;45637&lt;/D&gt;&lt;D xsi:type="xsd:long"&gt;45636&lt;/D&gt;&lt;D xsi:type="xsd:long"&gt;45635&lt;/D&gt;&lt;D xsi:type="xsd:long"&gt;45632&lt;/D&gt;&lt;D xsi:type="xsd:long"&gt;45631&lt;/D&gt;&lt;D xsi:type="xsd:long"&gt;45630&lt;/D&gt;&lt;D xsi:type="xsd:long"&gt;45629&lt;/D&gt;&lt;D xsi:type="xsd:long"&gt;45628&lt;/D&gt;&lt;D xsi:type="xsd:long"&gt;45625&lt;/D&gt;&lt;D xsi:type="xsd:long"&gt;45623&lt;/D&gt;&lt;D xsi:type="xsd:long"&gt;45622&lt;/D&gt;&lt;D xsi:type="xsd:long"&gt;45621&lt;/D&gt;&lt;D xsi:type="xsd:long"&gt;45618&lt;/D&gt;&lt;D xsi:type="xsd:long"&gt;45617&lt;/D&gt;&lt;D xsi:type="xsd:long"&gt;45616&lt;/D&gt;&lt;D xsi:type="xsd:long"&gt;45615&lt;/D&gt;&lt;D xsi:type="xsd:long"&gt;45614&lt;/D&gt;&lt;D xsi:type="xsd:long"&gt;45611&lt;/D&gt;&lt;D xsi:type="xsd:long"&gt;45610&lt;/D&gt;&lt;D xsi:type="xsd:long"&gt;45609&lt;/D&gt;&lt;D xsi:type="xsd:long"&gt;45608&lt;/D&gt;&lt;D xsi:type="xsd:long"&gt;45607&lt;/D&gt;&lt;D xsi:type="xsd:long"&gt;45604&lt;/D&gt;&lt;D xsi:type="xsd:long"&gt;45603&lt;/D&gt;&lt;D xsi:type="xsd:long"&gt;45602&lt;/D&gt;&lt;D xsi:type="xsd:long"&gt;45601&lt;/D&gt;&lt;D xsi:type="xsd:long"&gt;45600&lt;/D&gt;&lt;D xsi:type="xsd:long"&gt;45597&lt;/D&gt;&lt;D xsi:type="xsd:long"&gt;45596&lt;/D&gt;&lt;D xsi:type="xsd:long"&gt;45595&lt;/D&gt;&lt;D xsi:type="xsd:long"&gt;45594&lt;/D&gt;&lt;D xsi:type="xsd:long"&gt;45593&lt;/D&gt;&lt;D xsi:type="xsd:long"&gt;45590&lt;/D&gt;&lt;D xsi:type="xsd:long"&gt;45589&lt;/D&gt;&lt;D xsi:type="xsd:long"&gt;45588&lt;/D&gt;&lt;D xsi:type="xsd:long"&gt;45587&lt;/D&gt;&lt;D xsi:type="xsd:long"&gt;45586&lt;/D&gt;&lt;D xsi:type="xsd:long"&gt;45583&lt;/D&gt;&lt;D xsi:type="xsd:long"&gt;45582&lt;/D&gt;&lt;D xsi:type="xsd:long"&gt;45581&lt;/D&gt;&lt;D xsi:type="xsd:long"&gt;45580&lt;/D&gt;&lt;D xsi:type="xsd:long"&gt;45579&lt;/D&gt;&lt;D xsi:type="xsd:long"&gt;45576&lt;/D&gt;&lt;D xsi:type="xsd:long"&gt;45575&lt;/D&gt;&lt;D xsi:type="xsd:long"&gt;45574&lt;/D&gt;&lt;D xsi:type="xsd:long"&gt;45573&lt;/D&gt;&lt;D xsi:type="xsd:long"&gt;45572&lt;/D&gt;&lt;D xsi:type="xsd:long"&gt;45569&lt;/D&gt;&lt;D xsi:type="xsd:long"&gt;45568&lt;/D&gt;&lt;D xsi:type="xsd:long"&gt;45567&lt;/D&gt;&lt;D xsi:type="xsd:long"&gt;45566&lt;/D&gt;&lt;D xsi:type="xsd:long"&gt;45565&lt;/D&gt;&lt;D xsi:type="xsd:long"&gt;45562&lt;/D&gt;&lt;D xsi:type="xsd:long"&gt;45561&lt;/D&gt;&lt;D xsi:type="xsd:long"&gt;45560&lt;/D&gt;&lt;D xsi:type="xsd:long"&gt;45559&lt;/D&gt;&lt;D xsi:type="xsd:long"&gt;45558&lt;/D&gt;&lt;D xsi:type="xsd:long"&gt;45555&lt;/D&gt;&lt;D xsi:type="xsd:long"&gt;45554&lt;/D&gt;&lt;D xsi:type="xsd:long"&gt;45553&lt;/D&gt;&lt;D xsi:type="xsd:long"&gt;45552&lt;/D&gt;&lt;D xsi:type="xsd:long"&gt;45551&lt;/D&gt;&lt;D xsi:type="xsd:long"&gt;45548&lt;/D&gt;&lt;D xsi:type="xsd:long"&gt;45547&lt;/D&gt;&lt;D xsi:type="xsd:long"&gt;45546&lt;/D&gt;&lt;D xsi:type="xsd:long"&gt;45545&lt;/D&gt;&lt;D xsi:type="xsd:long"&gt;45544&lt;/D&gt;&lt;D xsi:type="xsd:long"&gt;45541&lt;/D&gt;&lt;D xsi:type="xsd:long"&gt;45540&lt;/D&gt;&lt;D xsi:type="xsd:long"&gt;45539&lt;/D&gt;&lt;D xsi:type="xsd:long"&gt;45538&lt;/D&gt;&lt;D xsi:type="xsd:long"&gt;45534&lt;/D&gt;&lt;D xsi:type="xsd:long"&gt;45533&lt;/D&gt;&lt;D xsi:type="xsd:long"&gt;45532&lt;/D&gt;&lt;D xsi:type="xsd:long"&gt;45531&lt;/D&gt;&lt;D xsi:type="xsd:long"&gt;45530&lt;/D&gt;&lt;D xsi:type="xsd:long"&gt;45527&lt;/D&gt;&lt;D xsi:type="xsd:long"&gt;45526&lt;/D&gt;&lt;D xsi:type="xsd:long"&gt;45525&lt;/D&gt;&lt;D xsi:type="xsd:long"&gt;45524&lt;/D&gt;&lt;D xsi:type="xsd:long"&gt;45523&lt;/D&gt;&lt;D xsi:type="xsd:long"&gt;45520&lt;/D&gt;&lt;D xsi:type="xsd:long"&gt;45519&lt;/D&gt;&lt;D xsi:type="xsd:long"&gt;45518&lt;/D&gt;&lt;D xsi:type="xsd:long"&gt;45517&lt;/D&gt;&lt;D xsi:type="xsd:long"&gt;45516&lt;/D&gt;&lt;D xsi:type="xsd:long"&gt;45513&lt;/D&gt;&lt;D xsi:type="xsd:long"&gt;45512&lt;/D&gt;&lt;D xsi:type="xsd:long"&gt;45511&lt;/D&gt;&lt;D xsi:type="xsd:long"&gt;45510&lt;/D&gt;&lt;D xsi:type="xsd:long"&gt;45509&lt;/D&gt;&lt;D xsi:type="xsd:long"&gt;45506&lt;/D&gt;&lt;D xsi:type="xsd:long"&gt;45505&lt;/D&gt;&lt;D xsi:type="xsd:long"&gt;45504&lt;/D&gt;&lt;D xsi:type="xsd:long"&gt;45503&lt;/D&gt;&lt;D xsi:type="xsd:long"&gt;45502&lt;/D&gt;&lt;D xsi:type="xsd:long"&gt;45499&lt;/D&gt;&lt;D xsi:type="xsd:long"&gt;45498&lt;/D&gt;&lt;D xsi:type="xsd:long"&gt;45497&lt;/D&gt;&lt;D xsi:type="xsd:long"&gt;45496&lt;/D&gt;&lt;D xsi:type="xsd:long"&gt;45495&lt;/D&gt;&lt;D xsi:type="xsd:long"&gt;45492&lt;/D&gt;&lt;D xsi:type="xsd:long"&gt;45491&lt;/D&gt;&lt;D xsi:type="xsd:long"&gt;45490&lt;/D&gt;&lt;D xsi:type="xsd:long"&gt;45489&lt;/D&gt;&lt;D xsi:type="xsd:long"&gt;45488&lt;/D&gt;&lt;D xsi:type="xsd:long"&gt;45485&lt;/D&gt;&lt;D xsi:type="xsd:long"&gt;45484&lt;/D&gt;&lt;D xsi:type="xsd:long"&gt;45483&lt;/D&gt;&lt;D xsi:type="xsd:long"&gt;45482&lt;/D&gt;&lt;D xsi:type="xsd:long"&gt;45481&lt;/D&gt;&lt;D xsi:type="xsd:long"&gt;45478&lt;/D&gt;&lt;D xsi:type="xsd:long"&gt;45476&lt;/D&gt;&lt;D xsi:type="xsd:long"&gt;45475&lt;/D&gt;&lt;D xsi:type="xsd:long"&gt;45474&lt;/D&gt;&lt;D xsi:type="xsd:long"&gt;45471&lt;/D&gt;&lt;D xsi:type="xsd:long"&gt;45470&lt;/D&gt;&lt;D xsi:type="xsd:long"&gt;45469&lt;/D&gt;&lt;D xsi:type="xsd:long"&gt;45468&lt;/D&gt;&lt;D xsi:type="xsd:long"&gt;45467&lt;/D&gt;&lt;D xsi:type="xsd:long"&gt;45464&lt;/D&gt;&lt;D xsi:type="xsd:long"&gt;45463&lt;/D&gt;&lt;D xsi:type="xsd:long"&gt;45461&lt;/D&gt;&lt;D xsi:type="xsd:long"&gt;45460&lt;/D&gt;&lt;D xsi:type="xsd:long"&gt;45457&lt;/D&gt;&lt;D xsi:type="xsd:long"&gt;45456&lt;/D&gt;&lt;D xsi:type="xsd:long"&gt;45455&lt;/D&gt;&lt;D xsi:type="xsd:long"&gt;45454&lt;/D&gt;&lt;D xsi:type="xsd:long"&gt;45453&lt;/D&gt;&lt;D xsi:type="xsd:long"&gt;45450&lt;/D&gt;&lt;D xsi:type="xsd:long"&gt;45449&lt;/D&gt;&lt;D xsi:type="xsd:long"&gt;45448&lt;/D&gt;&lt;D xsi:type="xsd:long"&gt;45447&lt;/D&gt;&lt;D xsi:type="xsd:long"&gt;45446&lt;/D&gt;&lt;D xsi:type="xsd:long"&gt;45443&lt;/D&gt;&lt;D xsi:type="xsd:long"&gt;45442&lt;/D&gt;&lt;D xsi:type="xsd:long"&gt;45441&lt;/D&gt;&lt;D xsi:type="xsd:long"&gt;45440&lt;/D&gt;&lt;D xsi:type="xsd:long"&gt;45436&lt;/D&gt;&lt;D xsi:type="xsd:long"&gt;45435&lt;/D&gt;&lt;D xsi:type="xsd:long"&gt;45434&lt;/D&gt;&lt;D xsi:type="xsd:long"&gt;45433&lt;/D&gt;&lt;D xsi:type="xsd:long"&gt;45432&lt;/D&gt;&lt;D xsi:type="xsd:long"&gt;45429&lt;/D&gt;&lt;D xsi:type="xsd:long"&gt;45428&lt;/D&gt;&lt;D xsi:type="xsd:long"&gt;45427&lt;/D&gt;&lt;D xsi:type="xsd:long"&gt;45426&lt;/D&gt;&lt;D xsi:type="xsd:long"&gt;45425&lt;/D&gt;&lt;D xsi:type="xsd:long"&gt;45422&lt;/D&gt;&lt;D xsi:type="xsd:long"&gt;45421&lt;/D&gt;&lt;D xsi:type="xsd:long"&gt;45420&lt;/D&gt;&lt;D xsi:type="xsd:long"&gt;45419&lt;/D&gt;&lt;D xsi:type="xsd:long"&gt;45418&lt;/D&gt;&lt;D xsi:type="xsd:long"&gt;45415&lt;/D&gt;&lt;D xsi:type="xsd:long"&gt;</t>
        </r>
      </text>
    </comment>
    <comment ref="A38" authorId="0" shapeId="0">
      <text>
        <r>
          <rPr>
            <b/>
            <sz val="9"/>
            <color indexed="81"/>
            <rFont val="Tahoma"/>
            <family val="2"/>
          </rPr>
          <t>45414&lt;/D&gt;&lt;D xsi:type="xsd:long"&gt;45413&lt;/D&gt;&lt;D xsi:type="xsd:long"&gt;45412&lt;/D&gt;&lt;D xsi:type="xsd:long"&gt;45411&lt;/D&gt;&lt;D xsi:type="xsd:long"&gt;45408&lt;/D&gt;&lt;D xsi:type="xsd:long"&gt;45407&lt;/D&gt;&lt;D xsi:type="xsd:long"&gt;45406&lt;/D&gt;&lt;D xsi:type="xsd:long"&gt;45405&lt;/D&gt;&lt;D xsi:type="xsd:long"&gt;45404&lt;/D&gt;&lt;D xsi:type="xsd:long"&gt;45401&lt;/D&gt;&lt;D xsi:type="xsd:long"&gt;45400&lt;/D&gt;&lt;D xsi:type="xsd:long"&gt;45399&lt;/D&gt;&lt;D xsi:type="xsd:long"&gt;45398&lt;/D&gt;&lt;D xsi:type="xsd:long"&gt;45397&lt;/D&gt;&lt;D xsi:type="xsd:long"&gt;45394&lt;/D&gt;&lt;D xsi:type="xsd:long"&gt;45393&lt;/D&gt;&lt;D xsi:type="xsd:long"&gt;45392&lt;/D&gt;&lt;D xsi:type="xsd:long"&gt;45391&lt;/D&gt;&lt;D xsi:type="xsd:long"&gt;45390&lt;/D&gt;&lt;D xsi:type="xsd:long"&gt;45387&lt;/D&gt;&lt;D xsi:type="xsd:long"&gt;45386&lt;/D&gt;&lt;D xsi:type="xsd:long"&gt;45385&lt;/D&gt;&lt;D xsi:type="xsd:long"&gt;45384&lt;/D&gt;&lt;D xsi:type="xsd:long"&gt;45383&lt;/D&gt;&lt;D xsi:type="xsd:long"&gt;45379&lt;/D&gt;&lt;D xsi:type="xsd:long"&gt;45378&lt;/D&gt;&lt;D xsi:type="xsd:long"&gt;45377&lt;/D&gt;&lt;D xsi:type="xsd:long"&gt;45376&lt;/D&gt;&lt;D xsi:type="xsd:long"&gt;45373&lt;/D&gt;&lt;D xsi:type="xsd:long"&gt;45372&lt;/D&gt;&lt;D xsi:type="xsd:long"&gt;45371&lt;/D&gt;&lt;D xsi:type="xsd:long"&gt;45370&lt;/D&gt;&lt;D xsi:type="xsd:long"&gt;45369&lt;/D&gt;&lt;D xsi:type="xsd:long"&gt;45366&lt;/D&gt;&lt;D xsi:type="xsd:long"&gt;45365&lt;/D&gt;&lt;D xsi:type="xsd:long"&gt;45364&lt;/D&gt;&lt;D xsi:type="xsd:long"&gt;45363&lt;/D&gt;&lt;D xsi:type="xsd:long"&gt;45362&lt;/D&gt;&lt;D xsi:type="xsd:long"&gt;45359&lt;/D&gt;&lt;D xsi:type="xsd:long"&gt;45358&lt;/D&gt;&lt;D xsi:type="xsd:long"&gt;45357&lt;/D&gt;&lt;D xsi:type="xsd:long"&gt;45356&lt;/D&gt;&lt;D xsi:type="xsd:long"&gt;45355&lt;/D&gt;&lt;D xsi:type="xsd:long"&gt;45352&lt;/D&gt;&lt;D xsi:type="xsd:long"&gt;45351&lt;/D&gt;&lt;D xsi:type="xsd:long"&gt;45350&lt;/D&gt;&lt;D xsi:type="xsd:long"&gt;45349&lt;/D&gt;&lt;D xsi:type="xsd:long"&gt;45348&lt;/D&gt;&lt;D xsi:type="xsd:long"&gt;45345&lt;/D&gt;&lt;D xsi:type="xsd:long"&gt;45344&lt;/D&gt;&lt;D xsi:type="xsd:long"&gt;45343&lt;/D&gt;&lt;D xsi:type="xsd:long"&gt;45342&lt;/D&gt;&lt;D xsi:type="xsd:long"&gt;45338&lt;/D&gt;&lt;D xsi:type="xsd:long"&gt;45337&lt;/D&gt;&lt;D xsi:type="xsd:long"&gt;45336&lt;/D&gt;&lt;D xsi:type="xsd:long"&gt;45335&lt;/D&gt;&lt;D xsi:type="xsd:long"&gt;45334&lt;/D&gt;&lt;D xsi:type="xsd:long"&gt;45331&lt;/D&gt;&lt;D xsi:type="xsd:long"&gt;45330&lt;/D&gt;&lt;D xsi:type="xsd:long"&gt;45329&lt;/D&gt;&lt;D xsi:type="xsd:long"&gt;45328&lt;/D&gt;&lt;D xsi:type="xsd:long"&gt;45327&lt;/D&gt;&lt;D xsi:type="xsd:long"&gt;45324&lt;/D&gt;&lt;D xsi:type="xsd:long"&gt;45323&lt;/D&gt;&lt;D xsi:type="xsd:long"&gt;45322&lt;/D&gt;&lt;D xsi:type="xsd:long"&gt;45321&lt;/D&gt;&lt;D xsi:type="xsd:long"&gt;45320&lt;/D&gt;&lt;D xsi:type="xsd:long"&gt;45317&lt;/D&gt;&lt;D xsi:type="xsd:long"&gt;45316&lt;/D&gt;&lt;D xsi:type="xsd:long"&gt;45315&lt;/D&gt;&lt;D xsi:type="xsd:long"&gt;45314&lt;/D&gt;&lt;D xsi:type="xsd:long"&gt;45313&lt;/D&gt;&lt;D xsi:type="xsd:long"&gt;45310&lt;/D&gt;&lt;D xsi:type="xsd:long"&gt;45309&lt;/D&gt;&lt;D xsi:type="xsd:long"&gt;45308&lt;/D&gt;&lt;D xsi:type="xsd:long"&gt;45307&lt;/D&gt;&lt;D xsi:type="xsd:long"&gt;45303&lt;/D&gt;&lt;D xsi:type="xsd:long"&gt;45302&lt;/D&gt;&lt;D xsi:type="xsd:long"&gt;45301&lt;/D&gt;&lt;D xsi:type="xsd:long"&gt;45300&lt;/D&gt;&lt;D xsi:type="xsd:long"&gt;45299&lt;/D&gt;&lt;D xsi:type="xsd:long"&gt;45296&lt;/D&gt;&lt;D xsi:type="xsd:long"&gt;45295&lt;/D&gt;&lt;D xsi:type="xsd:long"&gt;45294&lt;/D&gt;&lt;D xsi:type="xsd:long"&gt;45293&lt;/D&gt;&lt;D xsi:type="xsd:long"&gt;45289&lt;/D&gt;&lt;D xsi:type="xsd:long"&gt;45288&lt;/D&gt;&lt;D xsi:type="xsd:long"&gt;45287&lt;/D&gt;&lt;D xsi:type="xsd:long"&gt;45286&lt;/D&gt;&lt;D xsi:type="xsd:long"&gt;45282&lt;/D&gt;&lt;D xsi:type="xsd:long"&gt;45281&lt;/D&gt;&lt;D xsi:type="xsd:long"&gt;45280&lt;/D&gt;&lt;D xsi:type="xsd:long"&gt;45279&lt;/D&gt;&lt;D xsi:type="xsd:long"&gt;45278&lt;/D&gt;&lt;D xsi:type="xsd:long"&gt;45275&lt;/D&gt;&lt;D xsi:type="xsd:long"&gt;45274&lt;/D&gt;&lt;D xsi:type="xsd:long"&gt;45273&lt;/D&gt;&lt;D xsi:type="xsd:long"&gt;45272&lt;/D&gt;&lt;D xsi:type="xsd:long"&gt;45271&lt;/D&gt;&lt;D xsi:type="xsd:long"&gt;45268&lt;/D&gt;&lt;D xsi:type="xsd:long"&gt;45267&lt;/D&gt;&lt;D xsi:type="xsd:long"&gt;45266&lt;/D&gt;&lt;D xsi:type="xsd:long"&gt;45265&lt;/D&gt;&lt;D xsi:type="xsd:long"&gt;45264&lt;/D&gt;&lt;D xsi:type="xsd:long"&gt;45261&lt;/D&gt;&lt;D xsi:type="xsd:long"&gt;45260&lt;/D&gt;&lt;D xsi:type="xsd:long"&gt;45259&lt;/D&gt;&lt;D xsi:type="xsd:long"&gt;45258&lt;/D&gt;&lt;D xsi:type="xsd:long"&gt;45257&lt;/D&gt;&lt;D xsi:type="xsd:long"&gt;45254&lt;/D&gt;&lt;D xsi:type="xsd:long"&gt;45252&lt;/D&gt;&lt;D xsi:type="xsd:long"&gt;45251&lt;/D&gt;&lt;D xsi:type="xsd:long"&gt;45250&lt;/D&gt;&lt;D xsi:type="xsd:long"&gt;45247&lt;/D&gt;&lt;D xsi:type="xsd:long"&gt;45246&lt;/D&gt;&lt;D xsi:type="xsd:long"&gt;45245&lt;/D&gt;&lt;D xsi:type="xsd:long"&gt;45244&lt;/D&gt;&lt;D xsi:type="xsd:long"&gt;45243&lt;/D&gt;&lt;D xsi:type="xsd:long"&gt;45240&lt;/D&gt;&lt;D xsi:type="xsd:long"&gt;45239&lt;/D&gt;&lt;D xsi:type="xsd:long"&gt;45238&lt;/D&gt;&lt;D xsi:type="xsd:long"&gt;45237&lt;/D&gt;&lt;D xsi:type="xsd:long"&gt;45236&lt;/D&gt;&lt;D xsi:type="xsd:long"&gt;45233&lt;/D&gt;&lt;D xsi:type="xsd:long"&gt;45232&lt;/D&gt;&lt;D xsi:type="xsd:long"&gt;45231&lt;/D&gt;&lt;D xsi:type="xsd:long"&gt;45230&lt;/D&gt;&lt;D xsi:type="xsd:long"&gt;45229&lt;/D&gt;&lt;D xsi:type="xsd:long"&gt;45226&lt;/D&gt;&lt;D xsi:type="xsd:long"&gt;45225&lt;/D&gt;&lt;D xsi:type="xsd:long"&gt;45224&lt;/D&gt;&lt;D xsi:type="xsd:long"&gt;45223&lt;/D&gt;&lt;D xsi:type="xsd:long"&gt;45222&lt;/D&gt;&lt;D xsi:type="xsd:long"&gt;45219&lt;/D&gt;&lt;D xsi:type="xsd:long"&gt;45218&lt;/D&gt;&lt;D xsi:type="xsd:long"&gt;45217&lt;/D&gt;&lt;D xsi:type="xsd:long"&gt;45216&lt;/D&gt;&lt;D xsi:type="xsd:long"&gt;45215&lt;/D&gt;&lt;D xsi:type="xsd:long"&gt;45212&lt;/D&gt;&lt;D xsi:type="xsd:long"&gt;45211&lt;/D&gt;&lt;D xsi:type="xsd:long"&gt;45210&lt;/D&gt;&lt;D xsi:type="xsd:long"&gt;45209&lt;/D&gt;&lt;D xsi:type="xsd:long"&gt;45208&lt;/D&gt;&lt;D xsi:type="xsd:long"&gt;45205&lt;/D&gt;&lt;D xsi:type="xsd:long"&gt;45204&lt;/D&gt;&lt;D xsi:type="xsd:long"&gt;45203&lt;/D&gt;&lt;D xsi:type="xsd:long"&gt;45202&lt;/D&gt;&lt;D xsi:type="xsd:long"&gt;45201&lt;/D&gt;&lt;D xsi:type="xsd:long"&gt;45198&lt;/D&gt;&lt;D xsi:type="xsd:long"&gt;45197&lt;/D&gt;&lt;D xsi:type="xsd:long"&gt;45196&lt;/D&gt;&lt;D xsi:type="xsd:long"&gt;45195&lt;/D&gt;&lt;D xsi:type="xsd:long"&gt;45194&lt;/D&gt;&lt;D xsi:type="xsd:long"&gt;45191&lt;/D&gt;&lt;D xsi:type="xsd:long"&gt;45190&lt;/D&gt;&lt;D xsi:type="xsd:long"&gt;45189&lt;/D&gt;&lt;D xsi:type="xsd:long"&gt;45188&lt;/D&gt;&lt;D xsi:type="xsd:long"&gt;45187&lt;/D&gt;&lt;D xsi:type="xsd:long"&gt;45184&lt;/D&gt;&lt;D xsi:type="xsd:long"&gt;45183&lt;/D&gt;&lt;D xsi:type="xsd:long"&gt;45182&lt;/D&gt;&lt;D xsi:type="xsd:long"&gt;45181&lt;/D&gt;&lt;D xsi:type="xsd:long"&gt;45180&lt;/D&gt;&lt;D xsi:type="xsd:long"&gt;45177&lt;/D&gt;&lt;D xsi:type="xsd:long"&gt;45176&lt;/D&gt;&lt;D xsi:type="xsd:long"&gt;45175&lt;/D&gt;&lt;D xsi:type="xsd:long"&gt;45174&lt;/D&gt;&lt;D xsi:type="xsd:long"&gt;45170&lt;/D&gt;&lt;D xsi:type="xsd:long"&gt;45169&lt;/D&gt;&lt;D xsi:type="xsd:long"&gt;45168&lt;/D&gt;&lt;D xsi:type="xsd:long"&gt;45167&lt;/D&gt;&lt;D xsi:type="xsd:long"&gt;45166&lt;/D&gt;&lt;D xsi:type="xsd:long"&gt;45163&lt;/D&gt;&lt;D xsi:type="xsd:long"&gt;45162&lt;/D&gt;&lt;D xsi:type="xsd:long"&gt;45161&lt;/D&gt;&lt;D xsi:type="xsd:long"&gt;45160&lt;/D&gt;&lt;D xsi:type="xsd:long"&gt;45159&lt;/D&gt;&lt;D xsi:type="xsd:long"&gt;45156&lt;/D&gt;&lt;D xsi:type="xsd:long"&gt;45155&lt;/D&gt;&lt;D xsi:type="xsd:long"&gt;45154&lt;/D&gt;&lt;D xsi:type="xsd:long"&gt;45153&lt;/D&gt;&lt;D xsi:type="xsd:long"&gt;45152&lt;/D&gt;&lt;D xsi:type="xsd:long"&gt;45149&lt;/D&gt;&lt;D xsi:type="xsd:long"&gt;45148&lt;/D&gt;&lt;D xsi:type="xsd:long"&gt;45147&lt;/D&gt;&lt;D xsi:type="xsd:long"&gt;45146&lt;/D&gt;&lt;D xsi:type="xsd:long"&gt;45145&lt;/D&gt;&lt;D xsi:type="xsd:long"&gt;45142&lt;/D&gt;&lt;D xsi:type="xsd:long"&gt;45141&lt;/D&gt;&lt;D xsi:type="xsd:long"&gt;45140&lt;/D&gt;&lt;D xsi:type="xsd:long"&gt;45139&lt;/D&gt;&lt;D xsi:type="xsd:long"&gt;45138&lt;/D&gt;&lt;D xsi:type="xsd:long"&gt;45135&lt;/D&gt;&lt;D xsi:type="xsd:long"&gt;45134&lt;/D&gt;&lt;D xsi:type="xsd:long"&gt;45133&lt;/D&gt;&lt;D xsi:type="xsd:long"&gt;45132&lt;/D&gt;&lt;D xsi:type="xsd:long"&gt;45131&lt;/D&gt;&lt;D xsi:type="xsd:long"&gt;45128&lt;/D&gt;&lt;D xsi:type="xsd:long"&gt;45127&lt;/D&gt;&lt;D xsi:type="xsd:long"&gt;45126&lt;/D&gt;&lt;D xsi:type="xsd:long"&gt;45125&lt;/D&gt;&lt;D xsi:type="xsd:long"&gt;45124&lt;/D&gt;&lt;D xsi:type="xsd:long"&gt;45121&lt;/D&gt;&lt;D xsi:type="xsd:long"&gt;45120&lt;/D&gt;&lt;D xsi:type="xsd:long"&gt;45119&lt;/D&gt;&lt;D xsi:type="xsd:long"&gt;45118&lt;/D&gt;&lt;D xsi:type="xsd:long"&gt;45117&lt;/D&gt;&lt;D xsi:type="xsd:long"&gt;45114&lt;/D&gt;&lt;D xsi:type="xsd:long"&gt;45113&lt;/D&gt;&lt;D xsi:type="xsd:long"&gt;45112&lt;/D&gt;&lt;D xsi:type="xsd:long"&gt;45110&lt;/D&gt;&lt;D xsi:type="xsd:long"&gt;45107&lt;/D&gt;&lt;D xsi:type="xsd:long"&gt;45106&lt;/D&gt;&lt;D xsi:type="xsd:long"&gt;45105&lt;/D&gt;&lt;D xsi:type="xsd:long"&gt;45104&lt;/D&gt;&lt;D xsi:type="xsd:long"&gt;45103&lt;/D&gt;&lt;D xsi:type="xsd:long"&gt;45100&lt;/D&gt;&lt;D xsi:type="xsd:long"&gt;45099&lt;/D&gt;&lt;D xsi:type="xsd:long"&gt;45098&lt;/D&gt;&lt;D xsi:type="xsd:long"&gt;45097&lt;/D&gt;&lt;D xsi:type="xsd:long"&gt;45093&lt;/D&gt;&lt;D xsi:type="xsd:long"&gt;45092&lt;/D&gt;&lt;D xsi:type="xsd:long"&gt;45091&lt;/D&gt;&lt;D xsi:type="xsd:long"&gt;45090&lt;/D&gt;&lt;D xsi:type="xsd:long"&gt;45089&lt;/D&gt;&lt;D xsi:type="xsd:long"&gt;45086&lt;/D&gt;&lt;D xsi:type="xsd:long"&gt;45085&lt;/D&gt;&lt;D xsi:type="xsd:long"&gt;45084&lt;/D&gt;&lt;D xsi:type="xsd:long"&gt;45083&lt;/D&gt;&lt;D xsi:type="xsd:long"&gt;45082&lt;/D&gt;&lt;D xsi:type="xsd:long"&gt;45079&lt;/D&gt;&lt;D xsi:type="xsd:long"&gt;45078&lt;/D&gt;&lt;D xsi:type="xsd:long"&gt;45077&lt;/D&gt;&lt;D xsi:type="xsd:long"&gt;45076&lt;/D&gt;&lt;D xsi:type="xsd:long"&gt;45072&lt;/D&gt;&lt;D xsi:type="xsd:long"&gt;45071&lt;/D&gt;&lt;D xsi:type="xsd:long"&gt;45070&lt;/D&gt;&lt;D xsi:type="xsd:long"&gt;45069&lt;/D&gt;&lt;D xsi:type="xsd:long"&gt;45068&lt;/D&gt;&lt;D xsi:type="xsd:long"&gt;45065&lt;/D&gt;&lt;D xsi:type="xsd:long"&gt;45064&lt;/D&gt;&lt;D xsi:type="xsd:long"&gt;45063&lt;/D&gt;&lt;D xsi:type="xsd:long"&gt;45062&lt;/D&gt;&lt;D xsi:type="xsd:long"&gt;45061&lt;/D&gt;&lt;D xsi:type="xsd:long"&gt;45058&lt;/D&gt;&lt;D xsi:type="xsd:long"&gt;45057&lt;/D&gt;&lt;D xsi:type="xsd:long"&gt;45056&lt;/D&gt;&lt;D xsi:type="xsd:long"&gt;45055&lt;/D&gt;&lt;D xsi:type="xsd:long"&gt;45054&lt;/D&gt;&lt;D xsi:type="xsd:long"&gt;45051&lt;/D&gt;&lt;D xsi:type="xsd:long"&gt;45050&lt;/D&gt;&lt;D xsi:type="xsd:long"&gt;45049&lt;/D&gt;&lt;D xsi:type="xsd:long"&gt;45048&lt;/D&gt;&lt;D xsi:type="xsd:long"&gt;45047&lt;/D&gt;&lt;D xsi:type="xsd:long"&gt;45044&lt;/D&gt;&lt;D xsi:type="xsd:long"&gt;45043&lt;/D&gt;&lt;D xsi:type="xsd:long"&gt;45042&lt;/D&gt;&lt;D xsi:type="xsd:long"&gt;45041&lt;/D&gt;&lt;D xsi:type="xsd:long"&gt;45040&lt;/D&gt;&lt;D xsi:type="xsd:long"&gt;45037&lt;/D&gt;&lt;D xsi:type="xsd:long"&gt;45036&lt;/D&gt;&lt;D xsi:type="xsd:long"&gt;45035&lt;/D&gt;&lt;D xsi:type="xsd:long"&gt;45034&lt;/D&gt;&lt;D xsi:type="xsd:long"&gt;45033&lt;/D&gt;&lt;D xsi:type="xsd:long"&gt;45030&lt;/D&gt;&lt;D xsi:type="xsd:long"&gt;45029&lt;/D&gt;&lt;D xsi:type="xsd:long"&gt;45028&lt;/D&gt;&lt;D xsi:type="xsd:long"&gt;45027&lt;/D&gt;&lt;D xsi:type="xsd:long"&gt;45026&lt;/D&gt;&lt;D xsi:type="xsd:long"&gt;45022&lt;/D&gt;&lt;D xsi:type="xsd:long"&gt;45021&lt;/D&gt;&lt;D xsi:type="xsd:long"&gt;45020&lt;/D&gt;&lt;D xsi:type="xsd:long"&gt;45019&lt;/D&gt;&lt;D xsi:type="xsd:long"&gt;45016&lt;/D&gt;&lt;D xsi:type="xsd:long"&gt;45015&lt;/D&gt;&lt;D xsi:type="xsd:long"&gt;45014&lt;/D&gt;&lt;D xsi:type="xsd:long"&gt;45013&lt;/D&gt;&lt;D xsi:type="xsd:long"&gt;45012&lt;/D&gt;&lt;D xsi:type="xsd:long"&gt;45009&lt;/D&gt;&lt;D xsi:type="xsd:long"&gt;45008&lt;/D&gt;&lt;D xsi:type="xsd:long"&gt;45007&lt;/D&gt;&lt;D xsi:type="xsd:long"&gt;45006&lt;/D&gt;&lt;D xsi:type="xsd:long"&gt;45005&lt;/D&gt;&lt;D xsi:type="xsd:long"&gt;45002&lt;/D&gt;&lt;D xsi:type="xsd:long"&gt;45001&lt;/D&gt;&lt;D xsi:type="xsd:long"&gt;45000&lt;/D&gt;&lt;D xsi:type="xsd:long"&gt;44999&lt;/D&gt;&lt;D xsi:type="xsd:long"&gt;44998&lt;/D&gt;&lt;D xsi:type="xsd:long"&gt;44995&lt;/D&gt;&lt;D xsi:type="xsd:long"&gt;44994&lt;/D&gt;&lt;D xsi:type="xsd:long"&gt;44993&lt;/D&gt;&lt;D xsi:type="xsd:long"&gt;44992&lt;/D&gt;&lt;D xsi:type="xsd:long"&gt;44991&lt;/D&gt;&lt;D xsi:type="xsd:long"&gt;44988&lt;/D&gt;&lt;D xsi:type="xsd:long"&gt;44987&lt;/D&gt;&lt;D xsi:type="xsd:long"&gt;44986&lt;/D&gt;&lt;D xsi:type="xsd:long"&gt;44985&lt;/D&gt;&lt;D xsi:type="xsd:long"&gt;44984&lt;/D&gt;&lt;D xsi:type="xsd:long"&gt;44981&lt;/D&gt;&lt;D xsi:type="xsd:long"&gt;44980&lt;/D&gt;&lt;D xsi:type="xsd:long"&gt;44979&lt;/D&gt;&lt;D xsi:type="xsd:long"&gt;44978&lt;/D&gt;&lt;D xsi:type="xsd:long"&gt;44974&lt;/D&gt;&lt;D xsi:type="xsd:long"&gt;44973&lt;/D&gt;&lt;D xsi:type="xsd:long"&gt;44972&lt;/D&gt;&lt;D xsi:type="xsd:long"&gt;44971&lt;/D&gt;&lt;D xsi:type="xsd:long"&gt;44970&lt;/D&gt;&lt;D xsi:type="xsd:long"&gt;44967&lt;/D&gt;&lt;D xsi:type="xsd:long"&gt;44966&lt;/D&gt;&lt;D xsi:type="xsd:long"&gt;44965&lt;/D&gt;&lt;D xsi:type="xsd:long"&gt;44964&lt;/D&gt;&lt;D xsi:type="xsd:long"&gt;44963&lt;/D&gt;&lt;D xsi:type="xsd:long"&gt;44960&lt;/D&gt;&lt;D xsi:type="xsd:long"&gt;44959&lt;/D&gt;&lt;D xsi:type="xsd:long"&gt;44958&lt;/D&gt;&lt;D xsi:type="xsd:long"&gt;44957&lt;/D&gt;&lt;D xsi:type="xsd:long"&gt;44956&lt;/D&gt;&lt;D xsi:type="xsd:long"&gt;44953&lt;/D&gt;&lt;D xsi:type="xsd:long"&gt;44952&lt;/D&gt;&lt;D xsi:type="xsd:long"&gt;44951&lt;/D&gt;&lt;D xsi:type="xsd:long"&gt;44950&lt;/D&gt;&lt;D xsi:type="xsd:long"&gt;44949&lt;/D&gt;&lt;D xsi:type="xsd:long"&gt;44946&lt;/D&gt;&lt;D xsi:type="xsd:long"&gt;44945&lt;/D&gt;&lt;D xsi:type="xsd:long"&gt;44944&lt;/D&gt;&lt;D xsi:type="xsd:long"&gt;44943&lt;/D&gt;&lt;D xsi:type="xsd:long"&gt;44939&lt;/D&gt;&lt;D xsi:type="xsd:long"&gt;44938&lt;/D&gt;&lt;D xsi:type="xsd:long"&gt;44937&lt;/D&gt;&lt;D xsi:type="xsd:long"&gt;44936&lt;/D&gt;&lt;D xsi:type="xsd:long"&gt;44935&lt;/D&gt;&lt;D xsi:type="xsd:long"&gt;44932&lt;/D&gt;&lt;D xsi:type="xsd:long"&gt;44931&lt;/D&gt;&lt;D xsi:type="xsd:long"&gt;44930&lt;/D&gt;&lt;D xsi:type="xsd:long"&gt;44929&lt;/D&gt;&lt;D xsi:type="xsd:long"&gt;44925&lt;/D&gt;&lt;D xsi:type="xsd:long"&gt;44924&lt;/D&gt;&lt;D xsi:type="xsd:long"&gt;44923&lt;/D&gt;&lt;D xsi:type="xsd:long"&gt;44922&lt;/D&gt;&lt;D xsi:type="xsd:long"&gt;44918&lt;/D&gt;&lt;D xsi:type="xsd:long"&gt;44917&lt;/D&gt;&lt;D xsi:type="xsd:long"&gt;44916&lt;/D&gt;&lt;D xsi:type="xsd:long"&gt;44915&lt;/D&gt;&lt;D xsi:type="xsd:long"&gt;44914&lt;/D&gt;&lt;D xsi:type="xsd:long"&gt;44911&lt;/D&gt;&lt;D xsi:type="xsd:long"&gt;44910&lt;/D&gt;&lt;D xsi:type="xsd:long"&gt;44909&lt;/D&gt;&lt;D xsi:type="xsd:long"&gt;44908&lt;/D&gt;&lt;D xsi:type="xsd:long"&gt;44907&lt;/D&gt;&lt;D xsi:type="xsd:long"&gt;44904&lt;/D&gt;&lt;D xsi:type="xsd:long"&gt;44903&lt;/D&gt;&lt;D xsi:type="xsd:long"&gt;44902&lt;/D&gt;&lt;D xsi:type="xsd:long"&gt;44901&lt;/D&gt;&lt;D xsi:type="xsd:long"&gt;44900&lt;/D&gt;&lt;D xsi:type="xsd:long"&gt;44897&lt;/D&gt;&lt;D xsi:type="xsd:long"&gt;44896&lt;/D&gt;&lt;D xsi:type="xsd:long"&gt;44895&lt;/D&gt;&lt;D xsi:type="xsd:long"&gt;44894&lt;/D&gt;&lt;D xsi:type="xsd:long"&gt;44893&lt;/D&gt;&lt;D xsi:type="xsd:long"&gt;44890&lt;/D&gt;&lt;D xsi:type="xsd:long"&gt;44888&lt;/D&gt;&lt;D xsi:type="xsd:long"&gt;44887&lt;/D&gt;&lt;D xsi:type="xsd:long"&gt;44886&lt;/D&gt;&lt;D xsi:type="xsd:long"&gt;44883&lt;/D&gt;&lt;D xsi:type="xsd:long"&gt;44882&lt;/D&gt;&lt;D xsi:type="xsd:long"&gt;44881&lt;/D&gt;&lt;D xsi:type="xsd:long"&gt;44880&lt;/D&gt;&lt;D xsi:type="xsd:long"&gt;44879&lt;/D&gt;&lt;D xsi:type="xsd:long"&gt;44876&lt;/D&gt;&lt;D xsi:type="xsd:long"&gt;44875&lt;/D&gt;&lt;D xsi:type="xsd:long"&gt;44874&lt;/D&gt;&lt;D xsi:type="xsd:long"&gt;44873&lt;/D&gt;&lt;D xsi:type="xsd:long"&gt;44872&lt;/D&gt;&lt;D xsi:type="xsd:long"&gt;44869&lt;/D&gt;&lt;D xsi:type="xsd:long"&gt;44868&lt;/D&gt;&lt;D xsi:type="xsd:long"&gt;44867&lt;/D&gt;&lt;D xsi:type="xsd:long"&gt;44866&lt;/D&gt;&lt;D xsi:type="xsd:long"&gt;44865&lt;/D&gt;&lt;D xsi:type="xsd:long"&gt;44862&lt;/D&gt;&lt;D xsi:type="xsd:long"&gt;44861&lt;/D&gt;&lt;D xsi:type="xsd:long"&gt;44860&lt;/D&gt;&lt;D xsi:type="xsd:long"&gt;44859&lt;/D&gt;&lt;D xsi:type="xsd:long"&gt;44858&lt;/D&gt;&lt;D xsi:type="xsd:long"&gt;44855&lt;/D&gt;&lt;D xsi:type="xsd:long"&gt;44854&lt;/D&gt;&lt;D xsi:type="xsd:long"&gt;44853&lt;/D&gt;&lt;D xsi:type="xsd:long"&gt;44852&lt;/D&gt;&lt;D xsi:type="xsd:long"&gt;44851&lt;/D&gt;&lt;D xsi:type="xsd:long"&gt;44848&lt;/D&gt;&lt;D xsi:type="xsd:long"&gt;44847&lt;/D&gt;&lt;D xsi:type="xsd:long"&gt;44846&lt;/D&gt;&lt;D xsi:type="xsd:long"&gt;44845&lt;/D&gt;&lt;D xsi:type="xsd:long"&gt;44844&lt;/D&gt;&lt;D xsi:type="xsd:long"&gt;44841&lt;/D&gt;&lt;D xsi:type="xsd:long"&gt;44840&lt;/D&gt;&lt;D xsi:type="xsd:long"&gt;44839&lt;/D&gt;&lt;D xsi:type="xsd:long"&gt;44838&lt;/D&gt;&lt;D xsi:type="xsd:long"&gt;44837&lt;/D&gt;&lt;D xsi:type="xsd:long"&gt;44834&lt;/D&gt;&lt;D xsi:type="xsd:long"&gt;44833&lt;/D&gt;&lt;D xsi:type="xsd:long"&gt;44832&lt;/D&gt;&lt;D xsi:type="xsd:long"&gt;44831&lt;/D&gt;&lt;D xsi:type="xsd:long"&gt;44830&lt;/D&gt;&lt;D xsi:type="xsd:long"&gt;44827&lt;/D&gt;&lt;D xsi:type="xsd:long"&gt;44826&lt;/D&gt;&lt;D xsi:type="xsd:long"&gt;44825&lt;/D&gt;&lt;D xsi:type="xsd:long"&gt;44824&lt;/D&gt;&lt;D xsi:type="xsd:long"&gt;44823&lt;/D&gt;&lt;D xsi:type="xsd:long"&gt;44820&lt;/D&gt;&lt;D xsi:type="xsd:long"&gt;44819&lt;/D&gt;&lt;D xsi:type="xsd:long"&gt;44818&lt;/D&gt;&lt;D xsi:type="xsd:long"&gt;44817&lt;/D&gt;&lt;D xsi:type="xsd:long"&gt;44816&lt;/D&gt;&lt;D xsi:type="xsd:long"&gt;44813&lt;/D&gt;&lt;D xsi:type="xsd:long"&gt;44812&lt;/D&gt;&lt;D xsi:type="xsd:long"&gt;44811&lt;/D&gt;&lt;D xsi:type="xsd:long"&gt;44810&lt;/D&gt;&lt;D xsi:type="xsd:long"&gt;44806&lt;/D&gt;&lt;D xsi:type="xsd:long"&gt;44805&lt;/D&gt;&lt;D xsi:type="xsd:long"&gt;44804&lt;/D&gt;&lt;D xsi:type="xsd:long"&gt;44803&lt;/D&gt;&lt;D xsi:type="xsd:long"&gt;44802&lt;/D&gt;&lt;D xsi:type="xsd:long"&gt;44799&lt;/D&gt;&lt;D xsi:type="xsd:long"&gt;44798&lt;/D&gt;&lt;D xsi:type="xsd:long"&gt;44797&lt;/D&gt;&lt;D xsi:type="xsd:long"&gt;44796&lt;/D&gt;&lt;D xsi:type="xsd:long"&gt;44795&lt;/D&gt;&lt;D xsi:type="xsd:long"&gt;44792&lt;/D&gt;&lt;D xsi:type="xsd:long"&gt;44791&lt;/D&gt;&lt;D xsi:type="xsd:long"&gt;44790&lt;/D&gt;&lt;D xsi:type="xsd:long"&gt;44789&lt;/D&gt;&lt;D xsi:type="xsd:long"&gt;44788&lt;/D&gt;&lt;D xsi:type="xsd:long"&gt;44785&lt;/D&gt;&lt;D xsi:type="xsd:long"&gt;44784&lt;/D&gt;&lt;D xsi:type="xsd:long"&gt;44783&lt;/D&gt;&lt;D xsi:type="xsd:long"&gt;44782&lt;/D&gt;&lt;D xsi:type="xsd:long"&gt;44781&lt;/D&gt;&lt;D xsi:type="xsd:long"&gt;44778&lt;/D&gt;&lt;D xsi:type="xsd:long"&gt;44777&lt;/D&gt;&lt;D xsi:type="xsd:long"&gt;44776&lt;/D&gt;&lt;D xsi:type="xsd:long"&gt;44775&lt;/D&gt;&lt;D xsi:type="xsd:long"&gt;44774&lt;/D&gt;&lt;D xsi:type="xsd:long"&gt;44771&lt;/D&gt;&lt;D xsi:type="xsd:long"&gt;44770&lt;/D&gt;&lt;D xsi:type="xsd:long"&gt;44769&lt;/D&gt;&lt;D xsi:type="xsd:long"&gt;44768&lt;/D&gt;&lt;D xsi:type="xsd:long"&gt;44767&lt;/D&gt;&lt;D xsi:type="xsd:long"&gt;44764&lt;/D&gt;&lt;D xsi:type="xsd:long"&gt;44763&lt;/D&gt;&lt;D xsi:type="xsd:long"&gt;44762&lt;/D&gt;&lt;D xsi:type="xsd:long"&gt;44761&lt;/D&gt;&lt;D xsi:type="xsd:long"&gt;44760&lt;/D&gt;&lt;D xsi:type="xsd:long"&gt;44757&lt;/D&gt;&lt;D xsi:type="xsd:long"&gt;44756&lt;/D&gt;&lt;D xsi:type="xsd:long"&gt;44755&lt;/D&gt;&lt;D xsi:type="xsd:long"&gt;44754&lt;/D&gt;&lt;D xsi:type="xsd:long"&gt;44753&lt;/D&gt;&lt;D xsi:type="xsd:long"&gt;44750&lt;/D&gt;&lt;D xsi:type="xsd:long"&gt;44749&lt;/D&gt;&lt;D xsi:type="xsd:long"&gt;44748&lt;/D&gt;&lt;D xsi:type="xsd:long"&gt;44747&lt;/D&gt;&lt;D xsi:type="xsd:long"&gt;44743&lt;/D&gt;&lt;D xsi:type="xsd:long"&gt;44742&lt;/D&gt;&lt;D xsi:type="xsd:long"&gt;44741&lt;/D&gt;&lt;D xsi:type="xsd:long"&gt;44740&lt;/D&gt;&lt;D xsi:type="xsd:long"&gt;44739&lt;/D&gt;&lt;D xsi:type="xsd:long"&gt;44736&lt;/D&gt;&lt;D xsi:type="xsd:long"&gt;44735&lt;/D&gt;&lt;D xsi:type="xsd:long"&gt;44734&lt;/D&gt;&lt;D xsi:type="xsd:long"&gt;44733&lt;/D&gt;&lt;D xsi:type="xsd:long"&gt;44729&lt;/D&gt;&lt;D xsi:type="xsd:long"&gt;44728&lt;/D&gt;&lt;D xsi:type="xsd:long"&gt;44727&lt;/D&gt;&lt;D xsi:type="xsd:long"&gt;44726&lt;/D&gt;&lt;D xsi:type="xsd:long"&gt;44725&lt;/D&gt;&lt;D xsi:type="xsd:long"&gt;44722&lt;/D&gt;&lt;D xsi:type="xsd:long"&gt;44721&lt;/D&gt;&lt;D xsi:type="xsd:long"&gt;44720&lt;/D&gt;&lt;D xsi:type="xsd:long"&gt;44719&lt;/D&gt;&lt;D xsi:type="xsd:long"&gt;44718&lt;/D&gt;&lt;D xsi:type="xsd:long"&gt;44715&lt;/D&gt;&lt;D xsi:type="xsd:long"&gt;44714&lt;/D&gt;&lt;D xsi:type="xsd:long"&gt;44713&lt;/D&gt;&lt;D xsi:type="xsd:long"&gt;44712&lt;/D&gt;&lt;D xsi:type="xsd:long"&gt;44708&lt;/D&gt;&lt;D xsi:type="xsd:long"&gt;44707&lt;/D&gt;&lt;D xsi:type="xsd:long"&gt;44706&lt;/D&gt;&lt;D xsi:type="xsd:long"&gt;44705&lt;/D&gt;&lt;D xsi:type="xsd:long"&gt;44704&lt;/D&gt;&lt;D xsi:type="xsd:long"&gt;44701&lt;/D&gt;&lt;D xsi:type="xsd:long"&gt;44700&lt;/D&gt;&lt;D xsi:type="xsd:long"&gt;44699&lt;/D&gt;&lt;D xsi:type="xsd:long"&gt;44698&lt;/D&gt;&lt;D xsi:type="xsd:long"&gt;44697&lt;/D&gt;&lt;D xsi:type="xsd:long"&gt;44694&lt;/D&gt;&lt;D xsi:type="xsd:long"&gt;44693&lt;/D&gt;&lt;D xsi:type="xsd:long"&gt;44692&lt;/D&gt;&lt;D xsi:type="xsd:long"&gt;44691&lt;/D&gt;&lt;D xsi:type="xsd:long"&gt;44690&lt;/D&gt;&lt;D xsi:type="xsd:long"&gt;44687&lt;/D&gt;&lt;D xsi:type="xsd:long"&gt;44686&lt;/D&gt;&lt;D xsi:type="xsd:long"&gt;44685&lt;/D&gt;&lt;D xsi:type="xsd:long"&gt;44684&lt;/D&gt;&lt;D xsi:type="xsd:long"&gt;44683&lt;/D&gt;&lt;D xsi:type="xsd:long"&gt;44680&lt;/D&gt;&lt;D xsi:type="xsd:long"&gt;44679&lt;/D&gt;&lt;D xsi:type="xsd:long"&gt;44678&lt;/D&gt;&lt;D xsi:type="xsd:long"&gt;44677&lt;/D&gt;&lt;D xsi:type="xsd:long"&gt;44676&lt;/D&gt;&lt;D xsi:type="xsd:long"&gt;44673&lt;/D&gt;&lt;D xsi:type="xsd:long"&gt;44672&lt;/D&gt;&lt;D xsi:type="xsd:long"&gt;44671&lt;/D&gt;&lt;D xsi:type="xsd:long"&gt;44670&lt;/D&gt;&lt;D xsi:type="xsd:long"&gt;44669&lt;/D&gt;&lt;D xsi:type="xsd:long"&gt;44665&lt;/D&gt;&lt;D xsi:type="xsd:long"&gt;44664&lt;/D&gt;&lt;D xsi:type="xsd:long"&gt;44663&lt;/D&gt;&lt;D xsi:type="xsd:long"&gt;44662&lt;/D&gt;&lt;D xsi:type="xsd:long"&gt;44659&lt;/D&gt;&lt;D xsi:type="xsd:long"&gt;44658&lt;/D&gt;&lt;D xsi:type="xsd:long"&gt;44657&lt;/D&gt;&lt;D xsi:type="xsd:long"&gt;44656&lt;/D&gt;&lt;D xsi:type="xsd:long"&gt;44655&lt;/D&gt;&lt;D xsi:type="xsd:long"&gt;44652&lt;/D&gt;&lt;D xsi:type="xsd:long"&gt;44651&lt;/D&gt;&lt;D xsi:type="xsd:long"&gt;44650&lt;/D&gt;&lt;D xsi:type="xsd:long"&gt;44649&lt;/D&gt;&lt;D xsi:type="xsd:long"&gt;44648&lt;/D&gt;&lt;D xsi:type="xsd:long"&gt;44645&lt;/D&gt;&lt;D xsi:type="xsd:long"&gt;44644&lt;/D&gt;&lt;D xsi:type="xsd:long"&gt;44643&lt;/D&gt;&lt;D xsi:type="xsd:long"&gt;44642&lt;/D&gt;&lt;D xsi:type="xsd:long"&gt;44641&lt;/D&gt;&lt;D xsi:type="xsd:long"&gt;44638&lt;/D&gt;&lt;D xsi:type="xsd:long"&gt;44637&lt;/D&gt;&lt;D xsi:type="xsd:long"&gt;44636&lt;/D&gt;&lt;D xsi:type="xsd:long"&gt;44635&lt;/D&gt;&lt;D xsi:type="xsd:long"&gt;44634&lt;/D&gt;&lt;D xsi:type="xsd:long"&gt;44631&lt;/D&gt;&lt;D xsi:type="xsd:long"&gt;44630&lt;/D&gt;&lt;D xsi:type="xsd:long"&gt;44629&lt;/D&gt;&lt;D xsi:type="xsd:long"&gt;44628&lt;/D&gt;&lt;D xsi:type="xsd:long"&gt;44627&lt;/D&gt;&lt;D xsi:type="xsd:long"&gt;44624&lt;/D&gt;&lt;D xsi:type="xsd:long"&gt;44623&lt;/D&gt;&lt;D xsi:type="xsd:long"&gt;44622&lt;/D&gt;&lt;D xsi:type="xsd:long"&gt;44621&lt;/D&gt;&lt;D xsi:type="xsd:long"&gt;44620&lt;/D&gt;&lt;D xsi:type="xsd:long"&gt;44617&lt;/D&gt;&lt;D xsi:type="xsd:long"&gt;44616&lt;/D&gt;&lt;D xsi:type="xsd:long"&gt;44615&lt;/D&gt;&lt;D xsi:type="xsd:long"&gt;44614&lt;/D&gt;&lt;D xsi:type="xsd:long"&gt;44610&lt;/D&gt;&lt;D xsi:type="xsd:long"&gt;44609&lt;/D&gt;&lt;D xsi:type="xsd:long"&gt;44608&lt;/D&gt;&lt;D xsi:type="xsd:long"&gt;44607&lt;/D&gt;&lt;D xsi:type="xsd:long"&gt;44606&lt;/D&gt;&lt;D xsi:type="xsd:long"&gt;44603&lt;/D&gt;&lt;D xsi:type="xsd:long"&gt;44602&lt;/D&gt;&lt;D xsi:type="xsd:long"&gt;44601&lt;/D&gt;&lt;D xsi:type="xsd:long"&gt;44600&lt;/D&gt;&lt;D xsi:type="xsd:long"&gt;44599&lt;/D&gt;&lt;D xsi:type="xsd:long"&gt;44596&lt;/D&gt;&lt;D xsi:type="xsd:long"&gt;44595&lt;/D&gt;&lt;D xsi:type="xsd:long"&gt;44594&lt;/D&gt;&lt;D xsi:type="xsd:long"&gt;44593&lt;/D&gt;&lt;D xsi:type="xsd:long"&gt;44592&lt;/D&gt;&lt;D xsi:type="xsd:long"&gt;44589&lt;/D&gt;&lt;D xsi:type="xsd:long"&gt;44588&lt;/D&gt;&lt;D xsi:type="xsd:long"&gt;44587&lt;/D&gt;&lt;D xsi:type="xsd:long"&gt;44586&lt;/D&gt;&lt;D xsi:type="xsd:long"&gt;44585&lt;/D&gt;&lt;D xsi:type="xsd:long"&gt;44582&lt;/D&gt;&lt;D xsi:type="xsd:long"&gt;44581&lt;/D&gt;&lt;D xsi:type="xsd:long"&gt;44580&lt;/D&gt;&lt;D xsi:type="xsd:long"&gt;44579&lt;/D&gt;&lt;D xsi:type="xsd:long"&gt;44575&lt;/D&gt;&lt;D xsi:type="xsd:long"&gt;44574&lt;/D&gt;&lt;D xsi:type="xsd:long"&gt;44573&lt;/D&gt;&lt;D xsi:type="xsd:long"&gt;44572&lt;/D&gt;&lt;D xsi:type="xsd:long"&gt;44571&lt;/D&gt;&lt;D xsi:type="xsd:long"&gt;44568&lt;/D&gt;&lt;D xsi:type="xsd:long"&gt;44567&lt;/D&gt;&lt;D xsi:type="xsd:long"&gt;44566&lt;/D&gt;&lt;D xsi:type="xsd:long"&gt;44565&lt;/D&gt;&lt;D xsi:type="xsd:long"&gt;44564&lt;/D&gt;&lt;D xsi:type="xsd:long"&gt;44561&lt;/D&gt;&lt;D xsi:type="xsd:long"&gt;44560&lt;/D&gt;&lt;D xsi:type="xsd:long"&gt;44559&lt;/D&gt;&lt;D xsi:type="xsd:long"&gt;44558&lt;/D&gt;&lt;D xsi:type="xsd:long"&gt;44557&lt;/D&gt;&lt;D xsi:type="xsd:long"&gt;44553&lt;/D&gt;&lt;D xsi:type="xsd:long"&gt;44552&lt;/D&gt;&lt;D xsi:type="xsd:long"&gt;44551&lt;/D&gt;&lt;D xsi:type="xsd:long"&gt;44550&lt;/D&gt;&lt;D xsi:type="xsd:long"&gt;44547&lt;/D&gt;&lt;D xsi:type="xsd:long"&gt;44546&lt;/D&gt;&lt;D xsi:type="xsd:long"&gt;44545&lt;/D&gt;&lt;D xsi:type="xsd:long"&gt;44544&lt;/D&gt;&lt;D xsi:type="xsd:long"&gt;44543&lt;/D&gt;&lt;D xsi:type="xsd:long"&gt;44540&lt;/D&gt;&lt;D xsi:type="xsd:long"&gt;44539&lt;/D&gt;&lt;D xsi:type="xsd:long"&gt;44538&lt;/D&gt;&lt;D xsi:type="xsd:long"&gt;44537&lt;/D&gt;&lt;D xsi:type="xsd:long"&gt;44536&lt;/D&gt;&lt;D xsi:type="xsd:long"&gt;44533&lt;/D&gt;&lt;D xsi:type="xsd:long"&gt;44532&lt;/D&gt;&lt;D xsi:type="xsd:long"&gt;44531&lt;/D&gt;&lt;D xsi:type="xsd:long"&gt;44530&lt;/D&gt;&lt;D xsi:type="xsd:long"&gt;44529&lt;/D&gt;&lt;D xsi:type="xsd:long"&gt;44526&lt;/D&gt;&lt;D xsi:type="xsd:long"&gt;44524&lt;/D&gt;&lt;D xsi:type="xsd:long"&gt;44523&lt;/D&gt;&lt;D xsi:type="xsd:long"&gt;44522&lt;/D&gt;&lt;D xsi:type="xsd:long"&gt;44519&lt;/D&gt;&lt;D xsi:type="xsd:long"&gt;44518&lt;/D&gt;&lt;D xsi:type="xsd:long"&gt;44517&lt;/D&gt;&lt;D xsi:type="xsd:long"&gt;44516&lt;/D&gt;&lt;D xsi:type="xsd:long"&gt;44515&lt;/D&gt;&lt;D xsi:type="xsd:long"&gt;44512&lt;/D&gt;&lt;D xsi:type="xsd:long"&gt;44511&lt;/D&gt;&lt;D xsi:type="xsd:long"&gt;44510&lt;/D&gt;&lt;D xsi:type="xsd:long"&gt;44509&lt;/D&gt;&lt;D xsi:type="xsd:long"&gt;44508&lt;/D&gt;&lt;D xsi:type="xsd:long"&gt;44505&lt;/D&gt;&lt;D xsi:type="xsd:long"&gt;44504&lt;/D&gt;&lt;D xsi:type="xsd:long"&gt;44503&lt;/D&gt;&lt;D xsi:type="xsd:long"&gt;44502&lt;/D&gt;&lt;D xsi:type="xsd:long"&gt;44501&lt;/D&gt;&lt;D xsi:type="xsd:long"&gt;44498&lt;/D&gt;&lt;D xsi:type="xsd:long"&gt;44497&lt;/D&gt;&lt;D xsi:type="xsd:long"&gt;44496&lt;/D&gt;&lt;D xsi:type="xsd:long"&gt;44495&lt;/D&gt;&lt;D xsi:type="xsd:long"&gt;44494&lt;/D&gt;&lt;D xsi:type="xsd:long"&gt;44491&lt;/D&gt;&lt;D xsi:type="xsd:long"&gt;44490&lt;/D&gt;&lt;D xsi:type="xsd:long"&gt;44489&lt;/D&gt;&lt;D xsi:type="xsd:long"&gt;44488&lt;/D&gt;&lt;D xsi:type="xsd:long"&gt;44487&lt;/D&gt;&lt;D xsi:type="xsd:long"&gt;44484&lt;/D&gt;&lt;D xsi:type="xsd:long"&gt;44483&lt;/D&gt;&lt;D xsi:type="xsd:long"&gt;44482&lt;/D&gt;&lt;D xsi:type="xsd:long"&gt;44481&lt;/D&gt;&lt;D xsi:type="xsd:long"&gt;44480&lt;/D&gt;&lt;D xsi:type="xsd:long"&gt;44477&lt;/D&gt;&lt;D xsi:type="xsd:long"&gt;44476&lt;/D&gt;&lt;D xsi:type="xsd:long"&gt;44475&lt;/D&gt;&lt;D xsi:type="xsd:long"&gt;44474&lt;/D&gt;&lt;D xsi:type="xsd:long"&gt;44473&lt;/D&gt;&lt;D xsi:type="xsd:long"&gt;44470&lt;/D&gt;&lt;D xsi:type="xsd:long"&gt;44469&lt;/D&gt;&lt;D xsi:type="xsd:long"&gt;44468&lt;/D&gt;&lt;D xsi:type="xsd:long"&gt;44467&lt;/D&gt;&lt;D xsi:type="xsd:long"&gt;44466&lt;/D&gt;&lt;D xsi:type="xsd:long"&gt;44463&lt;/D&gt;&lt;D xsi:type="xsd:long"&gt;44462&lt;/D&gt;&lt;D xsi:type="xsd:long"&gt;44461&lt;/D&gt;&lt;D xsi:type="xsd:long"&gt;44460&lt;/D&gt;&lt;D xsi:type="xsd:long"&gt;44459&lt;/D&gt;&lt;D xsi:type="xsd:long"&gt;44456&lt;/D&gt;&lt;D xsi:type="xsd:long"&gt;44455&lt;/D&gt;&lt;D xsi:type="xsd:long"&gt;44454&lt;/D&gt;&lt;D xsi:type="xsd:long"&gt;44453&lt;/D&gt;&lt;D xsi:type="xsd:long"&gt;44452&lt;/D&gt;&lt;D xsi:type="xsd:long"&gt;44449&lt;/D&gt;&lt;D xsi:type="xsd:long"&gt;44448&lt;/D&gt;&lt;D xsi:type="xsd:long"&gt;44447&lt;/D&gt;&lt;D xsi:type="xsd:long"&gt;44446&lt;/D&gt;&lt;D xsi:type="xsd:long"&gt;44442&lt;/D&gt;&lt;D xsi:type="xsd:long"&gt;44441&lt;/D&gt;&lt;D xsi:type="xsd:long"&gt;44440&lt;/D&gt;&lt;D xsi:type="xsd:long"&gt;44439&lt;/D&gt;&lt;D xsi:type="xsd:long"&gt;44438&lt;/D&gt;&lt;D xsi:type="xsd:long"&gt;44435&lt;/D&gt;&lt;D xsi:type="xsd:long"&gt;44434&lt;/D&gt;&lt;D xsi:type="xsd:long"&gt;44433&lt;/D&gt;&lt;D xsi:type="xsd:long"&gt;44432&lt;/D&gt;&lt;D xsi:type="xsd:long"&gt;44431&lt;/D&gt;&lt;D xsi:type="xsd:long"&gt;44428&lt;/D&gt;&lt;D xsi:type="xsd:long"&gt;44427&lt;/D&gt;&lt;D xsi:type="xsd:long"&gt;44426&lt;/D&gt;&lt;D xsi:type="xsd:long"&gt;44425&lt;/D&gt;&lt;D xsi:type="xsd:long"&gt;44424&lt;/D&gt;&lt;D xsi:type="xsd:long"&gt;44421&lt;/D&gt;&lt;D xsi:type="xsd:long"&gt;44420&lt;/D&gt;&lt;D xsi:type="xsd:long"&gt;44419&lt;/D&gt;&lt;D xsi:type="xsd:long"&gt;44418&lt;/D&gt;&lt;D xsi:type="xsd:long"&gt;44417&lt;/D&gt;&lt;D xsi:type="xsd:long"&gt;44414&lt;/D&gt;&lt;D xsi:type="xsd:long"&gt;44413&lt;/D&gt;&lt;D xsi:type="xsd:long"&gt;44412&lt;/D&gt;&lt;D xsi:type="xsd:long"&gt;44411&lt;/D&gt;&lt;D xsi:type="xsd:long"&gt;44410&lt;/D&gt;&lt;D xsi:type="xsd:long"&gt;44407&lt;/D&gt;&lt;D xsi:type="xsd:long"&gt;44406&lt;/D&gt;&lt;D xsi:type="xsd:long"&gt;44405&lt;/D&gt;&lt;D xsi:type="xsd:long"&gt;44404&lt;/D&gt;&lt;D xsi:type="xsd:long"&gt;44403&lt;/D&gt;&lt;D xsi:type="xsd:long"&gt;44400&lt;/D&gt;&lt;D xsi:type="xsd:long"&gt;44399&lt;/D&gt;&lt;D xsi:type="xsd:long"&gt;44398&lt;/D&gt;&lt;D xsi:type="xsd:long"&gt;44397&lt;/D&gt;&lt;D xsi:type="xsd:long"&gt;44396&lt;/D&gt;&lt;D xsi:type="xsd:long"&gt;44393&lt;/D&gt;&lt;D xsi:type="xsd:long"&gt;44392&lt;/D&gt;&lt;D xsi:type="xsd:long"&gt;44391&lt;/D&gt;&lt;D xsi:type="xsd:long"&gt;44390&lt;/D&gt;&lt;D xsi:type="xsd:long"&gt;44389&lt;/D&gt;&lt;D xsi:type="xsd:long"&gt;44386&lt;/D&gt;&lt;D xsi:type="xsd:long"&gt;44385&lt;/D&gt;&lt;D xsi:type="xsd:long"&gt;44384&lt;/D&gt;&lt;D xsi:type="xsd:long"&gt;44383&lt;/D&gt;&lt;D xsi:type="xsd:long"&gt;44379&lt;/D&gt;&lt;D xsi:type="xsd:long"&gt;44378&lt;/D&gt;&lt;D xsi:type="xsd:long"&gt;44377&lt;/D&gt;&lt;D xsi:type="xsd:long"&gt;44376&lt;/D&gt;&lt;D xsi:type="xsd:long"&gt;44375&lt;/D&gt;&lt;D xsi:type="xsd:long"&gt;44372&lt;/D&gt;&lt;D xsi:type="xsd:long"&gt;44371&lt;/D&gt;&lt;D xsi:type="xsd:long"&gt;44370&lt;/D&gt;&lt;D xsi:type="xsd:long"&gt;44369&lt;/D&gt;&lt;D xsi:type="xsd:long"&gt;44368&lt;/D&gt;&lt;D xsi:type="xsd:long"&gt;44365&lt;/D&gt;&lt;D xsi:type="xsd:long"&gt;44364&lt;/D&gt;&lt;D xsi:type="xsd:long"&gt;44363&lt;/D&gt;&lt;D xsi:type="xsd:long"&gt;44362&lt;/D&gt;&lt;D xsi:type="xsd:long"&gt;44361&lt;/D&gt;&lt;D xsi:type="xsd:long"&gt;44358&lt;/D&gt;&lt;D xsi:type="xsd:long"&gt;44357&lt;/D&gt;&lt;D xsi:type="xsd:long"&gt;44356&lt;/D&gt;&lt;D xsi:type="xsd:long"&gt;44355&lt;/D&gt;&lt;D xsi:type="xsd:long"&gt;44354&lt;/D&gt;&lt;D xsi:type="xsd:long"&gt;44351&lt;/D&gt;&lt;D xsi:type="xsd:long"&gt;44350&lt;/D&gt;&lt;D xsi:type="xsd:long"&gt;44349&lt;/D&gt;&lt;D xsi:type="xsd:long"&gt;44348&lt;/D&gt;&lt;D xsi:type="xsd:long"&gt;44344&lt;/D&gt;&lt;D xsi:type="xsd:long"&gt;44343&lt;/D&gt;&lt;D xsi:type="xsd:long"&gt;44342&lt;/D&gt;&lt;D xsi:type="xsd:long"&gt;44341&lt;/D&gt;&lt;D xsi:type="xsd:long"&gt;44340&lt;/D&gt;&lt;D xsi:type="xsd:long"&gt;44337&lt;/D&gt;&lt;D xsi:type="xsd:long"&gt;44336&lt;/D&gt;&lt;D xsi:type="xsd:long"&gt;44335&lt;/D&gt;&lt;D xsi:type="xsd:long"&gt;44334&lt;/D&gt;&lt;D xsi:type="xsd:long"&gt;44333&lt;/D&gt;&lt;D xsi:type="xsd:long"&gt;44330&lt;/D&gt;&lt;D xsi:type="xsd:long"&gt;44329&lt;/D&gt;&lt;D xsi:type="xsd:long"&gt;44328&lt;/D&gt;&lt;D xsi:type="xsd:long"&gt;44327&lt;/D&gt;&lt;D xsi:type="xsd:long"&gt;44326&lt;/D&gt;&lt;D xsi:type="xsd:long"&gt;44323&lt;/D&gt;&lt;D xsi:type="xsd:long"&gt;44322&lt;/D&gt;&lt;D xsi:type="xsd:long"&gt;44321&lt;/D&gt;&lt;D xsi:type="xsd:long"&gt;44320&lt;/D&gt;&lt;D xsi:type="xsd:long"&gt;44319&lt;/D&gt;&lt;D xsi:type="xsd:long"&gt;44316&lt;/D&gt;&lt;D xsi:type="xsd:long"&gt;44315&lt;/D&gt;&lt;D xsi:type="xsd:long"&gt;44314&lt;/D&gt;&lt;D xsi:type="xsd:long"&gt;44313&lt;/D&gt;&lt;D xsi:type="xsd:long"&gt;44312&lt;/D&gt;&lt;D xsi:type="xsd:long"&gt;44309&lt;/D&gt;&lt;D xsi:type="xsd:long"&gt;44308&lt;/D&gt;&lt;D xsi:type="xsd:long"&gt;44307&lt;/D&gt;&lt;D xsi:type="xsd:long"&gt;44306&lt;/D&gt;&lt;D xsi:type="xsd:long"&gt;44305&lt;/D&gt;&lt;D xsi:type="xsd:long"&gt;44302&lt;/D&gt;&lt;D xsi:type="xsd:long"&gt;44301&lt;/D&gt;&lt;D xsi:type="xsd:long"&gt;44300&lt;/D&gt;&lt;D xsi:type="xsd:long"&gt;44299&lt;/D&gt;&lt;D xsi:type="xsd:long"&gt;44298&lt;/D&gt;&lt;D xsi:type="xsd:long"&gt;44295&lt;/D&gt;&lt;D xsi:type="xsd:long"&gt;44294&lt;/D&gt;&lt;D xsi:type="xsd:long"&gt;44293&lt;/D&gt;&lt;D xsi:type="xsd:long"&gt;44292&lt;/D&gt;&lt;D xsi:type="xsd:long"&gt;44291&lt;/D&gt;&lt;D xsi:type="xsd:long"&gt;44287&lt;/D&gt;&lt;D xsi:type="xsd:long"&gt;44286&lt;/D&gt;&lt;D xsi:type="xsd:long"&gt;44285&lt;/D&gt;&lt;D xsi:type="xsd:long"&gt;44284&lt;/D&gt;&lt;D xsi:type="xsd:long"&gt;44281&lt;/D&gt;&lt;D xsi:type="xsd:long"&gt;44280&lt;/D&gt;&lt;D xsi:type="xsd:long"&gt;44279&lt;/D&gt;&lt;D xsi:type="xsd:long"&gt;44278&lt;/D&gt;&lt;D xsi:type="xsd:long"&gt;44277&lt;/D&gt;&lt;D xsi:type="xsd:long"&gt;44274&lt;/D&gt;&lt;D xsi:type="xsd:long"&gt;44273&lt;/D&gt;&lt;D xsi:type="xsd:long"&gt;44272&lt;/D&gt;&lt;D xsi:type="xsd:long"&gt;44271&lt;/D&gt;&lt;D xsi:type="xsd:long"&gt;44270&lt;/D&gt;&lt;D xsi:type="xsd:long"&gt;44267&lt;/D&gt;&lt;D xsi:type="xsd:long"&gt;44266&lt;/D&gt;&lt;D xsi:type="xsd:long"&gt;44265&lt;/D&gt;&lt;D xsi:type="xsd:long"&gt;44264&lt;/D&gt;&lt;D xsi:type="xsd:long"&gt;44263&lt;/D&gt;&lt;D xsi:type="xsd:long"&gt;44260&lt;/D&gt;&lt;D xsi:type="xsd:long"&gt;44259&lt;/D&gt;&lt;D xsi:type="xsd:long"&gt;44258&lt;/D&gt;&lt;D xsi:type="xsd:long"&gt;44257&lt;/D&gt;&lt;D xsi:type="xsd:long"&gt;44256&lt;/D&gt;&lt;D xsi:type="xsd:long"&gt;44253&lt;/D&gt;&lt;D xsi:type="xsd:long"&gt;44252&lt;/D&gt;&lt;D xsi:type="xsd:long"&gt;44251&lt;/D&gt;&lt;D xsi:type="xsd:long"&gt;44250&lt;/D&gt;&lt;D xsi:type="xsd:long"&gt;44249&lt;/D&gt;&lt;D xsi:type="xsd:long"&gt;44246&lt;/D&gt;&lt;D xsi:type="xsd:long"&gt;44245&lt;/D&gt;&lt;D xsi:type="xsd:long"&gt;44244&lt;/D&gt;&lt;D xsi:type="xsd:long"&gt;44243&lt;/D&gt;&lt;D xsi:type="xsd:long"&gt;44239&lt;/D&gt;&lt;D xsi:type="xsd:long"&gt;44238&lt;/D&gt;&lt;D xsi:type="xsd:long"&gt;44237&lt;/D&gt;&lt;D xsi:type="xsd:long"&gt;44236&lt;/D&gt;&lt;D xsi:type="xsd:long"&gt;44235&lt;/D&gt;&lt;D xsi:type="xsd:long"&gt;44232&lt;/D&gt;&lt;D xsi:type="xsd:long"&gt;44231&lt;/D&gt;&lt;D xsi:type="xsd:long"&gt;44230&lt;/D&gt;&lt;D xsi:type="xsd:long"&gt;44229&lt;/D&gt;&lt;D xsi:type="xsd:long"&gt;44228&lt;/D&gt;&lt;D xsi:type="xsd:long"&gt;44225&lt;/D&gt;&lt;D xsi:type="xsd:long"&gt;44224&lt;/D&gt;&lt;D xsi:type="xsd:long"&gt;44223&lt;/D&gt;&lt;D xsi:type="xsd:long"&gt;44222&lt;/D&gt;&lt;D xsi:type="xsd:long"&gt;44221&lt;/D&gt;&lt;D xsi:type="xsd:long"&gt;44218&lt;/D&gt;&lt;D xsi:type="xsd:long"&gt;44217&lt;/D&gt;&lt;D xsi:type="xsd:long"&gt;44216&lt;/D&gt;&lt;D xsi:type="xsd:long"&gt;44215&lt;/D&gt;&lt;D xsi:type="xsd:long"&gt;44211&lt;/D&gt;&lt;D xsi:type="xsd:long"&gt;44210&lt;/D&gt;&lt;D xsi:type="xsd:long"&gt;44209&lt;/D&gt;&lt;D xsi:type="xsd:long"&gt;44208&lt;/D&gt;&lt;D xsi:type="xsd:long"&gt;44207&lt;/D&gt;&lt;D xsi:type="xsd:long"&gt;44204&lt;/D&gt;&lt;D xsi:type="xsd:long"&gt;44203&lt;/D&gt;&lt;D xsi:type="xsd:long"&gt;44202&lt;/D&gt;&lt;D xsi:type="xsd:long"&gt;44201&lt;/D&gt;&lt;D xsi:type="xsd:long"&gt;44200&lt;/D&gt;&lt;D xsi:type="xsd:long"&gt;44196&lt;/D&gt;&lt;D xsi:type="xsd:long"&gt;44195&lt;/D&gt;&lt;D xsi:type="xsd:long"&gt;44194&lt;/D&gt;&lt;D xsi:type="xsd:long"&gt;44193&lt;/D&gt;&lt;D xsi:type="xsd:long"&gt;44189&lt;/D&gt;&lt;D xsi:type="xsd:long"&gt;44188&lt;/D&gt;&lt;D xsi:type="xsd:long"&gt;44187&lt;/D&gt;&lt;D xsi:type="xsd:long"&gt;44186&lt;/D&gt;&lt;D xsi:type="xsd:long"&gt;44183&lt;/D&gt;&lt;D xsi:type="xsd:long"&gt;44182&lt;/D&gt;&lt;D xsi:type="xsd:long"&gt;44181&lt;/D&gt;&lt;D xsi:type="xsd:long"&gt;44180&lt;/D&gt;&lt;D xsi:type="xsd:long"&gt;44179&lt;/D&gt;&lt;D xsi:type="xsd:long"&gt;44176&lt;/D&gt;&lt;D xsi:type="xsd:long"&gt;44175&lt;/D&gt;&lt;D xsi:type="xsd:long"&gt;44174&lt;/D&gt;&lt;D xsi:type="xsd:long"&gt;44173&lt;/D&gt;&lt;D xsi:type="xsd:long"&gt;44172&lt;/D&gt;&lt;D xsi:type="xsd:long"&gt;44169&lt;/D&gt;&lt;D xsi:type="xsd:long"&gt;44168&lt;/D&gt;&lt;D xsi:type="xsd:long"&gt;44167&lt;/D&gt;&lt;D xsi:type="xsd:long"&gt;44166&lt;/D&gt;&lt;D xsi:type="xsd:long"&gt;44165&lt;/D&gt;&lt;D xsi:type="xsd:long"&gt;44162&lt;/D&gt;&lt;D xsi:type="xsd:long"&gt;44160&lt;/D&gt;&lt;D xsi:type="xsd:long"&gt;44159&lt;/D&gt;&lt;D xsi:type="xsd:long"&gt;44158&lt;/D&gt;&lt;D xsi:type="xsd:long"&gt;44155&lt;/D&gt;&lt;D xsi:type="xsd:long"&gt;44154&lt;/D&gt;&lt;D xsi:type="xsd:long"&gt;44153&lt;/D&gt;&lt;D xsi:type="xsd:long"&gt;44152&lt;/D&gt;&lt;D xsi:type="xsd:long"&gt;44151&lt;/D&gt;&lt;D xsi:type="xsd:long"&gt;44148&lt;/D&gt;&lt;D xsi:type="xsd:long"&gt;44147&lt;/D&gt;&lt;D xsi:type="xsd:long"&gt;44146&lt;/D&gt;&lt;D xsi:type="xsd:long"&gt;44145&lt;/D&gt;&lt;D xsi:type="xsd:long"&gt;44144&lt;/D&gt;&lt;D xsi:type="xsd:long"&gt;44141&lt;/D&gt;&lt;D xsi:type="xsd:long"&gt;44140&lt;/D&gt;&lt;D xsi:type="xsd:long"&gt;44139&lt;/D&gt;&lt;D xsi:type="xsd:long"&gt;44138&lt;/D&gt;&lt;D xsi:type="xsd:long"&gt;44137&lt;/D&gt;&lt;D xsi:type="xsd:long"&gt;44134&lt;/D&gt;&lt;D xsi:type="xsd:long"&gt;44133&lt;/D&gt;&lt;D xsi:type="xsd:long"&gt;44132&lt;/D&gt;&lt;D xsi:type="xsd:long"&gt;44131&lt;/D&gt;&lt;D xsi:type="xsd:long"&gt;44130&lt;/D&gt;&lt;D xsi:type="xsd:long"&gt;44127&lt;/D&gt;&lt;D xsi:type="xsd:long"&gt;44126&lt;/D&gt;&lt;D xsi:type="xsd:long"&gt;44125&lt;/D&gt;&lt;D xsi:type="xsd:long"&gt;44124&lt;/D&gt;&lt;D xsi:type="xsd:long"&gt;44123&lt;/D&gt;&lt;D xsi:type="xsd:long"&gt;44120&lt;/D&gt;&lt;D xsi:type="xsd:long"&gt;44119&lt;/D&gt;&lt;D xsi:type="xsd:long"&gt;44118&lt;/D&gt;&lt;D xsi:type="xsd:long"&gt;44117&lt;/D&gt;&lt;D xsi:type="xsd:long"&gt;44116&lt;/D&gt;&lt;D xsi:type="xsd:long"&gt;44113&lt;/D&gt;&lt;D xsi:type="xsd:long"&gt;44112&lt;/D&gt;&lt;D xsi:type="xsd:long"&gt;44111&lt;/D&gt;&lt;D xsi:type="xsd:long"&gt;44110&lt;/D&gt;&lt;D xsi:type="xsd:long"&gt;44109&lt;/D&gt;&lt;D xsi:type="xsd:long"&gt;44106&lt;/D&gt;&lt;D xsi:type="xsd:long"&gt;44105&lt;/D&gt;&lt;D xsi:type="xsd:long"&gt;44104&lt;/D&gt;&lt;D xsi:type="xsd:long"&gt;44103&lt;/D&gt;&lt;D xsi:type="xsd:long"&gt;44102&lt;/D&gt;&lt;D xsi:type="xsd:long"&gt;44099&lt;/D&gt;&lt;D xsi:type="xsd:long"&gt;44098&lt;/D&gt;&lt;D xsi:type="xsd:long"&gt;44097&lt;/D&gt;&lt;D xsi:type="xsd:long"&gt;44096&lt;/D&gt;&lt;D xsi:type="xsd:long"&gt;44095&lt;/D&gt;&lt;D xsi:type="xsd:long"&gt;44092&lt;/D&gt;&lt;D xsi:type="xsd:long"&gt;44091&lt;/D&gt;&lt;D xsi:type="xsd:long"&gt;44090&lt;/D&gt;&lt;D xsi:type="xsd:long"&gt;44089&lt;/D&gt;&lt;D xsi:type="xsd:long"&gt;44088&lt;/D&gt;&lt;D xsi:type="xsd:long"&gt;44085&lt;/D&gt;&lt;D xsi:type="xsd:long"&gt;44084&lt;/D&gt;&lt;D xsi:type="xsd:long"&gt;44083&lt;/D&gt;&lt;D xsi:type="xsd:long"&gt;44082&lt;/D&gt;&lt;D xsi:type="xsd:long"&gt;44078&lt;/D&gt;&lt;D xsi:type="xsd:long"&gt;44077&lt;/D&gt;&lt;D xsi:type="xsd:long"&gt;44076&lt;/D&gt;&lt;D xsi:type="xsd:long"&gt;44075&lt;/D&gt;&lt;D xsi:type="xsd:long"&gt;44074&lt;/D&gt;&lt;D xsi:type="xsd:long"&gt;44071&lt;/D&gt;&lt;D xsi:type="xsd:long"&gt;44070&lt;/D&gt;&lt;D xsi:type="xsd:long"&gt;44069&lt;/D&gt;&lt;D xsi:type="xsd:long"&gt;44068&lt;/D&gt;&lt;D xsi:type="xsd:long"&gt;44067&lt;/D&gt;&lt;D xsi:type="xsd:long"&gt;44064&lt;/D&gt;&lt;D xsi:type="xsd:long"&gt;44063&lt;/D&gt;&lt;D xsi:type="xsd:long"&gt;44062&lt;/D&gt;&lt;D xsi:type="xsd:long"&gt;44061&lt;/D&gt;&lt;D xsi:type="xsd:long"&gt;44060&lt;/D&gt;&lt;D xsi:type="xsd:long"&gt;44057&lt;/D&gt;&lt;D xsi:type="xsd:long"&gt;44056&lt;/D&gt;&lt;D xsi:type="xsd:long"&gt;44055&lt;/D&gt;&lt;D xsi:type="xsd:long"&gt;44054&lt;/D&gt;&lt;D xsi:type="xsd:long"&gt;44053&lt;/D&gt;&lt;D xsi:type="xsd:long"&gt;44050&lt;/D&gt;&lt;D xsi:type="xsd:long"&gt;44049&lt;/D&gt;&lt;D xsi:type="xsd:long"&gt;44048&lt;/D&gt;&lt;D xsi:type="xsd:long"&gt;44047&lt;/D&gt;&lt;D xsi:type="xsd:long"&gt;44046&lt;/D&gt;&lt;D xsi:type="xsd:long"&gt;44043&lt;/D&gt;&lt;D xsi:type="xsd:long"&gt;44042&lt;/D&gt;&lt;D xsi:type="xsd:long"&gt;44041&lt;/D&gt;&lt;D xsi:type="xsd:long"&gt;44040&lt;/D&gt;&lt;D xsi:type="xsd:long"&gt;44039&lt;/D&gt;&lt;D xsi:type="xsd:long"&gt;44036&lt;/D&gt;&lt;D xsi:type="xsd:long"&gt;44035&lt;/D&gt;&lt;D xsi:type="xsd:long"&gt;44034&lt;/D&gt;&lt;D xsi:type="xsd:long"&gt;44033&lt;/D&gt;&lt;D xsi:type="xsd:long"&gt;44032&lt;/D&gt;&lt;D xsi:type="xsd:long"&gt;44029&lt;/D&gt;&lt;D xsi:type="xsd:long"&gt;44028&lt;/D&gt;&lt;D xsi:type="xsd:long"&gt;44027&lt;/D&gt;&lt;D xsi:type="xsd:long"&gt;44026&lt;/D&gt;&lt;D xsi:type="xsd:long"&gt;44025&lt;/D&gt;&lt;D xsi:type="xsd:long"&gt;44022&lt;/D&gt;&lt;D xsi:type="xsd:long"&gt;44021&lt;/D&gt;&lt;D xsi:type="xsd:long"&gt;44020&lt;/D&gt;&lt;D xsi:type="xsd:long"&gt;44019&lt;/D&gt;&lt;D xsi:type="xsd:long"&gt;44018&lt;/D&gt;&lt;D xsi:type="xsd:long"&gt;44014&lt;/D&gt;&lt;D xsi:type="xsd:long"&gt;44013&lt;/D&gt;&lt;D xsi:type="xsd:long"&gt;44012&lt;/D&gt;&lt;D xsi:type="xsd:long"&gt;44011&lt;/D&gt;&lt;D xsi:type="xsd:long"&gt;44008&lt;/D&gt;&lt;D xsi:type="xsd:long"&gt;44007&lt;/D&gt;&lt;D xsi:type="xsd:long"&gt;44006&lt;/D&gt;&lt;D xsi:type="xsd:long"&gt;44005&lt;/D&gt;&lt;D xsi:type="xsd:long"&gt;44004&lt;/D&gt;&lt;D xsi:type="xsd:long"&gt;44001&lt;/D&gt;&lt;D xsi:type="xsd:long"&gt;44000&lt;/D&gt;&lt;D xsi:type="xsd:long"&gt;43999&lt;/D&gt;&lt;D xsi:type="xsd:long"&gt;43998&lt;/D&gt;&lt;D xsi:type="xsd:long"&gt;43997&lt;/D&gt;&lt;D xsi:type="xsd:long"&gt;43994&lt;/D&gt;&lt;D xsi:type="xsd:long"&gt;43993&lt;/D&gt;&lt;D xsi:type="xsd:long"&gt;43992&lt;/D&gt;&lt;D xsi:type="xsd:long"&gt;43991&lt;/D&gt;&lt;D xsi:type="xsd:long"&gt;43990&lt;/D&gt;&lt;D xsi:type="xsd:long"&gt;43987&lt;/D&gt;&lt;D xsi:type="xsd:long"&gt;43986&lt;/D&gt;&lt;D xsi:type="xsd:long"&gt;43985&lt;/D&gt;&lt;D xsi:type="xsd:long"&gt;43984&lt;/D&gt;&lt;D xsi:type="xsd:long"&gt;43983&lt;/D&gt;&lt;D xsi:type="xsd:long"&gt;43980&lt;/D&gt;&lt;D xsi:type="xsd:long"&gt;43979&lt;/D&gt;&lt;D xsi:type="xsd:long"&gt;43978&lt;/D&gt;&lt;D xsi:type="xsd:long"&gt;43977&lt;/D&gt;&lt;D xsi:type="xsd:long"&gt;43973&lt;/D&gt;&lt;D xsi:type="xsd:long"&gt;43972&lt;/D&gt;&lt;D xsi:type="xsd:long"&gt;43971&lt;/D&gt;&lt;D xsi:type="xsd:long"&gt;43970&lt;/D&gt;&lt;D xsi:type="xsd:long"&gt;43969&lt;/D&gt;&lt;D xsi:type="xsd:long"&gt;43966&lt;/D&gt;&lt;D xsi:type="xsd:long"&gt;43965&lt;/D&gt;&lt;D xsi:type="xsd:long"&gt;43964&lt;/D&gt;&lt;D xsi:type="xsd:long"&gt;43963&lt;/D&gt;&lt;D xsi:type="xsd:long"&gt;43962&lt;/D&gt;&lt;D xsi:type="xsd:long"&gt;43959&lt;/D&gt;&lt;D xsi:type="xsd:long"&gt;43958&lt;/D&gt;&lt;D xsi:type="xsd:long"&gt;43957&lt;/D&gt;&lt;D xsi:type="xsd:long"&gt;43956&lt;/D&gt;&lt;D xsi:type="xsd:long"&gt;43955&lt;/D&gt;&lt;D xsi:type="xsd:long"&gt;43952&lt;/D&gt;&lt;D xsi:type="xsd:long"&gt;43951&lt;/D&gt;&lt;D xsi:type="xsd:long"&gt;43950&lt;/D&gt;&lt;D xsi:type="xsd:long"&gt;43949&lt;/D&gt;&lt;D xsi:type="xsd:long"&gt;43948&lt;/D&gt;&lt;D xsi:type="xsd:long"&gt;43945&lt;/D&gt;&lt;D xsi:type="xsd:long"&gt;43944&lt;/D&gt;&lt;D xsi:type="xsd:long"&gt;43943&lt;/D&gt;&lt;D xsi:type="xsd:long"&gt;43942&lt;/D&gt;&lt;D xsi:type="xsd:long"&gt;43941&lt;/D&gt;&lt;D xsi:type="xsd:long"&gt;43938&lt;/D&gt;&lt;D xsi:type="xsd:long"&gt;43937&lt;/D&gt;&lt;D xsi:type="xsd:long"&gt;43936&lt;/D&gt;&lt;D xsi:type="xsd:long"&gt;43935&lt;/D&gt;&lt;D xsi:type="xsd:long"&gt;43934&lt;/D&gt;&lt;D xsi:type="xsd:long"&gt;43930&lt;/D&gt;&lt;D xsi:type="xsd:long"&gt;43929&lt;/D&gt;&lt;D xsi:type="xsd:long</t>
        </r>
      </text>
    </comment>
    <comment ref="A39" authorId="0" shapeId="0">
      <text>
        <r>
          <rPr>
            <b/>
            <sz val="9"/>
            <color indexed="81"/>
            <rFont val="Tahoma"/>
            <family val="2"/>
          </rPr>
          <t>"&gt;43928&lt;/D&gt;&lt;D xsi:type="xsd:long"&gt;43927&lt;/D&gt;&lt;D xsi:type="xsd:long"&gt;43924&lt;/D&gt;&lt;D xsi:type="xsd:long"&gt;43923&lt;/D&gt;&lt;D xsi:type="xsd:long"&gt;43922&lt;/D&gt;&lt;D xsi:type="xsd:long"&gt;43921&lt;/D&gt;&lt;D xsi:type="xsd:long"&gt;43920&lt;/D&gt;&lt;D xsi:type="xsd:long"&gt;43917&lt;/D&gt;&lt;D xsi:type="xsd:long"&gt;43916&lt;/D&gt;&lt;D xsi:type="xsd:long"&gt;43915&lt;/D&gt;&lt;D xsi:type="xsd:long"&gt;43914&lt;/D&gt;&lt;D xsi:type="xsd:long"&gt;43913&lt;/D&gt;&lt;D xsi:type="xsd:long"&gt;43910&lt;/D&gt;&lt;D xsi:type="xsd:long"&gt;43909&lt;/D&gt;&lt;D xsi:type="xsd:long"&gt;43908&lt;/D&gt;&lt;D xsi:type="xsd:long"&gt;43907&lt;/D&gt;&lt;D xsi:type="xsd:long"&gt;43906&lt;/D&gt;&lt;D xsi:type="xsd:long"&gt;43903&lt;/D&gt;&lt;D xsi:type="xsd:long"&gt;43902&lt;/D&gt;&lt;D xsi:type="xsd:long"&gt;43901&lt;/D&gt;&lt;D xsi:type="xsd:long"&gt;43900&lt;/D&gt;&lt;D xsi:type="xsd:long"&gt;43899&lt;/D&gt;&lt;D xsi:type="xsd:long"&gt;43896&lt;/D&gt;&lt;D xsi:type="xsd:long"&gt;43895&lt;/D&gt;&lt;D xsi:type="xsd:long"&gt;43894&lt;/D&gt;&lt;D xsi:type="xsd:long"&gt;43893&lt;/D&gt;&lt;D xsi:type="xsd:long"&gt;43892&lt;/D&gt;&lt;D xsi:type="xsd:long"&gt;43889&lt;/D&gt;&lt;D xsi:type="xsd:long"&gt;43888&lt;/D&gt;&lt;D xsi:type="xsd:long"&gt;43887&lt;/D&gt;&lt;D xsi:type="xsd:long"&gt;43886&lt;/D&gt;&lt;D xsi:type="xsd:long"&gt;43885&lt;/D&gt;&lt;D xsi:type="xsd:long"&gt;43882&lt;/D&gt;&lt;D xsi:type="xsd:long"&gt;43881&lt;/D&gt;&lt;D xsi:type="xsd:long"&gt;43880&lt;/D&gt;&lt;D xsi:type="xsd:long"&gt;43879&lt;/D&gt;&lt;D xsi:type="xsd:long"&gt;43875&lt;/D&gt;&lt;D xsi:type="xsd:long"&gt;43874&lt;/D&gt;&lt;D xsi:type="xsd:long"&gt;43873&lt;/D&gt;&lt;D xsi:type="xsd:long"&gt;43872&lt;/D&gt;&lt;D xsi:type="xsd:long"&gt;43871&lt;/D&gt;&lt;D xsi:type="xsd:long"&gt;43868&lt;/D&gt;&lt;D xsi:type="xsd:long"&gt;43867&lt;/D&gt;&lt;D xsi:type="xsd:long"&gt;43866&lt;/D&gt;&lt;D xsi:type="xsd:long"&gt;43865&lt;/D&gt;&lt;D xsi:type="xsd:long"&gt;43864&lt;/D&gt;&lt;D xsi:type="xsd:long"&gt;43861&lt;/D&gt;&lt;D xsi:type="xsd:long"&gt;43860&lt;/D&gt;&lt;D xsi:type="xsd:long"&gt;43859&lt;/D&gt;&lt;D xsi:type="xsd:long"&gt;43858&lt;/D&gt;&lt;D xsi:type="xsd:long"&gt;43857&lt;/D&gt;&lt;D xsi:type="xsd:long"&gt;43854&lt;/D&gt;&lt;D xsi:type="xsd:long"&gt;43853&lt;/D&gt;&lt;D xsi:type="xsd:long"&gt;43852&lt;/D&gt;&lt;D xsi:type="xsd:long"&gt;43851&lt;/D&gt;&lt;D xsi:type="xsd:long"&gt;43847&lt;/D&gt;&lt;D xsi:type="xsd:long"&gt;43846&lt;/D&gt;&lt;D xsi:type="xsd:long"&gt;43845&lt;/D&gt;&lt;D xsi:type="xsd:long"&gt;43844&lt;/D&gt;&lt;D xsi:type="xsd:long"&gt;43843&lt;/D&gt;&lt;D xsi:type="xsd:long"&gt;43840&lt;/D&gt;&lt;D xsi:type="xsd:long"&gt;43839&lt;/D&gt;&lt;D xsi:type="xsd:long"&gt;43838&lt;/D&gt;&lt;D xsi:type="xsd:long"&gt;43837&lt;/D&gt;&lt;D xsi:type="xsd:long"&gt;43836&lt;/D&gt;&lt;D xsi:type="xsd:long"&gt;43833&lt;/D&gt;&lt;D xsi:type="xsd:long"&gt;43832&lt;/D&gt;&lt;D xsi:type="xsd:long"&gt;43830&lt;/D&gt;&lt;D xsi:type="xsd:long"&gt;43829&lt;/D&gt;&lt;D xsi:type="xsd:long"&gt;43826&lt;/D&gt;&lt;D xsi:type="xsd:long"&gt;43825&lt;/D&gt;&lt;D xsi:type="xsd:long"&gt;43823&lt;/D&gt;&lt;D xsi:type="xsd:long"&gt;43822&lt;/D&gt;&lt;D xsi:type="xsd:long"&gt;43819&lt;/D&gt;&lt;D xsi:type="xsd:long"&gt;43818&lt;/D&gt;&lt;D xsi:type="xsd:long"&gt;43817&lt;/D&gt;&lt;D xsi:type="xsd:long"&gt;43816&lt;/D&gt;&lt;D xsi:type="xsd:long"&gt;43815&lt;/D&gt;&lt;D xsi:type="xsd:long"&gt;43812&lt;/D&gt;&lt;D xsi:type="xsd:long"&gt;43811&lt;/D&gt;&lt;D xsi:type="xsd:long"&gt;43810&lt;/D&gt;&lt;D xsi:type="xsd:long"&gt;43809&lt;/D&gt;&lt;D xsi:type="xsd:long"&gt;43808&lt;/D&gt;&lt;D xsi:type="xsd:long"&gt;43805&lt;/D&gt;&lt;D xsi:type="xsd:long"&gt;43804&lt;/D&gt;&lt;D xsi:type="xsd:long"&gt;43803&lt;/D&gt;&lt;D xsi:type="xsd:long"&gt;43802&lt;/D&gt;&lt;D xsi:type="xsd:long"&gt;43801&lt;/D&gt;&lt;D xsi:type="xsd:long"&gt;43798&lt;/D&gt;&lt;D xsi:type="xsd:long"&gt;43796&lt;/D&gt;&lt;D xsi:type="xsd:long"&gt;43795&lt;/D&gt;&lt;D xsi:type="xsd:long"&gt;43794&lt;/D&gt;&lt;D xsi:type="xsd:long"&gt;43791&lt;/D&gt;&lt;D xsi:type="xsd:long"&gt;43790&lt;/D&gt;&lt;D xsi:type="xsd:long"&gt;43789&lt;/D&gt;&lt;D xsi:type="xsd:long"&gt;43788&lt;/D&gt;&lt;D xsi:type="xsd:long"&gt;43787&lt;/D&gt;&lt;D xsi:type="xsd:long"&gt;43784&lt;/D&gt;&lt;D xsi:type="xsd:long"&gt;43783&lt;/D&gt;&lt;D xsi:type="xsd:long"&gt;43782&lt;/D&gt;&lt;D xsi:type="xsd:long"&gt;43781&lt;/D&gt;&lt;D xsi:type="xsd:long"&gt;43780&lt;/D&gt;&lt;D xsi:type="xsd:long"&gt;43777&lt;/D&gt;&lt;D xsi:type="xsd:long"&gt;43776&lt;/D&gt;&lt;D xsi:type="xsd:long"&gt;43775&lt;/D&gt;&lt;D xsi:type="xsd:long"&gt;43774&lt;/D&gt;&lt;D xsi:type="xsd:long"&gt;43773&lt;/D&gt;&lt;D xsi:type="xsd:long"&gt;43770&lt;/D&gt;&lt;D xsi:type="xsd:long"&gt;43769&lt;/D&gt;&lt;D xsi:type="xsd:long"&gt;43768&lt;/D&gt;&lt;D xsi:type="xsd:long"&gt;43767&lt;/D&gt;&lt;D xsi:type="xsd:long"&gt;43766&lt;/D&gt;&lt;D xsi:type="xsd:long"&gt;43763&lt;/D&gt;&lt;D xsi:type="xsd:long"&gt;43762&lt;/D&gt;&lt;D xsi:type="xsd:long"&gt;43761&lt;/D&gt;&lt;D xsi:type="xsd:long"&gt;43760&lt;/D&gt;&lt;D xsi:type="xsd:long"&gt;43759&lt;/D&gt;&lt;D xsi:type="xsd:long"&gt;43756&lt;/D&gt;&lt;D xsi:type="xsd:long"&gt;43755&lt;/D&gt;&lt;D xsi:type="xsd:long"&gt;43754&lt;/D&gt;&lt;D xsi:type="xsd:long"&gt;43753&lt;/D&gt;&lt;D xsi:type="xsd:long"&gt;43752&lt;/D&gt;&lt;D xsi:type="xsd:long"&gt;43749&lt;/D&gt;&lt;D xsi:type="xsd:long"&gt;43748&lt;/D&gt;&lt;D xsi:type="xsd:long"&gt;43747&lt;/D&gt;&lt;D xsi:type="xsd:long"&gt;43746&lt;/D&gt;&lt;D xsi:type="xsd:long"&gt;43745&lt;/D&gt;&lt;D xsi:type="xsd:long"&gt;43742&lt;/D&gt;&lt;D xsi:type="xsd:long"&gt;43741&lt;/D&gt;&lt;D xsi:type="xsd:long"&gt;43740&lt;/D&gt;&lt;D xsi:type="xsd:long"&gt;43739&lt;/D&gt;&lt;D xsi:type="xsd:long"&gt;43738&lt;/D&gt;&lt;D xsi:type="xsd:long"&gt;43735&lt;/D&gt;&lt;D xsi:type="xsd:long"&gt;43734&lt;/D&gt;&lt;D xsi:type="xsd:long"&gt;43733&lt;/D&gt;&lt;D xsi:type="xsd:long"&gt;43732&lt;/D&gt;&lt;D xsi:type="xsd:long"&gt;43731&lt;/D&gt;&lt;D xsi:type="xsd:long"&gt;43728&lt;/D&gt;&lt;D xsi:type="xsd:long"&gt;43727&lt;/D&gt;&lt;D xsi:type="xsd:long"&gt;43726&lt;/D&gt;&lt;D xsi:type="xsd:long"&gt;43725&lt;/D&gt;&lt;D xsi:type="xsd:long"&gt;43724&lt;/D&gt;&lt;D xsi:type="xsd:long"&gt;43721&lt;/D&gt;&lt;D xsi:type="xsd:long"&gt;43720&lt;/D&gt;&lt;D xsi:type="xsd:long"&gt;43719&lt;/D&gt;&lt;D xsi:type="xsd:long"&gt;43718&lt;/D&gt;&lt;D xsi:type="xsd:long"&gt;43717&lt;/D&gt;&lt;D xsi:type="xsd:long"&gt;43714&lt;/D&gt;&lt;D xsi:type="xsd:long"&gt;43713&lt;/D&gt;&lt;D xsi:type="xsd:long"&gt;43712&lt;/D&gt;&lt;D xsi:type="xsd:long"&gt;43711&lt;/D&gt;&lt;D xsi:type="xsd:long"&gt;43707&lt;/D&gt;&lt;D xsi:type="xsd:long"&gt;43706&lt;/D&gt;&lt;D xsi:type="xsd:long"&gt;43705&lt;/D&gt;&lt;D xsi:type="xsd:long"&gt;43704&lt;/D&gt;&lt;D xsi:type="xsd:long"&gt;43703&lt;/D&gt;&lt;D xsi:type="xsd:long"&gt;43700&lt;/D&gt;&lt;D xsi:type="xsd:long"&gt;43699&lt;/D&gt;&lt;D xsi:type="xsd:long"&gt;43698&lt;/D&gt;&lt;D xsi:type="xsd:long"&gt;43697&lt;/D&gt;&lt;D xsi:type="xsd:long"&gt;43696&lt;/D&gt;&lt;D xsi:type="xsd:long"&gt;43693&lt;/D&gt;&lt;D xsi:type="xsd:long"&gt;43692&lt;/D&gt;&lt;D xsi:type="xsd:long"&gt;43691&lt;/D&gt;&lt;D xsi:type="xsd:long"&gt;43690&lt;/D&gt;&lt;D xsi:type="xsd:long"&gt;43689&lt;/D&gt;&lt;D xsi:type="xsd:long"&gt;43686&lt;/D&gt;&lt;D xsi:type="xsd:long"&gt;43685&lt;/D&gt;&lt;D xsi:type="xsd:long"&gt;43684&lt;/D&gt;&lt;D xsi:type="xsd:long"&gt;43683&lt;/D&gt;&lt;D xsi:type="xsd:long"&gt;43682&lt;/D&gt;&lt;D xsi:type="xsd:long"&gt;43679&lt;/D&gt;&lt;D xsi:type="xsd:long"&gt;43678&lt;/D&gt;&lt;D xsi:type="xsd:long"&gt;43677&lt;/D&gt;&lt;D xsi:type="xsd:long"&gt;43676&lt;/D&gt;&lt;D xsi:type="xsd:long"&gt;43675&lt;/D&gt;&lt;D xsi:type="xsd:long"&gt;43672&lt;/D&gt;&lt;D xsi:type="xsd:long"&gt;43671&lt;/D&gt;&lt;D xsi:type="xsd:long"&gt;43670&lt;/D&gt;&lt;D xsi:type="xsd:long"&gt;43669&lt;/D&gt;&lt;D xsi:type="xsd:long"&gt;43668&lt;/D&gt;&lt;D xsi:type="xsd:long"&gt;43665&lt;/D&gt;&lt;D xsi:type="xsd:long"&gt;43664&lt;/D&gt;&lt;D xsi:type="xsd:long"&gt;43663&lt;/D&gt;&lt;D xsi:type="xsd:long"&gt;43662&lt;/D&gt;&lt;D xsi:type="xsd:long"&gt;43661&lt;/D&gt;&lt;D xsi:type="xsd:long"&gt;43658&lt;/D&gt;&lt;D xsi:type="xsd:long"&gt;43657&lt;/D&gt;&lt;D xsi:type="xsd:long"&gt;43656&lt;/D&gt;&lt;D xsi:type="xsd:long"&gt;43655&lt;/D&gt;&lt;D xsi:type="xsd:long"&gt;43654&lt;/D&gt;&lt;D xsi:type="xsd:long"&gt;43651&lt;/D&gt;&lt;D xsi:type="xsd:long"&gt;43649&lt;/D&gt;&lt;D xsi:type="xsd:long"&gt;43648&lt;/D&gt;&lt;D xsi:type="xsd:long"&gt;43647&lt;/D&gt;&lt;D xsi:type="xsd:long"&gt;43644&lt;/D&gt;&lt;D xsi:type="xsd:long"&gt;43643&lt;/D&gt;&lt;D xsi:type="xsd:long"&gt;43642&lt;/D&gt;&lt;D xsi:type="xsd:long"&gt;43641&lt;/D&gt;&lt;D xsi:type="xsd:long"&gt;43640&lt;/D&gt;&lt;D xsi:type="xsd:long"&gt;43637&lt;/D&gt;&lt;D xsi:type="xsd:long"&gt;43636&lt;/D&gt;&lt;D xsi:type="xsd:long"&gt;43635&lt;/D&gt;&lt;D xsi:type="xsd:long"&gt;43634&lt;/D&gt;&lt;D xsi:type="xsd:long"&gt;43633&lt;/D&gt;&lt;D xsi:type="xsd:long"&gt;43630&lt;/D&gt;&lt;D xsi:type="xsd:long"&gt;43629&lt;/D&gt;&lt;D xsi:type="xsd:long"&gt;43628&lt;/D&gt;&lt;D xsi:type="xsd:long"&gt;43627&lt;/D&gt;&lt;D xsi:type="xsd:long"&gt;43626&lt;/D&gt;&lt;D xsi:type="xsd:long"&gt;43623&lt;/D&gt;&lt;D xsi:type="xsd:long"&gt;43622&lt;/D&gt;&lt;D xsi:type="xsd:long"&gt;43621&lt;/D&gt;&lt;D xsi:type="xsd:long"&gt;43620&lt;/D&gt;&lt;D xsi:type="xsd:long"&gt;43619&lt;/D&gt;&lt;D xsi:type="xsd:long"&gt;43616&lt;/D&gt;&lt;D xsi:type="xsd:long"&gt;43615&lt;/D&gt;&lt;D xsi:type="xsd:long"&gt;43614&lt;/D&gt;&lt;D xsi:type="xsd:long"&gt;43613&lt;/D&gt;&lt;D xsi:type="xsd:long"&gt;43609&lt;/D&gt;&lt;D xsi:type="xsd:long"&gt;43608&lt;/D&gt;&lt;D xsi:type="xsd:long"&gt;43607&lt;/D&gt;&lt;D xsi:type="xsd:long"&gt;43606&lt;/D&gt;&lt;D xsi:type="xsd:long"&gt;43605&lt;/D&gt;&lt;D xsi:type="xsd:long"&gt;43602&lt;/D&gt;&lt;D xsi:type="xsd:long"&gt;43601&lt;/D&gt;&lt;D xsi:type="xsd:long"&gt;43600&lt;/D&gt;&lt;D xsi:type="xsd:long"&gt;43599&lt;/D&gt;&lt;D xsi:type="xsd:long"&gt;43598&lt;/D&gt;&lt;D xsi:type="xsd:long"&gt;43595&lt;/D&gt;&lt;D xsi:type="xsd:long"&gt;43594&lt;/D&gt;&lt;D xsi:type="xsd:long"&gt;43593&lt;/D&gt;&lt;D xsi:type="xsd:long"&gt;43592&lt;/D&gt;&lt;D xsi:type="xsd:long"&gt;43591&lt;/D&gt;&lt;D xsi:type="xsd:long"&gt;43588&lt;/D&gt;&lt;D xsi:type="xsd:long"&gt;43587&lt;/D&gt;&lt;D xsi:type="xsd:long"&gt;43586&lt;/D&gt;&lt;D xsi:type="xsd:long"&gt;43585&lt;/D&gt;&lt;D xsi:type="xsd:long"&gt;43584&lt;/D&gt;&lt;D xsi:type="xsd:long"&gt;43581&lt;/D&gt;&lt;D xsi:type="xsd:long"&gt;43580&lt;/D&gt;&lt;D xsi:type="xsd:long"&gt;43579&lt;/D&gt;&lt;D xsi:type="xsd:long"&gt;43578&lt;/D&gt;&lt;D xsi:type="xsd:long"&gt;43577&lt;/D&gt;&lt;D xsi:type="xsd:long"&gt;43573&lt;/D&gt;&lt;D xsi:type="xsd:long"&gt;43572&lt;/D&gt;&lt;D xsi:type="xsd:long"&gt;43571&lt;/D&gt;&lt;D xsi:type="xsd:long"&gt;43570&lt;/D&gt;&lt;D xsi:type="xsd:long"&gt;43567&lt;/D&gt;&lt;D xsi:type="xsd:long"&gt;43566&lt;/D&gt;&lt;D xsi:type="xsd:long"&gt;43565&lt;/D&gt;&lt;D xsi:type="xsd:long"&gt;43564&lt;/D&gt;&lt;D xsi:type="xsd:long"&gt;43563&lt;/D&gt;&lt;D xsi:type="xsd:long"&gt;43560&lt;/D&gt;&lt;D xsi:type="xsd:long"&gt;43559&lt;/D&gt;&lt;D xsi:type="xsd:long"&gt;43558&lt;/D&gt;&lt;D xsi:type="xsd:long"&gt;43557&lt;/D&gt;&lt;D xsi:type="xsd:long"&gt;43556&lt;/D&gt;&lt;D xsi:type="xsd:long"&gt;43553&lt;/D&gt;&lt;D xsi:type="xsd:long"&gt;43552&lt;/D&gt;&lt;D xsi:type="xsd:long"&gt;43551&lt;/D&gt;&lt;D xsi:type="xsd:long"&gt;43550&lt;/D&gt;&lt;D xsi:type="xsd:long"&gt;43549&lt;/D&gt;&lt;D xsi:type="xsd:long"&gt;43546&lt;/D&gt;&lt;D xsi:type="xsd:long"&gt;43545&lt;/D&gt;&lt;D xsi:type="xsd:long"&gt;43544&lt;/D&gt;&lt;D xsi:type="xsd:long"&gt;43543&lt;/D&gt;&lt;D xsi:type="xsd:long"&gt;43542&lt;/D&gt;&lt;D xsi:type="xsd:long"&gt;43539&lt;/D&gt;&lt;D xsi:type="xsd:long"&gt;43538&lt;/D&gt;&lt;D xsi:type="xsd:long"&gt;43537&lt;/D&gt;&lt;D xsi:type="xsd:long"&gt;43536&lt;/D&gt;&lt;D xsi:type="xsd:long"&gt;43535&lt;/D&gt;&lt;D xsi:type="xsd:long"&gt;43532&lt;/D&gt;&lt;D xsi:type="xsd:long"&gt;43531&lt;/D&gt;&lt;D xsi:type="xsd:long"&gt;43530&lt;/D&gt;&lt;D xsi:type="xsd:long"&gt;43529&lt;/D&gt;&lt;D xsi:type="xsd:long"&gt;43528&lt;/D&gt;&lt;D xsi:type="xsd:long"&gt;43525&lt;/D&gt;&lt;D xsi:type="xsd:long"&gt;43524&lt;/D&gt;&lt;D xsi:type="xsd:long"&gt;43523&lt;/D&gt;&lt;D xsi:type="xsd:long"&gt;43522&lt;/D&gt;&lt;D xsi:type="xsd:long"&gt;43521&lt;/D&gt;&lt;D xsi:type="xsd:long"&gt;43518&lt;/D&gt;&lt;D xsi:type="xsd:long"&gt;43517&lt;/D&gt;&lt;D xsi:type="xsd:long"&gt;43516&lt;/D&gt;&lt;D xsi:type="xsd:long"&gt;43515&lt;/D&gt;&lt;D xsi:type="xsd:long"&gt;43511&lt;/D&gt;&lt;D xsi:type="xsd:long"&gt;43510&lt;/D&gt;&lt;D xsi:type="xsd:long"&gt;43509&lt;/D&gt;&lt;D xsi:type="xsd:long"&gt;43508&lt;/D&gt;&lt;D xsi:type="xsd:long"&gt;43507&lt;/D&gt;&lt;D xsi:type="xsd:long"&gt;43504&lt;/D&gt;&lt;D xsi:type="xsd:long"&gt;43503&lt;/D&gt;&lt;D xsi:type="xsd:long"&gt;43502&lt;/D&gt;&lt;D xsi:type="xsd:long"&gt;43501&lt;/D&gt;&lt;D xsi:type="xsd:long"&gt;43500&lt;/D&gt;&lt;D xsi:type="xsd:long"&gt;43497&lt;/D&gt;&lt;D xsi:type="xsd:long"&gt;43496&lt;/D&gt;&lt;D xsi:type="xsd:long"&gt;43495&lt;/D&gt;&lt;D xsi:type="xsd:long"&gt;43494&lt;/D&gt;&lt;D xsi:type="xsd:long"&gt;43493&lt;/D&gt;&lt;D xsi:type="xsd:long"&gt;43490&lt;/D&gt;&lt;D xsi:type="xsd:long"&gt;43489&lt;/D&gt;&lt;D xsi:type="xsd:long"&gt;43488&lt;/D&gt;&lt;D xsi:type="xsd:long"&gt;43487&lt;/D&gt;&lt;D xsi:type="xsd:long"&gt;43483&lt;/D&gt;&lt;D xsi:type="xsd:long"&gt;43482&lt;/D&gt;&lt;D xsi:type="xsd:long"&gt;43481&lt;/D&gt;&lt;D xsi:type="xsd:long"&gt;43480&lt;/D&gt;&lt;D xsi:type="xsd:long"&gt;43479&lt;/D&gt;&lt;D xsi:type="xsd:long"&gt;43476&lt;/D&gt;&lt;D xsi:type="xsd:long"&gt;43475&lt;/D&gt;&lt;D xsi:type="xsd:long"&gt;43474&lt;/D&gt;&lt;D xsi:type="xsd:long"&gt;43473&lt;/D&gt;&lt;D xsi:type="xsd:long"&gt;43472&lt;/D&gt;&lt;D xsi:type="xsd:long"&gt;43469&lt;/D&gt;&lt;D xsi:type="xsd:long"&gt;43468&lt;/D&gt;&lt;D xsi:type="xsd:long"&gt;43467&lt;/D&gt;&lt;D xsi:type="xsd:long"&gt;43465&lt;/D&gt;&lt;D xsi:type="xsd:long"&gt;43462&lt;/D&gt;&lt;D xsi:type="xsd:long"&gt;43461&lt;/D&gt;&lt;D xsi:type="xsd:long"&gt;43460&lt;/D&gt;&lt;D xsi:type="xsd:long"&gt;43458&lt;/D&gt;&lt;D xsi:type="xsd:long"&gt;43455&lt;/D&gt;&lt;D xsi:type="xsd:long"&gt;43454&lt;/D&gt;&lt;D xsi:type="xsd:long"&gt;43453&lt;/D&gt;&lt;D xsi:type="xsd:long"&gt;43452&lt;/D&gt;&lt;D xsi:type="xsd:long"&gt;43451&lt;/D&gt;&lt;D xsi:type="xsd:long"&gt;43448&lt;/D&gt;&lt;D xsi:type="xsd:long"&gt;43447&lt;/D&gt;&lt;D xsi:type="xsd:long"&gt;43446&lt;/D&gt;&lt;D xsi:type="xsd:long"&gt;43445&lt;/D&gt;&lt;D xsi:type="xsd:long"&gt;43444&lt;/D&gt;&lt;D xsi:type="xsd:long"&gt;43441&lt;/D&gt;&lt;D xsi:type="xsd:long"&gt;43440&lt;/D&gt;&lt;D xsi:type="xsd:long"&gt;43438&lt;/D&gt;&lt;D xsi:type="xsd:long"&gt;43437&lt;/D&gt;&lt;D xsi:type="xsd:long"&gt;43434&lt;/D&gt;&lt;D xsi:type="xsd:long"&gt;43433&lt;/D&gt;&lt;D xsi:type="xsd:long"&gt;43432&lt;/D&gt;&lt;D xsi:type="xsd:long"&gt;43431&lt;/D&gt;&lt;D xsi:type="xsd:long"&gt;43430&lt;/D&gt;&lt;D xsi:type="xsd:long"&gt;43427&lt;/D&gt;&lt;D xsi:type="xsd:long"&gt;43425&lt;/D&gt;&lt;D xsi:type="xsd:long"&gt;43424&lt;/D&gt;&lt;D xsi:type="xsd:long"&gt;43423&lt;/D&gt;&lt;D xsi:type="xsd:long"&gt;43420&lt;/D&gt;&lt;D xsi:type="xsd:long"&gt;43419&lt;/D&gt;&lt;D xsi:type="xsd:long"&gt;43418&lt;/D&gt;&lt;D xsi:type="xsd:long"&gt;43417&lt;/D&gt;&lt;D xsi:type="xsd:long"&gt;43416&lt;/D&gt;&lt;D xsi:type="xsd:long"&gt;43413&lt;/D&gt;&lt;D xsi:type="xsd:long"&gt;43412&lt;/D&gt;&lt;D xsi:type="xsd:long"&gt;43411&lt;/D&gt;&lt;D xsi:type="xsd:long"&gt;43410&lt;/D&gt;&lt;D xsi:type="xsd:long"&gt;43409&lt;/D&gt;&lt;D xsi:type="xsd:long"&gt;43406&lt;/D&gt;&lt;D xsi:type="xsd:long"&gt;43405&lt;/D&gt;&lt;D xsi:type="xsd:long"&gt;43404&lt;/D&gt;&lt;D xsi:type="xsd:long"&gt;43403&lt;/D&gt;&lt;D xsi:type="xsd:long"&gt;43402&lt;/D&gt;&lt;D xsi:type="xsd:long"&gt;43399&lt;/D&gt;&lt;D xsi:type="xsd:long"&gt;43398&lt;/D&gt;&lt;D xsi:type="xsd:long"&gt;43397&lt;/D&gt;&lt;D xsi:type="xsd:long"&gt;43396&lt;/D&gt;&lt;D xsi:type="xsd:long"&gt;43395&lt;/D&gt;&lt;D xsi:type="xsd:long"&gt;43392&lt;/D&gt;&lt;D xsi:type="xsd:long"&gt;43391&lt;/D&gt;&lt;D xsi:type="xsd:long"&gt;43390&lt;/D&gt;&lt;D xsi:type="xsd:long"&gt;43389&lt;/D&gt;&lt;D xsi:type="xsd:long"&gt;43388&lt;/D&gt;&lt;D xsi:type="xsd:long"&gt;43385&lt;/D&gt;&lt;D xsi:type="xsd:long"&gt;43384&lt;/D&gt;&lt;D xsi:type="xsd:long"&gt;43383&lt;/D&gt;&lt;D xsi:type="xsd:long"&gt;43382&lt;/D&gt;&lt;D xsi:type="xsd:long"&gt;43381&lt;/D&gt;&lt;D xsi:type="xsd:long"&gt;43378&lt;/D&gt;&lt;D xsi:type="xsd:long"&gt;43377&lt;/D&gt;&lt;D xsi:type="xsd:long"&gt;43376&lt;/D&gt;&lt;D xsi:type="xsd:long"&gt;43375&lt;/D&gt;&lt;D xsi:type="xsd:long"&gt;43374&lt;/D&gt;&lt;D xsi:type="xsd:long"&gt;43371&lt;/D&gt;&lt;D xsi:type="xsd:long"&gt;43370&lt;/D&gt;&lt;D xsi:type="xsd:long"&gt;43369&lt;/D&gt;&lt;D xsi:type="xsd:long"&gt;43368&lt;/D&gt;&lt;D xsi:type="xsd:long"&gt;43367&lt;/D&gt;&lt;D xsi:type="xsd:long"&gt;43364&lt;/D&gt;&lt;D xsi:type="xsd:long"&gt;43363&lt;/D&gt;&lt;D xsi:type="xsd:long"&gt;43362&lt;/D&gt;&lt;D xsi:type="xsd:long"&gt;43361&lt;/D&gt;&lt;D xsi:type="xsd:long"&gt;43360&lt;/D&gt;&lt;D xsi:type="xsd:long"&gt;43357&lt;/D&gt;&lt;D xsi:type="xsd:long"&gt;43356&lt;/D&gt;&lt;D xsi:type="xsd:long"&gt;43355&lt;/D&gt;&lt;D xsi:type="xsd:long"&gt;43354&lt;/D&gt;&lt;D xsi:type="xsd:long"&gt;43353&lt;/D&gt;&lt;D xsi:type="xsd:long"&gt;43350&lt;/D&gt;&lt;D xsi:type="xsd:long"&gt;43349&lt;/D&gt;&lt;D xsi:type="xsd:long"&gt;43348&lt;/D&gt;&lt;D xsi:type="xsd:long"&gt;43347&lt;/D&gt;&lt;D xsi:type="xsd:long"&gt;43343&lt;/D&gt;&lt;D xsi:type="xsd:long"&gt;43342&lt;/D&gt;&lt;D xsi:type="xsd:long"&gt;43341&lt;/D&gt;&lt;D xsi:type="xsd:long"&gt;43340&lt;/D&gt;&lt;D xsi:type="xsd:long"&gt;43339&lt;/D&gt;&lt;D xsi:type="xsd:long"&gt;43336&lt;/D&gt;&lt;D xsi:type="xsd:long"&gt;43335&lt;/D&gt;&lt;D xsi:type="xsd:long"&gt;43334&lt;/D&gt;&lt;D xsi:type="xsd:long"&gt;43333&lt;/D&gt;&lt;D xsi:type="xsd:long"&gt;43332&lt;/D&gt;&lt;D xsi:type="xsd:long"&gt;43329&lt;/D&gt;&lt;D xsi:type="xsd:long"&gt;43328&lt;/D&gt;&lt;D xsi:type="xsd:long"&gt;43327&lt;/D&gt;&lt;D xsi:type="xsd:long"&gt;43326&lt;/D&gt;&lt;D xsi:type="xsd:long"&gt;43325&lt;/D&gt;&lt;D xsi:type="xsd:long"&gt;43322&lt;/D&gt;&lt;D xsi:type="xsd:long"&gt;43321&lt;/D&gt;&lt;D xsi:type="xsd:long"&gt;43320&lt;/D&gt;&lt;D xsi:type="xsd:long"&gt;43319&lt;/D&gt;&lt;D xsi:type="xsd:long"&gt;43318&lt;/D&gt;&lt;D xsi:type="xsd:long"&gt;43315&lt;/D&gt;&lt;D xsi:type="xsd:long"&gt;43314&lt;/D&gt;&lt;D xsi:type="xsd:long"&gt;43313&lt;/D&gt;&lt;D xsi:type="xsd:long"&gt;43312&lt;/D&gt;&lt;D xsi:type="xsd:long"&gt;43311&lt;/D&gt;&lt;D xsi:type="xsd:long"&gt;43308&lt;/D&gt;&lt;D xsi:type="xsd:long"&gt;43307&lt;/D&gt;&lt;D xsi:type="xsd:long"&gt;43306&lt;/D&gt;&lt;D xsi:type="xsd:long"&gt;43305&lt;/D&gt;&lt;D xsi:type="xsd:long"&gt;43304&lt;/D&gt;&lt;D xsi:type="xsd:long"&gt;43301&lt;/D&gt;&lt;D xsi:type="xsd:long"&gt;43300&lt;/D&gt;&lt;D xsi:type="xsd:long"&gt;43299&lt;/D&gt;&lt;D xsi:type="xsd:long"&gt;43298&lt;/D&gt;&lt;D xsi:type="xsd:long"&gt;43297&lt;/D&gt;&lt;D xsi:type="xsd:long"&gt;43294&lt;/D&gt;&lt;D xsi:type="xsd:long"&gt;43293&lt;/D&gt;&lt;D xsi:type="xsd:long"&gt;43292&lt;/D&gt;&lt;D xsi:type="xsd:long"&gt;43291&lt;/D&gt;&lt;D xsi:type="xsd:long"&gt;43290&lt;/D&gt;&lt;D xsi:type="xsd:long"&gt;43287&lt;/D&gt;&lt;D xsi:type="xsd:long"&gt;43286&lt;/D&gt;&lt;D xsi:type="xsd:long"&gt;43284&lt;/D&gt;&lt;D xsi:type="xsd:long"&gt;43283&lt;/D&gt;&lt;D xsi:type="xsd:long"&gt;43280&lt;/D&gt;&lt;D xsi:type="xsd:long"&gt;43279&lt;/D&gt;&lt;D xsi:type="xsd:long"&gt;43278&lt;/D&gt;&lt;D xsi:type="xsd:long"&gt;43277&lt;/D&gt;&lt;D xsi:type="xsd:long"&gt;43276&lt;/D&gt;&lt;D xsi:type="xsd:long"&gt;43273&lt;/D&gt;&lt;D xsi:type="xsd:long"&gt;43272&lt;/D&gt;&lt;D xsi:type="xsd:long"&gt;43271&lt;/D&gt;&lt;D xsi:type="xsd:long"&gt;43270&lt;/D&gt;&lt;D xsi:type="xsd:long"&gt;43269&lt;/D&gt;&lt;D xsi:type="xsd:long"&gt;43266&lt;/D&gt;&lt;D xsi:type="xsd:long"&gt;43265&lt;/D&gt;&lt;D xsi:type="xsd:long"&gt;43264&lt;/D&gt;&lt;D xsi:type="xsd:long"&gt;43263&lt;/D&gt;&lt;D xsi:type="xsd:long"&gt;43262&lt;/D&gt;&lt;D xsi:type="xsd:long"&gt;43259&lt;/D&gt;&lt;D xsi:type="xsd:long"&gt;43258&lt;/D&gt;&lt;D xsi:type="xsd:long"&gt;43257&lt;/D&gt;&lt;D xsi:type="xsd:long"&gt;43256&lt;/D&gt;&lt;D xsi:type="xsd:long"&gt;43255&lt;/D&gt;&lt;D xsi:type="xsd:long"&gt;43252&lt;/D&gt;&lt;D xsi:type="xsd:long"&gt;43251&lt;/D&gt;&lt;D xsi:type="xsd:long"&gt;43250&lt;/D&gt;&lt;D xsi:type="xsd:long"&gt;43249&lt;/D&gt;&lt;D xsi:type="xsd:long"&gt;43245&lt;/D&gt;&lt;D xsi:type="xsd:long"&gt;43244&lt;/D&gt;&lt;D xsi:type="xsd:long"&gt;43243&lt;/D&gt;&lt;D xsi:type="xsd:long"&gt;43242&lt;/D&gt;&lt;D xsi:type="xsd:long"&gt;43241&lt;/D&gt;&lt;D xsi:type="xsd:long"&gt;43238&lt;/D&gt;&lt;D xsi:type="xsd:long"&gt;43237&lt;/D&gt;&lt;D xsi:type="xsd:long"&gt;43236&lt;/D&gt;&lt;D xsi:type="xsd:long"&gt;43235&lt;/D&gt;&lt;D xsi:type="xsd:long"&gt;43234&lt;/D&gt;&lt;D xsi:type="xsd:long"&gt;43231&lt;/D&gt;&lt;D xsi:type="xsd:long"&gt;43230&lt;/D&gt;&lt;D xsi:type="xsd:long"&gt;43229&lt;/D&gt;&lt;D xsi:type="xsd:long"&gt;43228&lt;/D&gt;&lt;D xsi:type="xsd:long"&gt;43227&lt;/D&gt;&lt;D xsi:type="xsd:long"&gt;43224&lt;/D&gt;&lt;D xsi:type="xsd:long"&gt;43223&lt;/D&gt;&lt;D xsi:type="xsd:long"&gt;43222&lt;/D&gt;&lt;D xsi:type="xsd:long"&gt;43221&lt;/D&gt;&lt;D xsi:type="xsd:long"&gt;43220&lt;/D&gt;&lt;D xsi:type="xsd:long"&gt;43217&lt;/D&gt;&lt;D xsi:type="xsd:long"&gt;43216&lt;/D&gt;&lt;D xsi:type="xsd:long"&gt;43215&lt;/D&gt;&lt;D xsi:type="xsd:long"&gt;43214&lt;/D&gt;&lt;D xsi:type="xsd:long"&gt;43213&lt;/D&gt;&lt;D xsi:type="xsd:long"&gt;43210&lt;/D&gt;&lt;D xsi:type="xsd:long"&gt;43209&lt;/D&gt;&lt;D xsi:type="xsd:long"&gt;43208&lt;/D&gt;&lt;D xsi:type="xsd:long"&gt;43207&lt;/D&gt;&lt;D xsi:type="xsd:long"&gt;43206&lt;/D&gt;&lt;D xsi:type="xsd:long"&gt;43203&lt;/D&gt;&lt;D xsi:type="xsd:long"&gt;43202&lt;/D&gt;&lt;D xsi:type="xsd:long"&gt;43201&lt;/D&gt;&lt;D xsi:type="xsd:long"&gt;43200&lt;/D&gt;&lt;D xsi:type="xsd:long"&gt;43199&lt;/D&gt;&lt;D xsi:type="xsd:long"&gt;43196&lt;/D&gt;&lt;D xsi:type="xsd:long"&gt;43195&lt;/D&gt;&lt;D xsi:type="xsd:long"&gt;43194&lt;/D&gt;&lt;D xsi:type="xsd:long"&gt;43193&lt;/D&gt;&lt;D xsi:type="xsd:long"&gt;43192&lt;/D&gt;&lt;D xsi:type="xsd:long"&gt;43188&lt;/D&gt;&lt;D xsi:type="xsd:long"&gt;43187&lt;/D&gt;&lt;D xsi:type="xsd:long"&gt;43186&lt;/D&gt;&lt;D xsi:type="xsd:long"&gt;43185&lt;/D&gt;&lt;D xsi:type="xsd:long"&gt;43182&lt;/D&gt;&lt;D xsi:type="xsd:long"&gt;43181&lt;/D&gt;&lt;D xsi:type="xsd:long"&gt;43180&lt;/D&gt;&lt;D xsi:type="xsd:long"&gt;43179&lt;/D&gt;&lt;D xsi:type="xsd:long"&gt;43178&lt;/D&gt;&lt;D xsi:type="xsd:long"&gt;43175&lt;/D&gt;&lt;D xsi:type="xsd:long"&gt;43174&lt;/D&gt;&lt;D xsi:type="xsd:long"&gt;43173&lt;/D&gt;&lt;D xsi:type="xsd:long"&gt;43172&lt;/D&gt;&lt;D xsi:type="xsd:long"&gt;43171&lt;/D&gt;&lt;D xsi:type="xsd:long"&gt;43168&lt;/D&gt;&lt;D xsi:type="xsd:long"&gt;43167&lt;/D&gt;&lt;D xsi:type="xsd:long"&gt;43166&lt;/D&gt;&lt;D xsi:type="xsd:long"&gt;43165&lt;/D&gt;&lt;D xsi:type="xsd:long"&gt;43164&lt;/D&gt;&lt;D xsi:type="xsd:long"&gt;43161&lt;/D&gt;&lt;D xsi:type="xsd:long"&gt;43160&lt;/D&gt;&lt;D xsi:type="xsd:long"&gt;43159&lt;/D&gt;&lt;D xsi:type="xsd:long"&gt;43158&lt;/D&gt;&lt;D xsi:type="xsd:long"&gt;43157&lt;/D&gt;&lt;D xsi:type="xsd:long"&gt;43154&lt;/D&gt;&lt;D xsi:type="xsd:long"&gt;43153&lt;/D&gt;&lt;D xsi:type="xsd:long"&gt;43152&lt;/D&gt;&lt;D xsi:type="xsd:long"&gt;43151&lt;/D&gt;&lt;D xsi:type="xsd:long"&gt;43147&lt;/D&gt;&lt;D xsi:type="xsd:long"&gt;43146&lt;/D&gt;&lt;D xsi:type="xsd:long"&gt;43145&lt;/D&gt;&lt;D xsi:type="xsd:long"&gt;43144&lt;/D&gt;&lt;D xsi:type="xsd:long"&gt;43143&lt;/D&gt;&lt;D xsi:type="xsd:long"&gt;43140&lt;/D&gt;&lt;D xsi:type="xsd:long"&gt;43139&lt;/D&gt;&lt;D xsi:type="xsd:long"&gt;43138&lt;/D&gt;&lt;D xsi:type="xsd:long"&gt;43137&lt;/D&gt;&lt;D xsi:type="xsd:long"&gt;43136&lt;/D&gt;&lt;D xsi:type="xsd:long"&gt;43133&lt;/D&gt;&lt;D xsi:type="xsd:long"&gt;43132&lt;/D&gt;&lt;D xsi:type="xsd:long"&gt;43131&lt;/D&gt;&lt;D xsi:type="xsd:long"&gt;43130&lt;/D&gt;&lt;D xsi:type="xsd:long"&gt;43129&lt;/D&gt;&lt;D xsi:type="xsd:long"&gt;43126&lt;/D&gt;&lt;D xsi:type="xsd:long"&gt;43125&lt;/D&gt;&lt;D xsi:type="xsd:long"&gt;43124&lt;/D&gt;&lt;D xsi:type="xsd:long"&gt;43123&lt;/D&gt;&lt;D xsi:type="xsd:long"&gt;43122&lt;/D&gt;&lt;D xsi:type="xsd:long"&gt;43119&lt;/D&gt;&lt;D xsi:type="xsd:long"&gt;43118&lt;/D&gt;&lt;D xsi:type="xsd:long"&gt;43117&lt;/D&gt;&lt;D xsi:type="xsd:long"&gt;43116&lt;/D&gt;&lt;D xsi:type="xsd:long"&gt;43112&lt;/D&gt;&lt;D xsi:type="xsd:long"&gt;43111&lt;/D&gt;&lt;D xsi:type="xsd:long"&gt;43110&lt;/D&gt;&lt;D xsi:type="xsd:long"&gt;43109&lt;/D&gt;&lt;D xsi:type="xsd:long"&gt;43108&lt;/D&gt;&lt;D xsi:type="xsd:long"&gt;43105&lt;/D&gt;&lt;D xsi:type="xsd:long"&gt;43104&lt;/D&gt;&lt;D xsi:type="xsd:long"&gt;43103&lt;/D&gt;&lt;D xsi:type="xsd:long"&gt;43102&lt;/D&gt;&lt;D xsi:type="xsd:long"&gt;43098&lt;/D&gt;&lt;D xsi:type="xsd:long"&gt;43097&lt;/D&gt;&lt;D xsi:type="xsd:long"&gt;43096&lt;/D&gt;&lt;D xsi:type="xsd:long"&gt;43095&lt;/D&gt;&lt;D xsi:type="xsd:long"&gt;43091&lt;/D&gt;&lt;D xsi:type="xsd:long"&gt;43090&lt;/D&gt;&lt;D xsi:type="xsd:long"&gt;43089&lt;/D&gt;&lt;D xsi:type="xsd:long"&gt;43088&lt;/D&gt;&lt;D xsi:type="xsd:long"&gt;43087&lt;/D&gt;&lt;D xsi:type="xsd:long"&gt;43084&lt;/D&gt;&lt;D xsi:type="xsd:long"&gt;43083&lt;/D&gt;&lt;D xsi:type="xsd:long"&gt;43082&lt;/D&gt;&lt;D xsi:type="xsd:long"&gt;43081&lt;/D&gt;&lt;D xsi:type="xsd:long"&gt;43080&lt;/D&gt;&lt;D xsi:type="xsd:long"&gt;43077&lt;/D&gt;&lt;D xsi:type="xsd:long"&gt;43076&lt;/D&gt;&lt;D xsi:type="xsd:long"&gt;43075&lt;/D&gt;&lt;D xsi:type="xsd:long"&gt;43074&lt;/D&gt;&lt;D xsi:type="xsd:long"&gt;43073&lt;/D&gt;&lt;D xsi:type="xsd:long"&gt;43070&lt;/D&gt;&lt;D xsi:type="xsd:long"&gt;43069&lt;/D&gt;&lt;D xsi:type="xsd:long"&gt;43068&lt;/D&gt;&lt;D xsi:type="xsd:long"&gt;43067&lt;/D&gt;&lt;D xsi:type="xsd:long"&gt;43066&lt;/D&gt;&lt;D xsi:type="xsd:long"&gt;43063&lt;/D&gt;&lt;D xsi:type="xsd:long"&gt;43061&lt;/D&gt;&lt;D xsi:type="xsd:long"&gt;43060&lt;/D&gt;&lt;D xsi:type="xsd:long"&gt;43059&lt;/D&gt;&lt;D xsi:type="xsd:long"&gt;43056&lt;/D&gt;&lt;D xsi:type="xsd:long"&gt;43055&lt;/D&gt;&lt;D xsi:type="xsd:long"&gt;43054&lt;/D&gt;&lt;D xsi:type="xsd:long"&gt;43053&lt;/D&gt;&lt;D xsi:type="xsd:long"&gt;43052&lt;/D&gt;&lt;D xsi:type="xsd:long"&gt;43049&lt;/D&gt;&lt;D xsi:type="xsd:long"&gt;43048&lt;/D&gt;&lt;D xsi:type="xsd:long"&gt;43047&lt;/D&gt;&lt;D xsi:type="xsd:long"&gt;43046&lt;/D&gt;&lt;D xsi:type="xsd:long"&gt;43045&lt;/D&gt;&lt;D xsi:type="xsd:long"&gt;43042&lt;/D&gt;&lt;D xsi:type="xsd:long"&gt;43041&lt;/D&gt;&lt;D xsi:type="xsd:long"&gt;43040&lt;/D&gt;&lt;D xsi:type="xsd:long"&gt;43039&lt;/D&gt;&lt;D xsi:type="xsd:long"&gt;43038&lt;/D&gt;&lt;D xsi:type="xsd:long"&gt;43035&lt;/D&gt;&lt;D xsi:type="xsd:long"&gt;43034&lt;/D&gt;&lt;D xsi:type="xsd:long"&gt;43033&lt;/D&gt;&lt;D xsi:type="xsd:long"&gt;43032&lt;/D&gt;&lt;D xsi:type="xsd:long"&gt;43031&lt;/D&gt;&lt;D xsi:type="xsd:long"&gt;43028&lt;/D&gt;&lt;D xsi:type="xsd:long"&gt;43027&lt;/D&gt;&lt;D xsi:type="xsd:long"&gt;43026&lt;/D&gt;&lt;D xsi:type="xsd:long"&gt;43025&lt;/D&gt;&lt;D xsi:type="xsd:long"&gt;43024&lt;/D&gt;&lt;D xsi:type="xsd:long"&gt;43021&lt;/D&gt;&lt;D xsi:type="xsd:long"&gt;43020&lt;/D&gt;&lt;D xsi:type="xsd:long"&gt;43019&lt;/D&gt;&lt;D xsi:type="xsd:long"&gt;43018&lt;/D&gt;&lt;D xsi:type="xsd:long"&gt;43017&lt;/D&gt;&lt;D xsi:type="xsd:long"&gt;43014&lt;/D&gt;&lt;D xsi:type="xsd:long"&gt;43013&lt;/D&gt;&lt;D xsi:type="xsd:long"&gt;43012&lt;/D&gt;&lt;D xsi:type="xsd:long"&gt;43011&lt;/D&gt;&lt;D xsi:type="xsd:long"&gt;43010&lt;/D&gt;&lt;D xsi:type="xsd:long"&gt;43007&lt;/D&gt;&lt;D xsi:type="xsd:long"&gt;43006&lt;/D&gt;&lt;D xsi:type="xsd:long"&gt;43005&lt;/D&gt;&lt;D xsi:type="xsd:long"&gt;43004&lt;/D&gt;&lt;D xsi:type="xsd:long"&gt;43003&lt;/D&gt;&lt;D xsi:type="xsd:long"&gt;43000&lt;/D&gt;&lt;D xsi:type="xsd:long"&gt;42999&lt;/D&gt;&lt;D xsi:type="xsd:long"&gt;42998&lt;/D&gt;&lt;D xsi:type="xsd:long"&gt;42997&lt;/D&gt;&lt;D xsi:type="xsd:long"&gt;42996&lt;/D&gt;&lt;D xsi:type="xsd:long"&gt;42993&lt;/D&gt;&lt;D xsi:type="xsd:long"&gt;42992&lt;/D&gt;&lt;D xsi:type="xsd:long"&gt;42991&lt;/D&gt;&lt;D xsi:type="xsd:long"&gt;42990&lt;/D&gt;&lt;D xsi:type="xsd:long"&gt;42989&lt;/D&gt;&lt;D xsi:type="xsd:long"&gt;42986&lt;/D&gt;&lt;D xsi:type="xsd:long"&gt;42985&lt;/D&gt;&lt;D xsi:type="xsd:long"&gt;42984&lt;/D&gt;&lt;D xsi:type="xsd:long"&gt;42983&lt;/D&gt;&lt;D xsi:type="xsd:long"&gt;42979&lt;/D&gt;&lt;D xsi:type="xsd:long"&gt;42978&lt;/D&gt;&lt;D xsi:type="xsd:long"&gt;42977&lt;/D&gt;&lt;D xsi:type="xsd:long"&gt;42976&lt;/D&gt;&lt;D xsi:type="xsd:long"&gt;42975&lt;/D&gt;&lt;D xsi:type="xsd:long"&gt;42972&lt;/D&gt;&lt;D xsi:type="xsd:long"&gt;42971&lt;/D&gt;&lt;D xsi:type="xsd:long"&gt;42970&lt;/D&gt;&lt;D xsi:type="xsd:long"&gt;42969&lt;/D&gt;&lt;D xsi:type="xsd:long"&gt;42968&lt;/D&gt;&lt;D xsi:type="xsd:long"&gt;42965&lt;/D&gt;&lt;D xsi:type="xsd:long"&gt;42964&lt;/D&gt;&lt;D xsi:type="xsd:long"&gt;42963&lt;/D&gt;&lt;D xsi:type="xsd:long"&gt;42962&lt;/D&gt;&lt;D xsi:type="xsd:long"&gt;42961&lt;/D&gt;&lt;D xsi:type="xsd:long"&gt;42958&lt;/D&gt;&lt;D xsi:type="xsd:long"&gt;42957&lt;/D&gt;&lt;D xsi:type="xsd:long"&gt;42956&lt;/D&gt;&lt;D xsi:type="xsd:long"&gt;42955&lt;/D&gt;&lt;D xsi:type="xsd:long"&gt;42954&lt;/D&gt;&lt;D xsi:type="xsd:long"&gt;42951&lt;/D&gt;&lt;D xsi:type="xsd:long"&gt;42950&lt;/D&gt;&lt;D xsi:type="xsd:long"&gt;42949&lt;/D&gt;&lt;D xsi:type="xsd:long"&gt;42948&lt;/D&gt;&lt;D xsi:type="xsd:long"&gt;42947&lt;/D&gt;&lt;D xsi:type="xsd:long"&gt;42944&lt;/D&gt;&lt;D xsi:type="xsd:long"&gt;42943&lt;/D&gt;&lt;D xsi:type="xsd:long"&gt;42942&lt;/D&gt;&lt;D xsi:type="xsd:long"&gt;42941&lt;/D&gt;&lt;D xsi:type="xsd:long"&gt;42940&lt;/D&gt;&lt;D xsi:type="xsd:long"&gt;42937&lt;/D&gt;&lt;D xsi:type="xsd:long"&gt;42936&lt;/D&gt;&lt;D xsi:type="xsd:long"&gt;42935&lt;/D&gt;&lt;D xsi:type="xsd:long"&gt;42934&lt;/D&gt;&lt;D xsi:type="xsd:long"&gt;42933&lt;/D&gt;&lt;D xsi:type="xsd:long"&gt;42930&lt;/D&gt;&lt;D xsi:type="xsd:long"&gt;42929&lt;/D&gt;&lt;D xsi:type="xsd:long"&gt;42928&lt;/D&gt;&lt;D xsi:type="xsd:long"&gt;42927&lt;/D&gt;&lt;D xsi:type="xsd:long"&gt;42926&lt;/D&gt;&lt;D xsi:type="xsd:long"&gt;42923&lt;/D&gt;&lt;D xsi:type="xsd:long"&gt;42922&lt;/D&gt;&lt;D xsi:type="xsd:long"&gt;42921&lt;/D&gt;&lt;D xsi:type="xsd:long"&gt;42919&lt;/D&gt;&lt;D xsi:type="xsd:long"&gt;42916&lt;/D&gt;&lt;D xsi:type="xsd:long"&gt;42915&lt;/D&gt;&lt;D xsi:type="xsd:long"&gt;42914&lt;/D&gt;&lt;D xsi:type="xsd:long"&gt;42913&lt;/D&gt;&lt;D xsi:type="xsd:long"&gt;42912&lt;/D&gt;&lt;D xsi:type="xsd:long"&gt;42909&lt;/D&gt;&lt;D xsi:type="xsd:long"&gt;42908&lt;/D&gt;&lt;D xsi:type="xsd:long"&gt;42907&lt;/D&gt;&lt;D xsi:type="xsd:long"&gt;42906&lt;/D&gt;&lt;D xsi:type="xsd:long"&gt;42905&lt;/D&gt;&lt;D xsi:type="xsd:long"&gt;42902&lt;/D&gt;&lt;D xsi:type="xsd:long"&gt;42901&lt;/D&gt;&lt;D xsi:type="xsd:long"&gt;42900&lt;/D&gt;&lt;D xsi:type="xsd:long"&gt;42899&lt;/D&gt;&lt;D xsi:type="xsd:long"&gt;42898&lt;/D&gt;&lt;D xsi:type="xsd:long"&gt;42895&lt;/D&gt;&lt;D xsi:type="xsd:long"&gt;42894&lt;/D&gt;&lt;D xsi:type="xsd:long"&gt;42893&lt;/D&gt;&lt;D xsi:type="xsd:long"&gt;42892&lt;/D&gt;&lt;D xsi:type="xsd:long"&gt;42891&lt;/D&gt;&lt;D xsi:type="xsd:long"&gt;42888&lt;/D&gt;&lt;D xsi:type="xsd:long"&gt;42887&lt;/D&gt;&lt;D xsi:type="xsd:long"&gt;42886&lt;/D&gt;&lt;D xsi:type="xsd:long"&gt;42885&lt;/D&gt;&lt;D xsi:type="xsd:long"&gt;42881&lt;/D&gt;&lt;D xsi:type="xsd:long"&gt;42880&lt;/D&gt;&lt;D xsi:type="xsd:long"&gt;42879&lt;/D&gt;&lt;D xsi:type="xsd:long"&gt;42878&lt;/D&gt;&lt;D xsi:type="xsd:long"&gt;42877&lt;/D&gt;&lt;D xsi:type="xsd:long"&gt;42874&lt;/D&gt;&lt;D xsi:type="xsd:long"&gt;42873&lt;/D&gt;&lt;D xsi:type="xsd:long"&gt;42872&lt;/D&gt;&lt;D xsi:type="xsd:long"&gt;42871&lt;/D&gt;&lt;D xsi:type="xsd:long"&gt;42870&lt;/D&gt;&lt;D xsi:type="xsd:long"&gt;42867&lt;/D&gt;&lt;D xsi:type="xsd:long"&gt;42866&lt;/D&gt;&lt;D xsi:type="xsd:long"&gt;42865&lt;/D&gt;&lt;D xsi:type="xsd:long"&gt;42864&lt;/D&gt;&lt;D xsi:type="xsd:long"&gt;42863&lt;/D&gt;&lt;D xsi:type="xsd:long"&gt;42860&lt;/D&gt;&lt;D xsi:type="xsd:long"&gt;42859&lt;/D&gt;&lt;D xsi:type="xsd:long"&gt;42858&lt;/D&gt;&lt;D xsi:type="xsd:long"&gt;42857&lt;/D&gt;&lt;D xsi:type="xsd:long"&gt;42856&lt;/D&gt;&lt;D xsi:type="xsd:long"&gt;42853&lt;/D&gt;&lt;D xsi:type="xsd:long"&gt;42852&lt;/D&gt;&lt;D xsi:type="xsd:long"&gt;42851&lt;/D&gt;&lt;D xsi:type="xsd:long"&gt;42850&lt;/D&gt;&lt;D xsi:type="xsd:long"&gt;42849&lt;/D&gt;&lt;D xsi:type="xsd:long"&gt;42846&lt;/D&gt;&lt;D xsi:type="xsd:long"&gt;42845&lt;/D&gt;&lt;D xsi:type="xsd:long"&gt;42844&lt;/D&gt;&lt;D xsi:type="xsd:long"&gt;42843&lt;/D&gt;&lt;D xsi:type="xsd:long"&gt;42842&lt;/D&gt;&lt;D xsi:type="xsd:long"&gt;42838&lt;/D&gt;&lt;D xsi:type="xsd:long"&gt;42837&lt;/D&gt;&lt;D xsi:type="xsd:long"&gt;42836&lt;/D&gt;&lt;D xsi:type="xsd:long"&gt;42835&lt;/D&gt;&lt;D xsi:type="xsd:long"&gt;42832&lt;/D&gt;&lt;D xsi:type="xsd:long"&gt;42831&lt;/D&gt;&lt;D xsi:type="xsd:long"&gt;42830&lt;/D&gt;&lt;D xsi:type="xsd:long"&gt;42829&lt;/D&gt;&lt;D xsi:type="xsd:long"&gt;42828&lt;/D&gt;&lt;D xsi:type="xsd:long"&gt;42825&lt;/D&gt;&lt;D xsi:type="xsd:long"&gt;42824&lt;/D&gt;&lt;D xsi:type="xsd:long"&gt;42823&lt;/D&gt;&lt;D xsi:type="xsd:long"&gt;42822&lt;/D&gt;&lt;D xsi:type="xsd:long"&gt;42821&lt;/D&gt;&lt;D xsi:type="xsd:long"&gt;42818&lt;/D&gt;&lt;D xsi:type="xsd:long"&gt;42817&lt;/D&gt;&lt;D xsi:type="xsd:long"&gt;42816&lt;/D&gt;&lt;D xsi:type="xsd:long"&gt;42815&lt;/D&gt;&lt;D xsi:type="xsd:long"&gt;42814&lt;/D&gt;&lt;D xsi:type="xsd:long"&gt;42811&lt;/D&gt;&lt;D xsi:type="xsd:long"&gt;42810&lt;/D&gt;&lt;D xsi:type="xsd:long"&gt;42809&lt;/D&gt;&lt;D xsi:type="xsd:long"&gt;42808&lt;/D&gt;&lt;D xsi:type="xsd:long"&gt;42807&lt;/D&gt;&lt;D xsi:type="xsd:long"&gt;42804&lt;/D&gt;&lt;D xsi:type="xsd:long"&gt;42803&lt;/D&gt;&lt;D xsi:type="xsd:long"&gt;42802&lt;/D&gt;&lt;D xsi:type="xsd:long"&gt;42801&lt;/D&gt;&lt;D xsi:type="xsd:long"&gt;42800&lt;/D&gt;&lt;D xsi:type="xsd:long"&gt;42797&lt;/D&gt;&lt;D xsi:type="xsd:long"&gt;42796&lt;/D&gt;&lt;D xsi:type="xsd:long"&gt;42795&lt;/D&gt;&lt;D xsi:type="xsd:long"&gt;42794&lt;/D&gt;&lt;D xsi:type="xsd:long"&gt;42793&lt;/D&gt;&lt;D xsi:type="xsd:long"&gt;42790&lt;/D&gt;&lt;D xsi:type="xsd:long"&gt;42789&lt;/D&gt;&lt;D xsi:type="xsd:long"&gt;42788&lt;/D&gt;&lt;D xsi:type="xsd:long"&gt;42787&lt;/D&gt;&lt;D xsi:type="xsd:long"&gt;42783&lt;/D&gt;&lt;D xsi:type="xsd:long"&gt;42782&lt;/D&gt;&lt;D xsi:type="xsd:long"&gt;42781&lt;/D&gt;&lt;D xsi:type="xsd:long"&gt;42780&lt;/D&gt;&lt;D xsi:type="xsd:long"&gt;42779&lt;/D&gt;&lt;D xsi:type="xsd:long"&gt;42776&lt;/D&gt;&lt;D xsi:type="xsd:long"&gt;42775&lt;/D&gt;&lt;D xsi:type="xsd:long"&gt;42774&lt;/D&gt;&lt;D xsi:type="xsd:long"&gt;42773&lt;/D&gt;&lt;D xsi:type="xsd:long"&gt;42772&lt;/D&gt;&lt;D xsi:type="xsd:long"&gt;42769&lt;/D&gt;&lt;D xsi:type="xsd:long"&gt;42768&lt;/D&gt;&lt;D xsi:type="xsd:long"&gt;42767&lt;/D&gt;&lt;D xsi:type="xsd:long"&gt;42766&lt;/D&gt;&lt;D xsi:type="xsd:long"&gt;42765&lt;/D&gt;&lt;D xsi:type="xsd:long"&gt;42762&lt;/D&gt;&lt;D xsi:type="xsd:long"&gt;42761&lt;/D&gt;&lt;D xsi:type="xsd:long"&gt;42760&lt;/D&gt;&lt;D xsi:type="xsd:long"&gt;42759&lt;/D&gt;&lt;D xsi:type="xsd:long"&gt;42758&lt;/D&gt;&lt;D xsi:type="xsd:long"&gt;42755&lt;/D&gt;&lt;D xsi:type="xsd:long"&gt;42754&lt;/D&gt;&lt;D xsi:type="xsd:long"&gt;42753&lt;/D&gt;&lt;D xsi:type="xsd:long"&gt;42752&lt;/D&gt;&lt;D xsi:type="xsd:long"&gt;42748&lt;/D&gt;&lt;D xsi:type="xsd:long"&gt;42747&lt;/D&gt;&lt;D xsi:type="xsd:long"&gt;42746&lt;/D&gt;&lt;D xsi:type="xsd:long"&gt;42745&lt;/D&gt;&lt;D xsi:type="xsd:long"&gt;42744&lt;/D&gt;&lt;D xsi:type="xsd:long"&gt;42741&lt;/D&gt;&lt;D xsi:type="xsd:long"&gt;42740&lt;/D&gt;&lt;D xsi:type="xsd:long"&gt;42739&lt;/D&gt;&lt;D xsi:type="xsd:long"&gt;42738&lt;/D&gt;&lt;D xsi:type="xsd:long"&gt;42734&lt;/D&gt;&lt;D xsi:type="xsd:long"&gt;42733&lt;/D&gt;&lt;D xsi:type="xsd:long"&gt;42732&lt;/D&gt;&lt;D xsi:type="xsd:long"&gt;42731&lt;/D&gt;&lt;D xsi:type="xsd:long"&gt;42727&lt;/D&gt;&lt;D xsi:type="xsd:long"&gt;42726&lt;/D&gt;&lt;D xsi:type="xsd:long"&gt;42725&lt;/D&gt;&lt;D xsi:type="xsd:long"&gt;42724&lt;/D&gt;&lt;D xsi:type="xsd:long"&gt;42723&lt;/D&gt;&lt;D xsi:type="xsd:long"&gt;42720&lt;/D&gt;&lt;D xsi:type="xsd:long"&gt;42719&lt;/D&gt;&lt;D xsi:type="xsd:long"&gt;42718&lt;/D&gt;&lt;D xsi:type="xsd:long"&gt;42717&lt;/D&gt;&lt;D xsi:type="xsd:long"&gt;42716&lt;/D&gt;&lt;D xsi:type="xsd:long"&gt;42713&lt;/D&gt;&lt;D xsi:type="xsd:long"&gt;42712&lt;/D&gt;&lt;D xsi:type="xsd:long"&gt;42711&lt;/D&gt;&lt;D xsi:type="xsd:long"&gt;42710&lt;/D&gt;&lt;D xsi:type="xsd:long"&gt;42709&lt;/D&gt;&lt;D xsi:type="xsd:long"&gt;42706&lt;/D&gt;&lt;D xsi:type="xsd:long"&gt;42705&lt;/D&gt;&lt;D xsi:type="xsd:long"&gt;42704&lt;/D&gt;&lt;D xsi:type="xsd:long"&gt;42703&lt;/D&gt;&lt;D xsi:type="xsd:long"&gt;42702&lt;/D&gt;&lt;D xsi:type="xsd:long"&gt;42699&lt;/D&gt;&lt;D xsi:type="xsd:long"&gt;42697&lt;/D&gt;&lt;D xsi:type="xsd:long"&gt;42696&lt;/D&gt;&lt;D xsi:type="xsd:long"&gt;42695&lt;/D&gt;&lt;D xsi:type="xsd:long"&gt;42692&lt;/D&gt;&lt;D xsi:type="xsd:long"&gt;42691&lt;/D&gt;&lt;D xsi:type="xsd:long"&gt;42690&lt;/D&gt;&lt;D xsi:type="xsd:long"&gt;42689&lt;/D&gt;&lt;D xsi:type="xsd:long"&gt;42688&lt;/D&gt;&lt;D xsi:type="xsd:long"&gt;42685&lt;/D&gt;&lt;D xsi:type="xsd:long"&gt;42684&lt;/D&gt;&lt;D xsi:type="xsd:long"&gt;42683&lt;/D&gt;&lt;D xsi:type="xsd:long"&gt;42682&lt;/D&gt;&lt;D xsi:type="xsd:long"&gt;42681&lt;/D&gt;&lt;D xsi:type="xsd:long"&gt;42678&lt;/D&gt;&lt;D xsi:type="xsd:long"&gt;42677&lt;/D&gt;&lt;D xsi:type="xsd:long"&gt;42676&lt;/D&gt;&lt;D xsi:type="xsd:long"&gt;42675&lt;/D&gt;&lt;D xsi:type="xsd:long"&gt;42674&lt;/D&gt;&lt;D xsi:type="xsd:long"&gt;42671&lt;/D&gt;&lt;D xsi:type="xsd:long"&gt;42670&lt;/D&gt;&lt;D xsi:type="xsd:long"&gt;42669&lt;/D&gt;&lt;D xsi:type="xsd:long"&gt;42668&lt;/D&gt;&lt;D xsi:type="xsd:long"&gt;42667&lt;/D&gt;&lt;D xsi:type="xsd:long"&gt;42664&lt;/D&gt;&lt;D xsi:type="xsd:long"&gt;42663&lt;/D&gt;&lt;D xsi:type="xsd:long"&gt;42662&lt;/D&gt;&lt;D xsi:type="xsd:long"&gt;42661&lt;/D&gt;&lt;D xsi:type="xsd:long"&gt;42660&lt;/D&gt;&lt;D xsi:type="xsd:long"&gt;42657&lt;/D&gt;&lt;D xsi:type="xsd:long"&gt;42656&lt;/D&gt;&lt;D xsi:type="xsd:long"&gt;42655&lt;/D&gt;&lt;D xsi:type="xsd:long"&gt;42654&lt;/D&gt;&lt;D xsi:type="xsd:long"&gt;42653&lt;/D&gt;&lt;D xsi:type="xsd:long"&gt;42650&lt;/D&gt;&lt;D xsi:type="xsd:long"&gt;42649&lt;/D&gt;&lt;D xsi:type="xsd:long"&gt;42648&lt;/D&gt;&lt;D xsi:type="xsd:long"&gt;42647&lt;/D&gt;&lt;D xsi:type="xsd:long"&gt;42646&lt;/D&gt;&lt;D xsi:type="xsd:long"&gt;42643&lt;/D&gt;&lt;D xsi:type="xsd:long"&gt;42642&lt;/D&gt;&lt;D xsi:type="xsd:long"&gt;42641&lt;/D&gt;&lt;D xsi:type="xsd:long"&gt;42640&lt;/D&gt;&lt;D xsi:type="xsd:long"&gt;42639&lt;/D&gt;&lt;D xsi:type="xsd:long"&gt;42636&lt;/D&gt;&lt;D xsi:type="xsd:long"&gt;42635&lt;/D&gt;&lt;D xsi:type="xsd:long"&gt;42634&lt;/D&gt;&lt;D xsi:type="xsd:long"&gt;42633&lt;/D&gt;&lt;D xsi:type="xsd:long"&gt;42632&lt;/D&gt;&lt;D xsi:type="xsd:long"&gt;42629&lt;/D&gt;&lt;D xsi:type="xsd:long"&gt;42628&lt;/D&gt;&lt;D xsi:type="xsd:long"&gt;42627&lt;/D&gt;&lt;D xsi:type="xsd:long"&gt;42626&lt;/D&gt;&lt;D xsi:type="xsd:long"&gt;42625&lt;/D&gt;&lt;D xsi:type="xsd:long"&gt;42622&lt;/D&gt;&lt;D xsi:type="xsd:long"&gt;42621&lt;/D&gt;&lt;D xsi:type="xsd:long"&gt;42620&lt;/D&gt;&lt;D xsi:type="xsd:long"&gt;42619&lt;/D&gt;&lt;D xsi:type="xsd:long"&gt;42615&lt;/D&gt;&lt;D xsi:type="xsd:long"&gt;42614&lt;/D&gt;&lt;D xsi:type="xsd:long"&gt;42613&lt;/D&gt;&lt;D xsi:type="xsd:long"&gt;42612&lt;/D&gt;&lt;D xsi:type="xsd:long"&gt;42611&lt;/D&gt;&lt;D xsi:type="xsd:long"&gt;42608&lt;/D&gt;&lt;D xsi:type="xsd:long"&gt;42607&lt;/D&gt;&lt;D xsi:type="xsd:long"&gt;42606&lt;/D&gt;&lt;D xsi:type="xsd:long"&gt;42605&lt;/D&gt;&lt;D xsi:type="xsd:long"&gt;42604&lt;/D&gt;&lt;D xsi:type="xsd:long"&gt;42601&lt;/D&gt;&lt;D xsi:type="xsd:long"&gt;42600&lt;/D&gt;&lt;D xsi:type="xsd:long"&gt;42599&lt;/D&gt;&lt;D xsi:type="xsd:long"&gt;42598&lt;/D&gt;&lt;D xsi:type="xsd:long"&gt;42597&lt;/D&gt;&lt;D xsi:type="xsd:long"&gt;42594&lt;/D&gt;&lt;D xsi:type="xsd:long"&gt;42593&lt;/D&gt;&lt;D xsi:type="xsd:long"&gt;42592&lt;/D&gt;&lt;D xsi:type="xsd:long"&gt;42591&lt;/D&gt;&lt;D xsi:type="xsd:long"&gt;42590&lt;/D&gt;&lt;D xsi:type="xsd:long"&gt;42587&lt;/D&gt;&lt;D xsi:type="xsd:long"&gt;42586&lt;/D&gt;&lt;D xsi:type="xsd:long"&gt;42585&lt;/D&gt;&lt;D xsi:type="xsd:long"&gt;42584&lt;/D&gt;&lt;D xsi:type="xsd:long"&gt;42583&lt;/D&gt;&lt;D xsi:type="xsd:long"&gt;42580&lt;/D&gt;&lt;D xsi:type="xsd:long"&gt;42579&lt;/D&gt;&lt;D xsi:type="xsd:long"&gt;42578&lt;/D&gt;&lt;D xsi:type="xsd:long"&gt;42577&lt;/D&gt;&lt;D xsi:type="xsd:long"&gt;42576&lt;/D&gt;&lt;D xsi:type="xsd:long"&gt;42573&lt;/D&gt;&lt;D xsi:type="xsd:long"&gt;42572&lt;/D&gt;&lt;D xsi:type="xsd:long"&gt;42571&lt;/D&gt;&lt;D xsi:type="xsd:long"&gt;42570&lt;/D&gt;&lt;D xsi:type="xsd:long"&gt;42569&lt;/D&gt;&lt;D xsi:type="xsd:long"&gt;42566&lt;/D&gt;&lt;D xsi:type="xsd:long"&gt;42565&lt;/D&gt;&lt;D xsi:type="xsd:long"&gt;42564&lt;/D&gt;&lt;D xsi:type="xsd:long"&gt;42563&lt;/D&gt;&lt;D xsi:type="xsd:long"&gt;42562&lt;/D&gt;&lt;D xsi:type="xsd:long"&gt;42559&lt;/D&gt;&lt;D xsi:type="xsd:long"&gt;42558&lt;/D&gt;&lt;D xsi:type="xsd:long"&gt;42557&lt;/D&gt;&lt;D xsi:type="xsd:long"&gt;42556&lt;/D&gt;&lt;D xsi:type="xsd:long"&gt;42552&lt;/D&gt;&lt;D xsi:type="xsd:long"&gt;42551&lt;/D&gt;&lt;D xsi:type="xsd:long"&gt;42550&lt;/D&gt;&lt;D xsi:type="xsd:long"&gt;42549&lt;/D&gt;&lt;D xsi:type="xsd:long"&gt;42548&lt;/D&gt;&lt;D xsi:type="xsd:long"&gt;42545&lt;/D&gt;&lt;D xsi:type="xsd:long"&gt;42544&lt;/D&gt;&lt;D xsi:type="xsd:long"&gt;42543&lt;/D&gt;&lt;D xsi:type="xsd:long"&gt;42542&lt;/D&gt;&lt;D xsi:type="xsd:long"&gt;42541&lt;/D&gt;&lt;D xsi:type="xsd:long"&gt;42538&lt;/D&gt;&lt;D xsi:type="xsd:long"&gt;42537&lt;/D&gt;&lt;D xsi:type="xsd:long"&gt;42536&lt;/D&gt;&lt;D xsi:type="xsd:long"&gt;42535&lt;/D&gt;&lt;D xsi:type="xsd:long"&gt;42534&lt;/D&gt;&lt;D xsi:type="xsd:long"&gt;42531&lt;/D&gt;&lt;D xsi:type="xsd:long"&gt;42530&lt;/D&gt;&lt;D xsi:type="xsd:long"&gt;42529&lt;/D&gt;&lt;D xsi:type="xsd:long"&gt;42528&lt;/D&gt;&lt;D xsi:type="xsd:long"&gt;42527&lt;/D&gt;&lt;D xsi:type="xsd:long"&gt;42524&lt;/D&gt;&lt;D xsi:type="xsd:long"&gt;42523&lt;/D&gt;&lt;D xsi:type="xsd:long"&gt;42522&lt;/D&gt;&lt;D xsi:type="xsd:long"&gt;42521&lt;/D&gt;&lt;D xsi:type="xsd:long"&gt;42517&lt;/D&gt;&lt;D xsi:type="xsd:long"&gt;42516&lt;/D&gt;&lt;D xsi:type="xsd:long"&gt;42515&lt;/D&gt;&lt;D xsi:type="xsd:long"&gt;42514&lt;/D&gt;&lt;D xsi:type="xsd:long"&gt;42513&lt;/D&gt;&lt;D xsi:type="xsd:long"&gt;42510&lt;/D&gt;&lt;D xsi:type="xsd:long"&gt;42509&lt;/D&gt;&lt;D xsi:type="xsd:long"&gt;42508&lt;/D&gt;&lt;D xsi:type="xsd:long"&gt;42507&lt;/D&gt;&lt;D xsi:type="xsd:long"&gt;42506&lt;/D&gt;&lt;D xsi:type="xsd:long"&gt;42503&lt;/D&gt;&lt;D xsi:type="xsd:long"&gt;42502&lt;/D&gt;&lt;D xsi:type="xsd:long"&gt;42501&lt;/D&gt;&lt;D xsi:type="xsd:long"&gt;42500&lt;/D&gt;&lt;D xsi:type="xsd:long"&gt;42499&lt;/D&gt;&lt;D xsi:type="xsd:long"&gt;42496&lt;/D&gt;&lt;D xsi:type="xsd:long"&gt;42495&lt;/D&gt;&lt;D xsi:type="xsd:long"&gt;42494&lt;/D&gt;&lt;D xsi:type="xsd:long"&gt;42493&lt;/D&gt;&lt;D xsi:type="xsd:long"&gt;42492&lt;/D&gt;&lt;D xsi:type="xsd:long"&gt;42489&lt;/D&gt;&lt;D xsi:type="xsd:long"&gt;42488&lt;/D&gt;&lt;D xsi:type="xsd:long"&gt;42487&lt;/D&gt;&lt;D xsi:type="xsd:long"&gt;42486&lt;/D&gt;&lt;D xsi:type="xsd:long"&gt;42485&lt;/D&gt;&lt;D xsi:type="xsd:long"&gt;42482&lt;/D&gt;&lt;D xsi:type="xsd:long"&gt;42481&lt;/D&gt;&lt;D xsi:type="xsd:long"&gt;42480&lt;/D&gt;&lt;D xsi:type="xsd:long"&gt;42479&lt;/D&gt;&lt;D xsi:type="xsd:long"&gt;42478&lt;/D&gt;&lt;D xsi:type="xsd:long"&gt;42475&lt;/D&gt;&lt;D xsi:type="xsd:long"&gt;42474&lt;/D&gt;&lt;D xsi:type="xsd:long"&gt;42473&lt;/D&gt;&lt;D xsi:type="xsd:long"&gt;42472&lt;/D&gt;&lt;D xsi:type="xsd:long"&gt;42471&lt;/D&gt;&lt;D xsi:type="xsd:long"&gt;42468&lt;/D&gt;&lt;D xsi:type="xsd:long"&gt;42467&lt;/D&gt;&lt;D xsi:type="xsd:long"&gt;42466&lt;/D&gt;&lt;D xsi:type="xsd:long"&gt;42465&lt;/D&gt;&lt;D xsi:type="xsd:long"&gt;42464&lt;/D&gt;&lt;D xsi:type="xsd:long"&gt;42461&lt;/D&gt;&lt;D xsi:type="xsd:long"&gt;42460&lt;/D&gt;&lt;D xsi:type="xsd:long"&gt;42459&lt;/D&gt;&lt;D xsi:type="xsd:long"&gt;42458&lt;/D&gt;&lt;D xsi:type="xsd:long"&gt;42457&lt;/D&gt;&lt;D xsi:type="xsd:long"&gt;42453&lt;/D&gt;&lt;D xsi:type="xsd:long"&gt;42452&lt;/D&gt;&lt;D xsi:type="xsd:long"&gt;42451&lt;/D&gt;&lt;D xsi:type="xsd:long"&gt;42450&lt;/D&gt;&lt;D xsi:type="xsd:long"&gt;42447&lt;/D&gt;&lt;D xsi:type="xsd:long"&gt;42446&lt;/D&gt;&lt;D xsi:type="xsd:long"&gt;42445&lt;/D&gt;&lt;D xsi:type="xsd:long"&gt;42444&lt;/D&gt;&lt;D xsi:type="xsd:lo</t>
        </r>
      </text>
    </comment>
    <comment ref="A40" authorId="0" shapeId="0">
      <text>
        <r>
          <rPr>
            <b/>
            <sz val="9"/>
            <color indexed="81"/>
            <rFont val="Tahoma"/>
            <family val="2"/>
          </rPr>
          <t>ng"&gt;42443&lt;/D&gt;&lt;D xsi:type="xsd:long"&gt;42440&lt;/D&gt;&lt;D xsi:type="xsd:long"&gt;42439&lt;/D&gt;&lt;D xsi:type="xsd:long"&gt;42438&lt;/D&gt;&lt;D xsi:type="xsd:long"&gt;42437&lt;/D&gt;&lt;D xsi:type="xsd:long"&gt;42436&lt;/D&gt;&lt;D xsi:type="xsd:long"&gt;42433&lt;/D&gt;&lt;D xsi:type="xsd:long"&gt;42432&lt;/D&gt;&lt;D xsi:type="xsd:long"&gt;42431&lt;/D&gt;&lt;D xsi:type="xsd:long"&gt;42430&lt;/D&gt;&lt;D xsi:type="xsd:long"&gt;42429&lt;/D&gt;&lt;D xsi:type="xsd:long"&gt;42426&lt;/D&gt;&lt;D xsi:type="xsd:long"&gt;42425&lt;/D&gt;&lt;D xsi:type="xsd:long"&gt;42424&lt;/D&gt;&lt;D xsi:type="xsd:long"&gt;42423&lt;/D&gt;&lt;D xsi:type="xsd:long"&gt;42422&lt;/D&gt;&lt;D xsi:type="xsd:long"&gt;42419&lt;/D&gt;&lt;D xsi:type="xsd:long"&gt;42418&lt;/D&gt;&lt;D xsi:type="xsd:long"&gt;42417&lt;/D&gt;&lt;D xsi:type="xsd:long"&gt;42416&lt;/D&gt;&lt;D xsi:type="xsd:long"&gt;42412&lt;/D&gt;&lt;D xsi:type="xsd:long"&gt;42411&lt;/D&gt;&lt;D xsi:type="xsd:long"&gt;42410&lt;/D&gt;&lt;D xsi:type="xsd:long"&gt;42409&lt;/D&gt;&lt;D xsi:type="xsd:long"&gt;42408&lt;/D&gt;&lt;D xsi:type="xsd:long"&gt;42405&lt;/D&gt;&lt;D xsi:type="xsd:long"&gt;42404&lt;/D&gt;&lt;D xsi:type="xsd:long"&gt;42403&lt;/D&gt;&lt;D xsi:type="xsd:long"&gt;42402&lt;/D&gt;&lt;D xsi:type="xsd:long"&gt;42401&lt;/D&gt;&lt;D xsi:type="xsd:long"&gt;42398&lt;/D&gt;&lt;D xsi:type="xsd:long"&gt;42397&lt;/D&gt;&lt;D xsi:type="xsd:long"&gt;42396&lt;/D&gt;&lt;D xsi:type="xsd:long"&gt;42395&lt;/D&gt;&lt;D xsi:type="xsd:long"&gt;42394&lt;/D&gt;&lt;D xsi:type="xsd:long"&gt;42391&lt;/D&gt;&lt;D xsi:type="xsd:long"&gt;42390&lt;/D&gt;&lt;D xsi:type="xsd:long"&gt;42389&lt;/D&gt;&lt;D xsi:type="xsd:long"&gt;42388&lt;/D&gt;&lt;D xsi:type="xsd:long"&gt;42384&lt;/D&gt;&lt;D xsi:type="xsd:long"&gt;42383&lt;/D&gt;&lt;D xsi:type="xsd:long"&gt;42382&lt;/D&gt;&lt;D xsi:type="xsd:long"&gt;42381&lt;/D&gt;&lt;D xsi:type="xsd:long"&gt;42380&lt;/D&gt;&lt;D xsi:type="xsd:long"&gt;42377&lt;/D&gt;&lt;D xsi:type="xsd:long"&gt;42376&lt;/D&gt;&lt;D xsi:type="xsd:long"&gt;42375&lt;/D&gt;&lt;D xsi:type="xsd:long"&gt;42374&lt;/D&gt;&lt;D xsi:type="xsd:long"&gt;42373&lt;/D&gt;&lt;D xsi:type="xsd:long"&gt;42369&lt;/D&gt;&lt;D xsi:type="xsd:long"&gt;42368&lt;/D&gt;&lt;D xsi:type="xsd:long"&gt;42367&lt;/D&gt;&lt;D xsi:type="xsd:long"&gt;42366&lt;/D&gt;&lt;D xsi:type="xsd:long"&gt;42362&lt;/D&gt;&lt;D xsi:type="xsd:long"&gt;42361&lt;/D&gt;&lt;D xsi:type="xsd:long"&gt;42360&lt;/D&gt;&lt;D xsi:type="xsd:long"&gt;42359&lt;/D&gt;&lt;D xsi:type="xsd:long"&gt;42356&lt;/D&gt;&lt;D xsi:type="xsd:long"&gt;42355&lt;/D&gt;&lt;D xsi:type="xsd:long"&gt;42354&lt;/D&gt;&lt;D xsi:type="xsd:long"&gt;42353&lt;/D&gt;&lt;D xsi:type="xsd:long"&gt;42352&lt;/D&gt;&lt;D xsi:type="xsd:long"&gt;42349&lt;/D&gt;&lt;D xsi:type="xsd:long"&gt;42348&lt;/D&gt;&lt;D xsi:type="xsd:long"&gt;42347&lt;/D&gt;&lt;D xsi:type="xsd:long"&gt;42346&lt;/D&gt;&lt;D xsi:type="xsd:long"&gt;42345&lt;/D&gt;&lt;D xsi:type="xsd:long"&gt;42342&lt;/D&gt;&lt;D xsi:type="xsd:long"&gt;42341&lt;/D&gt;&lt;D xsi:type="xsd:long"&gt;42340&lt;/D&gt;&lt;D xsi:type="xsd:long"&gt;42339&lt;/D&gt;&lt;D xsi:type="xsd:long"&gt;42338&lt;/D&gt;&lt;D xsi:type="xsd:long"&gt;42335&lt;/D&gt;&lt;D xsi:type="xsd:long"&gt;42333&lt;/D&gt;&lt;D xsi:type="xsd:long"&gt;42332&lt;/D&gt;&lt;D xsi:type="xsd:long"&gt;42331&lt;/D&gt;&lt;D xsi:type="xsd:long"&gt;42328&lt;/D&gt;&lt;D xsi:type="xsd:long"&gt;42327&lt;/D&gt;&lt;D xsi:type="xsd:long"&gt;42326&lt;/D&gt;&lt;D xsi:type="xsd:long"&gt;42325&lt;/D&gt;&lt;D xsi:type="xsd:long"&gt;42324&lt;/D&gt;&lt;D xsi:type="xsd:long"&gt;42321&lt;/D&gt;&lt;D xsi:type="xsd:long"&gt;42320&lt;/D&gt;&lt;D xsi:type="xsd:long"&gt;42319&lt;/D&gt;&lt;D xsi:type="xsd:long"&gt;42318&lt;/D&gt;&lt;D xsi:type="xsd:long"&gt;42317&lt;/D&gt;&lt;D xsi:type="xsd:long"&gt;42314&lt;/D&gt;&lt;D xsi:type="xsd:long"&gt;42313&lt;/D&gt;&lt;D xsi:type="xsd:long"&gt;42312&lt;/D&gt;&lt;D xsi:type="xsd:long"&gt;42311&lt;/D&gt;&lt;D xsi:type="xsd:long"&gt;42310&lt;/D&gt;&lt;D xsi:type="xsd:long"&gt;42307&lt;/D&gt;&lt;D xsi:type="xsd:long"&gt;42306&lt;/D&gt;&lt;D xsi:type="xsd:long"&gt;42305&lt;/D&gt;&lt;D xsi:type="xsd:long"&gt;42304&lt;/D&gt;&lt;D xsi:type="xsd:long"&gt;42303&lt;/D&gt;&lt;D xsi:type="xsd:long"&gt;42300&lt;/D&gt;&lt;D xsi:type="xsd:long"&gt;42299&lt;/D&gt;&lt;D xsi:type="xsd:long"&gt;42298&lt;/D&gt;&lt;D xsi:type="xsd:long"&gt;42297&lt;/D&gt;&lt;D xsi:type="xsd:long"&gt;42296&lt;/D&gt;&lt;D xsi:type="xsd:long"&gt;42293&lt;/D&gt;&lt;D xsi:type="xsd:long"&gt;42292&lt;/D&gt;&lt;D xsi:type="xsd:long"&gt;42291&lt;/D&gt;&lt;D xsi:type="xsd:long"&gt;42290&lt;/D&gt;&lt;D xsi:type="xsd:long"&gt;42289&lt;/D&gt;&lt;D xsi:type="xsd:long"&gt;42286&lt;/D&gt;&lt;D xsi:type="xsd:long"&gt;42285&lt;/D&gt;&lt;D xsi:type="xsd:long"&gt;42284&lt;/D&gt;&lt;D xsi:type="xsd:long"&gt;42283&lt;/D&gt;&lt;D xsi:type="xsd:long"&gt;42282&lt;/D&gt;&lt;D xsi:type="xsd:long"&gt;42279&lt;/D&gt;&lt;D xsi:type="xsd:long"&gt;42278&lt;/D&gt;&lt;D xsi:type="xsd:long"&gt;42277&lt;/D&gt;&lt;D xsi:type="xsd:long"&gt;42276&lt;/D&gt;&lt;D xsi:type="xsd:long"&gt;42275&lt;/D&gt;&lt;D xsi:type="xsd:long"&gt;42272&lt;/D&gt;&lt;D xsi:type="xsd:long"&gt;42271&lt;/D&gt;&lt;D xsi:type="xsd:long"&gt;42270&lt;/D&gt;&lt;D xsi:type="xsd:long"&gt;42269&lt;/D&gt;&lt;D xsi:type="xsd:long"&gt;42268&lt;/D&gt;&lt;D xsi:type="xsd:long"&gt;42265&lt;/D&gt;&lt;D xsi:type="xsd:long"&gt;42264&lt;/D&gt;&lt;D xsi:type="xsd:long"&gt;42263&lt;/D&gt;&lt;D xsi:type="xsd:long"&gt;42262&lt;/D&gt;&lt;D xsi:type="xsd:long"&gt;42261&lt;/D&gt;&lt;D xsi:type="xsd:long"&gt;42258&lt;/D&gt;&lt;D xsi:type="xsd:long"&gt;42257&lt;/D&gt;&lt;D xsi:type="xsd:long"&gt;42256&lt;/D&gt;&lt;D xsi:type="xsd:long"&gt;42255&lt;/D&gt;&lt;D xsi:type="xsd:long"&gt;42251&lt;/D&gt;&lt;D xsi:type="xsd:long"&gt;42250&lt;/D&gt;&lt;D xsi:type="xsd:long"&gt;42249&lt;/D&gt;&lt;D xsi:type="xsd:long"&gt;42248&lt;/D&gt;&lt;D xsi:type="xsd:long"&gt;42247&lt;/D&gt;&lt;D xsi:type="xsd:long"&gt;42244&lt;/D&gt;&lt;D xsi:type="xsd:long"&gt;42243&lt;/D&gt;&lt;D xsi:type="xsd:long"&gt;42242&lt;/D&gt;&lt;D xsi:type="xsd:long"&gt;42241&lt;/D&gt;&lt;D xsi:type="xsd:long"&gt;42240&lt;/D&gt;&lt;D xsi:type="xsd:long"&gt;42237&lt;/D&gt;&lt;D xsi:type="xsd:long"&gt;42236&lt;/D&gt;&lt;D xsi:type="xsd:long"&gt;42235&lt;/D&gt;&lt;D xsi:type="xsd:long"&gt;42234&lt;/D&gt;&lt;D xsi:type="xsd:long"&gt;42233&lt;/D&gt;&lt;D xsi:type="xsd:long"&gt;42230&lt;/D&gt;&lt;D xsi:type="xsd:long"&gt;42229&lt;/D&gt;&lt;D xsi:type="xsd:long"&gt;42228&lt;/D&gt;&lt;D xsi:type="xsd:long"&gt;42227&lt;/D&gt;&lt;D xsi:type="xsd:long"&gt;42226&lt;/D&gt;&lt;D xsi:type="xsd:long"&gt;42223&lt;/D&gt;&lt;D xsi:type="xsd:long"&gt;42222&lt;/D&gt;&lt;D xsi:type="xsd:long"&gt;42221&lt;/D&gt;&lt;D xsi:type="xsd:long"&gt;42220&lt;/D&gt;&lt;D xsi:type="xsd:long"&gt;42219&lt;/D&gt;&lt;D xsi:type="xsd:long"&gt;42216&lt;/D&gt;&lt;D xsi:type="xsd:long"&gt;42215&lt;/D&gt;&lt;D xsi:type="xsd:long"&gt;42214&lt;/D&gt;&lt;D xsi:type="xsd:long"&gt;42213&lt;/D&gt;&lt;D xsi:type="xsd:long"&gt;42212&lt;/D&gt;&lt;D xsi:type="xsd:long"&gt;42209&lt;/D&gt;&lt;D xsi:type="xsd:long"&gt;42208&lt;/D&gt;&lt;D xsi:type="xsd:long"&gt;42207&lt;/D&gt;&lt;D xsi:type="xsd:long"&gt;42206&lt;/D&gt;&lt;D xsi:type="xsd:long"&gt;42205&lt;/D&gt;&lt;D xsi:type="xsd:long"&gt;42202&lt;/D&gt;&lt;D xsi:type="xsd:long"&gt;42201&lt;/D&gt;&lt;D xsi:type="xsd:long"&gt;42200&lt;/D&gt;&lt;D xsi:type="xsd:long"&gt;42199&lt;/D&gt;&lt;D xsi:type="xsd:long"&gt;42198&lt;/D&gt;&lt;D xsi:type="xsd:long"&gt;42195&lt;/D&gt;&lt;D xsi:type="xsd:long"&gt;42194&lt;/D&gt;&lt;D xsi:type="xsd:long"&gt;42193&lt;/D&gt;&lt;D xsi:type="xsd:long"&gt;42192&lt;/D&gt;&lt;D xsi:type="xsd:long"&gt;42191&lt;/D&gt;&lt;D xsi:type="xsd:long"&gt;42187&lt;/D&gt;&lt;D xsi:type="xsd:long"&gt;42186&lt;/D&gt;&lt;D xsi:type="xsd:long"&gt;42185&lt;/D&gt;&lt;D xsi:type="xsd:long"&gt;42184&lt;/D&gt;&lt;D xsi:type="xsd:long"&gt;42181&lt;/D&gt;&lt;D xsi:type="xsd:long"&gt;42180&lt;/D&gt;&lt;D xsi:type="xsd:long"&gt;42179&lt;/D&gt;&lt;D xsi:type="xsd:long"&gt;42178&lt;/D&gt;&lt;D xsi:type="xsd:long"&gt;42177&lt;/D&gt;&lt;D xsi:type="xsd:long"&gt;42174&lt;/D&gt;&lt;D xsi:type="xsd:long"&gt;42173&lt;/D&gt;&lt;D xsi:type="xsd:long"&gt;42172&lt;/D&gt;&lt;D xsi:type="xsd:long"&gt;42171&lt;/D&gt;&lt;D xsi:type="xsd:long"&gt;42170&lt;/D&gt;&lt;D xsi:type="xsd:long"&gt;42167&lt;/D&gt;&lt;D xsi:type="xsd:long"&gt;42166&lt;/D&gt;&lt;D xsi:type="xsd:long"&gt;42165&lt;/D&gt;&lt;D xsi:type="xsd:long"&gt;42164&lt;/D&gt;&lt;D xsi:type="xsd:long"&gt;42163&lt;/D&gt;&lt;D xsi:type="xsd:long"&gt;42160&lt;/D&gt;&lt;D xsi:type="xsd:long"&gt;42159&lt;/D&gt;&lt;D xsi:type="xsd:long"&gt;42158&lt;/D&gt;&lt;D xsi:type="xsd:long"&gt;42157&lt;/D&gt;&lt;D xsi:type="xsd:long"&gt;42156&lt;/D&gt;&lt;D xsi:type="xsd:long"&gt;42153&lt;/D&gt;&lt;D xsi:type="xsd:long"&gt;42152&lt;/D&gt;&lt;D xsi:type="xsd:long"&gt;42151&lt;/D&gt;&lt;D xsi:type="xsd:long"&gt;42150&lt;/D&gt;&lt;D xsi:type="xsd:long"&gt;42146&lt;/D&gt;&lt;D xsi:type="xsd:long"&gt;42145&lt;/D&gt;&lt;D xsi:type="xsd:long"&gt;42144&lt;/D&gt;&lt;D xsi:type="xsd:long"&gt;42143&lt;/D&gt;&lt;D xsi:type="xsd:long"&gt;42142&lt;/D&gt;&lt;D xsi:type="xsd:long"&gt;42139&lt;/D&gt;&lt;D xsi:type="xsd:long"&gt;42138&lt;/D&gt;&lt;D xsi:type="xsd:long"&gt;42137&lt;/D&gt;&lt;D xsi:type="xsd:long"&gt;42136&lt;/D&gt;&lt;D xsi:type="xsd:long"&gt;42135&lt;/D&gt;&lt;D xsi:type="xsd:long"&gt;42132&lt;/D&gt;&lt;D xsi:type="xsd:long"&gt;42131&lt;/D&gt;&lt;D xsi:type="xsd:long"&gt;42130&lt;/D&gt;&lt;D xsi:type="xsd:long"&gt;42129&lt;/D&gt;&lt;D xsi:type="xsd:long"&gt;42128&lt;/D&gt;&lt;D xsi:type="xsd:long"&gt;42125&lt;/D&gt;&lt;D xsi:type="xsd:long"&gt;42124&lt;/D&gt;&lt;D xsi:type="xsd:long"&gt;42123&lt;/D&gt;&lt;D xsi:type="xsd:long"&gt;42122&lt;/D&gt;&lt;D xsi:type="xsd:long"&gt;42121&lt;/D&gt;&lt;D xsi:type="xsd:long"&gt;42118&lt;/D&gt;&lt;D xsi:type="xsd:long"&gt;42117&lt;/D&gt;&lt;D xsi:type="xsd:long"&gt;42116&lt;/D&gt;&lt;D xsi:type="xsd:long"&gt;42115&lt;/D&gt;&lt;D xsi:type="xsd:long"&gt;42114&lt;/D&gt;&lt;D xsi:type="xsd:long"&gt;42111&lt;/D&gt;&lt;D xsi:type="xsd:long"&gt;42110&lt;/D&gt;&lt;D xsi:type="xsd:long"&gt;42109&lt;/D&gt;&lt;D xsi:type="xsd:long"&gt;42108&lt;/D&gt;&lt;D xsi:type="xsd:long"&gt;42107&lt;/D&gt;&lt;D xsi:type="xsd:long"&gt;42104&lt;/D&gt;&lt;D xsi:type="xsd:long"&gt;42103&lt;/D&gt;&lt;D xsi:type="xsd:long"&gt;42102&lt;/D&gt;&lt;D xsi:type="xsd:long"&gt;42101&lt;/D&gt;&lt;D xsi:type="xsd:long"&gt;42100&lt;/D&gt;&lt;D xsi:type="xsd:long"&gt;42096&lt;/D&gt;&lt;D xsi:type="xsd:long"&gt;42095&lt;/D&gt;&lt;D xsi:type="xsd:long"&gt;42094&lt;/D&gt;&lt;D xsi:type="xsd:long"&gt;42093&lt;/D&gt;&lt;D xsi:type="xsd:long"&gt;42090&lt;/D&gt;&lt;D xsi:type="xsd:long"&gt;42089&lt;/D&gt;&lt;D xsi:type="xsd:long"&gt;42088&lt;/D&gt;&lt;D xsi:type="xsd:long"&gt;42087&lt;/D&gt;&lt;D xsi:type="xsd:long"&gt;42086&lt;/D&gt;&lt;D xsi:type="xsd:long"&gt;42083&lt;/D&gt;&lt;D xsi:type="xsd:long"&gt;42082&lt;/D&gt;&lt;D xsi:type="xsd:long"&gt;42081&lt;/D&gt;&lt;D xsi:type="xsd:long"&gt;42080&lt;/D&gt;&lt;D xsi:type="xsd:long"&gt;42079&lt;/D&gt;&lt;D xsi:type="xsd:long"&gt;42076&lt;/D&gt;&lt;D xsi:type="xsd:long"&gt;42075&lt;/D&gt;&lt;D xsi:type="xsd:long"&gt;42074&lt;/D&gt;&lt;D xsi:type="xsd:long"&gt;42073&lt;/D&gt;&lt;D xsi:type="xsd:long"&gt;42072&lt;/D&gt;&lt;D xsi:type="xsd:long"&gt;42069&lt;/D&gt;&lt;D xsi:type="xsd:long"&gt;42068&lt;/D&gt;&lt;D xsi:type="xsd:long"&gt;42067&lt;/D&gt;&lt;D xsi:type="xsd:long"&gt;42066&lt;/D&gt;&lt;D xsi:type="xsd:long"&gt;42065&lt;/D&gt;&lt;D xsi:type="xsd:long"&gt;42062&lt;/D&gt;&lt;D xsi:type="xsd:long"&gt;42061&lt;/D&gt;&lt;D xsi:type="xsd:long"&gt;42060&lt;/D&gt;&lt;D xsi:type="xsd:long"&gt;42059&lt;/D&gt;&lt;D xsi:type="xsd:long"&gt;42058&lt;/D&gt;&lt;D xsi:type="xsd:long"&gt;42055&lt;/D&gt;&lt;D xsi:type="xsd:long"&gt;42054&lt;/D&gt;&lt;D xsi:type="xsd:long"&gt;42053&lt;/D&gt;&lt;D xsi:type="xsd:long"&gt;42052&lt;/D&gt;&lt;D xsi:type="xsd:long"&gt;42048&lt;/D&gt;&lt;D xsi:type="xsd:long"&gt;42047&lt;/D&gt;&lt;D xsi:type="xsd:long"&gt;42046&lt;/D&gt;&lt;D xsi:type="xsd:long"&gt;42045&lt;/D&gt;&lt;D xsi:type="xsd:long"&gt;42044&lt;/D&gt;&lt;D xsi:type="xsd:long"&gt;42041&lt;/D&gt;&lt;D xsi:type="xsd:long"&gt;42040&lt;/D&gt;&lt;D xsi:type="xsd:long"&gt;42039&lt;/D&gt;&lt;D xsi:type="xsd:long"&gt;42038&lt;/D&gt;&lt;D xsi:type="xsd:long"&gt;42037&lt;/D&gt;&lt;D xsi:type="xsd:long"&gt;42034&lt;/D&gt;&lt;D xsi:type="xsd:long"&gt;42033&lt;/D&gt;&lt;D xsi:type="xsd:long"&gt;42032&lt;/D&gt;&lt;D xsi:type="xsd:long"&gt;42031&lt;/D&gt;&lt;D xsi:type="xsd:long"&gt;42030&lt;/D&gt;&lt;D xsi:type="xsd:long"&gt;42027&lt;/D&gt;&lt;D xsi:type="xsd:long"&gt;42026&lt;/D&gt;&lt;D xsi:type="xsd:long"&gt;42025&lt;/D&gt;&lt;D xsi:type="xsd:long"&gt;42024&lt;/D&gt;&lt;D xsi:type="xsd:long"&gt;42020&lt;/D&gt;&lt;D xsi:type="xsd:long"&gt;42019&lt;/D&gt;&lt;D xsi:type="xsd:long"&gt;42018&lt;/D&gt;&lt;D xsi:type="xsd:long"&gt;42017&lt;/D&gt;&lt;D xsi:type="xsd:long"&gt;42016&lt;/D&gt;&lt;D xsi:type="xsd:long"&gt;42013&lt;/D&gt;&lt;D xsi:type="xsd:long"&gt;42012&lt;/D&gt;&lt;D xsi:type="xsd:long"&gt;42011&lt;/D&gt;&lt;D xsi:type="xsd:long"&gt;42010&lt;/D&gt;&lt;D xsi:type="xsd:long"&gt;42009&lt;/D&gt;&lt;D xsi:type="xsd:long"&gt;42006&lt;/D&gt;&lt;D xsi:type="xsd:long"&gt;42004&lt;/D&gt;&lt;D xsi:type="xsd:long"&gt;42003&lt;/D&gt;&lt;D xsi:type="xsd:long"&gt;42002&lt;/D&gt;&lt;D xsi:type="xsd:long"&gt;41999&lt;/D&gt;&lt;D xsi:type="xsd:long"&gt;41997&lt;/D&gt;&lt;D xsi:type="xsd:long"&gt;41996&lt;/D&gt;&lt;D xsi:type="xsd:long"&gt;41995&lt;/D&gt;&lt;D xsi:type="xsd:long"&gt;41992&lt;/D&gt;&lt;D xsi:type="xsd:long"&gt;41991&lt;/D&gt;&lt;D xsi:type="xsd:long"&gt;41990&lt;/D&gt;&lt;D xsi:type="xsd:long"&gt;41989&lt;/D&gt;&lt;D xsi:type="xsd:long"&gt;41988&lt;/D&gt;&lt;D xsi:type="xsd:long"&gt;41985&lt;/D&gt;&lt;D xsi:type="xsd:long"&gt;41984&lt;/D&gt;&lt;D xsi:type="xsd:long"&gt;41983&lt;/D&gt;&lt;D xsi:type="xsd:long"&gt;41982&lt;/D&gt;&lt;D xsi:type="xsd:long"&gt;41981&lt;/D&gt;&lt;D xsi:type="xsd:long"&gt;41978&lt;/D&gt;&lt;D xsi:type="xsd:long"&gt;41977&lt;/D&gt;&lt;D xsi:type="xsd:long"&gt;41976&lt;/D&gt;&lt;D xsi:type="xsd:long"&gt;41975&lt;/D&gt;&lt;D xsi:type="xsd:long"&gt;41974&lt;/D&gt;&lt;D xsi:type="xsd:long"&gt;41971&lt;/D&gt;&lt;D xsi:type="xsd:long"&gt;41969&lt;/D&gt;&lt;D xsi:type="xsd:long"&gt;41968&lt;/D&gt;&lt;D xsi:type="xsd:long"&gt;41967&lt;/D&gt;&lt;D xsi:type="xsd:long"&gt;41964&lt;/D&gt;&lt;D xsi:type="xsd:long"&gt;41963&lt;/D&gt;&lt;D xsi:type="xsd:long"&gt;41962&lt;/D&gt;&lt;D xsi:type="xsd:long"&gt;41961&lt;/D&gt;&lt;D xsi:type="xsd:long"&gt;41960&lt;/D&gt;&lt;D xsi:type="xsd:long"&gt;41957&lt;/D&gt;&lt;D xsi:type="xsd:long"&gt;41956&lt;/D&gt;&lt;D xsi:type="xsd:long"&gt;41955&lt;/D&gt;&lt;D xsi:type="xsd:long"&gt;41954&lt;/D&gt;&lt;D xsi:type="xsd:long"&gt;41953&lt;/D&gt;&lt;D xsi:type="xsd:long"&gt;41950&lt;/D&gt;&lt;D xsi:type="xsd:long"&gt;41949&lt;/D&gt;&lt;D xsi:type="xsd:long"&gt;41948&lt;/D&gt;&lt;D xsi:type="xsd:long"&gt;41947&lt;/D&gt;&lt;D xsi:type="xsd:long"&gt;41946&lt;/D&gt;&lt;D xsi:type="xsd:long"&gt;41943&lt;/D&gt;&lt;D xsi:type="xsd:long"&gt;41942&lt;/D&gt;&lt;D xsi:type="xsd:long"&gt;41941&lt;/D&gt;&lt;D xsi:type="xsd:long"&gt;41940&lt;/D&gt;&lt;D xsi:type="xsd:long"&gt;41939&lt;/D&gt;&lt;D xsi:type="xsd:long"&gt;41936&lt;/D&gt;&lt;D xsi:type="xsd:long"&gt;41935&lt;/D&gt;&lt;D xsi:type="xsd:long"&gt;41934&lt;/D&gt;&lt;D xsi:type="xsd:long"&gt;41933&lt;/D&gt;&lt;D xsi:type="xsd:long"&gt;41932&lt;/D&gt;&lt;D xsi:type="xsd:long"&gt;41929&lt;/D&gt;&lt;D xsi:type="xsd:long"&gt;41928&lt;/D&gt;&lt;D xsi:type="xsd:long"&gt;41927&lt;/D&gt;&lt;D xsi:type="xsd:long"&gt;41926&lt;/D&gt;&lt;D xsi:type="xsd:long"&gt;41925&lt;/D&gt;&lt;D xsi:type="xsd:long"&gt;41922&lt;/D&gt;&lt;D xsi:type="xsd:long"&gt;41921&lt;/D&gt;&lt;D xsi:type="xsd:long"&gt;41920&lt;/D&gt;&lt;D xsi:type="xsd:long"&gt;41919&lt;/D&gt;&lt;D xsi:type="xsd:long"&gt;41918&lt;/D&gt;&lt;D xsi:type="xsd:long"&gt;41915&lt;/D&gt;&lt;D xsi:type="xsd:long"&gt;41914&lt;/D&gt;&lt;D xsi:type="xsd:long"&gt;41913&lt;/D&gt;&lt;D xsi:type="xsd:long"&gt;41912&lt;/D&gt;&lt;D xsi:type="xsd:long"&gt;41911&lt;/D&gt;&lt;D xsi:type="xsd:long"&gt;41908&lt;/D&gt;&lt;D xsi:type="xsd:long"&gt;41907&lt;/D&gt;&lt;D xsi:type="xsd:long"&gt;41906&lt;/D&gt;&lt;D xsi:type="xsd:long"&gt;41905&lt;/D&gt;&lt;D xsi:type="xsd:long"&gt;41904&lt;/D&gt;&lt;D xsi:type="xsd:long"&gt;41901&lt;/D&gt;&lt;D xsi:type="xsd:long"&gt;41900&lt;/D&gt;&lt;D xsi:type="xsd:long"&gt;41899&lt;/D&gt;&lt;D xsi:type="xsd:long"&gt;41898&lt;/D&gt;&lt;D xsi:type="xsd:long"&gt;41897&lt;/D&gt;&lt;D xsi:type="xsd:long"&gt;41894&lt;/D&gt;&lt;D xsi:type="xsd:long"&gt;41893&lt;/D&gt;&lt;D xsi:type="xsd:long"&gt;41892&lt;/D&gt;&lt;D xsi:type="xsd:long"&gt;41891&lt;/D&gt;&lt;D xsi:type="xsd:long"&gt;41890&lt;/D&gt;&lt;D xsi:type="xsd:long"&gt;41887&lt;/D&gt;&lt;D xsi:type="xsd:long"&gt;41886&lt;/D&gt;&lt;D xsi:type="xsd:long"&gt;41885&lt;/D&gt;&lt;D xsi:type="xsd:long"&gt;41884&lt;/D&gt;&lt;D xsi:type="xsd:long"&gt;41880&lt;/D&gt;&lt;D xsi:type="xsd:long"&gt;41879&lt;/D&gt;&lt;D xsi:type="xsd:long"&gt;41878&lt;/D&gt;&lt;D xsi:type="xsd:long"&gt;41877&lt;/D&gt;&lt;D xsi:type="xsd:long"&gt;41876&lt;/D&gt;&lt;D xsi:type="xsd:long"&gt;41873&lt;/D&gt;&lt;D xsi:type="xsd:long"&gt;41872&lt;/D&gt;&lt;D xsi:type="xsd:long"&gt;41871&lt;/D&gt;&lt;D xsi:type="xsd:long"&gt;41870&lt;/D&gt;&lt;D xsi:type="xsd:long"&gt;41869&lt;/D&gt;&lt;D xsi:type="xsd:long"&gt;41866&lt;/D&gt;&lt;D xsi:type="xsd:long"&gt;41865&lt;/D&gt;&lt;D xsi:type="xsd:long"&gt;41864&lt;/D&gt;&lt;D xsi:type="xsd:long"&gt;41863&lt;/D&gt;&lt;D xsi:type="xsd:long"&gt;41862&lt;/D&gt;&lt;D xsi:type="xsd:long"&gt;41859&lt;/D&gt;&lt;D xsi:type="xsd:long"&gt;41858&lt;/D&gt;&lt;D xsi:type="xsd:long"&gt;41857&lt;/D&gt;&lt;D xsi:type="xsd:long"&gt;41856&lt;/D&gt;&lt;D xsi:type="xsd:long"&gt;41855&lt;/D&gt;&lt;D xsi:type="xsd:long"&gt;41852&lt;/D&gt;&lt;D xsi:type="xsd:long"&gt;41851&lt;/D&gt;&lt;D xsi:type="xsd:long"&gt;41850&lt;/D&gt;&lt;D xsi:type="xsd:long"&gt;41849&lt;/D&gt;&lt;D xsi:type="xsd:long"&gt;41848&lt;/D&gt;&lt;D xsi:type="xsd:long"&gt;41845&lt;/D&gt;&lt;D xsi:type="xsd:long"&gt;41844&lt;/D&gt;&lt;D xsi:type="xsd:long"&gt;41843&lt;/D&gt;&lt;D xsi:type="xsd:long"&gt;41842&lt;/D&gt;&lt;D xsi:type="xsd:long"&gt;41841&lt;/D&gt;&lt;D xsi:type="xsd:long"&gt;41838&lt;/D&gt;&lt;D xsi:type="xsd:long"&gt;41837&lt;/D&gt;&lt;D xsi:type="xsd:long"&gt;41836&lt;/D&gt;&lt;D xsi:type="xsd:long"&gt;41835&lt;/D&gt;&lt;D xsi:type="xsd:long"&gt;41834&lt;/D&gt;&lt;D xsi:type="xsd:long"&gt;41831&lt;/D&gt;&lt;D xsi:type="xsd:long"&gt;41830&lt;/D&gt;&lt;D xsi:type="xsd:long"&gt;41829&lt;/D&gt;&lt;D xsi:type="xsd:long"&gt;41828&lt;/D&gt;&lt;D xsi:type="xsd:long"&gt;41827&lt;/D&gt;&lt;D xsi:type="xsd:long"&gt;41823&lt;/D&gt;&lt;D xsi:type="xsd:long"&gt;41822&lt;/D&gt;&lt;D xsi:type="xsd:long"&gt;41821&lt;/D&gt;&lt;D xsi:type="xsd:long"&gt;41820&lt;/D&gt;&lt;D xsi:type="xsd:long"&gt;41817&lt;/D&gt;&lt;D xsi:type="xsd:long"&gt;41816&lt;/D&gt;&lt;D xsi:type="xsd:long"&gt;41815&lt;/D&gt;&lt;D xsi:type="xsd:long"&gt;41814&lt;/D&gt;&lt;D xsi:type="xsd:long"&gt;41813&lt;/D&gt;&lt;D xsi:type="xsd:long"&gt;41810&lt;/D&gt;&lt;D xsi:type="xsd:long"&gt;41809&lt;/D&gt;&lt;D xsi:type="xsd:long"&gt;41808&lt;/D&gt;&lt;D xsi:type="xsd:long"&gt;41807&lt;/D&gt;&lt;D xsi:type="xsd:long"&gt;41806&lt;/D&gt;&lt;D xsi:type="xsd:long"&gt;41803&lt;/D&gt;&lt;D xsi:type="xsd:long"&gt;41802&lt;/D&gt;&lt;D xsi:type="xsd:long"&gt;41801&lt;/D&gt;&lt;D xsi:type="xsd:long"&gt;41800&lt;/D&gt;&lt;D xsi:type="xsd:long"&gt;41799&lt;/D&gt;&lt;D xsi:type="xsd:long"&gt;41796&lt;/D&gt;&lt;D xsi:type="xsd:long"&gt;41795&lt;/D&gt;&lt;D xsi:type="xsd:long"&gt;41794&lt;/D&gt;&lt;D xsi:type="xsd:long"&gt;41793&lt;/D&gt;&lt;D xsi:type="xsd:long"&gt;41792&lt;/D&gt;&lt;D xsi:type="xsd:long"&gt;41789&lt;/D&gt;&lt;D xsi:type="xsd:long"&gt;41788&lt;/D&gt;&lt;D xsi:type="xsd:long"&gt;41787&lt;/D&gt;&lt;D xsi:type="xsd:long"&gt;41786&lt;/D&gt;&lt;D xsi:type="xsd:long"&gt;41782&lt;/D&gt;&lt;D xsi:type="xsd:long"&gt;41781&lt;/D&gt;&lt;D xsi:type="xsd:long"&gt;41780&lt;/D&gt;&lt;D xsi:type="xsd:long"&gt;41779&lt;/D&gt;&lt;D xsi:type="xsd:long"&gt;41778&lt;/D&gt;&lt;D xsi:type="xsd:long"&gt;41775&lt;/D&gt;&lt;D xsi:type="xsd:long"&gt;41774&lt;/D&gt;&lt;D xsi:type="xsd:long"&gt;41773&lt;/D&gt;&lt;D xsi:type="xsd:long"&gt;41772&lt;/D&gt;&lt;D xsi:type="xsd:long"&gt;41771&lt;/D&gt;&lt;D xsi:type="xsd:long"&gt;41768&lt;/D&gt;&lt;D xsi:type="xsd:long"&gt;41767&lt;/D&gt;&lt;D xsi:type="xsd:long"&gt;41766&lt;/D&gt;&lt;D xsi:type="xsd:long"&gt;41765&lt;/D&gt;&lt;D xsi:type="xsd:long"&gt;41764&lt;/D&gt;&lt;D xsi:type="xsd:long"&gt;41761&lt;/D&gt;&lt;D xsi:type="xsd:long"&gt;41760&lt;/D&gt;&lt;D xsi:type="xsd:long"&gt;41759&lt;/D&gt;&lt;D xsi:type="xsd:long"&gt;41758&lt;/D&gt;&lt;D xsi:type="xsd:long"&gt;41757&lt;/D&gt;&lt;D xsi:type="xsd:long"&gt;41754&lt;/D&gt;&lt;D xsi:type="xsd:long"&gt;41753&lt;/D&gt;&lt;D xsi:type="xsd:long"&gt;41752&lt;/D&gt;&lt;D xsi:type="xsd:long"&gt;41751&lt;/D&gt;&lt;D xsi:type="xsd:long"&gt;41750&lt;/D&gt;&lt;D xsi:type="xsd:long"&gt;41746&lt;/D&gt;&lt;D xsi:type="xsd:long"&gt;41745&lt;/D&gt;&lt;D xsi:type="xsd:long"&gt;41744&lt;/D&gt;&lt;D xsi:type="xsd:long"&gt;41743&lt;/D&gt;&lt;D xsi:type="xsd:long"&gt;41740&lt;/D&gt;&lt;D xsi:type="xsd:long"&gt;41739&lt;/D&gt;&lt;D xsi:type="xsd:long"&gt;41738&lt;/D&gt;&lt;D xsi:type="xsd:long"&gt;41737&lt;/D&gt;&lt;D xsi:type="xsd:long"&gt;41736&lt;/D&gt;&lt;D xsi:type="xsd:long"&gt;41733&lt;/D&gt;&lt;D xsi:type="xsd:long"&gt;41732&lt;/D&gt;&lt;D xsi:type="xsd:long"&gt;41731&lt;/D&gt;&lt;D xsi:type="xsd:long"&gt;41730&lt;/D&gt;&lt;D xsi:type="xsd:long"&gt;41729&lt;/D&gt;&lt;D xsi:type="xsd:long"&gt;41726&lt;/D&gt;&lt;D xsi:type="xsd:long"&gt;41725&lt;/D&gt;&lt;D xsi:type="xsd:long"&gt;41724&lt;/D&gt;&lt;D xsi:type="xsd:long"&gt;41723&lt;/D&gt;&lt;D xsi:type="xsd:long"&gt;41722&lt;/D&gt;&lt;D xsi:type="xsd:long"&gt;41719&lt;/D&gt;&lt;D xsi:type="xsd:long"&gt;41718&lt;/D&gt;&lt;D xsi:type="xsd:long"&gt;41717&lt;/D&gt;&lt;D xsi:type="xsd:long"&gt;41716&lt;/D&gt;&lt;D xsi:type="xsd:long"&gt;41715&lt;/D&gt;&lt;D xsi:type="xsd:long"&gt;41712&lt;/D&gt;&lt;D xsi:type="xsd:long"&gt;41711&lt;/D&gt;&lt;D xsi:type="xsd:long"&gt;41710&lt;/D&gt;&lt;D xsi:type="xsd:long"&gt;41709&lt;/D&gt;&lt;D xsi:type="xsd:long"&gt;41708&lt;/D&gt;&lt;D xsi:type="xsd:long"&gt;41705&lt;/D&gt;&lt;D xsi:type="xsd:long"&gt;41704&lt;/D&gt;&lt;D xsi:type="xsd:long"&gt;41703&lt;/D&gt;&lt;D xsi:type="xsd:long"&gt;41702&lt;/D&gt;&lt;D xsi:type="xsd:long"&gt;41701&lt;/D&gt;&lt;D xsi:type="xsd:long"&gt;41698&lt;/D&gt;&lt;D xsi:type="xsd:long"&gt;41697&lt;/D&gt;&lt;D xsi:type="xsd:long"&gt;41696&lt;/D&gt;&lt;D xsi:type="xsd:long"&gt;41695&lt;/D&gt;&lt;D xsi:type="xsd:long"&gt;41694&lt;/D&gt;&lt;D xsi:type="xsd:long"&gt;41691&lt;/D&gt;&lt;D xsi:type="xsd:long"&gt;41690&lt;/D&gt;&lt;D xsi:type="xsd:long"&gt;41689&lt;/D&gt;&lt;D xsi:type="xsd:long"&gt;41688&lt;/D&gt;&lt;D xsi:type="xsd:long"&gt;41684&lt;/D&gt;&lt;D xsi:type="xsd:long"&gt;41683&lt;/D&gt;&lt;D xsi:type="xsd:long"&gt;41682&lt;/D&gt;&lt;D xsi:type="xsd:long"&gt;41681&lt;/D&gt;&lt;D xsi:type="xsd:long"&gt;41680&lt;/D&gt;&lt;D xsi:type="xsd:long"&gt;41677&lt;/D&gt;&lt;D xsi:type="xsd:long"&gt;41676&lt;/D&gt;&lt;D xsi:type="xsd:long"&gt;41675&lt;/D&gt;&lt;D xsi:type="xsd:long"&gt;41674&lt;/D&gt;&lt;D xsi:type="xsd:long"&gt;41673&lt;/D&gt;&lt;D xsi:type="xsd:long"&gt;41670&lt;/D&gt;&lt;D xsi:type="xsd:long"&gt;41669&lt;/D&gt;&lt;D xsi:type="xsd:long"&gt;41668&lt;/D&gt;&lt;D xsi:type="xsd:long"&gt;41667&lt;/D&gt;&lt;D xsi:type="xsd:long"&gt;41666&lt;/D&gt;&lt;D xsi:type="xsd:long"&gt;41663&lt;/D&gt;&lt;D xsi:type="xsd:long"&gt;41662&lt;/D&gt;&lt;D xsi:type="xsd:long"&gt;41661&lt;/D&gt;&lt;D xsi:type="xsd:long"&gt;41660&lt;/D&gt;&lt;D xsi:type="xsd:long"&gt;41656&lt;/D&gt;&lt;D xsi:type="xsd:long"&gt;41655&lt;/D&gt;&lt;D xsi:type="xsd:long"&gt;41654&lt;/D&gt;&lt;D xsi:type="xsd:long"&gt;41653&lt;/D&gt;&lt;D xsi:type="xsd:long"&gt;41652&lt;/D&gt;&lt;D xsi:type="xsd:long"&gt;41649&lt;/D&gt;&lt;D xsi:type="xsd:long"&gt;41648&lt;/D&gt;&lt;D xsi:type="xsd:long"&gt;41647&lt;/D&gt;&lt;D xsi:type="xsd:long"&gt;41646&lt;/D&gt;&lt;D xsi:type="xsd:long"&gt;41645&lt;/D&gt;&lt;D xsi:type="xsd:long"&gt;41642&lt;/D&gt;&lt;D xsi:type="xsd:long"&gt;41641&lt;/D&gt;&lt;D xsi:type="xsd:long"&gt;41639&lt;/D&gt;&lt;D xsi:type="xsd:long"&gt;41638&lt;/D&gt;&lt;D xsi:type="xsd:long"&gt;41635&lt;/D&gt;&lt;D xsi:type="xsd:long"&gt;41634&lt;/D&gt;&lt;D xsi:type="xsd:long"&gt;41632&lt;/D&gt;&lt;D xsi:type="xsd:long"&gt;41631&lt;/D&gt;&lt;D xsi:type="xsd:long"&gt;41628&lt;/D&gt;&lt;D xsi:type="xsd:long"&gt;41627&lt;/D&gt;&lt;D xsi:type="xsd:long"&gt;41626&lt;/D&gt;&lt;D xsi:type="xsd:long"&gt;41625&lt;/D&gt;&lt;D xsi:type="xsd:long"&gt;41624&lt;/D&gt;&lt;D xsi:type="xsd:long"&gt;41621&lt;/D&gt;&lt;D xsi:type="xsd:long"&gt;41620&lt;/D&gt;&lt;D xsi:type="xsd:long"&gt;41619&lt;/D&gt;&lt;D xsi:type="xsd:long"&gt;41618&lt;/D&gt;&lt;D xsi:type="xsd:long"&gt;41617&lt;/D&gt;&lt;D xsi:type="xsd:long"&gt;41614&lt;/D&gt;&lt;D xsi:type="xsd:long"&gt;41613&lt;/D&gt;&lt;D xsi:type="xsd:long"&gt;41612&lt;/D&gt;&lt;D xsi:type="xsd:long"&gt;41611&lt;/D&gt;&lt;D xsi:type="xsd:long"&gt;41610&lt;/D&gt;&lt;D xsi:type="xsd:long"&gt;41607&lt;/D&gt;&lt;D xsi:type="xsd:long"&gt;41605&lt;/D&gt;&lt;D xsi:type="xsd:long"&gt;41604&lt;/D&gt;&lt;D xsi:type="xsd:long"&gt;41603&lt;/D&gt;&lt;D xsi:type="xsd:long"&gt;41600&lt;/D&gt;&lt;D xsi:type="xsd:long"&gt;41599&lt;/D&gt;&lt;D xsi:type="xsd:long"&gt;41598&lt;/D&gt;&lt;D xsi:type="xsd:long"&gt;41597&lt;/D&gt;&lt;D xsi:type="xsd:long"&gt;41596&lt;/D&gt;&lt;D xsi:type="xsd:long"&gt;41593&lt;/D&gt;&lt;D xsi:type="xsd:long"&gt;41592&lt;/D&gt;&lt;D xsi:type="xsd:long"&gt;41591&lt;/D&gt;&lt;D xsi:type="xsd:long"&gt;41590&lt;/D&gt;&lt;D xsi:type="xsd:long"&gt;41589&lt;/D&gt;&lt;D xsi:type="xsd:long"&gt;41586&lt;/D&gt;&lt;D xsi:type="xsd:long"&gt;41585&lt;/D&gt;&lt;D xsi:type="xsd:long"&gt;41584&lt;/D&gt;&lt;D xsi:type="xsd:long"&gt;41583&lt;/D&gt;&lt;D xsi:type="xsd:long"&gt;41582&lt;/D&gt;&lt;D xsi:type="xsd:long"&gt;41579&lt;/D&gt;&lt;D xsi:type="xsd:long"&gt;41578&lt;/D&gt;&lt;D xsi:type="xsd:long"&gt;41577&lt;/D&gt;&lt;D xsi:type="xsd:long"&gt;41576&lt;/D&gt;&lt;D xsi:type="xsd:long"&gt;41575&lt;/D&gt;&lt;D xsi:type="xsd:long"&gt;41572&lt;/D&gt;&lt;D xsi:type="xsd:long"&gt;41571&lt;/D&gt;&lt;D xsi:type="xsd:long"&gt;41570&lt;/D&gt;&lt;D xsi:type="xsd:long"&gt;41569&lt;/D&gt;&lt;D xsi:type="xsd:long"&gt;41568&lt;/D&gt;&lt;D xsi:type="xsd:long"&gt;41565&lt;/D&gt;&lt;D xsi:type="xsd:long"&gt;41564&lt;/D&gt;&lt;D xsi:type="xsd:long"&gt;41563&lt;/D&gt;&lt;D xsi:type="xsd:long"&gt;41562&lt;/D&gt;&lt;D xsi:type="xsd:long"&gt;41561&lt;/D&gt;&lt;D xsi:type="xsd:long"&gt;41558&lt;/D&gt;&lt;D xsi:type="xsd:long"&gt;41557&lt;/D&gt;&lt;D xsi:type="xsd:long"&gt;41556&lt;/D&gt;&lt;D xsi:type="xsd:long"&gt;41555&lt;/D&gt;&lt;D xsi:type="xsd:long"&gt;41554&lt;/D&gt;&lt;D xsi:type="xsd:long"&gt;41551&lt;/D&gt;&lt;D xsi:type="xsd:long"&gt;41550&lt;/D&gt;&lt;D xsi:type="xsd:long"&gt;41549&lt;/D&gt;&lt;D xsi:type="xsd:long"&gt;41548&lt;/D&gt;&lt;D xsi:type="xsd:long"&gt;41547&lt;/D&gt;&lt;D xsi:type="xsd:long"&gt;41544&lt;/D&gt;&lt;D xsi:type="xsd:long"&gt;41543&lt;/D&gt;&lt;D xsi:type="xsd:long"&gt;41542&lt;/D&gt;&lt;D xsi:type="xsd:long"&gt;41541&lt;/D&gt;&lt;D xsi:type="xsd:long"&gt;41540&lt;/D&gt;&lt;D xsi:type="xsd:long"&gt;41537&lt;/D&gt;&lt;D xsi:type="xsd:long"&gt;41536&lt;/D&gt;&lt;D xsi:type="xsd:long"&gt;41535&lt;/D&gt;&lt;D xsi:type="xsd:long"&gt;41534&lt;/D&gt;&lt;D xsi:type="xsd:long"&gt;41533&lt;/D&gt;&lt;D xsi:type="xsd:long"&gt;41530&lt;/D&gt;&lt;D xsi:type="xsd:long"&gt;41529&lt;/D&gt;&lt;D xsi:type="xsd:long"&gt;41528&lt;/D&gt;&lt;D xsi:type="xsd:long"&gt;41527&lt;/D&gt;&lt;D xsi:type="xsd:long"&gt;41526&lt;/D&gt;&lt;D xsi:type="xsd:long"&gt;41523&lt;/D&gt;&lt;D xsi:type="xsd:long"&gt;41522&lt;/D&gt;&lt;D xsi:type="xsd:long"&gt;41521&lt;/D&gt;&lt;D xsi:type="xsd:long"&gt;41520&lt;/D&gt;&lt;D xsi:type="xsd:long"&gt;41516&lt;/D&gt;&lt;D xsi:type="xsd:long"&gt;41515&lt;/D&gt;&lt;D xsi:type="xsd:long"&gt;41514&lt;/D&gt;&lt;D xsi:type="xsd:long"&gt;41513&lt;/D&gt;&lt;D xsi:type="xsd:long"&gt;41512&lt;/D&gt;&lt;D xsi:type="xsd:long"&gt;41509&lt;/D&gt;&lt;D xsi:type="xsd:long"&gt;41508&lt;/D&gt;&lt;D xsi:type="xsd:long"&gt;41507&lt;/D&gt;&lt;D xsi:type="xsd:long"&gt;41506&lt;/D&gt;&lt;D xsi:type="xsd:long"&gt;41505&lt;/D&gt;&lt;D xsi:type="xsd:long"&gt;41502&lt;/D&gt;&lt;D xsi:type="xsd:long"&gt;41501&lt;/D&gt;&lt;D xsi:type="xsd:long"&gt;41500&lt;/D&gt;&lt;D xsi:type="xsd:long"&gt;41499&lt;/D&gt;&lt;D xsi:type="xsd:long"&gt;41498&lt;/D&gt;&lt;D xsi:type="xsd:long"&gt;41495&lt;/D&gt;&lt;D xsi:type="xsd:long"&gt;41494&lt;/D&gt;&lt;D xsi:type="xsd:long"&gt;41493&lt;/D&gt;&lt;D xsi:type="xsd:long"&gt;41492&lt;/D&gt;&lt;D xsi:type="xsd:long"&gt;41491&lt;/D&gt;&lt;D xsi:type="xsd:long"&gt;41488&lt;/D&gt;&lt;D xsi:type="xsd:long"&gt;41487&lt;/D&gt;&lt;D xsi:type="xsd:long"&gt;41486&lt;/D&gt;&lt;D xsi:type="xsd:long"&gt;41485&lt;/D&gt;&lt;D xsi:type="xsd:long"&gt;41484&lt;/D&gt;&lt;D xsi:type="xsd:long"&gt;41481&lt;/D&gt;&lt;D xsi:type="xsd:long"&gt;41480&lt;/D&gt;&lt;D xsi:type="xsd:long"&gt;41479&lt;/D&gt;&lt;D xsi:type="xsd:long"&gt;41478&lt;/D&gt;&lt;D xsi:type="xsd:long"&gt;41477&lt;/D&gt;&lt;D xsi:type="xsd:long"&gt;41474&lt;/D&gt;&lt;D xsi:type="xsd:long"&gt;41473&lt;/D&gt;&lt;D xsi:type="xsd:long"&gt;41472&lt;/D&gt;&lt;D xsi:type="xsd:long"&gt;41471&lt;/D&gt;&lt;D xsi:type="xsd:long"&gt;41470&lt;/D&gt;&lt;D xsi:type="xsd:long"&gt;41467&lt;/D&gt;&lt;D xsi:type="xsd:long"&gt;41466&lt;/D&gt;&lt;D xsi:type="xsd:long"&gt;41465&lt;/D&gt;&lt;D xsi:type="xsd:long"&gt;41464&lt;/D&gt;&lt;D xsi:type="xsd:long"&gt;41463&lt;/D&gt;&lt;D xsi:type="xsd:long"&gt;41460&lt;/D&gt;&lt;D xsi:type="xsd:long"&gt;41458&lt;/D&gt;&lt;D xsi:type="xsd:long"&gt;41457&lt;/D&gt;&lt;D xsi:type="xsd:long"&gt;41456&lt;/D&gt;&lt;D xsi:type="xsd:long"&gt;41453&lt;/D&gt;&lt;D xsi:type="xsd:long"&gt;41452&lt;/D&gt;&lt;D xsi:type="xsd:long"&gt;41451&lt;/D&gt;&lt;D xsi:type="xsd:long"&gt;41450&lt;/D&gt;&lt;D xsi:type="xsd:long"&gt;41449&lt;/D&gt;&lt;D xsi:type="xsd:long"&gt;41446&lt;/D&gt;&lt;D xsi:type="xsd:long"&gt;41445&lt;/D&gt;&lt;D xsi:type="xsd:long"&gt;41444&lt;/D&gt;&lt;D xsi:type="xsd:long"&gt;41443&lt;/D&gt;&lt;D xsi:type="xsd:long"&gt;41442&lt;/D&gt;&lt;D xsi:type="xsd:long"&gt;41439&lt;/D&gt;&lt;D xsi:type="xsd:long"&gt;41438&lt;/D&gt;&lt;D xsi:type="xsd:long"&gt;41437&lt;/D&gt;&lt;D xsi:type="xsd:long"&gt;41436&lt;/D&gt;&lt;D xsi:type="xsd:long"&gt;41435&lt;/D&gt;&lt;D xsi:type="xsd:long"&gt;41432&lt;/D&gt;&lt;D xsi:type="xsd:long"&gt;41431&lt;/D&gt;&lt;D xsi:type="xsd:long"&gt;41430&lt;/D&gt;&lt;D xsi:type="xsd:long"&gt;41429&lt;/D&gt;&lt;D xsi:type="xsd:long"&gt;41428&lt;/D&gt;&lt;D xsi:type="xsd:long"&gt;41425&lt;/D&gt;&lt;D xsi:type="xsd:long"&gt;41424&lt;/D&gt;&lt;D xsi:type="xsd:long"&gt;41423&lt;/D&gt;&lt;D xsi:type="xsd:long"&gt;41422&lt;/D&gt;&lt;D xsi:type="xsd:long"&gt;41418&lt;/D&gt;&lt;D xsi:type="xsd:long"&gt;41417&lt;/D&gt;&lt;D xsi:type="xsd:long"&gt;41416&lt;/D&gt;&lt;D xsi:type="xsd:long"&gt;41415&lt;/D&gt;&lt;D xsi:type="xsd:long"&gt;41414&lt;/D&gt;&lt;D xsi:type="xsd:long"&gt;41411&lt;/D&gt;&lt;D xsi:type="xsd:long"&gt;41410&lt;/D&gt;&lt;D xsi:type="xsd:long"&gt;41409&lt;/D&gt;&lt;D xsi:type="xsd:long"&gt;41408&lt;/D&gt;&lt;D xsi:type="xsd:long"&gt;41407&lt;/D&gt;&lt;D xsi:type="xsd:long"&gt;41404&lt;/D&gt;&lt;D xsi:type="xsd:long"&gt;41403&lt;/D&gt;&lt;D xsi:type="xsd:long"&gt;41402&lt;/D&gt;&lt;D xsi:type="xsd:long"&gt;41401&lt;/D&gt;&lt;D xsi:type="xsd:long"&gt;41400&lt;/D&gt;&lt;D xsi:type="xsd:long"&gt;41397&lt;/D&gt;&lt;D xsi:type="xsd:long"&gt;41396&lt;/D&gt;&lt;D xsi:type="xsd:long"&gt;41395&lt;/D&gt;&lt;D xsi:type="xsd:long"&gt;41394&lt;/D&gt;&lt;D xsi:type="xsd:long"&gt;41393&lt;/D&gt;&lt;D xsi:type="xsd:long"&gt;41390&lt;/D&gt;&lt;D xsi:type="xsd:long"&gt;41389&lt;/D&gt;&lt;D xsi:type="xsd:long"&gt;41388&lt;/D&gt;&lt;D xsi:type="xsd:long"&gt;41387&lt;/D&gt;&lt;D xsi:type="xsd:long"&gt;41386&lt;/D&gt;&lt;D xsi:type="xsd:long"&gt;41383&lt;/D&gt;&lt;D xsi:type="xsd:long"&gt;41382&lt;/D&gt;&lt;D xsi:type="xsd:long"&gt;41381&lt;/D&gt;&lt;D xsi:type="xsd:long"&gt;41380&lt;/D&gt;&lt;D xsi:type="xsd:long"&gt;41379&lt;/D&gt;&lt;D xsi:type="xsd:long"&gt;41376&lt;/D&gt;&lt;D xsi:type="xsd:long"&gt;41375&lt;/D&gt;&lt;D xsi:type="xsd:long"&gt;41374&lt;/D&gt;&lt;D xsi:type="xsd:long"&gt;41373&lt;/D&gt;&lt;D xsi:type="xsd:long"&gt;41372&lt;/D&gt;&lt;D xsi:type="xsd:long"&gt;41369&lt;/D&gt;&lt;D xsi:type="xsd:long"&gt;41368&lt;/D&gt;&lt;D xsi:type="xsd:long"&gt;41367&lt;/D&gt;&lt;D xsi:type="xsd:long"&gt;41366&lt;/D&gt;&lt;D xsi:type="xsd:long"&gt;41365&lt;/D&gt;&lt;D xsi:type="xsd:long"&gt;41361&lt;/D&gt;&lt;D xsi:type="xsd:long"&gt;41360&lt;/D&gt;&lt;D xsi:type="xsd:long"&gt;41359&lt;/D&gt;&lt;D xsi:type="xsd:long"&gt;41358&lt;/D&gt;&lt;D xsi:type="xsd:long"&gt;41355&lt;/D&gt;&lt;D xsi:type="xsd:long"&gt;41354&lt;/D&gt;&lt;D xsi:type="xsd:long"&gt;41353&lt;/D&gt;&lt;D xsi:type="xsd:long"&gt;41352&lt;/D&gt;&lt;D xsi:type="xsd:long"&gt;41351&lt;/D&gt;&lt;D xsi:type="xsd:long"&gt;41348&lt;/D&gt;&lt;D xsi:type="xsd:long"&gt;41347&lt;/D&gt;&lt;D xsi:type="xsd:long"&gt;41346&lt;/D&gt;&lt;D xsi:type="xsd:long"&gt;41345&lt;/D&gt;&lt;D xsi:type="xsd:long"&gt;41344&lt;/D&gt;&lt;D xsi:type="xsd:long"&gt;41341&lt;/D&gt;&lt;D xsi:type="xsd:long"&gt;41340&lt;/D&gt;&lt;D xsi:type="xsd:long"&gt;41339&lt;/D&gt;&lt;D xsi:type="xsd:long"&gt;41338&lt;/D&gt;&lt;D xsi:type="xsd:long"&gt;41337&lt;/D&gt;&lt;D xsi:type="xsd:long"&gt;41334&lt;/D&gt;&lt;D xsi:type="xsd:long"&gt;41333&lt;/D&gt;&lt;D xsi:type="xsd:long"&gt;41332&lt;/D&gt;&lt;D xsi:type="xsd:long"&gt;41331&lt;/D&gt;&lt;D xsi:type="xsd:long"&gt;41330&lt;/D&gt;&lt;D xsi:type="xsd:long"&gt;41327&lt;/D&gt;&lt;D xsi:type="xsd:long"&gt;41326&lt;/D&gt;&lt;D xsi:type="xsd:long"&gt;41325&lt;/D&gt;&lt;D xsi:type="xsd:long"&gt;41324&lt;/D&gt;&lt;D xsi:type="xsd:long"&gt;41320&lt;/D&gt;&lt;D xsi:type="xsd:long"&gt;41319&lt;/D&gt;&lt;D xsi:type="xsd:long"&gt;41318&lt;/D&gt;&lt;D xsi:type="xsd:long"&gt;41317&lt;/D&gt;&lt;D xsi:type="xsd:long"&gt;41316&lt;/D&gt;&lt;D xsi:type="xsd:long"&gt;41313&lt;/D&gt;&lt;D xsi:type="xsd:long"&gt;41312&lt;/D&gt;&lt;D xsi:type="xsd:long"&gt;41311&lt;/D&gt;&lt;D xsi:type="xsd:long"&gt;41310&lt;/D&gt;&lt;D xsi:type="xsd:long"&gt;41309&lt;/D&gt;&lt;D xsi:type="xsd:long"&gt;41306&lt;/D&gt;&lt;D xsi:type="xsd:long"&gt;41305&lt;/D&gt;&lt;D xsi:type="xsd:long"&gt;41304&lt;/D&gt;&lt;D xsi:type="xsd:long"&gt;41303&lt;/D&gt;&lt;D xsi:type="xsd:long"&gt;41302&lt;/D&gt;&lt;D xsi:type="xsd:long"&gt;41299&lt;/D&gt;&lt;D xsi:type="xsd:long"&gt;41298&lt;/D&gt;&lt;D xsi:type="xsd:long"&gt;41297&lt;/D&gt;&lt;D xsi:type="xsd:long"&gt;41296&lt;/D&gt;&lt;D xsi:type="xsd:long"&gt;41292&lt;/D&gt;&lt;D xsi:type="xsd:long"&gt;41291&lt;/D&gt;&lt;D xsi:type="xsd:long"&gt;41290&lt;/D&gt;&lt;D xsi:type="xsd:long"&gt;41289&lt;/D&gt;&lt;D xsi:type="xsd:long"&gt;41288&lt;/D&gt;&lt;D xsi:type="xsd:long"&gt;41285&lt;/D&gt;&lt;D xsi:type="xsd:long"&gt;41284&lt;/D&gt;&lt;D xsi:type="xsd:long"&gt;41283&lt;/D&gt;&lt;D xsi:type="xsd:long"&gt;41282&lt;/D&gt;&lt;D xsi:type="xsd:long"&gt;41281&lt;/D&gt;&lt;D xsi:type="xsd:long"&gt;41278&lt;/D&gt;&lt;D xsi:type="xsd:long"&gt;41277&lt;/D&gt;&lt;D xsi:type="xsd:long"&gt;41276&lt;/D&gt;&lt;D xsi:type="xsd:long"&gt;41274&lt;/D&gt;&lt;D xsi:type="xsd:long"&gt;41271&lt;/D&gt;&lt;D xsi:type="xsd:long"&gt;41270&lt;/D&gt;&lt;D xsi:type="xsd:long"&gt;41269&lt;/D&gt;&lt;D xsi:type="xsd:long"&gt;41267&lt;/D&gt;&lt;D xsi:type="xsd:long"&gt;41264&lt;/D&gt;&lt;D xsi:type="xsd:long"&gt;41263&lt;/D&gt;&lt;D xsi:type="xsd:long"&gt;41262&lt;/D&gt;&lt;D xsi:type="xsd:long"&gt;41261&lt;/D&gt;&lt;D xsi:type="xsd:long"&gt;41260&lt;/D&gt;&lt;D xsi:type="xsd:long"&gt;41257&lt;/D&gt;&lt;D xsi:type="xsd:long"&gt;41256&lt;/D&gt;&lt;D xsi:type="xsd:long"&gt;41255&lt;/D&gt;&lt;D xsi:type="xsd:long"&gt;41254&lt;/D&gt;&lt;D xsi:type="xsd:long"&gt;41253&lt;/D&gt;&lt;D xsi:type="xsd:long"&gt;41250&lt;/D&gt;&lt;D xsi:type="xsd:long"&gt;41249&lt;/D&gt;&lt;D xsi:type="xsd:long"&gt;41248&lt;/D&gt;&lt;D xsi:type="xsd:long"&gt;41247&lt;/D&gt;&lt;D xsi:type="xsd:long"&gt;41246&lt;/D&gt;&lt;D xsi:type="xsd:long"&gt;41243&lt;/D&gt;&lt;D xsi:type="xsd:long"&gt;41242&lt;/D&gt;&lt;D xsi:type="xsd:long"&gt;41241&lt;/D&gt;&lt;D xsi:type="xsd:long"&gt;41240&lt;/D&gt;&lt;D xsi:type="xsd:long"&gt;41239&lt;/D&gt;&lt;D xsi:type="xsd:long"&gt;41236&lt;/D&gt;&lt;D xsi:type="xsd:long"&gt;41234&lt;/D&gt;&lt;D xsi:type="xsd:long"&gt;41233&lt;/D&gt;&lt;D xsi:type="xsd:long"&gt;41232&lt;/D&gt;&lt;D xsi:type="xsd:long"&gt;41229&lt;/D&gt;&lt;D xsi:type="xsd:long"&gt;41228&lt;/D&gt;&lt;D xsi:type="xsd:long"&gt;41227&lt;/D&gt;&lt;D xsi:type="xsd:long"&gt;41226&lt;/D&gt;&lt;D xsi:type="xsd:long"&gt;41225&lt;/D&gt;&lt;D xsi:type="xsd:long"&gt;41222&lt;/D&gt;&lt;D xsi:type="xsd:long"&gt;41221&lt;/D&gt;&lt;D xsi:type="xsd:long"&gt;41220&lt;/D&gt;&lt;D xsi:type="xsd:long"&gt;41219&lt;/D&gt;&lt;D xsi:type="xsd:long"&gt;41218&lt;/D&gt;&lt;D xsi:type="xsd:long"&gt;41215&lt;/D&gt;&lt;D xsi:type="xsd:long"&gt;41214&lt;/D&gt;&lt;D xsi:type="xsd:long"&gt;41213&lt;/D&gt;&lt;D xsi:type="xsd:long"&gt;41208&lt;/D&gt;&lt;D xsi:type="xsd:long"&gt;41207&lt;/D&gt;&lt;D xsi:type="xsd:long"&gt;41206&lt;/D&gt;&lt;D xsi:type="xsd:long"&gt;41205&lt;/D&gt;&lt;D xsi:type="xsd:long"&gt;41204&lt;/D&gt;&lt;D xsi:type="xsd:long"&gt;41201&lt;/D&gt;&lt;D xsi:type="xsd:long"&gt;41200&lt;/D&gt;&lt;D xsi:type="xsd:long"&gt;41199&lt;/D&gt;&lt;D xsi:type="xsd:long"&gt;41198&lt;/D&gt;&lt;D xsi:type="xsd:long"&gt;41197&lt;/D&gt;&lt;D xsi:type="xsd:long"&gt;41194&lt;/D&gt;&lt;D xsi:type="xsd:long"&gt;41193&lt;/D&gt;&lt;D xsi:type="xsd:long"&gt;41192&lt;/D&gt;&lt;D xsi:type="xsd:long"&gt;41191&lt;/D&gt;&lt;D xsi:type="xsd:long"&gt;41190&lt;/D&gt;&lt;D xsi:type="xsd:long"&gt;41187&lt;/D&gt;&lt;D xsi:type="xsd:long"&gt;41186&lt;/D&gt;&lt;D xsi:type="xsd:long"&gt;41185&lt;/D&gt;&lt;D xsi:type="xsd:long"&gt;41184&lt;/D&gt;&lt;D xsi:type="xsd:long"&gt;41183&lt;/D&gt;&lt;D xsi:type="xsd:long"&gt;41180&lt;/D&gt;&lt;D xsi:type="xsd:long"&gt;41179&lt;/D&gt;&lt;D xsi:type="xsd:long"&gt;41178&lt;/D&gt;&lt;D xsi:type="xsd:long"&gt;41177&lt;/D&gt;&lt;D xsi:type="xsd:long"&gt;41176&lt;/D&gt;&lt;D xsi:type="xsd:long"&gt;41173&lt;/D&gt;&lt;D xsi:type="xsd:long"&gt;41172&lt;/D&gt;&lt;D xsi:type="xsd:long"&gt;41171&lt;/D&gt;&lt;D xsi:type="xsd:long"&gt;41170&lt;/D&gt;&lt;D xsi:type="xsd:long"&gt;41169&lt;/D&gt;&lt;D xsi:type="xsd:long"&gt;41166&lt;/D&gt;&lt;D xsi:type="xsd:long"&gt;41165&lt;/D&gt;&lt;D xsi:type="xsd:long"&gt;41164&lt;/D&gt;&lt;D xsi:type="xsd:long"&gt;41163&lt;/D&gt;&lt;D xsi:type="xsd:long"&gt;41162&lt;/D&gt;&lt;D xsi:type="xsd:long"&gt;41159&lt;/D&gt;&lt;D xsi:type="xsd:long"&gt;41158&lt;/D&gt;&lt;D xsi:type="xsd:long"&gt;41157&lt;/D&gt;&lt;D xsi:type="xsd:long"&gt;41156&lt;/D&gt;&lt;D xsi:type="xsd:long"&gt;41152&lt;/D&gt;&lt;D xsi:type="xsd:long"&gt;41151&lt;/D&gt;&lt;D xsi:type="xsd:long"&gt;41150&lt;/D&gt;&lt;D xsi:type="xsd:long"&gt;41149&lt;/D&gt;&lt;D xsi:type="xsd:long"&gt;41148&lt;/D&gt;&lt;D xsi:type="xsd:long"&gt;41145&lt;/D&gt;&lt;D xsi:type="xsd:long"&gt;41144&lt;/D&gt;&lt;D xsi:type="xsd:long"&gt;41143&lt;/D&gt;&lt;D xsi:type="xsd:long"&gt;41142&lt;/D&gt;&lt;D xsi:type="xsd:long"&gt;41141&lt;/D&gt;&lt;D xsi:type="xsd:long"&gt;41138&lt;/D&gt;&lt;D xsi:type="xsd:long"&gt;41137&lt;/D&gt;&lt;D xsi:type="xsd:long"&gt;41136&lt;/D&gt;&lt;D xsi:type="xsd:long"&gt;41135&lt;/D&gt;&lt;D xsi:type="xsd:long"&gt;41134&lt;/D&gt;&lt;D xsi:type="xsd:long"&gt;41131&lt;/D&gt;&lt;D xsi:type="xsd:long"&gt;41130&lt;/D&gt;&lt;D xsi:type="xsd:long"&gt;41129&lt;/D&gt;&lt;D xsi:type="xsd:long"&gt;41128&lt;/D&gt;&lt;D xsi:type="xsd:long"&gt;41127&lt;/D&gt;&lt;D xsi:type="xsd:long"&gt;41124&lt;/D&gt;&lt;D xsi:type="xsd:long"&gt;41123&lt;/D&gt;&lt;D xsi:type="xsd:long"&gt;41122&lt;/D&gt;&lt;D xsi:type="xsd:long"&gt;41121&lt;/D&gt;&lt;D xsi:type="xsd:long"&gt;41120&lt;/D&gt;&lt;D xsi:type="xsd:long"&gt;41117&lt;/D&gt;&lt;D xsi:type="xsd:long"&gt;41116&lt;/D&gt;&lt;D xsi:type="xsd:long"&gt;41115&lt;/D&gt;&lt;D xsi:type="xsd:long"&gt;41114&lt;/D&gt;&lt;D xsi:type="xsd:long"&gt;41113&lt;/D&gt;&lt;D xsi:type="xsd:long"&gt;41110&lt;/D&gt;&lt;D xsi:type="xsd:long"&gt;41109&lt;/D&gt;&lt;D xsi:type="xsd:long"&gt;41108&lt;/D&gt;&lt;D xsi:type="xsd:long"&gt;41107&lt;/D&gt;&lt;D xsi:type="xsd:long"&gt;41106&lt;/D&gt;&lt;D xsi:type="xsd:long"&gt;41103&lt;/D&gt;&lt;D xsi:type="xsd:long"&gt;41102&lt;/D&gt;&lt;D xsi:type="xsd:long"&gt;41101&lt;/D&gt;&lt;D xsi:type="xsd:long"&gt;41100&lt;/D&gt;&lt;D xsi:type="xsd:long"&gt;41099&lt;/D&gt;&lt;D xsi:type="xsd:long"&gt;41096&lt;/D&gt;&lt;D xsi:type="xsd:long"&gt;41095&lt;/D&gt;&lt;D xsi:type="xsd:long"&gt;41093&lt;/D&gt;&lt;D xsi:type="xsd:long"&gt;41092&lt;/D&gt;&lt;D xsi:type="xsd:long"&gt;41089&lt;/D&gt;&lt;D xsi:type="xsd:long"&gt;41088&lt;/D&gt;&lt;D xsi:type="xsd:long"&gt;41087&lt;/D&gt;&lt;D xsi:type="xsd:long"&gt;41086&lt;/D&gt;&lt;D xsi:type="xsd:long"&gt;41085&lt;/D&gt;&lt;D xsi:type="xsd:long"&gt;41082&lt;/D&gt;&lt;D xsi:type="xsd:long"&gt;41081&lt;/D&gt;&lt;D xsi:type="xsd:long"&gt;41080&lt;/D&gt;&lt;D xsi:type="xsd:long"&gt;41079&lt;/D&gt;&lt;D xsi:type="xsd:long"&gt;41078&lt;/D&gt;&lt;D xsi:type="xsd:long"&gt;41075&lt;/D&gt;&lt;D xsi:type="xsd:long"&gt;41074&lt;/D&gt;&lt;D xsi:type="xsd:long"&gt;41073&lt;/D&gt;&lt;D xsi:type="xsd:long"&gt;41072&lt;/D&gt;&lt;D xsi:type="xsd:long"&gt;41071&lt;/D&gt;&lt;D xsi:type="xsd:long"&gt;41068&lt;/D&gt;&lt;D xsi:type="xsd:long"&gt;41067&lt;/D&gt;&lt;D xsi:type="xsd:long"&gt;41066&lt;/D&gt;&lt;D xsi:type="xsd:long"&gt;41065&lt;/D&gt;&lt;D xsi:type="xsd:long"&gt;41064&lt;/D&gt;&lt;D xsi:type="xsd:long"&gt;41061&lt;/D&gt;&lt;D xsi:type="xsd:long"&gt;41060&lt;/D&gt;&lt;D xsi:type="xsd:long"&gt;41059&lt;/D&gt;&lt;D xsi:type="xsd:long"&gt;41058&lt;/D&gt;&lt;D xsi:type="xsd:long"&gt;41054&lt;/D&gt;&lt;D xsi:type="xsd:long"&gt;41053&lt;/D&gt;&lt;D xsi:type="xsd:long"&gt;41052&lt;/D&gt;&lt;D xsi:type="xsd:long"&gt;41051&lt;/D&gt;&lt;D xsi:type="xsd:long"&gt;41050&lt;/D&gt;&lt;D xsi:type="xsd:long"&gt;41047&lt;/D&gt;&lt;D xsi:type="xsd:long"&gt;41046&lt;/D&gt;&lt;D xsi:type="xsd:long"&gt;41045&lt;/D&gt;&lt;D xsi:type="xsd:long"&gt;41044&lt;/D&gt;&lt;D xsi:type="xsd:long"&gt;41043&lt;/D&gt;&lt;D xsi:type="xsd:long"&gt;41040&lt;/D&gt;&lt;D xsi:type="xsd:long"&gt;41039&lt;/D&gt;&lt;D xsi:type="xsd:long"&gt;41038&lt;/D&gt;&lt;D xsi:type="xsd:long"&gt;41037&lt;/D&gt;&lt;D xsi:type="xsd:long"&gt;41036&lt;/D&gt;&lt;D xsi:type="xsd:long"&gt;41033&lt;/D&gt;&lt;D xsi:type="xsd:long"&gt;41032&lt;/D&gt;&lt;D xsi:type="xsd:long"&gt;41031&lt;/D&gt;&lt;D xsi:type="xsd:long"&gt;41030&lt;/D&gt;&lt;D xsi:type="xsd:long"&gt;41029&lt;/D&gt;&lt;D xsi:type="xsd:long"&gt;41026&lt;/D&gt;&lt;D xsi:type="xsd:long"&gt;41025&lt;/D&gt;&lt;D xsi:type="xsd:long"&gt;41024&lt;/D&gt;&lt;D xsi:type="xsd:long"&gt;41023&lt;/D&gt;&lt;D xsi:type="xsd:long"&gt;41022&lt;/D&gt;&lt;D xsi:type="xsd:long"&gt;41019&lt;/D&gt;&lt;D xsi:type="xsd:long"&gt;41018&lt;/D&gt;&lt;D xsi:type="xsd:long"&gt;41017&lt;/D&gt;&lt;D xsi:type="xsd:long"&gt;41016&lt;/D&gt;&lt;D xsi:type="xsd:long"&gt;41015&lt;/D&gt;&lt;D xsi:type="xsd:long"&gt;41012&lt;/D&gt;&lt;D xsi:type="xsd:long"&gt;41011&lt;/D&gt;&lt;D xsi:type="xsd:long"&gt;41010&lt;/D&gt;&lt;D xsi:type="xsd:long"&gt;41009&lt;/D&gt;&lt;D xsi:type="xsd:long"&gt;41008&lt;/D&gt;&lt;D xsi:type="xsd:long"&gt;41004&lt;/D&gt;&lt;D xsi:type="xsd:long"&gt;41003&lt;/D&gt;&lt;D xsi:type="xsd:long"&gt;41002&lt;/D&gt;&lt;D xsi:type="xsd:long"&gt;41001&lt;/D&gt;&lt;D xsi:type="xsd:long"&gt;40998&lt;/D&gt;&lt;D xsi:type="xsd:long"&gt;40997&lt;/D&gt;&lt;D xsi:type="xsd:long"&gt;40996&lt;/D&gt;&lt;D xsi:type="xsd:long"&gt;40995&lt;/D&gt;&lt;D xsi:type="xsd:long"&gt;40994&lt;/D&gt;&lt;D xsi:type="xsd:long"&gt;40991&lt;/D&gt;&lt;D xsi:type="xsd:long"&gt;40990&lt;/D&gt;&lt;D xsi:type="xsd:long"&gt;40989&lt;/D&gt;&lt;D xsi:type="xsd:long"&gt;40988&lt;/D&gt;&lt;D xsi:type="xsd:long"&gt;40987&lt;/D&gt;&lt;D xsi:type="xsd:long"&gt;40984&lt;/D&gt;&lt;D xsi:type="xsd:long"&gt;40983&lt;/D&gt;&lt;D xsi:type="xsd:long"&gt;40982&lt;/D&gt;&lt;D xsi:type="xsd:long"&gt;40981&lt;/D&gt;&lt;D xsi:type="xsd:long"&gt;40980&lt;/D&gt;&lt;D xsi:type="xsd:long"&gt;40977&lt;/D&gt;&lt;D xsi:type="xsd:long"&gt;40976&lt;/D&gt;&lt;D xsi:type="xsd:long"&gt;40975&lt;/D&gt;&lt;D xsi:type="xsd:long"&gt;40974&lt;/D&gt;&lt;D xsi:type="xsd:long"&gt;40973&lt;/D&gt;&lt;D xsi:type="xsd:long"&gt;40970&lt;/D&gt;&lt;D xsi:type="xsd:long"&gt;40969&lt;/D&gt;&lt;D xsi:type="xsd:long"&gt;40968&lt;/D&gt;&lt;D xsi:type="xsd:long"&gt;40967&lt;/D&gt;&lt;D xsi:type="xsd:long"&gt;40966&lt;/D&gt;&lt;D xsi:type="xsd:long"&gt;40963&lt;/D&gt;&lt;D xsi:type="xsd:long"&gt;40962&lt;/D&gt;&lt;D xsi:type="xsd:long"&gt;40961&lt;/D&gt;&lt;D xsi:type="xsd:long"&gt;40960&lt;/D&gt;&lt;D xsi:type="xsd:long"&gt;40956&lt;/D&gt;&lt;D xsi:type="xsd:long"&gt;40955&lt;/D&gt;&lt;D xsi:type="xsd:</t>
        </r>
      </text>
    </comment>
    <comment ref="A41" authorId="0" shapeId="0">
      <text>
        <r>
          <rPr>
            <b/>
            <sz val="9"/>
            <color indexed="81"/>
            <rFont val="Tahoma"/>
            <family val="2"/>
          </rPr>
          <t>long"&gt;40954&lt;/D&gt;&lt;D xsi:type="xsd:long"&gt;40953&lt;/D&gt;&lt;D xsi:type="xsd:long"&gt;40952&lt;/D&gt;&lt;D xsi:type="xsd:long"&gt;40949&lt;/D&gt;&lt;D xsi:type="xsd:long"&gt;40948&lt;/D&gt;&lt;D xsi:type="xsd:long"&gt;40947&lt;/D&gt;&lt;D xsi:type="xsd:long"&gt;40946&lt;/D&gt;&lt;D xsi:type="xsd:long"&gt;40945&lt;/D&gt;&lt;D xsi:type="xsd:long"&gt;40942&lt;/D&gt;&lt;D xsi:type="xsd:long"&gt;40941&lt;/D&gt;&lt;D xsi:type="xsd:long"&gt;40940&lt;/D&gt;&lt;D xsi:type="xsd:long"&gt;40939&lt;/D&gt;&lt;D xsi:type="xsd:long"&gt;40938&lt;/D&gt;&lt;D xsi:type="xsd:long"&gt;40935&lt;/D&gt;&lt;D xsi:type="xsd:long"&gt;40934&lt;/D&gt;&lt;D xsi:type="xsd:long"&gt;40933&lt;/D&gt;&lt;D xsi:type="xsd:long"&gt;40932&lt;/D&gt;&lt;D xsi:type="xsd:long"&gt;40931&lt;/D&gt;&lt;D xsi:type="xsd:long"&gt;40928&lt;/D&gt;&lt;D xsi:type="xsd:long"&gt;40927&lt;/D&gt;&lt;D xsi:type="xsd:long"&gt;40926&lt;/D&gt;&lt;D xsi:type="xsd:long"&gt;40925&lt;/D&gt;&lt;D xsi:type="xsd:long"&gt;40921&lt;/D&gt;&lt;D xsi:type="xsd:long"&gt;40920&lt;/D&gt;&lt;D xsi:type="xsd:long"&gt;40919&lt;/D&gt;&lt;D xsi:type="xsd:long"&gt;40918&lt;/D&gt;&lt;D xsi:type="xsd:long"&gt;40917&lt;/D&gt;&lt;D xsi:type="xsd:long"&gt;40914&lt;/D&gt;&lt;D xsi:type="xsd:long"&gt;40913&lt;/D&gt;&lt;D xsi:type="xsd:long"&gt;40912&lt;/D&gt;&lt;D xsi:type="xsd:long"&gt;40911&lt;/D&gt;&lt;D xsi:type="xsd:long"&gt;40907&lt;/D&gt;&lt;D xsi:type="xsd:long"&gt;40906&lt;/D&gt;&lt;D xsi:type="xsd:long"&gt;40905&lt;/D&gt;&lt;D xsi:type="xsd:long"&gt;40904&lt;/D&gt;&lt;D xsi:type="xsd:long"&gt;40900&lt;/D&gt;&lt;D xsi:type="xsd:long"&gt;40899&lt;/D&gt;&lt;D xsi:type="xsd:long"&gt;40898&lt;/D&gt;&lt;D xsi:type="xsd:long"&gt;40897&lt;/D&gt;&lt;D xsi:type="xsd:long"&gt;40896&lt;/D&gt;&lt;D xsi:type="xsd:long"&gt;40893&lt;/D&gt;&lt;D xsi:type="xsd:long"&gt;40892&lt;/D&gt;&lt;D xsi:type="xsd:long"&gt;40891&lt;/D&gt;&lt;D xsi:type="xsd:long"&gt;40890&lt;/D&gt;&lt;D xsi:type="xsd:long"&gt;40889&lt;/D&gt;&lt;D xsi:type="xsd:long"&gt;40886&lt;/D&gt;&lt;D xsi:type="xsd:long"&gt;40885&lt;/D&gt;&lt;D xsi:type="xsd:long"&gt;40884&lt;/D&gt;&lt;D xsi:type="xsd:long"&gt;40883&lt;/D&gt;&lt;D xsi:type="xsd:long"&gt;40882&lt;/D&gt;&lt;D xsi:type="xsd:long"&gt;40879&lt;/D&gt;&lt;D xsi:type="xsd:long"&gt;40878&lt;/D&gt;&lt;D xsi:type="xsd:long"&gt;40877&lt;/D&gt;&lt;D xsi:type="xsd:long"&gt;40876&lt;/D&gt;&lt;D xsi:type="xsd:long"&gt;40875&lt;/D&gt;&lt;D xsi:type="xsd:long"&gt;40872&lt;/D&gt;&lt;D xsi:type="xsd:long"&gt;40870&lt;/D&gt;&lt;D xsi:type="xsd:long"&gt;40869&lt;/D&gt;&lt;D xsi:type="xsd:long"&gt;40868&lt;/D&gt;&lt;D xsi:type="xsd:long"&gt;40865&lt;/D&gt;&lt;D xsi:type="xsd:long"&gt;40864&lt;/D&gt;&lt;D xsi:type="xsd:long"&gt;40863&lt;/D&gt;&lt;D xsi:type="xsd:long"&gt;40862&lt;/D&gt;&lt;D xsi:type="xsd:long"&gt;40861&lt;/D&gt;&lt;D xsi:type="xsd:long"&gt;40858&lt;/D&gt;&lt;D xsi:type="xsd:long"&gt;40857&lt;/D&gt;&lt;D xsi:type="xsd:long"&gt;40856&lt;/D&gt;&lt;D xsi:type="xsd:long"&gt;40855&lt;/D&gt;&lt;D xsi:type="xsd:long"&gt;40854&lt;/D&gt;&lt;D xsi:type="xsd:long"&gt;40851&lt;/D&gt;&lt;D xsi:type="xsd:long"&gt;40850&lt;/D&gt;&lt;D xsi:type="xsd:long"&gt;40849&lt;/D&gt;&lt;D xsi:type="xsd:long"&gt;40848&lt;/D&gt;&lt;D xsi:type="xsd:long"&gt;40847&lt;/D&gt;&lt;D xsi:type="xsd:long"&gt;40844&lt;/D&gt;&lt;D xsi:type="xsd:long"&gt;40843&lt;/D&gt;&lt;D xsi:type="xsd:long"&gt;40842&lt;/D&gt;&lt;D xsi:type="xsd:long"&gt;40841&lt;/D&gt;&lt;D xsi:type="xsd:long"&gt;40840&lt;/D&gt;&lt;D xsi:type="xsd:long"&gt;40837&lt;/D&gt;&lt;D xsi:type="xsd:long"&gt;40836&lt;/D&gt;&lt;D xsi:type="xsd:long"&gt;40835&lt;/D&gt;&lt;D xsi:type="xsd:long"&gt;40834&lt;/D&gt;&lt;D xsi:type="xsd:long"&gt;40833&lt;/D&gt;&lt;D xsi:type="xsd:long"&gt;40830&lt;/D&gt;&lt;D xsi:type="xsd:long"&gt;40829&lt;/D&gt;&lt;D xsi:type="xsd:long"&gt;40828&lt;/D&gt;&lt;D xsi:type="xsd:long"&gt;40827&lt;/D&gt;&lt;D xsi:type="xsd:long"&gt;40826&lt;/D&gt;&lt;D xsi:type="xsd:long"&gt;40823&lt;/D&gt;&lt;D xsi:type="xsd:long"&gt;40822&lt;/D&gt;&lt;D xsi:type="xsd:long"&gt;40821&lt;/D&gt;&lt;D xsi:type="xsd:long"&gt;40820&lt;/D&gt;&lt;D xsi:type="xsd:long"&gt;40819&lt;/D&gt;&lt;D xsi:type="xsd:long"&gt;40816&lt;/D&gt;&lt;D xsi:type="xsd:long"&gt;40815&lt;/D&gt;&lt;D xsi:type="xsd:long"&gt;40814&lt;/D&gt;&lt;D xsi:type="xsd:long"&gt;40813&lt;/D&gt;&lt;D xsi:type="xsd:long"&gt;40812&lt;/D&gt;&lt;D xsi:type="xsd:long"&gt;40809&lt;/D&gt;&lt;D xsi:type="xsd:long"&gt;40808&lt;/D&gt;&lt;D xsi:type="xsd:long"&gt;40807&lt;/D&gt;&lt;D xsi:type="xsd:long"&gt;40806&lt;/D&gt;&lt;D xsi:type="xsd:long"&gt;40805&lt;/D&gt;&lt;D xsi:type="xsd:long"&gt;40802&lt;/D&gt;&lt;D xsi:type="xsd:long"&gt;40801&lt;/D&gt;&lt;D xsi:type="xsd:long"&gt;40800&lt;/D&gt;&lt;D xsi:type="xsd:long"&gt;40799&lt;/D&gt;&lt;D xsi:type="xsd:long"&gt;40798&lt;/D&gt;&lt;D xsi:type="xsd:long"&gt;40795&lt;/D&gt;&lt;D xsi:type="xsd:long"&gt;40794&lt;/D&gt;&lt;D xsi:type="xsd:long"&gt;40793&lt;/D&gt;&lt;D xsi:type="xsd:long"&gt;40792&lt;/D&gt;&lt;D xsi:type="xsd:long"&gt;40788&lt;/D&gt;&lt;D xsi:type="xsd:long"&gt;40787&lt;/D&gt;&lt;D xsi:type="xsd:long"&gt;40786&lt;/D&gt;&lt;D xsi:type="xsd:long"&gt;40785&lt;/D&gt;&lt;D xsi:type="xsd:long"&gt;40784&lt;/D&gt;&lt;D xsi:type="xsd:long"&gt;40781&lt;/D&gt;&lt;D xsi:type="xsd:long"&gt;40780&lt;/D&gt;&lt;D xsi:type="xsd:long"&gt;40779&lt;/D&gt;&lt;D xsi:type="xsd:long"&gt;40778&lt;/D&gt;&lt;D xsi:type="xsd:long"&gt;40777&lt;/D&gt;&lt;D xsi:type="xsd:long"&gt;40774&lt;/D&gt;&lt;D xsi:type="xsd:long"&gt;40773&lt;/D&gt;&lt;D xsi:type="xsd:long"&gt;40772&lt;/D&gt;&lt;D xsi:type="xsd:long"&gt;40771&lt;/D&gt;&lt;D xsi:type="xsd:long"&gt;40770&lt;/D&gt;&lt;D xsi:type="xsd:long"&gt;40767&lt;/D&gt;&lt;D xsi:type="xsd:long"&gt;40766&lt;/D&gt;&lt;D xsi:type="xsd:long"&gt;40765&lt;/D&gt;&lt;D xsi:type="xsd:long"&gt;40764&lt;/D&gt;&lt;D xsi:type="xsd:long"&gt;40763&lt;/D&gt;&lt;D xsi:type="xsd:long"&gt;40760&lt;/D&gt;&lt;D xsi:type="xsd:long"&gt;40759&lt;/D&gt;&lt;D xsi:type="xsd:long"&gt;40758&lt;/D&gt;&lt;D xsi:type="xsd:long"&gt;40757&lt;/D&gt;&lt;D xsi:type="xsd:long"&gt;40756&lt;/D&gt;&lt;D xsi:type="xsd:long"&gt;40753&lt;/D&gt;&lt;D xsi:type="xsd:long"&gt;40752&lt;/D&gt;&lt;D xsi:type="xsd:long"&gt;40751&lt;/D&gt;&lt;D xsi:type="xsd:long"&gt;40750&lt;/D&gt;&lt;D xsi:type="xsd:long"&gt;40749&lt;/D&gt;&lt;D xsi:type="xsd:long"&gt;40746&lt;/D&gt;&lt;D xsi:type="xsd:long"&gt;40745&lt;/D&gt;&lt;D xsi:type="xsd:long"&gt;40744&lt;/D&gt;&lt;D xsi:type="xsd:long"&gt;40743&lt;/D&gt;&lt;D xsi:type="xsd:long"&gt;40742&lt;/D&gt;&lt;D xsi:type="xsd:long"&gt;40739&lt;/D&gt;&lt;D xsi:type="xsd:long"&gt;40738&lt;/D&gt;&lt;D xsi:type="xsd:long"&gt;40737&lt;/D&gt;&lt;D xsi:type="xsd:long"&gt;40736&lt;/D&gt;&lt;D xsi:type="xsd:long"&gt;40735&lt;/D&gt;&lt;D xsi:type="xsd:long"&gt;40732&lt;/D&gt;&lt;D xsi:type="xsd:long"&gt;40731&lt;/D&gt;&lt;D xsi:type="xsd:long"&gt;40730&lt;/D&gt;&lt;D xsi:type="xsd:long"&gt;40729&lt;/D&gt;&lt;D xsi:type="xsd:long"&gt;40725&lt;/D&gt;&lt;D xsi:type="xsd:long"&gt;40724&lt;/D&gt;&lt;D xsi:type="xsd:long"&gt;40723&lt;/D&gt;&lt;D xsi:type="xsd:long"&gt;40722&lt;/D&gt;&lt;D xsi:type="xsd:long"&gt;40721&lt;/D&gt;&lt;D xsi:type="xsd:long"&gt;40718&lt;/D&gt;&lt;D xsi:type="xsd:long"&gt;40717&lt;/D&gt;&lt;D xsi:type="xsd:long"&gt;40716&lt;/D&gt;&lt;D xsi:type="xsd:long"&gt;40715&lt;/D&gt;&lt;D xsi:type="xsd:long"&gt;40714&lt;/D&gt;&lt;D xsi:type="xsd:long"&gt;40711&lt;/D&gt;&lt;D xsi:type="xsd:long"&gt;40710&lt;/D&gt;&lt;D xsi:type="xsd:long"&gt;40709&lt;/D&gt;&lt;D xsi:type="xsd:long"&gt;40708&lt;/D&gt;&lt;D xsi:type="xsd:long"&gt;40707&lt;/D&gt;&lt;D xsi:type="xsd:long"&gt;40704&lt;/D&gt;&lt;D xsi:type="xsd:long"&gt;40703&lt;/D&gt;&lt;D xsi:type="xsd:long"&gt;40702&lt;/D&gt;&lt;D xsi:type="xsd:long"&gt;40701&lt;/D&gt;&lt;D xsi:type="xsd:long"&gt;40700&lt;/D&gt;&lt;D xsi:type="xsd:long"&gt;40697&lt;/D&gt;&lt;D xsi:type="xsd:long"&gt;40696&lt;/D&gt;&lt;D xsi:type="xsd:long"&gt;40695&lt;/D&gt;&lt;D xsi:type="xsd:long"&gt;40694&lt;/D&gt;&lt;D xsi:type="xsd:long"&gt;40690&lt;/D&gt;&lt;D xsi:type="xsd:long"&gt;40689&lt;/D&gt;&lt;D xsi:type="xsd:long"&gt;40688&lt;/D&gt;&lt;D xsi:type="xsd:long"&gt;40687&lt;/D&gt;&lt;D xsi:type="xsd:long"&gt;40686&lt;/D&gt;&lt;D xsi:type="xsd:long"&gt;40683&lt;/D&gt;&lt;D xsi:type="xsd:long"&gt;40682&lt;/D&gt;&lt;D xsi:type="xsd:long"&gt;40681&lt;/D&gt;&lt;D xsi:type="xsd:long"&gt;40680&lt;/D&gt;&lt;D xsi:type="xsd:long"&gt;40679&lt;/D&gt;&lt;D xsi:type="xsd:long"&gt;40676&lt;/D&gt;&lt;D xsi:type="xsd:long"&gt;40675&lt;/D&gt;&lt;D xsi:type="xsd:long"&gt;40674&lt;/D&gt;&lt;D xsi:type="xsd:long"&gt;40673&lt;/D&gt;&lt;D xsi:type="xsd:long"&gt;40672&lt;/D&gt;&lt;D xsi:type="xsd:long"&gt;40669&lt;/D&gt;&lt;D xsi:type="xsd:long"&gt;40668&lt;/D&gt;&lt;D xsi:type="xsd:long"&gt;40667&lt;/D&gt;&lt;D xsi:type="xsd:long"&gt;40666&lt;/D&gt;&lt;D xsi:type="xsd:long"&gt;40665&lt;/D&gt;&lt;D xsi:type="xsd:long"&gt;40662&lt;/D&gt;&lt;D xsi:type="xsd:long"&gt;40661&lt;/D&gt;&lt;D xsi:type="xsd:long"&gt;40660&lt;/D&gt;&lt;D xsi:type="xsd:long"&gt;40659&lt;/D&gt;&lt;D xsi:type="xsd:long"&gt;40658&lt;/D&gt;&lt;D xsi:type="xsd:long"&gt;40654&lt;/D&gt;&lt;D xsi:type="xsd:long"&gt;40653&lt;/D&gt;&lt;D xsi:type="xsd:long"&gt;40652&lt;/D&gt;&lt;D xsi:type="xsd:long"&gt;40651&lt;/D&gt;&lt;D xsi:type="xsd:long"&gt;40648&lt;/D&gt;&lt;D xsi:type="xsd:long"&gt;40647&lt;/D&gt;&lt;D xsi:type="xsd:long"&gt;40646&lt;/D&gt;&lt;D xsi:type="xsd:long"&gt;40645&lt;/D&gt;&lt;D xsi:type="xsd:long"&gt;40644&lt;/D&gt;&lt;D xsi:type="xsd:long"&gt;40641&lt;/D&gt;&lt;D xsi:type="xsd:long"&gt;40640&lt;/D&gt;&lt;D xsi:type="xsd:long"&gt;40639&lt;/D&gt;&lt;D xsi:type="xsd:long"&gt;40638&lt;/D&gt;&lt;D xsi:type="xsd:long"&gt;40637&lt;/D&gt;&lt;D xsi:type="xsd:long"&gt;40634&lt;/D&gt;&lt;D xsi:type="xsd:long"&gt;40633&lt;/D&gt;&lt;D xsi:type="xsd:long"&gt;40632&lt;/D&gt;&lt;D xsi:type="xsd:long"&gt;40631&lt;/D&gt;&lt;D xsi:type="xsd:long"&gt;40630&lt;/D&gt;&lt;D xsi:type="xsd:long"&gt;40627&lt;/D&gt;&lt;D xsi:type="xsd:long"&gt;40626&lt;/D&gt;&lt;D xsi:type="xsd:long"&gt;40625&lt;/D&gt;&lt;D xsi:type="xsd:long"&gt;40624&lt;/D&gt;&lt;D xsi:type="xsd:long"&gt;40623&lt;/D&gt;&lt;D xsi:type="xsd:long"&gt;40620&lt;/D&gt;&lt;D xsi:type="xsd:long"&gt;40619&lt;/D&gt;&lt;D xsi:type="xsd:long"&gt;40618&lt;/D&gt;&lt;D xsi:type="xsd:long"&gt;40617&lt;/D&gt;&lt;D xsi:type="xsd:long"&gt;40616&lt;/D&gt;&lt;D xsi:type="xsd:long"&gt;40613&lt;/D&gt;&lt;D xsi:type="xsd:long"&gt;40612&lt;/D&gt;&lt;D xsi:type="xsd:long"&gt;40611&lt;/D&gt;&lt;D xsi:type="xsd:long"&gt;40610&lt;/D&gt;&lt;D xsi:type="xsd:long"&gt;40609&lt;/D&gt;&lt;D xsi:type="xsd:long"&gt;40606&lt;/D&gt;&lt;D xsi:type="xsd:long"&gt;40605&lt;/D&gt;&lt;D xsi:type="xsd:long"&gt;40604&lt;/D&gt;&lt;D xsi:type="xsd:long"&gt;40603&lt;/D&gt;&lt;D xsi:type="xsd:long"&gt;40602&lt;/D&gt;&lt;D xsi:type="xsd:long"&gt;40599&lt;/D&gt;&lt;D xsi:type="xsd:long"&gt;40598&lt;/D&gt;&lt;D xsi:type="xsd:long"&gt;40597&lt;/D&gt;&lt;D xsi:type="xsd:long"&gt;40596&lt;/D&gt;&lt;D xsi:type="xsd:long"&gt;40592&lt;/D&gt;&lt;D xsi:type="xsd:long"&gt;40591&lt;/D&gt;&lt;D xsi:type="xsd:long"&gt;40590&lt;/D&gt;&lt;D xsi:type="xsd:long"&gt;40589&lt;/D&gt;&lt;D xsi:type="xsd:long"&gt;40588&lt;/D&gt;&lt;D xsi:type="xsd:long"&gt;40585&lt;/D&gt;&lt;D xsi:type="xsd:long"&gt;40584&lt;/D&gt;&lt;D xsi:type="xsd:long"&gt;40583&lt;/D&gt;&lt;D xsi:type="xsd:long"&gt;40582&lt;/D&gt;&lt;D xsi:type="xsd:long"&gt;40581&lt;/D&gt;&lt;D xsi:type="xsd:long"&gt;40578&lt;/D&gt;&lt;D xsi:type="xsd:long"&gt;40577&lt;/D&gt;&lt;D xsi:type="xsd:long"&gt;40576&lt;/D&gt;&lt;D xsi:type="xsd:long"&gt;40575&lt;/D&gt;&lt;D xsi:type="xsd:long"&gt;40574&lt;/D&gt;&lt;D xsi:type="xsd:long"&gt;40571&lt;/D&gt;&lt;D xsi:type="xsd:long"&gt;40570&lt;/D&gt;&lt;D xsi:type="xsd:long"&gt;40569&lt;/D&gt;&lt;D xsi:type="xsd:long"&gt;40568&lt;/D&gt;&lt;D xsi:type="xsd:long"&gt;40567&lt;/D&gt;&lt;D xsi:type="xsd:long"&gt;40564&lt;/D&gt;&lt;D xsi:type="xsd:long"&gt;40563&lt;/D&gt;&lt;D xsi:type="xsd:long"&gt;40562&lt;/D&gt;&lt;D xsi:type="xsd:long"&gt;40561&lt;/D&gt;&lt;D xsi:type="xsd:long"&gt;40557&lt;/D&gt;&lt;D xsi:type="xsd:long"&gt;40556&lt;/D&gt;&lt;D xsi:type="xsd:long"&gt;40555&lt;/D&gt;&lt;D xsi:type="xsd:long"&gt;40554&lt;/D&gt;&lt;D xsi:type="xsd:long"&gt;40553&lt;/D&gt;&lt;D xsi:type="xsd:long"&gt;40550&lt;/D&gt;&lt;D xsi:type="xsd:long"&gt;40549&lt;/D&gt;&lt;D xsi:type="xsd:long"&gt;40548&lt;/D&gt;&lt;D xsi:type="xsd:long"&gt;40547&lt;/D&gt;&lt;D xsi:type="xsd:long"&gt;40546&lt;/D&gt;&lt;D xsi:type="xsd:long"&gt;40543&lt;/D&gt;&lt;D xsi:type="xsd:long"&gt;40542&lt;/D&gt;&lt;D xsi:type="xsd:long"&gt;40541&lt;/D&gt;&lt;D xsi:type="xsd:long"&gt;40540&lt;/D&gt;&lt;D xsi:type="xsd:long"&gt;40539&lt;/D&gt;&lt;D xsi:type="xsd:long"&gt;40535&lt;/D&gt;&lt;D xsi:type="xsd:long"&gt;40534&lt;/D&gt;&lt;D xsi:type="xsd:long"&gt;40533&lt;/D&gt;&lt;D xsi:type="xsd:long"&gt;40532&lt;/D&gt;&lt;D xsi:type="xsd:long"&gt;40529&lt;/D&gt;&lt;D xsi:type="xsd:long"&gt;40528&lt;/D&gt;&lt;D xsi:type="xsd:long"&gt;40527&lt;/D&gt;&lt;D xsi:type="xsd:long"&gt;40526&lt;/D&gt;&lt;D xsi:type="xsd:long"&gt;40525&lt;/D&gt;&lt;D xsi:type="xsd:long"&gt;40522&lt;/D&gt;&lt;D xsi:type="xsd:long"&gt;40521&lt;/D&gt;&lt;D xsi:type="xsd:long"&gt;40520&lt;/D&gt;&lt;D xsi:type="xsd:long"&gt;40519&lt;/D&gt;&lt;D xsi:type="xsd:long"&gt;40518&lt;/D&gt;&lt;D xsi:type="xsd:long"&gt;40515&lt;/D&gt;&lt;D xsi:type="xsd:long"&gt;40514&lt;/D&gt;&lt;D xsi:type="xsd:long"&gt;40513&lt;/D&gt;&lt;D xsi:type="xsd:long"&gt;40512&lt;/D&gt;&lt;D xsi:type="xsd:long"&gt;40511&lt;/D&gt;&lt;D xsi:type="xsd:long"&gt;40508&lt;/D&gt;&lt;D xsi:type="xsd:long"&gt;40506&lt;/D&gt;&lt;D xsi:type="xsd:long"&gt;40505&lt;/D&gt;&lt;D xsi:type="xsd:long"&gt;40504&lt;/D&gt;&lt;D xsi:type="xsd:long"&gt;40501&lt;/D&gt;&lt;D xsi:type="xsd:long"&gt;40500&lt;/D&gt;&lt;D xsi:type="xsd:long"&gt;40499&lt;/D&gt;&lt;D xsi:type="xsd:long"&gt;40498&lt;/D&gt;&lt;D xsi:type="xsd:long"&gt;40497&lt;/D&gt;&lt;D xsi:type="xsd:long"&gt;40494&lt;/D&gt;&lt;D xsi:type="xsd:long"&gt;40493&lt;/D&gt;&lt;D xsi:type="xsd:long"&gt;40492&lt;/D&gt;&lt;D xsi:type="xsd:long"&gt;40491&lt;/D&gt;&lt;D xsi:type="xsd:long"&gt;40490&lt;/D&gt;&lt;D xsi:type="xsd:long"&gt;40487&lt;/D&gt;&lt;D xsi:type="xsd:long"&gt;40486&lt;/D&gt;&lt;D xsi:type="xsd:long"&gt;40485&lt;/D&gt;&lt;D xsi:type="xsd:long"&gt;40484&lt;/D&gt;&lt;D xsi:type="xsd:long"&gt;40483&lt;/D&gt;&lt;D xsi:type="xsd:long"&gt;40480&lt;/D&gt;&lt;D xsi:type="xsd:long"&gt;40479&lt;/D&gt;&lt;D xsi:type="xsd:long"&gt;40478&lt;/D&gt;&lt;D xsi:type="xsd:long"&gt;40477&lt;/D&gt;&lt;D xsi:type="xsd:long"&gt;40476&lt;/D&gt;&lt;D xsi:type="xsd:long"&gt;40473&lt;/D&gt;&lt;D xsi:type="xsd:long"&gt;40472&lt;/D&gt;&lt;D xsi:type="xsd:long"&gt;40471&lt;/D&gt;&lt;D xsi:type="xsd:long"&gt;40470&lt;/D&gt;&lt;D xsi:type="xsd:long"&gt;40469&lt;/D&gt;&lt;D xsi:type="xsd:long"&gt;40466&lt;/D&gt;&lt;D xsi:type="xsd:long"&gt;40465&lt;/D&gt;&lt;D xsi:type="xsd:long"&gt;40464&lt;/D&gt;&lt;D xsi:type="xsd:long"&gt;40463&lt;/D&gt;&lt;D xsi:type="xsd:long"&gt;40462&lt;/D&gt;&lt;D xsi:type="xsd:long"&gt;40459&lt;/D&gt;&lt;D xsi:type="xsd:long"&gt;40458&lt;/D&gt;&lt;D xsi:type="xsd:long"&gt;40457&lt;/D&gt;&lt;D xsi:type="xsd:long"&gt;40456&lt;/D&gt;&lt;D xsi:type="xsd:long"&gt;40455&lt;/D&gt;&lt;D xsi:type="xsd:long"&gt;40452&lt;/D&gt;&lt;D xsi:type="xsd:long"&gt;40451&lt;/D&gt;&lt;D xsi:type="xsd:long"&gt;40450&lt;/D&gt;&lt;D xsi:type="xsd:long"&gt;40449&lt;/D&gt;&lt;D xsi:type="xsd:long"&gt;40448&lt;/D&gt;&lt;D xsi:type="xsd:long"&gt;40445&lt;/D&gt;&lt;D xsi:type="xsd:long"&gt;40444&lt;/D&gt;&lt;D xsi:type="xsd:long"&gt;40443&lt;/D&gt;&lt;D xsi:type="xsd:long"&gt;40442&lt;/D&gt;&lt;D xsi:type="xsd:long"&gt;40441&lt;/D&gt;&lt;D xsi:type="xsd:long"&gt;40438&lt;/D&gt;&lt;D xsi:type="xsd:long"&gt;40437&lt;/D&gt;&lt;D xsi:type="xsd:long"&gt;40436&lt;/D&gt;&lt;D xsi:type="xsd:long"&gt;40435&lt;/D&gt;&lt;D xsi:type="xsd:long"&gt;40434&lt;/D&gt;&lt;D xsi:type="xsd:long"&gt;40431&lt;/D&gt;&lt;D xsi:type="xsd:long"&gt;40430&lt;/D&gt;&lt;D xsi:type="xsd:long"&gt;40429&lt;/D&gt;&lt;D xsi:type="xsd:long"&gt;40428&lt;/D&gt;&lt;D xsi:type="xsd:long"&gt;40424&lt;/D&gt;&lt;D xsi:type="xsd:long"&gt;40423&lt;/D&gt;&lt;D xsi:type="xsd:long"&gt;40422&lt;/D&gt;&lt;D xsi:type="xsd:long"&gt;40421&lt;/D&gt;&lt;D xsi:type="xsd:long"&gt;40420&lt;/D&gt;&lt;D xsi:type="xsd:long"&gt;40417&lt;/D&gt;&lt;D xsi:type="xsd:long"&gt;40416&lt;/D&gt;&lt;D xsi:type="xsd:long"&gt;40415&lt;/D&gt;&lt;D xsi:type="xsd:long"&gt;40414&lt;/D&gt;&lt;D xsi:type="xsd:long"&gt;40413&lt;/D&gt;&lt;D xsi:type="xsd:long"&gt;40410&lt;/D&gt;&lt;D xsi:type="xsd:long"&gt;40409&lt;/D&gt;&lt;D xsi:type="xsd:long"&gt;40408&lt;/D&gt;&lt;D xsi:type="xsd:long"&gt;40407&lt;/D&gt;&lt;D xsi:type="xsd:long"&gt;40406&lt;/D&gt;&lt;D xsi:type="xsd:long"&gt;40403&lt;/D&gt;&lt;D xsi:type="xsd:long"&gt;40402&lt;/D&gt;&lt;D xsi:type="xsd:long"&gt;40401&lt;/D&gt;&lt;D xsi:type="xsd:long"&gt;40400&lt;/D&gt;&lt;D xsi:type="xsd:long"&gt;40399&lt;/D&gt;&lt;D xsi:type="xsd:long"&gt;40396&lt;/D&gt;&lt;D xsi:type="xsd:long"&gt;40395&lt;/D&gt;&lt;D xsi:type="xsd:long"&gt;40394&lt;/D&gt;&lt;D xsi:type="xsd:long"&gt;40393&lt;/D&gt;&lt;D xsi:type="xsd:long"&gt;40392&lt;/D&gt;&lt;D xsi:type="xsd:long"&gt;40389&lt;/D&gt;&lt;D xsi:type="xsd:long"&gt;40388&lt;/D&gt;&lt;D xsi:type="xsd:long"&gt;40387&lt;/D&gt;&lt;D xsi:type="xsd:long"&gt;40386&lt;/D&gt;&lt;D xsi:type="xsd:long"&gt;40385&lt;/D&gt;&lt;D xsi:type="xsd:long"&gt;40382&lt;/D&gt;&lt;D xsi:type="xsd:long"&gt;40381&lt;/D&gt;&lt;D xsi:type="xsd:long"&gt;40380&lt;/D&gt;&lt;D xsi:type="xsd:long"&gt;40379&lt;/D&gt;&lt;D xsi:type="xsd:long"&gt;40378&lt;/D&gt;&lt;D xsi:type="xsd:long"&gt;40375&lt;/D&gt;&lt;D xsi:type="xsd:long"&gt;40374&lt;/D&gt;&lt;D xsi:type="xsd:long"&gt;40373&lt;/D&gt;&lt;D xsi:type="xsd:long"&gt;40372&lt;/D&gt;&lt;D xsi:type="xsd:long"&gt;40371&lt;/D&gt;&lt;D xsi:type="xsd:long"&gt;40368&lt;/D&gt;&lt;D xsi:type="xsd:long"&gt;40367&lt;/D&gt;&lt;D xsi:type="xsd:long"&gt;40366&lt;/D&gt;&lt;D xsi:type="xsd:long"&gt;40365&lt;/D&gt;&lt;D xsi:type="xsd:long"&gt;40361&lt;/D&gt;&lt;D xsi:type="xsd:long"&gt;40360&lt;/D&gt;&lt;D xsi:type="xsd:long"&gt;40359&lt;/D&gt;&lt;D xsi:type="xsd:long"&gt;40358&lt;/D&gt;&lt;D xsi:type="xsd:long"&gt;40357&lt;/D&gt;&lt;D xsi:type="xsd:long"&gt;40354&lt;/D&gt;&lt;D xsi:type="xsd:long"&gt;40353&lt;/D&gt;&lt;D xsi:type="xsd:long"&gt;40352&lt;/D&gt;&lt;D xsi:type="xsd:long"&gt;40351&lt;/D&gt;&lt;D xsi:type="xsd:long"&gt;40350&lt;/D&gt;&lt;D xsi:type="xsd:long"&gt;40347&lt;/D&gt;&lt;D xsi:type="xsd:long"&gt;40346&lt;/D&gt;&lt;D xsi:type="xsd:long"&gt;40345&lt;/D&gt;&lt;D xsi:type="xsd:long"&gt;40344&lt;/D&gt;&lt;D xsi:type="xsd:long"&gt;40343&lt;/D&gt;&lt;D xsi:type="xsd:long"&gt;40340&lt;/D&gt;&lt;D xsi:type="xsd:long"&gt;40339&lt;/D&gt;&lt;D xsi:type="xsd:long"&gt;40338&lt;/D&gt;&lt;D xsi:type="xsd:long"&gt;40337&lt;/D&gt;&lt;D xsi:type="xsd:long"&gt;40336&lt;/D&gt;&lt;D xsi:type="xsd:long"&gt;40333&lt;/D&gt;&lt;D xsi:type="xsd:long"&gt;40332&lt;/D&gt;&lt;D xsi:type="xsd:long"&gt;40331&lt;/D&gt;&lt;D xsi:type="xsd:long"&gt;40330&lt;/D&gt;&lt;D xsi:type="xsd:long"&gt;40326&lt;/D&gt;&lt;D xsi:type="xsd:long"&gt;40325&lt;/D&gt;&lt;D xsi:type="xsd:long"&gt;40324&lt;/D&gt;&lt;D xsi:type="xsd:long"&gt;40323&lt;/D&gt;&lt;D xsi:type="xsd:long"&gt;40322&lt;/D&gt;&lt;D xsi:type="xsd:long"&gt;40319&lt;/D&gt;&lt;D xsi:type="xsd:long"&gt;40318&lt;/D&gt;&lt;D xsi:type="xsd:long"&gt;40317&lt;/D&gt;&lt;D xsi:type="xsd:long"&gt;40316&lt;/D&gt;&lt;D xsi:type="xsd:long"&gt;40315&lt;/D&gt;&lt;D xsi:type="xsd:long"&gt;40312&lt;/D&gt;&lt;D xsi:type="xsd:long"&gt;40311&lt;/D&gt;&lt;D xsi:type="xsd:long"&gt;40310&lt;/D&gt;&lt;D xsi:type="xsd:long"&gt;40309&lt;/D&gt;&lt;D xsi:type="xsd:long"&gt;40308&lt;/D&gt;&lt;D xsi:type="xsd:long"&gt;40305&lt;/D&gt;&lt;D xsi:type="xsd:long"&gt;40304&lt;/D&gt;&lt;D xsi:type="xsd:long"&gt;40303&lt;/D&gt;&lt;D xsi:type="xsd:long"&gt;40302&lt;/D&gt;&lt;D xsi:type="xsd:long"&gt;40301&lt;/D&gt;&lt;D xsi:type="xsd:long"&gt;40298&lt;/D&gt;&lt;D xsi:type="xsd:long"&gt;40297&lt;/D&gt;&lt;D xsi:type="xsd:long"&gt;40296&lt;/D&gt;&lt;D xsi:type="xsd:long"&gt;40295&lt;/D&gt;&lt;D xsi:type="xsd:long"&gt;40294&lt;/D&gt;&lt;D xsi:type="xsd:long"&gt;40291&lt;/D&gt;&lt;D xsi:type="xsd:long"&gt;40290&lt;/D&gt;&lt;D xsi:type="xsd:long"&gt;40289&lt;/D&gt;&lt;D xsi:type="xsd:long"&gt;40288&lt;/D&gt;&lt;D xsi:type="xsd:long"&gt;40287&lt;/D&gt;&lt;D xsi:type="xsd:long"&gt;40284&lt;/D&gt;&lt;D xsi:type="xsd:long"&gt;40283&lt;/D&gt;&lt;D xsi:type="xsd:long"&gt;40282&lt;/D&gt;&lt;D xsi:type="xsd:long"&gt;40281&lt;/D&gt;&lt;D xsi:type="xsd:long"&gt;40280&lt;/D&gt;&lt;D xsi:type="xsd:long"&gt;40277&lt;/D&gt;&lt;D xsi:type="xsd:long"&gt;40276&lt;/D&gt;&lt;D xsi:type="xsd:long"&gt;40275&lt;/D&gt;&lt;D xsi:type="xsd:long"&gt;40274&lt;/D&gt;&lt;D xsi:type="xsd:long"&gt;40273&lt;/D&gt;&lt;D xsi:type="xsd:long"&gt;40269&lt;/D&gt;&lt;D xsi:type="xsd:long"&gt;40268&lt;/D&gt;&lt;D xsi:type="xsd:long"&gt;40267&lt;/D&gt;&lt;D xsi:type="xsd:long"&gt;40266&lt;/D&gt;&lt;D xsi:type="xsd:long"&gt;40263&lt;/D&gt;&lt;D xsi:type="xsd:long"&gt;40262&lt;/D&gt;&lt;D xsi:type="xsd:long"&gt;40261&lt;/D&gt;&lt;D xsi:type="xsd:long"&gt;40260&lt;/D&gt;&lt;D xsi:type="xsd:long"&gt;40259&lt;/D&gt;&lt;D xsi:type="xsd:long"&gt;40256&lt;/D&gt;&lt;D xsi:type="xsd:long"&gt;40255&lt;/D&gt;&lt;D xsi:type="xsd:long"&gt;40254&lt;/D&gt;&lt;D xsi:type="xsd:long"&gt;40253&lt;/D&gt;&lt;D xsi:type="xsd:long"&gt;40252&lt;/D&gt;&lt;D xsi:type="xsd:long"&gt;40249&lt;/D&gt;&lt;D xsi:type="xsd:long"&gt;40248&lt;/D&gt;&lt;D xsi:type="xsd:long"&gt;40247&lt;/D&gt;&lt;D xsi:type="xsd:long"&gt;40246&lt;/D&gt;&lt;D xsi:type="xsd:long"&gt;40245&lt;/D&gt;&lt;D xsi:type="xsd:long"&gt;40242&lt;/D&gt;&lt;D xsi:type="xsd:long"&gt;40241&lt;/D&gt;&lt;D xsi:type="xsd:long"&gt;40240&lt;/D&gt;&lt;D xsi:type="xsd:long"&gt;40239&lt;/D&gt;&lt;D xsi:type="xsd:long"&gt;40238&lt;/D&gt;&lt;D xsi:type="xsd:long"&gt;40235&lt;/D&gt;&lt;D xsi:type="xsd:long"&gt;40234&lt;/D&gt;&lt;D xsi:type="xsd:long"&gt;40233&lt;/D&gt;&lt;D xsi:type="xsd:long"&gt;40232&lt;/D&gt;&lt;D xsi:type="xsd:long"&gt;40231&lt;/D&gt;&lt;D xsi:type="xsd:long"&gt;40228&lt;/D&gt;&lt;D xsi:type="xsd:long"&gt;40227&lt;/D&gt;&lt;D xsi:type="xsd:long"&gt;40226&lt;/D&gt;&lt;D xsi:type="xsd:long"&gt;40225&lt;/D&gt;&lt;D xsi:type="xsd:long"&gt;40221&lt;/D&gt;&lt;D xsi:type="xsd:long"&gt;40220&lt;/D&gt;&lt;D xsi:type="xsd:long"&gt;40219&lt;/D&gt;&lt;D xsi:type="xsd:long"&gt;40218&lt;/D&gt;&lt;D xsi:type="xsd:long"&gt;40217&lt;/D&gt;&lt;D xsi:type="xsd:long"&gt;40214&lt;/D&gt;&lt;D xsi:type="xsd:long"&gt;40213&lt;/D&gt;&lt;D xsi:type="xsd:long"&gt;40212&lt;/D&gt;&lt;D xsi:type="xsd:long"&gt;40211&lt;/D&gt;&lt;D xsi:type="xsd:long"&gt;40210&lt;/D&gt;&lt;D xsi:type="xsd:long"&gt;40207&lt;/D&gt;&lt;D xsi:type="xsd:long"&gt;40206&lt;/D&gt;&lt;D xsi:type="xsd:long"&gt;40205&lt;/D&gt;&lt;D xsi:type="xsd:long"&gt;40204&lt;/D&gt;&lt;D xsi:type="xsd:long"&gt;40203&lt;/D&gt;&lt;D xsi:type="xsd:long"&gt;40200&lt;/D&gt;&lt;D xsi:type="xsd:long"&gt;40199&lt;/D&gt;&lt;D xsi:type="xsd:long"&gt;40198&lt;/D&gt;&lt;D xsi:type="xsd:long"&gt;40197&lt;/D&gt;&lt;D xsi:type="xsd:long"&gt;40193&lt;/D&gt;&lt;D xsi:type="xsd:long"&gt;40192&lt;/D&gt;&lt;D xsi:type="xsd:long"&gt;40191&lt;/D&gt;&lt;D xsi:type="xsd:long"&gt;40190&lt;/D&gt;&lt;D xsi:type="xsd:long"&gt;40189&lt;/D&gt;&lt;D xsi:type="xsd:long"&gt;40186&lt;/D&gt;&lt;D xsi:type="xsd:long"&gt;40185&lt;/D&gt;&lt;D xsi:type="xsd:long"&gt;40184&lt;/D&gt;&lt;D xsi:type="xsd:long"&gt;40183&lt;/D&gt;&lt;D xsi:type="xsd:long"&gt;40182&lt;/D&gt;&lt;D xsi:type="xsd:long"&gt;40178&lt;/D&gt;&lt;D xsi:type="xsd:long"&gt;40177&lt;/D&gt;&lt;D xsi:type="xsd:long"&gt;40176&lt;/D&gt;&lt;D xsi:type="xsd:long"&gt;40175&lt;/D&gt;&lt;D xsi:type="xsd:long"&gt;40171&lt;/D&gt;&lt;D xsi:type="xsd:long"&gt;40170&lt;/D&gt;&lt;D xsi:type="xsd:long"&gt;40169&lt;/D&gt;&lt;D xsi:type="xsd:long"&gt;40168&lt;/D&gt;&lt;D xsi:type="xsd:long"&gt;40165&lt;/D&gt;&lt;D xsi:type="xsd:long"&gt;40164&lt;/D&gt;&lt;D xsi:type="xsd:long"&gt;40163&lt;/D&gt;&lt;D xsi:type="xsd:long"&gt;40162&lt;/D&gt;&lt;D xsi:type="xsd:long"&gt;40161&lt;/D&gt;&lt;D xsi:type="xsd:long"&gt;40158&lt;/D&gt;&lt;D xsi:type="xsd:long"&gt;40157&lt;/D&gt;&lt;D xsi:type="xsd:long"&gt;40156&lt;/D&gt;&lt;D xsi:type="xsd:long"&gt;40155&lt;/D&gt;&lt;D xsi:type="xsd:long"&gt;40154&lt;/D&gt;&lt;D xsi:type="xsd:long"&gt;40151&lt;/D&gt;&lt;D xsi:type="xsd:long"&gt;40150&lt;/D&gt;&lt;D xsi:type="xsd:long"&gt;40149&lt;/D&gt;&lt;D xsi:type="xsd:long"&gt;40148&lt;/D&gt;&lt;D xsi:type="xsd:long"&gt;40147&lt;/D&gt;&lt;D xsi:type="xsd:long"&gt;40144&lt;/D&gt;&lt;D xsi:type="xsd:long"&gt;40142&lt;/D&gt;&lt;D xsi:type="xsd:long"&gt;40141&lt;/D&gt;&lt;D xsi:type="xsd:long"&gt;40140&lt;/D&gt;&lt;D xsi:type="xsd:long"&gt;40137&lt;/D&gt;&lt;D xsi:type="xsd:long"&gt;40136&lt;/D&gt;&lt;D xsi:type="xsd:long"&gt;40135&lt;/D&gt;&lt;D xsi:type="xsd:long"&gt;40134&lt;/D&gt;&lt;D xsi:type="xsd:long"&gt;40133&lt;/D&gt;&lt;D xsi:type="xsd:long"&gt;40130&lt;/D&gt;&lt;D xsi:type="xsd:long"&gt;40129&lt;/D&gt;&lt;D xsi:type="xsd:long"&gt;40128&lt;/D&gt;&lt;D xsi:type="xsd:long"&gt;40127&lt;/D&gt;&lt;D xsi:type="xsd:long"&gt;40126&lt;/D&gt;&lt;D xsi:type="xsd:long"&gt;40123&lt;/D&gt;&lt;D xsi:type="xsd:long"&gt;40122&lt;/D&gt;&lt;D xsi:type="xsd:long"&gt;40121&lt;/D&gt;&lt;D xsi:type="xsd:long"&gt;40120&lt;/D&gt;&lt;D xsi:type="xsd:long"&gt;40119&lt;/D&gt;&lt;D xsi:type="xsd:long"&gt;40116&lt;/D&gt;&lt;D xsi:type="xsd:long"&gt;40115&lt;/D&gt;&lt;D xsi:type="xsd:long"&gt;40114&lt;/D&gt;&lt;D xsi:type="xsd:long"&gt;40113&lt;/D&gt;&lt;D xsi:type="xsd:long"&gt;40112&lt;/D&gt;&lt;D xsi:type="xsd:long"&gt;40109&lt;/D&gt;&lt;D xsi:type="xsd:long"&gt;40108&lt;/D&gt;&lt;D xsi:type="xsd:long"&gt;40107&lt;/D&gt;&lt;D xsi:type="xsd:long"&gt;40106&lt;/D&gt;&lt;D xsi:type="xsd:long"&gt;40105&lt;/D&gt;&lt;D xsi:type="xsd:long"&gt;40102&lt;/D&gt;&lt;D xsi:type="xsd:long"&gt;40101&lt;/D&gt;&lt;D xsi:type="xsd:long"&gt;40100&lt;/D&gt;&lt;D xsi:type="xsd:long"&gt;40099&lt;/D&gt;&lt;D xsi:type="xsd:long"&gt;40098&lt;/D&gt;&lt;D xsi:type="xsd:long"&gt;40095&lt;/D&gt;&lt;D xsi:type="xsd:long"&gt;40094&lt;/D&gt;&lt;D xsi:type="xsd:long"&gt;40093&lt;/D&gt;&lt;D xsi:type="xsd:long"&gt;40092&lt;/D&gt;&lt;D xsi:type="xsd:long"&gt;40091&lt;/D&gt;&lt;D xsi:type="xsd:long"&gt;40088&lt;/D&gt;&lt;D xsi:type="xsd:long"&gt;40087&lt;/D&gt;&lt;D xsi:type="xsd:long"&gt;40086&lt;/D&gt;&lt;D xsi:type="xsd:long"&gt;40085&lt;/D&gt;&lt;D xsi:type="xsd:long"&gt;40084&lt;/D&gt;&lt;D xsi:type="xsd:long"&gt;40081&lt;/D&gt;&lt;D xsi:type="xsd:long"&gt;40080&lt;/D&gt;&lt;D xsi:type="xsd:long"&gt;40079&lt;/D&gt;&lt;D xsi:type="xsd:long"&gt;40078&lt;/D&gt;&lt;D xsi:type="xsd:long"&gt;40077&lt;/D&gt;&lt;D xsi:type="xsd:long"&gt;40074&lt;/D&gt;&lt;D xsi:type="xsd:long"&gt;40073&lt;/D&gt;&lt;D xsi:type="xsd:long"&gt;40072&lt;/D&gt;&lt;D xsi:type="xsd:long"&gt;40071&lt;/D&gt;&lt;D xsi:type="xsd:long"&gt;40070&lt;/D&gt;&lt;D xsi:type="xsd:long"&gt;40067&lt;/D&gt;&lt;D xsi:type="xsd:long"&gt;40066&lt;/D&gt;&lt;D xsi:type="xsd:long"&gt;40065&lt;/D&gt;&lt;D xsi:type="xsd:long"&gt;40064&lt;/D&gt;&lt;D xsi:type="xsd:long"&gt;40060&lt;/D&gt;&lt;D xsi:type="xsd:long"&gt;40059&lt;/D&gt;&lt;D xsi:type="xsd:long"&gt;40058&lt;/D&gt;&lt;D xsi:type="xsd:long"&gt;40057&lt;/D&gt;&lt;D xsi:type="xsd:long"&gt;40056&lt;/D&gt;&lt;D xsi:type="xsd:long"&gt;40053&lt;/D&gt;&lt;D xsi:type="xsd:long"&gt;40052&lt;/D&gt;&lt;D xsi:type="xsd:long"&gt;40051&lt;/D&gt;&lt;D xsi:type="xsd:long"&gt;40050&lt;/D&gt;&lt;D xsi:type="xsd:long"&gt;40049&lt;/D&gt;&lt;D xsi:type="xsd:long"&gt;40046&lt;/D&gt;&lt;D xsi:type="xsd:long"&gt;40045&lt;/D&gt;&lt;D xsi:type="xsd:long"&gt;40044&lt;/D&gt;&lt;D xsi:type="xsd:long"&gt;40043&lt;/D&gt;&lt;D xsi:type="xsd:long"&gt;40042&lt;/D&gt;&lt;D xsi:type="xsd:long"&gt;40039&lt;/D&gt;&lt;D xsi:type="xsd:long"&gt;40038&lt;/D&gt;&lt;D xsi:type="xsd:long"&gt;40037&lt;/D&gt;&lt;D xsi:type="xsd:long"&gt;40036&lt;/D&gt;&lt;D xsi:type="xsd:long"&gt;40035&lt;/D&gt;&lt;D xsi:type="xsd:long"&gt;40032&lt;/D&gt;&lt;D xsi:type="xsd:long"&gt;40031&lt;/D&gt;&lt;D xsi:type="xsd:long"&gt;40030&lt;/D&gt;&lt;D xsi:type="xsd:long"&gt;40029&lt;/D&gt;&lt;D xsi:type="xsd:long"&gt;40028&lt;/D&gt;&lt;D xsi:type="xsd:long"&gt;40025&lt;/D&gt;&lt;D xsi:type="xsd:long"&gt;40024&lt;/D&gt;&lt;D xsi:type="xsd:long"&gt;40023&lt;/D&gt;&lt;D xsi:type="xsd:long"&gt;40022&lt;/D&gt;&lt;D xsi:type="xsd:long"&gt;40021&lt;/D&gt;&lt;D xsi:type="xsd:long"&gt;40018&lt;/D&gt;&lt;D xsi:type="xsd:long"&gt;40017&lt;/D&gt;&lt;D xsi:type="xsd:long"&gt;40016&lt;/D&gt;&lt;D xsi:type="xsd:long"&gt;40015&lt;/D&gt;&lt;D xsi:type="xsd:long"&gt;40014&lt;/D&gt;&lt;D xsi:type="xsd:long"&gt;40011&lt;/D&gt;&lt;D xsi:type="xsd:long"&gt;40010&lt;/D&gt;&lt;D xsi:type="xsd:long"&gt;40009&lt;/D&gt;&lt;D xsi:type="xsd:long"&gt;40008&lt;/D&gt;&lt;D xsi:type="xsd:long"&gt;40007&lt;/D&gt;&lt;D xsi:type="xsd:long"&gt;40004&lt;/D&gt;&lt;D xsi:type="xsd:long"&gt;40003&lt;/D&gt;&lt;D xsi:type="xsd:long"&gt;40002&lt;/D&gt;&lt;D xsi:type="xsd:long"&gt;40001&lt;/D&gt;&lt;D xsi:type="xsd:long"&gt;40000&lt;/D&gt;&lt;D xsi:type="xsd:long"&gt;39996&lt;/D&gt;&lt;D xsi:type="xsd:long"&gt;39995&lt;/D&gt;&lt;D xsi:type="xsd:long"&gt;39994&lt;/D&gt;&lt;D xsi:type="xsd:long"&gt;39993&lt;/D&gt;&lt;D xsi:type="xsd:long"&gt;39990&lt;/D&gt;&lt;D xsi:type="xsd:long"&gt;39989&lt;/D&gt;&lt;D xsi:type="xsd:long"&gt;39988&lt;/D&gt;&lt;D xsi:type="xsd:long"&gt;39987&lt;/D&gt;&lt;D xsi:type="xsd:long"&gt;39986&lt;/D&gt;&lt;D xsi:type="xsd:long"&gt;39983&lt;/D&gt;&lt;D xsi:type="xsd:long"&gt;39982&lt;/D&gt;&lt;D xsi:type="xsd:long"&gt;39981&lt;/D&gt;&lt;D xsi:type="xsd:long"&gt;39980&lt;/D&gt;&lt;D xsi:type="xsd:long"&gt;39979&lt;/D&gt;&lt;D xsi:type="xsd:long"&gt;39976&lt;/D&gt;&lt;D xsi:type="xsd:long"&gt;39975&lt;/D&gt;&lt;D xsi:type="xsd:long"&gt;39974&lt;/D&gt;&lt;D xsi:type="xsd:long"&gt;39973&lt;/D&gt;&lt;D xsi:type="xsd:long"&gt;39972&lt;/D&gt;&lt;D xsi:type="xsd:long"&gt;39969&lt;/D&gt;&lt;D xsi:type="xsd:long"&gt;39968&lt;/D&gt;&lt;D xsi:type="xsd:long"&gt;39967&lt;/D&gt;&lt;D xsi:type="xsd:long"&gt;39966&lt;/D&gt;&lt;D xsi:type="xsd:long"&gt;39965&lt;/D&gt;&lt;D xsi:type="xsd:long"&gt;39962&lt;/D&gt;&lt;D xsi:type="xsd:long"&gt;39961&lt;/D&gt;&lt;D xsi:type="xsd:long"&gt;39960&lt;/D&gt;&lt;D xsi:type="xsd:long"&gt;39959&lt;/D&gt;&lt;D xsi:type="xsd:long"&gt;39955&lt;/D&gt;&lt;D xsi:type="xsd:long"&gt;39954&lt;/D&gt;&lt;D xsi:type="xsd:long"&gt;39953&lt;/D&gt;&lt;D xsi:type="xsd:long"&gt;39952&lt;/D&gt;&lt;D xsi:type="xsd:long"&gt;39951&lt;/D&gt;&lt;D xsi:type="xsd:long"&gt;39948&lt;/D&gt;&lt;D xsi:type="xsd:long"&gt;39947&lt;/D&gt;&lt;D xsi:type="xsd:long"&gt;39946&lt;/D&gt;&lt;D xsi:type="xsd:long"&gt;39945&lt;/D&gt;&lt;D xsi:type="xsd:long"&gt;39944&lt;/D&gt;&lt;D xsi:type="xsd:long"&gt;39941&lt;/D&gt;&lt;D xsi:type="xsd:long"&gt;39940&lt;/D&gt;&lt;D xsi:type="xsd:long"&gt;39939&lt;/D&gt;&lt;D xsi:type="xsd:long"&gt;39938&lt;/D&gt;&lt;D xsi:type="xsd:long"&gt;39937&lt;/D&gt;&lt;D xsi:type="xsd:long"&gt;39934&lt;/D&gt;&lt;D xsi:type="xsd:long"&gt;39933&lt;/D&gt;&lt;D xsi:type="xsd:long"&gt;39932&lt;/D&gt;&lt;D xsi:type="xsd:long"&gt;39931&lt;/D&gt;&lt;D xsi:type="xsd:long"&gt;39930&lt;/D&gt;&lt;D xsi:type="xsd:long"&gt;39927&lt;/D&gt;&lt;D xsi:type="xsd:long"&gt;39926&lt;/D&gt;&lt;D xsi:type="xsd:long"&gt;39925&lt;/D&gt;&lt;D xsi:type="xsd:long"&gt;39924&lt;/D&gt;&lt;D xsi:type="xsd:long"&gt;39923&lt;/D&gt;&lt;D xsi:type="xsd:long"&gt;39920&lt;/D&gt;&lt;D xsi:type="xsd:long"&gt;39919&lt;/D&gt;&lt;D xsi:type="xsd:long"&gt;39918&lt;/D&gt;&lt;D xsi:type="xsd:long"&gt;39917&lt;/D&gt;&lt;D xsi:type="xsd:long"&gt;39916&lt;/D&gt;&lt;D xsi:type="xsd:long"&gt;39912&lt;/D&gt;&lt;D xsi:type="xsd:long"&gt;39911&lt;/D&gt;&lt;D xsi:type="xsd:long"&gt;39910&lt;/D&gt;&lt;D xsi:type="xsd:long"&gt;39909&lt;/D&gt;&lt;D xsi:type="xsd:long"&gt;39906&lt;/D&gt;&lt;D xsi:type="xsd:long"&gt;39905&lt;/D&gt;&lt;D xsi:type="xsd:long"&gt;39904&lt;/D&gt;&lt;D xsi:type="xsd:long"&gt;39903&lt;/D&gt;&lt;D xsi:type="xsd:long"&gt;39902&lt;/D&gt;&lt;D xsi:type="xsd:long"&gt;39899&lt;/D&gt;&lt;D xsi:type="xsd:long"&gt;39898&lt;/D&gt;&lt;D xsi:type="xsd:long"&gt;39897&lt;/D&gt;&lt;D xsi:type="xsd:long"&gt;39896&lt;/D&gt;&lt;D xsi:type="xsd:long"&gt;39895&lt;/D&gt;&lt;D xsi:type="xsd:long"&gt;39892&lt;/D&gt;&lt;D xsi:type="xsd:long"&gt;39891&lt;/D&gt;&lt;D xsi:type="xsd:long"&gt;39890&lt;/D&gt;&lt;D xsi:type="xsd:long"&gt;39889&lt;/D&gt;&lt;D xsi:type="xsd:long"&gt;39888&lt;/D&gt;&lt;D xsi:type="xsd:long"&gt;39885&lt;/D&gt;&lt;D xsi:type="xsd:long"&gt;39884&lt;/D&gt;&lt;D xsi:type="xsd:long"&gt;39883&lt;/D&gt;&lt;D xsi:type="xsd:long"&gt;39882&lt;/D&gt;&lt;D xsi:type="xsd:long"&gt;39881&lt;/D&gt;&lt;D xsi:type="xsd:long"&gt;39878&lt;/D&gt;&lt;D xsi:type="xsd:long"&gt;39877&lt;/D&gt;&lt;D xsi:type="xsd:long"&gt;39876&lt;/D&gt;&lt;D xsi:type="xsd:long"&gt;39875&lt;/D&gt;&lt;D xsi:type="xsd:long"&gt;39874&lt;/D&gt;&lt;D xsi:type="xsd:long"&gt;39871&lt;/D&gt;&lt;D xsi:type="xsd:long"&gt;39870&lt;/D&gt;&lt;D xsi:type="xsd:long"&gt;39869&lt;/D&gt;&lt;D xsi:type="xsd:long"&gt;39868&lt;/D&gt;&lt;D xsi:type="xsd:long"&gt;39867&lt;/D&gt;&lt;D xsi:type="xsd:long"&gt;39864&lt;/D&gt;&lt;D xsi:type="xsd:long"&gt;39863&lt;/D&gt;&lt;D xsi:type="xsd:long"&gt;39862&lt;/D&gt;&lt;D xsi:type="xsd:long"&gt;39861&lt;/D&gt;&lt;D xsi:type="xsd:long"&gt;39857&lt;/D&gt;&lt;D xsi:type="xsd:long"&gt;39856&lt;/D&gt;&lt;D xsi:type="xsd:long"&gt;39855&lt;/D&gt;&lt;D xsi:type="xsd:long"&gt;39854&lt;/D&gt;&lt;D xsi:type="xsd:long"&gt;39853&lt;/D&gt;&lt;D xsi:type="xsd:long"&gt;39850&lt;/D&gt;&lt;D xsi:type="xsd:long"&gt;39849&lt;/D&gt;&lt;D xsi:type="xsd:long"&gt;39848&lt;/D&gt;&lt;D xsi:type="xsd:long"&gt;39847&lt;/D&gt;&lt;D xsi:type="xsd:long"&gt;39846&lt;/D&gt;&lt;D xsi:type="xsd:long"&gt;39843&lt;/D&gt;&lt;D xsi:type="xsd:long"&gt;39842&lt;/D&gt;&lt;D xsi:type="xsd:long"&gt;39841&lt;/D&gt;&lt;D xsi:type="xsd:long"&gt;39840&lt;/D&gt;&lt;D xsi:type="xsd:long"&gt;39839&lt;/D&gt;&lt;D xsi:type="xsd:long"&gt;39836&lt;/D&gt;&lt;D xsi:type="xsd:long"&gt;39835&lt;/D&gt;&lt;D xsi:type="xsd:long"&gt;39834&lt;/D&gt;&lt;D xsi:type="xsd:long"&gt;39833&lt;/D&gt;&lt;D xsi:type="xsd:long"&gt;39829&lt;/D&gt;&lt;D xsi:type="xsd:long"&gt;39828&lt;/D&gt;&lt;D xsi:type="xsd:long"&gt;39827&lt;/D&gt;&lt;D xsi:type="xsd:long"&gt;39826&lt;/D&gt;&lt;D xsi:type="xsd:long"&gt;39825&lt;/D&gt;&lt;D xsi:type="xsd:long"&gt;39822&lt;/D&gt;&lt;D xsi:type="xsd:long"&gt;39821&lt;/D&gt;&lt;D xsi:type="xsd:long"&gt;39820&lt;/D&gt;&lt;D xsi:type="xsd:long"&gt;39819&lt;/D&gt;&lt;D xsi:type="xsd:long"&gt;39818&lt;/D&gt;&lt;D xsi:type="xsd:long"&gt;39815&lt;/D&gt;&lt;D xsi:type="xsd:long"&gt;39813&lt;/D&gt;&lt;D xsi:type="xsd:long"&gt;39812&lt;/D&gt;&lt;D xsi:type="xsd:long"&gt;39811&lt;/D&gt;&lt;D xsi:type="xsd:long"&gt;39808&lt;/D&gt;&lt;D xsi:type="xsd:long"&gt;39806&lt;/D&gt;&lt;D xsi:type="xsd:long"&gt;39805&lt;/D&gt;&lt;D xsi:type="xsd:long"&gt;39804&lt;/D&gt;&lt;D xsi:type="xsd:long"&gt;39801&lt;/D&gt;&lt;D xsi:type="xsd:long"&gt;39800&lt;/D&gt;&lt;D xsi:type="xsd:long"&gt;39799&lt;/D&gt;&lt;D xsi:type="xsd:long"&gt;39798&lt;/D&gt;&lt;D xsi:type="xsd:long"&gt;39797&lt;/D&gt;&lt;D xsi:type="xsd:long"&gt;39794&lt;/D&gt;&lt;D xsi:type="xsd:long"&gt;39793&lt;/D&gt;&lt;D xsi:type="xsd:long"&gt;39792&lt;/D&gt;&lt;D xsi:type="xsd:long"&gt;39791&lt;/D&gt;&lt;D xsi:type="xsd:long"&gt;39790&lt;/D&gt;&lt;D xsi:type="xsd:long"&gt;39787&lt;/D&gt;&lt;D xsi:type="xsd:long"&gt;39786&lt;/D&gt;&lt;D xsi:type="xsd:long"&gt;39785&lt;/D&gt;&lt;D xsi:type="xsd:long"&gt;39784&lt;/D&gt;&lt;D xsi:type="xsd:long"&gt;39783&lt;/D&gt;&lt;D xsi:type="xsd:long"&gt;39780&lt;/D&gt;&lt;D xsi:type="xsd:long"&gt;39778&lt;/D&gt;&lt;D xsi:type="xsd:long"&gt;39777&lt;/D&gt;&lt;D xsi:type="xsd:long"&gt;39776&lt;/D&gt;&lt;D xsi:type="xsd:long"&gt;39773&lt;/D&gt;&lt;D xsi:type="xsd:long"&gt;39772&lt;/D&gt;&lt;D xsi:type="xsd:long"&gt;39771&lt;/D&gt;&lt;D xsi:type="xsd:long"&gt;39770&lt;/D&gt;&lt;D xsi:type="xsd:long"&gt;39769&lt;/D&gt;&lt;D xsi:type="xsd:long"&gt;39766&lt;/D&gt;&lt;D xsi:type="xsd:long"&gt;39765&lt;/D&gt;&lt;D xsi:type="xsd:long"&gt;39764&lt;/D&gt;&lt;D xsi:type="xsd:long"&gt;39763&lt;/D&gt;&lt;D xsi:type="xsd:long"&gt;39762&lt;/D&gt;&lt;D xsi:type="xsd:long"&gt;39759&lt;/D&gt;&lt;D xsi:type="xsd:long"&gt;39758&lt;/D&gt;&lt;D xsi:type="xsd:long"&gt;39757&lt;/D&gt;&lt;D xsi:type="xsd:long"&gt;39756&lt;/D&gt;&lt;D xsi:type="xsd:long"&gt;39755&lt;/D&gt;&lt;D xsi:type="xsd:long"&gt;39752&lt;/D&gt;&lt;D xsi:type="xsd:long"&gt;39751&lt;/D&gt;&lt;D xsi:type="xsd:long"&gt;39750&lt;/D&gt;&lt;D xsi:type="xsd:long"&gt;39749&lt;/D&gt;&lt;D xsi:type="xsd:long"&gt;39748&lt;/D&gt;&lt;D xsi:type="xsd:long"&gt;39745&lt;/D&gt;&lt;D xsi:type="xsd:long"&gt;39744&lt;/D&gt;&lt;D xsi:type="xsd:long"&gt;39743&lt;/D&gt;&lt;D xsi:type="xsd:long"&gt;39742&lt;/D&gt;&lt;D xsi:type="xsd:long"&gt;39741&lt;/D&gt;&lt;D xsi:type="xsd:long"&gt;39738&lt;/D&gt;&lt;D xsi:type="xsd:long"&gt;39737&lt;/D&gt;&lt;D xsi:type="xsd:long"&gt;39736&lt;/D&gt;&lt;D xsi:type="xsd:long"&gt;39735&lt;/D&gt;&lt;D xsi:type="xsd:long"&gt;39734&lt;/D&gt;&lt;D xsi:type="xsd:long"&gt;39731&lt;/D&gt;&lt;D xsi:type="xsd:long"&gt;39730&lt;/D&gt;&lt;D xsi:type="xsd:long"&gt;39729&lt;/D&gt;&lt;D xsi:type="xsd:long"&gt;39728&lt;/D&gt;&lt;D xsi:type="xsd:long"&gt;39727&lt;/D&gt;&lt;D xsi:type="xsd:long"&gt;39724&lt;/D&gt;&lt;D xsi:type="xsd:long"&gt;39723&lt;/D&gt;&lt;D xsi:type="xsd:long"&gt;39722&lt;/D&gt;&lt;D xsi:type="xsd:long"&gt;39721&lt;/D&gt;&lt;D xsi:type="xsd:long"&gt;39720&lt;/D&gt;&lt;D xsi:type="xsd:long"&gt;39717&lt;/D&gt;&lt;D xsi:type="xsd:long"&gt;39716&lt;/D&gt;&lt;D xsi:type="xsd:long"&gt;39715&lt;/D&gt;&lt;D xsi:type="xsd:long"&gt;39714&lt;/D&gt;&lt;D xsi:type="xsd:long"&gt;39713&lt;/D&gt;&lt;D xsi:type="xsd:long"&gt;39710&lt;/D&gt;&lt;D xsi:type="xsd:long"&gt;39709&lt;/D&gt;&lt;D xsi:type="xsd:long"&gt;39708&lt;/D&gt;&lt;D xsi:type="xsd:long"&gt;39707&lt;/D&gt;&lt;D xsi:type="xsd:long"&gt;39706&lt;/D&gt;&lt;D xsi:type="xsd:long"&gt;39703&lt;/D&gt;&lt;D xsi:type="xsd:long"&gt;39702&lt;/D&gt;&lt;D xsi:type="xsd:long"&gt;39701&lt;/D&gt;&lt;D xsi:type="xsd:long"&gt;39700&lt;/D&gt;&lt;D xsi:type="xsd:long"&gt;39699&lt;/D&gt;&lt;D xsi:type="xsd:long"&gt;39696&lt;/D&gt;&lt;D xsi:type="xsd:long"&gt;39695&lt;/D&gt;&lt;D xsi:type="xsd:long"&gt;39694&lt;/D&gt;&lt;D xsi:type="xsd:long"&gt;39693&lt;/D&gt;&lt;D xsi:type="xsd:long"&gt;39689&lt;/D&gt;&lt;D xsi:type="xsd:long"&gt;39688&lt;/D&gt;&lt;D xsi:type="xsd:long"&gt;39687&lt;/D&gt;&lt;D xsi:type="xsd:long"&gt;39686&lt;/D&gt;&lt;D xsi:type="xsd:long"&gt;39685&lt;/D&gt;&lt;D xsi:type="xsd:long"&gt;39682&lt;/D&gt;&lt;D xsi:type="xsd:long"&gt;39681&lt;/D&gt;&lt;D xsi:type="xsd:long"&gt;39680&lt;/D&gt;&lt;D xsi:type="xsd:long"&gt;39679&lt;/D&gt;&lt;D xsi:type="xsd:long"&gt;39678&lt;/D&gt;&lt;D xsi:type="xsd:long"&gt;39675&lt;/D&gt;&lt;D xsi:type="xsd:long"&gt;39674&lt;/D&gt;&lt;D xsi:type="xsd:long"&gt;39673&lt;/D&gt;&lt;D xsi:type="xsd:long"&gt;39672&lt;/D&gt;&lt;D xsi:type="xsd:long"&gt;39671&lt;/D&gt;&lt;D xsi:type="xsd:long"&gt;39668&lt;/D&gt;&lt;D xsi:type="xsd:long"&gt;39667&lt;/D&gt;&lt;D xsi:type="xsd:long"&gt;39666&lt;/D&gt;&lt;D xsi:type="xsd:long"&gt;39665&lt;/D&gt;&lt;D xsi:type="xsd:long"&gt;39664&lt;/D&gt;&lt;D xsi:type="xsd:long"&gt;39661&lt;/D&gt;&lt;D xsi:type="xsd:long"&gt;39660&lt;/D&gt;&lt;D xsi:type="xsd:long"&gt;39659&lt;/D&gt;&lt;D xsi:type="xsd:long"&gt;39658&lt;/D&gt;&lt;D xsi:type="xsd:long"&gt;39657&lt;/D&gt;&lt;D xsi:type="xsd:long"&gt;39654&lt;/D&gt;&lt;D xsi:type="xsd:long"&gt;39653&lt;/D&gt;&lt;D xsi:type="xsd:long"&gt;39652&lt;/D&gt;&lt;D xsi:type="xsd:long"&gt;39651&lt;/D&gt;&lt;D xsi:type="xsd:long"&gt;39650&lt;/D&gt;&lt;D xsi:type="xsd:long"&gt;39647&lt;/D&gt;&lt;D xsi:type="xsd:long"&gt;39646&lt;/D&gt;&lt;D xsi:type="xsd:long"&gt;39645&lt;/D&gt;&lt;D xsi:type="xsd:long"&gt;39644&lt;/D&gt;&lt;D xsi:type="xsd:long"&gt;39643&lt;/D&gt;&lt;D xsi:type="xsd:long"&gt;39640&lt;/D&gt;&lt;D xsi:type="xsd:long"&gt;39639&lt;/D&gt;&lt;D xsi:type="xsd:long"&gt;39638&lt;/D&gt;&lt;D xsi:type="xsd:long"&gt;39637&lt;/D&gt;&lt;D xsi:type="xsd:long"&gt;39636&lt;/D&gt;&lt;D xsi:type="xsd:long"&gt;39632&lt;/D&gt;&lt;D xsi:type="xsd:long"&gt;39631&lt;/D&gt;&lt;D xsi:type="xsd:long"&gt;39630&lt;/D&gt;&lt;D xsi:type="xsd:long"&gt;39629&lt;/D&gt;&lt;D xsi:type="xsd:long"&gt;39626&lt;/D&gt;&lt;D xsi:type="xsd:long"&gt;39625&lt;/D&gt;&lt;D xsi:type="xsd:long"&gt;39624&lt;/D&gt;&lt;D xsi:type="xsd:long"&gt;39623&lt;/D&gt;&lt;D xsi:type="xsd:long"&gt;39622&lt;/D&gt;&lt;D xsi:type="xsd:long"&gt;39619&lt;/D&gt;&lt;D xsi:type="xsd:long"&gt;39618&lt;/D&gt;&lt;D xsi:type="xsd:long"&gt;39617&lt;/D&gt;&lt;D xsi:type="xsd:long"&gt;39616&lt;/D&gt;&lt;D xsi:type="xsd:long"&gt;39615&lt;/D&gt;&lt;D xsi:type="xsd:long"&gt;39612&lt;/D&gt;&lt;D xsi:type="xsd:long"&gt;39611&lt;/D&gt;&lt;D xsi:type="xsd:long"&gt;39610&lt;/D&gt;&lt;D xsi:type="xsd:long"&gt;39609&lt;/D&gt;&lt;D xsi:type="xsd:long"&gt;39608&lt;/D&gt;&lt;D xsi:type="xsd:long"&gt;39605&lt;/D&gt;&lt;D xsi:type="xsd:long"&gt;39604&lt;/D&gt;&lt;D xsi:type="xsd:long"&gt;39603&lt;/D&gt;&lt;D xsi:type="xsd:long"&gt;39602&lt;/D&gt;&lt;D xsi:type="xsd:long"&gt;39601&lt;/D&gt;&lt;D xsi:type="xsd:long"&gt;39598&lt;/D&gt;&lt;D xsi:type="xsd:long"&gt;39597&lt;/D&gt;&lt;D xsi:type="xsd:long"&gt;39596&lt;/D&gt;&lt;D xsi:type="xsd:long"&gt;39595&lt;/D&gt;&lt;D xsi:type="xsd:long"&gt;39591&lt;/D&gt;&lt;D xsi:type="xsd:long"&gt;39590&lt;/D&gt;&lt;D xsi:type="xsd:long"&gt;39589&lt;/D&gt;&lt;D xsi:type="xsd:long"&gt;39588&lt;/D&gt;&lt;D xsi:type="xsd:long"&gt;39587&lt;/D&gt;&lt;D xsi:type="xsd:long"&gt;39584&lt;/D&gt;&lt;D xsi:type="xsd:long"&gt;39583&lt;/D&gt;&lt;D xsi:type="xsd:long"&gt;39582&lt;/D&gt;&lt;D xsi:type="xsd:long"&gt;39581&lt;/D&gt;&lt;D xsi:type="xsd:long"&gt;39580&lt;/D&gt;&lt;D xsi:type="xsd:long"&gt;39577&lt;/D&gt;&lt;D xsi:type="xsd:long"&gt;39576&lt;/D&gt;&lt;D xsi:type="xsd:long"&gt;39575&lt;/D&gt;&lt;D xsi:type="xsd:long"&gt;39574&lt;/D&gt;&lt;D xsi:type="xsd:long"&gt;39573&lt;/D&gt;&lt;D xsi:type="xsd:long"&gt;39570&lt;/D&gt;&lt;D xsi:type="xsd:long"&gt;39569&lt;/D&gt;&lt;D xsi:type="xsd:long"&gt;39568&lt;/D&gt;&lt;D xsi:type="xsd:long"&gt;39567&lt;/D&gt;&lt;D xsi:type="xsd:long"&gt;39566&lt;/D&gt;&lt;D xsi:type="xsd:long"&gt;39563&lt;/D&gt;&lt;D xsi:type="xsd:long"&gt;39562&lt;/D&gt;&lt;D xsi:type="xsd:long"&gt;39561&lt;/D&gt;&lt;D xsi:type="xsd:long"&gt;39560&lt;/D&gt;&lt;D xsi:type="xsd:long"&gt;39559&lt;/D&gt;&lt;D xsi:type="xsd:long"&gt;39556&lt;/D&gt;&lt;D xsi:type="xsd:long"&gt;39555&lt;/D&gt;&lt;D xsi:type="xsd:long"&gt;39554&lt;/D&gt;&lt;D xsi:type="xsd:long"&gt;39553&lt;/D&gt;&lt;D xsi:type="xsd:long"&gt;39552&lt;/D&gt;&lt;D xsi:type="xsd:long"&gt;39549&lt;/D&gt;&lt;D xsi:type="xsd:long"&gt;39548&lt;/D&gt;&lt;D xsi:type="xsd:long"&gt;39547&lt;/D&gt;&lt;D xsi:type="xsd:long"&gt;39546&lt;/D&gt;&lt;D xsi:type="xsd:long"&gt;39545&lt;/D&gt;&lt;D xsi:type="xsd:long"&gt;39542&lt;/D&gt;&lt;D xsi:type="xsd:long"&gt;39541&lt;/D&gt;&lt;D xsi:type="xsd:long"&gt;39540&lt;/D&gt;&lt;D xsi:type="xsd:long"&gt;39539&lt;/D&gt;&lt;D xsi:type="xsd:long"&gt;39538&lt;/D&gt;&lt;D xsi:type="xsd:long"&gt;39535&lt;/D&gt;&lt;D xsi:type="xsd:long"&gt;39534&lt;/D&gt;&lt;D xsi:type="xsd:long"&gt;39533&lt;/D&gt;&lt;D xsi:type="xsd:long"&gt;39532&lt;/D&gt;&lt;D xsi:type="xsd:long"&gt;39531&lt;/D&gt;&lt;D xsi:type="xsd:long"&gt;39527&lt;/D&gt;&lt;D xsi:type="xsd:long"&gt;39526&lt;/D&gt;&lt;D xsi:type="xsd:long"&gt;39525&lt;/D&gt;&lt;D xsi:type="xsd:long"&gt;39524&lt;/D&gt;&lt;D xsi:type="xsd:long"&gt;39521&lt;/D&gt;&lt;D xsi:type="xsd:long"&gt;39520&lt;/D&gt;&lt;D xsi:type="xsd:long"&gt;39519&lt;/D&gt;&lt;D xsi:type="xsd:long"&gt;39518&lt;/D&gt;&lt;D xsi:type="xsd:long"&gt;39517&lt;/D&gt;&lt;D xsi:type="xsd:long"&gt;39514&lt;/D&gt;&lt;D xsi:type="xsd:long"&gt;39513&lt;/D&gt;&lt;D xsi:type="xsd:long"&gt;39512&lt;/D&gt;&lt;D xsi:type="xsd:long"&gt;39511&lt;/D&gt;&lt;D xsi:type="xsd:long"&gt;39510&lt;/D&gt;&lt;D xsi:type="xsd:long"&gt;39507&lt;/D&gt;&lt;D xsi:type="xsd:long"&gt;39506&lt;/D&gt;&lt;D xsi:type="xsd:long"&gt;39505&lt;/D&gt;&lt;D xsi:type="xsd:long"&gt;39504&lt;/D&gt;&lt;D xsi:type="xsd:long"&gt;39503&lt;/D&gt;&lt;D xsi:type="xsd:long"&gt;39500&lt;/D&gt;&lt;D xsi:type="xsd:long"&gt;39499&lt;/D&gt;&lt;D xsi:type="xsd:long"&gt;39498&lt;/D&gt;&lt;D xsi:type="xsd:long"&gt;39497&lt;/D&gt;&lt;D xsi:type="xsd:long"&gt;39493&lt;/D&gt;&lt;D xsi:type="xsd:long"&gt;39492&lt;/D&gt;&lt;D xsi:type="xsd:long"&gt;39491&lt;/D&gt;&lt;D xsi:type="xsd:long"&gt;39490&lt;/D&gt;&lt;D xsi:type="xsd:long"&gt;39489&lt;/D&gt;&lt;D xsi:type="xsd:long"&gt;39486&lt;/D&gt;&lt;D xsi:type="xsd:long"&gt;39485&lt;/D&gt;&lt;D xsi:type="xsd:long"&gt;39484&lt;/D&gt;&lt;D xsi:type="xsd:long"&gt;39483&lt;/D&gt;&lt;D xsi:type="xsd:long"&gt;39482&lt;/D&gt;&lt;D xsi:type="xsd:long"&gt;39479&lt;/D&gt;&lt;D xsi:type="xsd:long"&gt;39478&lt;/D&gt;&lt;D xsi:type="xsd:long"&gt;39477&lt;/D&gt;&lt;D xsi:type="xsd:long"&gt;39476&lt;/D&gt;&lt;D xsi:type="xsd:long"&gt;39475&lt;/D&gt;&lt;D xsi:type="xsd:long"&gt;39472&lt;/D&gt;&lt;D xsi:type="xs</t>
        </r>
      </text>
    </comment>
    <comment ref="A42" authorId="0" shapeId="0">
      <text>
        <r>
          <rPr>
            <b/>
            <sz val="9"/>
            <color indexed="81"/>
            <rFont val="Tahoma"/>
            <family val="2"/>
          </rPr>
          <t>d:long"&gt;39471&lt;/D&gt;&lt;D xsi:type="xsd:long"&gt;39470&lt;/D&gt;&lt;D xsi:type="xsd:long"&gt;39469&lt;/D&gt;&lt;D xsi:type="xsd:long"&gt;39465&lt;/D&gt;&lt;D xsi:type="xsd:long"&gt;39464&lt;/D&gt;&lt;D xsi:type="xsd:long"&gt;39463&lt;/D&gt;&lt;D xsi:type="xsd:long"&gt;39462&lt;/D&gt;&lt;D xsi:type="xsd:long"&gt;39461&lt;/D&gt;&lt;D xsi:type="xsd:long"&gt;39458&lt;/D&gt;&lt;D xsi:type="xsd:long"&gt;39457&lt;/D&gt;&lt;D xsi:type="xsd:long"&gt;39456&lt;/D&gt;&lt;D xsi:type="xsd:long"&gt;39455&lt;/D&gt;&lt;D xsi:type="xsd:long"&gt;39454&lt;/D&gt;&lt;D xsi:type="xsd:long"&gt;39451&lt;/D&gt;&lt;D xsi:type="xsd:long"&gt;39450&lt;/D&gt;&lt;D xsi:type="xsd:long"&gt;39449&lt;/D&gt;&lt;D xsi:type="xsd:long"&gt;39447&lt;/D&gt;&lt;D xsi:type="xsd:long"&gt;39444&lt;/D&gt;&lt;D xsi:type="xsd:long"&gt;39443&lt;/D&gt;&lt;D xsi:type="xsd:long"&gt;39442&lt;/D&gt;&lt;D xsi:type="xsd:long"&gt;39440&lt;/D&gt;&lt;D xsi:type="xsd:long"&gt;39437&lt;/D&gt;&lt;D xsi:type="xsd:long"&gt;39436&lt;/D&gt;&lt;D xsi:type="xsd:long"&gt;39435&lt;/D&gt;&lt;D xsi:type="xsd:long"&gt;39434&lt;/D&gt;&lt;D xsi:type="xsd:long"&gt;39433&lt;/D&gt;&lt;D xsi:type="xsd:long"&gt;39430&lt;/D&gt;&lt;D xsi:type="xsd:long"&gt;39429&lt;/D&gt;&lt;D xsi:type="xsd:long"&gt;39428&lt;/D&gt;&lt;D xsi:type="xsd:long"&gt;39427&lt;/D&gt;&lt;D xsi:type="xsd:long"&gt;39426&lt;/D&gt;&lt;D xsi:type="xsd:long"&gt;39423&lt;/D&gt;&lt;D xsi:type="xsd:long"&gt;39422&lt;/D&gt;&lt;D xsi:type="xsd:long"&gt;39421&lt;/D&gt;&lt;D xsi:type="xsd:long"&gt;39420&lt;/D&gt;&lt;D xsi:type="xsd:long"&gt;39419&lt;/D&gt;&lt;D xsi:type="xsd:long"&gt;39416&lt;/D&gt;&lt;D xsi:type="xsd:long"&gt;39415&lt;/D&gt;&lt;D xsi:type="xsd:long"&gt;39414&lt;/D&gt;&lt;D xsi:type="xsd:long"&gt;39413&lt;/D&gt;&lt;D xsi:type="xsd:long"&gt;39412&lt;/D&gt;&lt;D xsi:type="xsd:long"&gt;39409&lt;/D&gt;&lt;D xsi:type="xsd:long"&gt;39407&lt;/D&gt;&lt;D xsi:type="xsd:long"&gt;39406&lt;/D&gt;&lt;D xsi:type="xsd:long"&gt;39405&lt;/D&gt;&lt;D xsi:type="xsd:long"&gt;39402&lt;/D&gt;&lt;D xsi:type="xsd:long"&gt;39401&lt;/D&gt;&lt;D xsi:type="xsd:long"&gt;39400&lt;/D&gt;&lt;D xsi:type="xsd:long"&gt;39399&lt;/D&gt;&lt;D xsi:type="xsd:long"&gt;39398&lt;/D&gt;&lt;D xsi:type="xsd:long"&gt;39395&lt;/D&gt;&lt;D xsi:type="xsd:long"&gt;39394&lt;/D&gt;&lt;D xsi:type="xsd:long"&gt;39393&lt;/D&gt;&lt;D xsi:type="xsd:long"&gt;39392&lt;/D&gt;&lt;D xsi:type="xsd:long"&gt;39391&lt;/D&gt;&lt;D xsi:type="xsd:long"&gt;39388&lt;/D&gt;&lt;D xsi:type="xsd:long"&gt;39387&lt;/D&gt;&lt;D xsi:type="xsd:long"&gt;39386&lt;/D&gt;&lt;D xsi:type="xsd:long"&gt;39385&lt;/D&gt;&lt;D xsi:type="xsd:long"&gt;39384&lt;/D&gt;&lt;D xsi:type="xsd:long"&gt;39381&lt;/D&gt;&lt;D xsi:type="xsd:long"&gt;39380&lt;/D&gt;&lt;D xsi:type="xsd:long"&gt;39379&lt;/D&gt;&lt;D xsi:type="xsd:long"&gt;39378&lt;/D&gt;&lt;D xsi:type="xsd:long"&gt;39377&lt;/D&gt;&lt;D xsi:type="xsd:long"&gt;39374&lt;/D&gt;&lt;D xsi:type="xsd:long"&gt;39373&lt;/D&gt;&lt;D xsi:type="xsd:long"&gt;39372&lt;/D&gt;&lt;D xsi:type="xsd:long"&gt;39371&lt;/D&gt;&lt;D xsi:type="xsd:long"&gt;39370&lt;/D&gt;&lt;D xsi:type="xsd:long"&gt;39367&lt;/D&gt;&lt;D xsi:type="xsd:long"&gt;39366&lt;/D&gt;&lt;D xsi:type="xsd:long"&gt;39365&lt;/D&gt;&lt;D xsi:type="xsd:long"&gt;39364&lt;/D&gt;&lt;D xsi:type="xsd:long"&gt;39363&lt;/D&gt;&lt;D xsi:type="xsd:long"&gt;39360&lt;/D&gt;&lt;D xsi:type="xsd:long"&gt;39359&lt;/D&gt;&lt;D xsi:type="xsd:long"&gt;39358&lt;/D&gt;&lt;D xsi:type="xsd:long"&gt;39357&lt;/D&gt;&lt;D xsi:type="xsd:long"&gt;39356&lt;/D&gt;&lt;D xsi:type="xsd:long"&gt;39353&lt;/D&gt;&lt;D xsi:type="xsd:long"&gt;39352&lt;/D&gt;&lt;D xsi:type="xsd:long"&gt;39351&lt;/D&gt;&lt;D xsi:type="xsd:long"&gt;39350&lt;/D&gt;&lt;D xsi:type="xsd:long"&gt;39349&lt;/D&gt;&lt;D xsi:type="xsd:long"&gt;39346&lt;/D&gt;&lt;D xsi:type="xsd:long"&gt;39345&lt;/D&gt;&lt;D xsi:type="xsd:long"&gt;39344&lt;/D&gt;&lt;D xsi:type="xsd:long"&gt;39343&lt;/D&gt;&lt;D xsi:type="xsd:long"&gt;39342&lt;/D&gt;&lt;D xsi:type="xsd:long"&gt;39339&lt;/D&gt;&lt;D xsi:type="xsd:long"&gt;39338&lt;/D&gt;&lt;D xsi:type="xsd:long"&gt;39337&lt;/D&gt;&lt;D xsi:type="xsd:long"&gt;39336&lt;/D&gt;&lt;D xsi:type="xsd:long"&gt;39335&lt;/D&gt;&lt;D xsi:type="xsd:long"&gt;39332&lt;/D&gt;&lt;D xsi:type="xsd:long"&gt;39331&lt;/D&gt;&lt;D xsi:type="xsd:long"&gt;39330&lt;/D&gt;&lt;D xsi:type="xsd:long"&gt;39329&lt;/D&gt;&lt;D xsi:type="xsd:long"&gt;39325&lt;/D&gt;&lt;D xsi:type="xsd:long"&gt;39324&lt;/D&gt;&lt;D xsi:type="xsd:long"&gt;39323&lt;/D&gt;&lt;D xsi:type="xsd:long"&gt;39322&lt;/D&gt;&lt;D xsi:type="xsd:long"&gt;39321&lt;/D&gt;&lt;D xsi:type="xsd:long"&gt;39318&lt;/D&gt;&lt;D xsi:type="xsd:long"&gt;39317&lt;/D&gt;&lt;D xsi:type="xsd:long"&gt;39316&lt;/D&gt;&lt;D xsi:type="xsd:long"&gt;39315&lt;/D&gt;&lt;D xsi:type="xsd:long"&gt;39314&lt;/D&gt;&lt;D xsi:type="xsd:long"&gt;39311&lt;/D&gt;&lt;D xsi:type="xsd:long"&gt;39310&lt;/D&gt;&lt;D xsi:type="xsd:long"&gt;39309&lt;/D&gt;&lt;D xsi:type="xsd:long"&gt;39308&lt;/D&gt;&lt;D xsi:type="xsd:long"&gt;39307&lt;/D&gt;&lt;D xsi:type="xsd:long"&gt;39304&lt;/D&gt;&lt;D xsi:type="xsd:long"&gt;39303&lt;/D&gt;&lt;D xsi:type="xsd:long"&gt;39302&lt;/D&gt;&lt;D xsi:type="xsd:long"&gt;39301&lt;/D&gt;&lt;D xsi:type="xsd:long"&gt;39300&lt;/D&gt;&lt;D xsi:type="xsd:long"&gt;39297&lt;/D&gt;&lt;D xsi:type="xsd:long"&gt;39296&lt;/D&gt;&lt;D xsi:type="xsd:long"&gt;39295&lt;/D&gt;&lt;D xsi:type="xsd:long"&gt;39294&lt;/D&gt;&lt;D xsi:type="xsd:long"&gt;39293&lt;/D&gt;&lt;D xsi:type="xsd:long"&gt;39290&lt;/D&gt;&lt;D xsi:type="xsd:long"&gt;39289&lt;/D&gt;&lt;D xsi:type="xsd:long"&gt;39288&lt;/D&gt;&lt;D xsi:type="xsd:long"&gt;39287&lt;/D&gt;&lt;D xsi:type="xsd:long"&gt;39286&lt;/D&gt;&lt;D xsi:type="xsd:long"&gt;39283&lt;/D&gt;&lt;D xsi:type="xsd:long"&gt;39282&lt;/D&gt;&lt;D xsi:type="xsd:long"&gt;39281&lt;/D&gt;&lt;D xsi:type="xsd:long"&gt;39280&lt;/D&gt;&lt;D xsi:type="xsd:long"&gt;39279&lt;/D&gt;&lt;D xsi:type="xsd:long"&gt;39276&lt;/D&gt;&lt;D xsi:type="xsd:long"&gt;39275&lt;/D&gt;&lt;D xsi:type="xsd:long"&gt;39274&lt;/D&gt;&lt;D xsi:type="xsd:long"&gt;39273&lt;/D&gt;&lt;D xsi:type="xsd:long"&gt;39272&lt;/D&gt;&lt;D xsi:type="xsd:long"&gt;39269&lt;/D&gt;&lt;D xsi:type="xsd:long"&gt;39268&lt;/D&gt;&lt;D xsi:type="xsd:long"&gt;39266&lt;/D&gt;&lt;D xsi:type="xsd:long"&gt;39265&lt;/D&gt;&lt;D xsi:type="xsd:long"&gt;39262&lt;/D&gt;&lt;D xsi:type="xsd:long"&gt;39261&lt;/D&gt;&lt;D xsi:type="xsd:long"&gt;39260&lt;/D&gt;&lt;D xsi:type="xsd:long"&gt;39259&lt;/D&gt;&lt;D xsi:type="xsd:long"&gt;39258&lt;/D&gt;&lt;D xsi:type="xsd:long"&gt;39255&lt;/D&gt;&lt;D xsi:type="xsd:long"&gt;39254&lt;/D&gt;&lt;D xsi:type="xsd:long"&gt;39253&lt;/D&gt;&lt;D xsi:type="xsd:long"&gt;39252&lt;/D&gt;&lt;D xsi:type="xsd:long"&gt;39251&lt;/D&gt;&lt;D xsi:type="xsd:long"&gt;39248&lt;/D&gt;&lt;D xsi:type="xsd:long"&gt;39247&lt;/D&gt;&lt;D xsi:type="xsd:long"&gt;39246&lt;/D&gt;&lt;D xsi:type="xsd:long"&gt;39245&lt;/D&gt;&lt;D xsi:type="xsd:long"&gt;39244&lt;/D&gt;&lt;D xsi:type="xsd:long"&gt;39241&lt;/D&gt;&lt;D xsi:type="xsd:long"&gt;39240&lt;/D&gt;&lt;D xsi:type="xsd:long"&gt;39239&lt;/D&gt;&lt;D xsi:type="xsd:long"&gt;39238&lt;/D&gt;&lt;D xsi:type="xsd:long"&gt;39237&lt;/D&gt;&lt;D xsi:type="xsd:long"&gt;39234&lt;/D&gt;&lt;D xsi:type="xsd:long"&gt;39233&lt;/D&gt;&lt;D xsi:type="xsd:long"&gt;39232&lt;/D&gt;&lt;D xsi:type="xsd:long"&gt;39231&lt;/D&gt;&lt;D xsi:type="xsd:long"&gt;39227&lt;/D&gt;&lt;D xsi:type="xsd:long"&gt;39226&lt;/D&gt;&lt;D xsi:type="xsd:long"&gt;39225&lt;/D&gt;&lt;D xsi:type="xsd:long"&gt;39224&lt;/D&gt;&lt;D xsi:type="xsd:long"&gt;39223&lt;/D&gt;&lt;D xsi:type="xsd:long"&gt;39220&lt;/D&gt;&lt;D xsi:type="xsd:long"&gt;39219&lt;/D&gt;&lt;D xsi:type="xsd:long"&gt;39218&lt;/D&gt;&lt;D xsi:type="xsd:long"&gt;39217&lt;/D&gt;&lt;D xsi:type="xsd:long"&gt;39216&lt;/D&gt;&lt;D xsi:type="xsd:long"&gt;39213&lt;/D&gt;&lt;D xsi:type="xsd:long"&gt;39212&lt;/D&gt;&lt;D xsi:type="xsd:long"&gt;39211&lt;/D&gt;&lt;D xsi:type="xsd:long"&gt;39210&lt;/D&gt;&lt;D xsi:type="xsd:long"&gt;39209&lt;/D&gt;&lt;D xsi:type="xsd:long"&gt;39206&lt;/D&gt;&lt;D xsi:type="xsd:long"&gt;39205&lt;/D&gt;&lt;D xsi:type="xsd:long"&gt;39204&lt;/D&gt;&lt;D xsi:type="xsd:long"&gt;39203&lt;/D&gt;&lt;D xsi:type="xsd:long"&gt;39202&lt;/D&gt;&lt;D xsi:type="xsd:long"&gt;39199&lt;/D&gt;&lt;D xsi:type="xsd:long"&gt;39198&lt;/D&gt;&lt;D xsi:type="xsd:long"&gt;39197&lt;/D&gt;&lt;D xsi:type="xsd:long"&gt;39196&lt;/D&gt;&lt;D xsi:type="xsd:long"&gt;39195&lt;/D&gt;&lt;D xsi:type="xsd:long"&gt;39192&lt;/D&gt;&lt;D xsi:type="xsd:long"&gt;39191&lt;/D&gt;&lt;D xsi:type="xsd:long"&gt;39190&lt;/D&gt;&lt;D xsi:type="xsd:long"&gt;39189&lt;/D&gt;&lt;D xsi:type="xsd:long"&gt;39188&lt;/D&gt;&lt;D xsi:type="xsd:long"&gt;39185&lt;/D&gt;&lt;D xsi:type="xsd:long"&gt;39184&lt;/D&gt;&lt;D xsi:type="xsd:long"&gt;39183&lt;/D&gt;&lt;D xsi:type="xsd:long"&gt;39182&lt;/D&gt;&lt;D xsi:type="xsd:long"&gt;39181&lt;/D&gt;&lt;D xsi:type="xsd:long"&gt;39177&lt;/D&gt;&lt;D xsi:type="xsd:long"&gt;39176&lt;/D&gt;&lt;D xsi:type="xsd:long"&gt;39175&lt;/D&gt;&lt;D xsi:type="xsd:long"&gt;39174&lt;/D&gt;&lt;D xsi:type="xsd:long"&gt;39171&lt;/D&gt;&lt;D xsi:type="xsd:long"&gt;39170&lt;/D&gt;&lt;D xsi:type="xsd:long"&gt;39169&lt;/D&gt;&lt;D xsi:type="xsd:long"&gt;39168&lt;/D&gt;&lt;D xsi:type="xsd:long"&gt;39167&lt;/D&gt;&lt;D xsi:type="xsd:long"&gt;39164&lt;/D&gt;&lt;D xsi:type="xsd:long"&gt;39163&lt;/D&gt;&lt;D xsi:type="xsd:long"&gt;39162&lt;/D&gt;&lt;D xsi:type="xsd:long"&gt;39161&lt;/D&gt;&lt;D xsi:type="xsd:long"&gt;39160&lt;/D&gt;&lt;D xsi:type="xsd:long"&gt;39157&lt;/D&gt;&lt;D xsi:type="xsd:long"&gt;39156&lt;/D&gt;&lt;D xsi:type="xsd:long"&gt;39155&lt;/D&gt;&lt;D xsi:type="xsd:long"&gt;39154&lt;/D&gt;&lt;D xsi:type="xsd:long"&gt;39153&lt;/D&gt;&lt;D xsi:type="xsd:long"&gt;39150&lt;/D&gt;&lt;D xsi:type="xsd:long"&gt;39149&lt;/D&gt;&lt;D xsi:type="xsd:long"&gt;39148&lt;/D&gt;&lt;D xsi:type="xsd:long"&gt;39147&lt;/D&gt;&lt;D xsi:type="xsd:long"&gt;39146&lt;/D&gt;&lt;D xsi:type="xsd:long"&gt;39143&lt;/D&gt;&lt;D xsi:type="xsd:long"&gt;39142&lt;/D&gt;&lt;D xsi:type="xsd:long"&gt;39141&lt;/D&gt;&lt;D xsi:type="xsd:long"&gt;39140&lt;/D&gt;&lt;D xsi:type="xsd:long"&gt;39139&lt;/D&gt;&lt;D xsi:type="xsd:long"&gt;39136&lt;/D&gt;&lt;D xsi:type="xsd:long"&gt;39135&lt;/D&gt;&lt;D xsi:type="xsd:long"&gt;39134&lt;/D&gt;&lt;D xsi:type="xsd:long"&gt;39133&lt;/D&gt;&lt;D xsi:type="xsd:long"&gt;39129&lt;/D&gt;&lt;D xsi:type="xsd:long"&gt;39128&lt;/D&gt;&lt;D xsi:type="xsd:long"&gt;39127&lt;/D&gt;&lt;D xsi:type="xsd:long"&gt;39126&lt;/D&gt;&lt;D xsi:type="xsd:long"&gt;39125&lt;/D&gt;&lt;D xsi:type="xsd:long"&gt;39122&lt;/D&gt;&lt;D xsi:type="xsd:long"&gt;39121&lt;/D&gt;&lt;D xsi:type="xsd:long"&gt;39120&lt;/D&gt;&lt;D xsi:type="xsd:long"&gt;39119&lt;/D&gt;&lt;D xsi:type="xsd:long"&gt;39118&lt;/D&gt;&lt;D xsi:type="xsd:long"&gt;39115&lt;/D&gt;&lt;D xsi:type="xsd:long"&gt;39114&lt;/D&gt;&lt;D xsi:type="xsd:long"&gt;39113&lt;/D&gt;&lt;D xsi:type="xsd:long"&gt;39112&lt;/D&gt;&lt;D xsi:type="xsd:long"&gt;39111&lt;/D&gt;&lt;D xsi:type="xsd:long"&gt;39108&lt;/D&gt;&lt;D xsi:type="xsd:long"&gt;39107&lt;/D&gt;&lt;D xsi:type="xsd:long"&gt;39106&lt;/D&gt;&lt;D xsi:type="xsd:long"&gt;39105&lt;/D&gt;&lt;D xsi:type="xsd:long"&gt;39104&lt;/D&gt;&lt;D xsi:type="xsd:long"&gt;39101&lt;/D&gt;&lt;D xsi:type="xsd:long"&gt;39100&lt;/D&gt;&lt;D xsi:type="xsd:long"&gt;39099&lt;/D&gt;&lt;D xsi:type="xsd:long"&gt;39098&lt;/D&gt;&lt;D xsi:type="xsd:long"&gt;39094&lt;/D&gt;&lt;D xsi:type="xsd:long"&gt;39093&lt;/D&gt;&lt;D xsi:type="xsd:long"&gt;39092&lt;/D&gt;&lt;D xsi:type="xsd:long"&gt;39091&lt;/D&gt;&lt;D xsi:type="xsd:long"&gt;39090&lt;/D&gt;&lt;D xsi:type="xsd:long"&gt;39087&lt;/D&gt;&lt;D xsi:type="xsd:long"&gt;39086&lt;/D&gt;&lt;D xsi:type="xsd:long"&gt;39085&lt;/D&gt;&lt;D xsi:type="xsd:long"&gt;39080&lt;/D&gt;&lt;D xsi:type="xsd:long"&gt;39079&lt;/D&gt;&lt;D xsi:type="xsd:long"&gt;39078&lt;/D&gt;&lt;D xsi:type="xsd:long"&gt;39077&lt;/D&gt;&lt;D xsi:type="xsd:long"&gt;39073&lt;/D&gt;&lt;D xsi:type="xsd:long"&gt;39072&lt;/D&gt;&lt;D xsi:type="xsd:long"&gt;39071&lt;/D&gt;&lt;D xsi:type="xsd:long"&gt;39070&lt;/D&gt;&lt;D xsi:type="xsd:long"&gt;39069&lt;/D&gt;&lt;D xsi:type="xsd:long"&gt;39066&lt;/D&gt;&lt;D xsi:type="xsd:long"&gt;39065&lt;/D&gt;&lt;D xsi:type="xsd:long"&gt;39064&lt;/D&gt;&lt;D xsi:type="xsd:long"&gt;39063&lt;/D&gt;&lt;D xsi:type="xsd:long"&gt;39062&lt;/D&gt;&lt;D xsi:type="xsd:long"&gt;39059&lt;/D&gt;&lt;D xsi:type="xsd:long"&gt;39058&lt;/D&gt;&lt;D xsi:type="xsd:long"&gt;39057&lt;/D&gt;&lt;D xsi:type="xsd:long"&gt;39056&lt;/D&gt;&lt;D xsi:type="xsd:long"&gt;39055&lt;/D&gt;&lt;D xsi:type="xsd:long"&gt;39052&lt;/D&gt;&lt;D xsi:type="xsd:long"&gt;39051&lt;/D&gt;&lt;D xsi:type="xsd:long"&gt;39050&lt;/D&gt;&lt;D xsi:type="xsd:long"&gt;39049&lt;/D&gt;&lt;D xsi:type="xsd:long"&gt;39048&lt;/D&gt;&lt;D xsi:type="xsd:long"&gt;39045&lt;/D&gt;&lt;D xsi:type="xsd:long"&gt;39043&lt;/D&gt;&lt;D xsi:type="xsd:long"&gt;39042&lt;/D&gt;&lt;D xsi:type="xsd:long"&gt;39041&lt;/D&gt;&lt;D xsi:type="xsd:long"&gt;39038&lt;/D&gt;&lt;D xsi:type="xsd:long"&gt;39037&lt;/D&gt;&lt;D xsi:type="xsd:long"&gt;39036&lt;/D&gt;&lt;D xsi:type="xsd:long"&gt;39035&lt;/D&gt;&lt;D xsi:type="xsd:long"&gt;39034&lt;/D&gt;&lt;D xsi:type="xsd:long"&gt;39031&lt;/D&gt;&lt;D xsi:type="xsd:long"&gt;39030&lt;/D&gt;&lt;D xsi:type="xsd:long"&gt;39029&lt;/D&gt;&lt;D xsi:type="xsd:long"&gt;39028&lt;/D&gt;&lt;D xsi:type="xsd:long"&gt;39027&lt;/D&gt;&lt;D xsi:type="xsd:long"&gt;39024&lt;/D&gt;&lt;D xsi:type="xsd:long"&gt;39023&lt;/D&gt;&lt;D xsi:type="xsd:long"&gt;39022&lt;/D&gt;&lt;D xsi:type="xsd:long"&gt;39021&lt;/D&gt;&lt;D xsi:type="xsd:long"&gt;39020&lt;/D&gt;&lt;D xsi:type="xsd:long"&gt;39017&lt;/D&gt;&lt;D xsi:type="xsd:long"&gt;39016&lt;/D&gt;&lt;D xsi:type="xsd:long"&gt;39015&lt;/D&gt;&lt;D xsi:type="xsd:long"&gt;39014&lt;/D&gt;&lt;D xsi:type="xsd:long"&gt;39013&lt;/D&gt;&lt;D xsi:type="xsd:long"&gt;39010&lt;/D&gt;&lt;D xsi:type="xsd:long"&gt;39009&lt;/D&gt;&lt;D xsi:type="xsd:long"&gt;39008&lt;/D&gt;&lt;D xsi:type="xsd:long"&gt;39007&lt;/D&gt;&lt;D xsi:type="xsd:long"&gt;39006&lt;/D&gt;&lt;D xsi:type="xsd:long"&gt;39003&lt;/D&gt;&lt;D xsi:type="xsd:long"&gt;39002&lt;/D&gt;&lt;D xsi:type="xsd:long"&gt;39001&lt;/D&gt;&lt;D xsi:type="xsd:long"&gt;39000&lt;/D&gt;&lt;D xsi:type="xsd:long"&gt;38999&lt;/D&gt;&lt;D xsi:type="xsd:long"&gt;38996&lt;/D&gt;&lt;D xsi:type="xsd:long"&gt;38995&lt;/D&gt;&lt;D xsi:type="xsd:long"&gt;38994&lt;/D&gt;&lt;D xsi:type="xsd:long"&gt;38993&lt;/D&gt;&lt;D xsi:type="xsd:long"&gt;38992&lt;/D&gt;&lt;D xsi:type="xsd:long"&gt;38989&lt;/D&gt;&lt;D xsi:type="xsd:long"&gt;38988&lt;/D&gt;&lt;D xsi:type="xsd:long"&gt;38987&lt;/D&gt;&lt;D xsi:type="xsd:long"&gt;38986&lt;/D&gt;&lt;D xsi:type="xsd:long"&gt;38985&lt;/D&gt;&lt;D xsi:type="xsd:long"&gt;38982&lt;/D&gt;&lt;D xsi:type="xsd:long"&gt;38981&lt;/D&gt;&lt;D xsi:type="xsd:long"&gt;38980&lt;/D&gt;&lt;D xsi:type="xsd:long"&gt;38979&lt;/D&gt;&lt;D xsi:type="xsd:long"&gt;38978&lt;/D&gt;&lt;D xsi:type="xsd:long"&gt;38975&lt;/D&gt;&lt;D xsi:type="xsd:long"&gt;38974&lt;/D&gt;&lt;D xsi:type="xsd:long"&gt;38973&lt;/D&gt;&lt;D xsi:type="xsd:long"&gt;38972&lt;/D&gt;&lt;D xsi:type="xsd:long"&gt;38971&lt;/D&gt;&lt;D xsi:type="xsd:long"&gt;38968&lt;/D&gt;&lt;D xsi:type="xsd:long"&gt;38967&lt;/D&gt;&lt;D xsi:type="xsd:long"&gt;38966&lt;/D&gt;&lt;D xsi:type="xsd:long"&gt;38965&lt;/D&gt;&lt;D xsi:type="xsd:long"&gt;38961&lt;/D&gt;&lt;D xsi:type="xsd:long"&gt;38960&lt;/D&gt;&lt;D xsi:type="xsd:long"&gt;38959&lt;/D&gt;&lt;D xsi:type="xsd:long"&gt;38958&lt;/D&gt;&lt;D xsi:type="xsd:long"&gt;38957&lt;/D&gt;&lt;D xsi:type="xsd:long"&gt;38954&lt;/D&gt;&lt;D xsi:type="xsd:long"&gt;38953&lt;/D&gt;&lt;D xsi:type="xsd:long"&gt;38952&lt;/D&gt;&lt;D xsi:type="xsd:long"&gt;38951&lt;/D&gt;&lt;D xsi:type="xsd:long"&gt;38950&lt;/D&gt;&lt;D xsi:type="xsd:long"&gt;38947&lt;/D&gt;&lt;D xsi:type="xsd:long"&gt;38946&lt;/D&gt;&lt;D xsi:type="xsd:long"&gt;38945&lt;/D&gt;&lt;D xsi:type="xsd:long"&gt;38944&lt;/D&gt;&lt;D xsi:type="xsd:long"&gt;38943&lt;/D&gt;&lt;D xsi:type="xsd:long"&gt;38940&lt;/D&gt;&lt;D xsi:type="xsd:long"&gt;38939&lt;/D&gt;&lt;D xsi:type="xsd:long"&gt;38938&lt;/D&gt;&lt;D xsi:type="xsd:long"&gt;38937&lt;/D&gt;&lt;D xsi:type="xsd:long"&gt;38936&lt;/D&gt;&lt;D xsi:type="xsd:long"&gt;38933&lt;/D&gt;&lt;D xsi:type="xsd:long"&gt;38932&lt;/D&gt;&lt;D xsi:type="xsd:long"&gt;38931&lt;/D&gt;&lt;D xsi:type="xsd:long"&gt;38930&lt;/D&gt;&lt;D xsi:type="xsd:long"&gt;38929&lt;/D&gt;&lt;D xsi:type="xsd:long"&gt;38926&lt;/D&gt;&lt;D xsi:type="xsd:long"&gt;38925&lt;/D&gt;&lt;D xsi:type="xsd:long"&gt;38924&lt;/D&gt;&lt;D xsi:type="xsd:long"&gt;38923&lt;/D&gt;&lt;D xsi:type="xsd:long"&gt;38922&lt;/D&gt;&lt;D xsi:type="xsd:long"&gt;38919&lt;/D&gt;&lt;D xsi:type="xsd:long"&gt;38918&lt;/D&gt;&lt;D xsi:type="xsd:long"&gt;38917&lt;/D&gt;&lt;D xsi:type="xsd:long"&gt;38916&lt;/D&gt;&lt;D xsi:type="xsd:long"&gt;38915&lt;/D&gt;&lt;D xsi:type="xsd:long"&gt;38912&lt;/D&gt;&lt;D xsi:type="xsd:long"&gt;38911&lt;/D&gt;&lt;D xsi:type="xsd:long"&gt;38910&lt;/D&gt;&lt;D xsi:type="xsd:long"&gt;38909&lt;/D&gt;&lt;D xsi:type="xsd:long"&gt;38908&lt;/D&gt;&lt;D xsi:type="xsd:long"&gt;38905&lt;/D&gt;&lt;D xsi:type="xsd:long"&gt;38904&lt;/D&gt;&lt;D xsi:type="xsd:long"&gt;38903&lt;/D&gt;&lt;D xsi:type="xsd:long"&gt;38901&lt;/D&gt;&lt;D xsi:type="xsd:long"&gt;38898&lt;/D&gt;&lt;D xsi:type="xsd:long"&gt;38897&lt;/D&gt;&lt;D xsi:type="xsd:long"&gt;38896&lt;/D&gt;&lt;D xsi:type="xsd:long"&gt;38895&lt;/D&gt;&lt;D xsi:type="xsd:long"&gt;38894&lt;/D&gt;&lt;D xsi:type="xsd:long"&gt;38891&lt;/D&gt;&lt;D xsi:type="xsd:long"&gt;38890&lt;/D&gt;&lt;D xsi:type="xsd:long"&gt;38889&lt;/D&gt;&lt;D xsi:type="xsd:long"&gt;38888&lt;/D&gt;&lt;D xsi:type="xsd:long"&gt;38887&lt;/D&gt;&lt;D xsi:type="xsd:long"&gt;38884&lt;/D&gt;&lt;D xsi:type="xsd:long"&gt;38883&lt;/D&gt;&lt;D xsi:type="xsd:long"&gt;38882&lt;/D&gt;&lt;D xsi:type="xsd:long"&gt;38881&lt;/D&gt;&lt;D xsi:type="xsd:long"&gt;38880&lt;/D&gt;&lt;D xsi:type="xsd:long"&gt;38877&lt;/D&gt;&lt;D xsi:type="xsd:long"&gt;38876&lt;/D&gt;&lt;D xsi:type="xsd:long"&gt;38875&lt;/D&gt;&lt;D xsi:type="xsd:long"&gt;38874&lt;/D&gt;&lt;D xsi:type="xsd:long"&gt;38873&lt;/D&gt;&lt;D xsi:type="xsd:long"&gt;38870&lt;/D&gt;&lt;D xsi:type="xsd:long"&gt;38869&lt;/D&gt;&lt;D xsi:type="xsd:long"&gt;38868&lt;/D&gt;&lt;D xsi:type="xsd:long"&gt;38867&lt;/D&gt;&lt;D xsi:type="xsd:long"&gt;38863&lt;/D&gt;&lt;D xsi:type="xsd:long"&gt;38862&lt;/D&gt;&lt;D xsi:type="xsd:long"&gt;38861&lt;/D&gt;&lt;D xsi:type="xsd:long"&gt;38860&lt;/D&gt;&lt;D xsi:type="xsd:long"&gt;38859&lt;/D&gt;&lt;D xsi:type="xsd:long"&gt;38856&lt;/D&gt;&lt;D xsi:type="xsd:long"&gt;38855&lt;/D&gt;&lt;D xsi:type="xsd:long"&gt;38854&lt;/D&gt;&lt;D xsi:type="xsd:long"&gt;38853&lt;/D&gt;&lt;D xsi:type="xsd:long"&gt;38852&lt;/D&gt;&lt;D xsi:type="xsd:long"&gt;38849&lt;/D&gt;&lt;D xsi:type="xsd:long"&gt;38848&lt;/D&gt;&lt;D xsi:type="xsd:long"&gt;38847&lt;/D&gt;&lt;D xsi:type="xsd:long"&gt;38846&lt;/D&gt;&lt;D xsi:type="xsd:long"&gt;38845&lt;/D&gt;&lt;D xsi:type="xsd:long"&gt;38842&lt;/D&gt;&lt;D xsi:type="xsd:long"&gt;38841&lt;/D&gt;&lt;D xsi:type="xsd:long"&gt;38840&lt;/D&gt;&lt;D xsi:type="xsd:long"&gt;38839&lt;/D&gt;&lt;D xsi:type="xsd:long"&gt;38838&lt;/D&gt;&lt;D xsi:type="xsd:long"&gt;38835&lt;/D&gt;&lt;D xsi:type="xsd:long"&gt;38834&lt;/D&gt;&lt;D xsi:type="xsd:long"&gt;38833&lt;/D&gt;&lt;D xsi:type="xsd:long"&gt;38832&lt;/D&gt;&lt;D xsi:type="xsd:long"&gt;38831&lt;/D&gt;&lt;D xsi:type="xsd:long"&gt;38828&lt;/D&gt;&lt;D xsi:type="xsd:long"&gt;38827&lt;/D&gt;&lt;D xsi:type="xsd:long"&gt;38826&lt;/D&gt;&lt;D xsi:type="xsd:long"&gt;38825&lt;/D&gt;&lt;D xsi:type="xsd:long"&gt;38824&lt;/D&gt;&lt;D xsi:type="xsd:long"&gt;38820&lt;/D&gt;&lt;D xsi:type="xsd:long"&gt;38819&lt;/D&gt;&lt;D xsi:type="xsd:long"&gt;38818&lt;/D&gt;&lt;D xsi:type="xsd:long"&gt;38817&lt;/D&gt;&lt;D xsi:type="xsd:long"&gt;38814&lt;/D&gt;&lt;D xsi:type="xsd:long"&gt;38813&lt;/D&gt;&lt;D xsi:type="xsd:long"&gt;38812&lt;/D&gt;&lt;D xsi:type="xsd:long"&gt;38811&lt;/D&gt;&lt;D xsi:type="xsd:long"&gt;38810&lt;/D&gt;&lt;D xsi:type="xsd:long"&gt;38807&lt;/D&gt;&lt;D xsi:type="xsd:long"&gt;38806&lt;/D&gt;&lt;D xsi:type="xsd:long"&gt;38805&lt;/D&gt;&lt;D xsi:type="xsd:long"&gt;38804&lt;/D&gt;&lt;D xsi:type="xsd:long"&gt;38803&lt;/D&gt;&lt;D xsi:type="xsd:long"&gt;38800&lt;/D&gt;&lt;D xsi:type="xsd:long"&gt;38799&lt;/D&gt;&lt;D xsi:type="xsd:long"&gt;38798&lt;/D&gt;&lt;D xsi:type="xsd:long"&gt;38797&lt;/D&gt;&lt;D xsi:type="xsd:long"&gt;38796&lt;/D&gt;&lt;D xsi:type="xsd:long"&gt;38793&lt;/D&gt;&lt;D xsi:type="xsd:long"&gt;38792&lt;/D&gt;&lt;D xsi:type="xsd:long"&gt;38791&lt;/D&gt;&lt;D xsi:type="xsd:long"&gt;38790&lt;/D&gt;&lt;D xsi:type="xsd:long"&gt;38789&lt;/D&gt;&lt;D xsi:type="xsd:long"&gt;38786&lt;/D&gt;&lt;D xsi:type="xsd:long"&gt;38785&lt;/D&gt;&lt;D xsi:type="xsd:long"&gt;38784&lt;/D&gt;&lt;D xsi:type="xsd:long"&gt;38783&lt;/D&gt;&lt;D xsi:type="xsd:long"&gt;38782&lt;/D&gt;&lt;D xsi:type="xsd:long"&gt;38779&lt;/D&gt;&lt;D xsi:type="xsd:long"&gt;38778&lt;/D&gt;&lt;D xsi:type="xsd:long"&gt;38777&lt;/D&gt;&lt;D xsi:type="xsd:long"&gt;38776&lt;/D&gt;&lt;D xsi:type="xsd:long"&gt;38775&lt;/D&gt;&lt;D xsi:type="xsd:long"&gt;38772&lt;/D&gt;&lt;D xsi:type="xsd:long"&gt;38771&lt;/D&gt;&lt;D xsi:type="xsd:long"&gt;38770&lt;/D&gt;&lt;D xsi:type="xsd:long"&gt;38769&lt;/D&gt;&lt;D xsi:type="xsd:long"&gt;38765&lt;/D&gt;&lt;D xsi:type="xsd:long"&gt;38764&lt;/D&gt;&lt;D xsi:type="xsd:long"&gt;38763&lt;/D&gt;&lt;D xsi:type="xsd:long"&gt;38762&lt;/D&gt;&lt;D xsi:type="xsd:long"&gt;38761&lt;/D&gt;&lt;D xsi:type="xsd:long"&gt;38758&lt;/D&gt;&lt;D xsi:type="xsd:long"&gt;38757&lt;/D&gt;&lt;D xsi:type="xsd:long"&gt;38756&lt;/D&gt;&lt;D xsi:type="xsd:long"&gt;38755&lt;/D&gt;&lt;D xsi:type="xsd:long"&gt;38754&lt;/D&gt;&lt;D xsi:type="xsd:long"&gt;38751&lt;/D&gt;&lt;D xsi:type="xsd:long"&gt;38750&lt;/D&gt;&lt;D xsi:type="xsd:long"&gt;38749&lt;/D&gt;&lt;D xsi:type="xsd:long"&gt;38748&lt;/D&gt;&lt;D xsi:type="xsd:long"&gt;38747&lt;/D&gt;&lt;D xsi:type="xsd:long"&gt;38744&lt;/D&gt;&lt;D xsi:type="xsd:long"&gt;38743&lt;/D&gt;&lt;D xsi:type="xsd:long"&gt;38742&lt;/D&gt;&lt;D xsi:type="xsd:long"&gt;38741&lt;/D&gt;&lt;D xsi:type="xsd:long"&gt;38740&lt;/D&gt;&lt;D xsi:type="xsd:long"&gt;38737&lt;/D&gt;&lt;D xsi:type="xsd:long"&gt;38736&lt;/D&gt;&lt;D xsi:type="xsd:long"&gt;38735&lt;/D&gt;&lt;D xsi:type="xsd:long"&gt;38734&lt;/D&gt;&lt;D xsi:type="xsd:long"&gt;38730&lt;/D&gt;&lt;D xsi:type="xsd:long"&gt;38729&lt;/D&gt;&lt;D xsi:type="xsd:long"&gt;38728&lt;/D&gt;&lt;D xsi:type="xsd:long"&gt;38727&lt;/D&gt;&lt;D xsi:type="xsd:long"&gt;38726&lt;/D&gt;&lt;D xsi:type="xsd:long"&gt;38723&lt;/D&gt;&lt;D xsi:type="xsd:long"&gt;38722&lt;/D&gt;&lt;D xsi:type="xsd:long"&gt;38721&lt;/D&gt;&lt;D xsi:type="xsd:long"&gt;38720&lt;/D&gt;&lt;D xsi:type="xsd:long"&gt;38716&lt;/D&gt;&lt;D xsi:type="xsd:long"&gt;38715&lt;/D&gt;&lt;D xsi:type="xsd:long"&gt;38714&lt;/D&gt;&lt;D xsi:type="xsd:long"&gt;38713&lt;/D&gt;&lt;D xsi:type="xsd:long"&gt;38709&lt;/D&gt;&lt;D xsi:type="xsd:long"&gt;38708&lt;/D&gt;&lt;D xsi:type="xsd:long"&gt;38707&lt;/D&gt;&lt;D xsi:type="xsd:long"&gt;38706&lt;/D&gt;&lt;D xsi:type="xsd:long"&gt;38705&lt;/D&gt;&lt;D xsi:type="xsd:long"&gt;38702&lt;/D&gt;&lt;D xsi:type="xsd:long"&gt;38701&lt;/D&gt;&lt;D xsi:type="xsd:long"&gt;38700&lt;/D&gt;&lt;D xsi:type="xsd:long"&gt;38699&lt;/D&gt;&lt;D xsi:type="xsd:long"&gt;38698&lt;/D&gt;&lt;D xsi:type="xsd:long"&gt;38695&lt;/D&gt;&lt;D xsi:type="xsd:long"&gt;38694&lt;/D&gt;&lt;D xsi:type="xsd:long"&gt;38693&lt;/D&gt;&lt;D xsi:type="xsd:long"&gt;38692&lt;/D&gt;&lt;D xsi:type="xsd:long"&gt;38691&lt;/D&gt;&lt;D xsi:type="xsd:long"&gt;38688&lt;/D&gt;&lt;D xsi:type="xsd:long"&gt;38687&lt;/D&gt;&lt;D xsi:type="xsd:long"&gt;38686&lt;/D&gt;&lt;D xsi:type="xsd:long"&gt;38685&lt;/D&gt;&lt;D xsi:type="xsd:long"&gt;38684&lt;/D&gt;&lt;D xsi:type="xsd:long"&gt;38681&lt;/D&gt;&lt;D xsi:type="xsd:long"&gt;38679&lt;/D&gt;&lt;D xsi:type="xsd:long"&gt;38678&lt;/D&gt;&lt;D xsi:type="xsd:long"&gt;38677&lt;/D&gt;&lt;D xsi:type="xsd:long"&gt;38674&lt;/D&gt;&lt;D xsi:type="xsd:long"&gt;38673&lt;/D&gt;&lt;D xsi:type="xsd:long"&gt;38672&lt;/D&gt;&lt;D xsi:type="xsd:long"&gt;38671&lt;/D&gt;&lt;D xsi:type="xsd:long"&gt;38670&lt;/D&gt;&lt;D xsi:type="xsd:long"&gt;38667&lt;/D&gt;&lt;D xsi:type="xsd:long"&gt;38666&lt;/D&gt;&lt;D xsi:type="xsd:long"&gt;38665&lt;/D&gt;&lt;D xsi:type="xsd:long"&gt;38664&lt;/D&gt;&lt;D xsi:type="xsd:long"&gt;38663&lt;/D&gt;&lt;D xsi:type="xsd:long"&gt;38660&lt;/D&gt;&lt;D xsi:type="xsd:long"&gt;38659&lt;/D&gt;&lt;D xsi:type="xsd:long"&gt;38658&lt;/D&gt;&lt;D xsi:type="xsd:long"&gt;38657&lt;/D&gt;&lt;D xsi:type="xsd:long"&gt;38656&lt;/D&gt;&lt;D xsi:type="xsd:long"&gt;38653&lt;/D&gt;&lt;D xsi:type="xsd:long"&gt;38652&lt;/D&gt;&lt;D xsi:type="xsd:long"&gt;38651&lt;/D&gt;&lt;D xsi:type="xsd:long"&gt;38650&lt;/D&gt;&lt;D xsi:type="xsd:long"&gt;38649&lt;/D&gt;&lt;D xsi:type="xsd:long"&gt;38646&lt;/D&gt;&lt;D xsi:type="xsd:long"&gt;38645&lt;/D&gt;&lt;D xsi:type="xsd:long"&gt;38644&lt;/D&gt;&lt;D xsi:type="xsd:long"&gt;38643&lt;/D&gt;&lt;D xsi:type="xsd:long"&gt;38642&lt;/D&gt;&lt;D xsi:type="xsd:long"&gt;38639&lt;/D&gt;&lt;D xsi:type="xsd:long"&gt;38638&lt;/D&gt;&lt;D xsi:type="xsd:long"&gt;38637&lt;/D&gt;&lt;D xsi:type="xsd:long"&gt;38636&lt;/D&gt;&lt;D xsi:type="xsd:long"&gt;38635&lt;/D&gt;&lt;D xsi:type="xsd:long"&gt;38632&lt;/D&gt;&lt;D xsi:type="xsd:long"&gt;38631&lt;/D&gt;&lt;D xsi:type="xsd:long"&gt;38630&lt;/D&gt;&lt;D xsi:type="xsd:long"&gt;38629&lt;/D&gt;&lt;D xsi:type="xsd:long"&gt;38628&lt;/D&gt;&lt;D xsi:type="xsd:long"&gt;38625&lt;/D&gt;&lt;D xsi:type="xsd:long"&gt;38624&lt;/D&gt;&lt;D xsi:type="xsd:long"&gt;38623&lt;/D&gt;&lt;D xsi:type="xsd:long"&gt;38622&lt;/D&gt;&lt;D xsi:type="xsd:long"&gt;38621&lt;/D&gt;&lt;D xsi:type="xsd:long"&gt;38618&lt;/D&gt;&lt;D xsi:type="xsd:long"&gt;38617&lt;/D&gt;&lt;D xsi:type="xsd:long"&gt;38616&lt;/D&gt;&lt;D xsi:type="xsd:long"&gt;38615&lt;/D&gt;&lt;D xsi:type="xsd:long"&gt;38614&lt;/D&gt;&lt;D xsi:type="xsd:long"&gt;38611&lt;/D&gt;&lt;D xsi:type="xsd:long"&gt;38610&lt;/D&gt;&lt;D xsi:type="xsd:long"&gt;38609&lt;/D&gt;&lt;D xsi:type="xsd:long"&gt;38608&lt;/D&gt;&lt;D xsi:type="xsd:long"&gt;38607&lt;/D&gt;&lt;D xsi:type="xsd:long"&gt;38604&lt;/D&gt;&lt;D xsi:type="xsd:long"&gt;38603&lt;/D&gt;&lt;D xsi:type="xsd:long"&gt;38602&lt;/D&gt;&lt;D xsi:type="xsd:long"&gt;38601&lt;/D&gt;&lt;D xsi:type="xsd:long"&gt;38597&lt;/D&gt;&lt;D xsi:type="xsd:long"&gt;38596&lt;/D&gt;&lt;D xsi:type="xsd:long"&gt;38595&lt;/D&gt;&lt;D xsi:type="xsd:long"&gt;38594&lt;/D&gt;&lt;D xsi:type="xsd:long"&gt;38593&lt;/D&gt;&lt;D xsi:type="xsd:long"&gt;38590&lt;/D&gt;&lt;D xsi:type="xsd:long"&gt;38589&lt;/D&gt;&lt;D xsi:type="xsd:long"&gt;38588&lt;/D&gt;&lt;D xsi:type="xsd:long"&gt;38587&lt;/D&gt;&lt;D xsi:type="xsd:long"&gt;38586&lt;/D&gt;&lt;D xsi:type="xsd:long"&gt;38583&lt;/D&gt;&lt;D xsi:type="xsd:long"&gt;38582&lt;/D&gt;&lt;D xsi:type="xsd:long"&gt;38581&lt;/D&gt;&lt;D xsi:type="xsd:long"&gt;38580&lt;/D&gt;&lt;D xsi:type="xsd:long"&gt;38579&lt;/D&gt;&lt;D xsi:type="xsd:long"&gt;38576&lt;/D&gt;&lt;D xsi:type="xsd:long"&gt;38575&lt;/D&gt;&lt;D xsi:type="xsd:long"&gt;38574&lt;/D&gt;&lt;D xsi:type="xsd:long"&gt;38573&lt;/D&gt;&lt;D xsi:type="xsd:long"&gt;38572&lt;/D&gt;&lt;D xsi:type="xsd:long"&gt;38569&lt;/D&gt;&lt;D xsi:type="xsd:long"&gt;38568&lt;/D&gt;&lt;D xsi:type="xsd:long"&gt;38567&lt;/D&gt;&lt;D xsi:type="xsd:long"&gt;38566&lt;/D&gt;&lt;D xsi:type="xsd:long"&gt;38565&lt;/D&gt;&lt;D xsi:type="xsd:long"&gt;38562&lt;/D&gt;&lt;D xsi:type="xsd:long"&gt;38561&lt;/D&gt;&lt;D xsi:type="xsd:long"&gt;38560&lt;/D&gt;&lt;D xsi:type="xsd:long"&gt;38559&lt;/D&gt;&lt;D xsi:type="xsd:long"&gt;38558&lt;/D&gt;&lt;D xsi:type="xsd:long"&gt;38555&lt;/D&gt;&lt;D xsi:type="xsd:long"&gt;38554&lt;/D&gt;&lt;D xsi:type="xsd:long"&gt;38553&lt;/D&gt;&lt;D xsi:type="xsd:long"&gt;38552&lt;/D&gt;&lt;D xsi:type="xsd:long"&gt;38551&lt;/D&gt;&lt;D xsi:type="xsd:long"&gt;38548&lt;/D&gt;&lt;D xsi:type="xsd:long"&gt;38547&lt;/D&gt;&lt;D xsi:type="xsd:long"&gt;38546&lt;/D&gt;&lt;D xsi:type="xsd:long"&gt;38545&lt;/D&gt;&lt;D xsi:type="xsd:long"&gt;38544&lt;/D&gt;&lt;D xsi:type="xsd:long"&gt;38541&lt;/D&gt;&lt;D xsi:type="xsd:long"&gt;38540&lt;/D&gt;&lt;D xsi:type="xsd:long"&gt;38539&lt;/D&gt;&lt;D xsi:type="xsd:long"&gt;38538&lt;/D&gt;&lt;D xsi:type="xsd:long"&gt;38534&lt;/D&gt;&lt;D xsi:type="xsd:long"&gt;38533&lt;/D&gt;&lt;D xsi:type="xsd:long"&gt;38532&lt;/D&gt;&lt;D xsi:type="xsd:long"&gt;38531&lt;/D&gt;&lt;D xsi:type="xsd:long"&gt;38530&lt;/D&gt;&lt;D xsi:type="xsd:long"&gt;38527&lt;/D&gt;&lt;D xsi:type="xsd:long"&gt;38526&lt;/D&gt;&lt;D xsi:type="xsd:long"&gt;38525&lt;/D&gt;&lt;D xsi:type="xsd:long"&gt;38524&lt;/D&gt;&lt;D xsi:type="xsd:long"&gt;38523&lt;/D&gt;&lt;D xsi:type="xsd:long"&gt;38520&lt;/D&gt;&lt;D xsi:type="xsd:long"&gt;38519&lt;/D&gt;&lt;D xsi:type="xsd:long"&gt;38518&lt;/D&gt;&lt;D xsi:type="xsd:long"&gt;38517&lt;/D&gt;&lt;D xsi:type="xsd:long"&gt;38516&lt;/D&gt;&lt;D xsi:type="xsd:long"&gt;38513&lt;/D&gt;&lt;D xsi:type="xsd:long"&gt;38512&lt;/D&gt;&lt;D xsi:type="xsd:long"&gt;38511&lt;/D&gt;&lt;D xsi:type="xsd:long"&gt;38510&lt;/D&gt;&lt;D xsi:type="xsd:long"&gt;38509&lt;/D&gt;&lt;D xsi:type="xsd:long"&gt;38506&lt;/D&gt;&lt;D xsi:type="xsd:long"&gt;38505&lt;/D&gt;&lt;D xsi:type="xsd:long"&gt;38504&lt;/D&gt;&lt;D xsi:type="xsd:long"&gt;38503&lt;/D&gt;&lt;D xsi:type="xsd:long"&gt;38499&lt;/D&gt;&lt;D xsi:type="xsd:long"&gt;38498&lt;/D&gt;&lt;D xsi:type="xsd:long"&gt;38497&lt;/D&gt;&lt;D xsi:type="xsd:long"&gt;38496&lt;/D&gt;&lt;D xsi:type="xsd:long"&gt;38495&lt;/D&gt;&lt;D xsi:type="xsd:long"&gt;38492&lt;/D&gt;&lt;D xsi:type="xsd:long"&gt;38491&lt;/D&gt;&lt;D xsi:type="xsd:long"&gt;38490&lt;/D&gt;&lt;D xsi:type="xsd:long"&gt;38489&lt;/D&gt;&lt;D xsi:type="xsd:long"&gt;38488&lt;/D&gt;&lt;D xsi:type="xsd:long"&gt;38485&lt;/D&gt;&lt;D xsi:type="xsd:long"&gt;38484&lt;/D&gt;&lt;D xsi:type="xsd:long"&gt;38483&lt;/D&gt;&lt;D xsi:type="xsd:long"&gt;38482&lt;/D&gt;&lt;D xsi:type="xsd:long"&gt;38481&lt;/D&gt;&lt;D xsi:type="xsd:long"&gt;38478&lt;/D&gt;&lt;D xsi:type="xsd:long"&gt;38477&lt;/D&gt;&lt;D xsi:type="xsd:long"&gt;38476&lt;/D&gt;&lt;D xsi:type="xsd:long"&gt;38475&lt;/D&gt;&lt;D xsi:type="xsd:long"&gt;38474&lt;/D&gt;&lt;D xsi:type="xsd:long"&gt;38471&lt;/D&gt;&lt;D xsi:type="xsd:long"&gt;38470&lt;/D&gt;&lt;D xsi:type="xsd:long"&gt;38469&lt;/D&gt;&lt;D xsi:type="xsd:long"&gt;38468&lt;/D&gt;&lt;D xsi:type="xsd:long"&gt;38467&lt;/D&gt;&lt;D xsi:type="xsd:long"&gt;38464&lt;/D&gt;&lt;D xsi:type="xsd:long"&gt;38463&lt;/D&gt;&lt;D xsi:type="xsd:long"&gt;38462&lt;/D&gt;&lt;D xsi:type="xsd:long"&gt;38461&lt;/D&gt;&lt;D xsi:type="xsd:long"&gt;38460&lt;/D&gt;&lt;D xsi:type="xsd:long"&gt;38457&lt;/D&gt;&lt;D xsi:type="xsd:long"&gt;38456&lt;/D&gt;&lt;D xsi:type="xsd:long"&gt;38455&lt;/D&gt;&lt;D xsi:type="xsd:long"&gt;38454&lt;/D&gt;&lt;D xsi:type="xsd:long"&gt;38453&lt;/D&gt;&lt;D xsi:type="xsd:long"&gt;38450&lt;/D&gt;&lt;D xsi:type="xsd:long"&gt;38449&lt;/D&gt;&lt;D xsi:type="xsd:long"&gt;38448&lt;/D&gt;&lt;D xsi:type="xsd:long"&gt;38447&lt;/D&gt;&lt;D xsi:type="xsd:long"&gt;38446&lt;/D&gt;&lt;D xsi:type="xsd:long"&gt;38443&lt;/D&gt;&lt;D xsi:type="xsd:long"&gt;38442&lt;/D&gt;&lt;D xsi:type="xsd:long"&gt;38441&lt;/D&gt;&lt;D xsi:type="xsd:long"&gt;38440&lt;/D&gt;&lt;D xsi:type="xsd:long"&gt;38439&lt;/D&gt;&lt;D xsi:type="xsd:long"&gt;38435&lt;/D&gt;&lt;D xsi:type="xsd:long"&gt;38434&lt;/D&gt;&lt;D xsi:type="xsd:long"&gt;38433&lt;/D&gt;&lt;D xsi:type="xsd:long"&gt;38432&lt;/D&gt;&lt;D xsi:type="xsd:long"&gt;38429&lt;/D&gt;&lt;D xsi:type="xsd:long"&gt;38428&lt;/D&gt;&lt;D xsi:type="xsd:long"&gt;38427&lt;/D&gt;&lt;D xsi:type="xsd:long"&gt;38426&lt;/D&gt;&lt;D xsi:type="xsd:long"&gt;38425&lt;/D&gt;&lt;D xsi:type="xsd:long"&gt;38422&lt;/D&gt;&lt;D xsi:type="xsd:long"&gt;38421&lt;/D&gt;&lt;D xsi:type="xsd:long"&gt;38420&lt;/D&gt;&lt;D xsi:type="xsd:long"&gt;38419&lt;/D&gt;&lt;D xsi:type="xsd:long"&gt;38418&lt;/D&gt;&lt;D xsi:type="xsd:long"&gt;38415&lt;/D&gt;&lt;D xsi:type="xsd:long"&gt;38414&lt;/D&gt;&lt;D xsi:type="xsd:long"&gt;38413&lt;/D&gt;&lt;D xsi:type="xsd:long"&gt;38412&lt;/D&gt;&lt;D xsi:type="xsd:long"&gt;38411&lt;/D&gt;&lt;D xsi:type="xsd:long"&gt;38408&lt;/D&gt;&lt;D xsi:type="xsd:long"&gt;38407&lt;/D&gt;&lt;D xsi:type="xsd:long"&gt;38406&lt;/D&gt;&lt;D xsi:type="xsd:long"&gt;38405&lt;/D&gt;&lt;D xsi:type="xsd:long"&gt;38401&lt;/D&gt;&lt;D xsi:type="xsd:long"&gt;38400&lt;/D&gt;&lt;D xsi:type="xsd:long"&gt;38399&lt;/D&gt;&lt;D xsi:type="xsd:long"&gt;38398&lt;/D&gt;&lt;D xsi:type="xsd:long"&gt;38397&lt;/D&gt;&lt;D xsi:type="xsd:long"&gt;38394&lt;/D&gt;&lt;D xsi:type="xsd:long"&gt;38393&lt;/D&gt;&lt;D xsi:type="xsd:long"&gt;38392&lt;/D&gt;&lt;D xsi:type="xsd:long"&gt;38391&lt;/D&gt;&lt;D xsi:type="xsd:long"&gt;38390&lt;/D&gt;&lt;D xsi:type="xsd:long"&gt;38387&lt;/D&gt;&lt;D xsi:type="xsd:long"&gt;38386&lt;/D&gt;&lt;D xsi:type="xsd:long"&gt;38385&lt;/D&gt;&lt;D xsi:type="xsd:long"&gt;38384&lt;/D&gt;&lt;D xsi:type="xsd:long"&gt;38383&lt;/D&gt;&lt;D xsi:type="xsd:long"&gt;38380&lt;/D&gt;&lt;D xsi:type="xsd:long"&gt;38379&lt;/D&gt;&lt;D xsi:type="xsd:long"&gt;38378&lt;/D&gt;&lt;D xsi:type="xsd:long"&gt;38377&lt;/D&gt;&lt;D xsi:type="xsd:long"&gt;38376&lt;/D&gt;&lt;D xsi:type="xsd:long"&gt;38373&lt;/D&gt;&lt;D xsi:type="xsd:long"&gt;38372&lt;/D&gt;&lt;D xsi:type="xsd:long"&gt;38371&lt;/D&gt;&lt;D xsi:type="xsd:long"&gt;38370&lt;/D&gt;&lt;D xsi:type="xsd:long"&gt;38366&lt;/D&gt;&lt;D xsi:type="xsd:long"&gt;38365&lt;/D&gt;&lt;D xsi:type="xsd:long"&gt;38364&lt;/D&gt;&lt;D xsi:type="xsd:long"&gt;38363&lt;/D&gt;&lt;D xsi:type="xsd:long"&gt;38362&lt;/D&gt;&lt;D xsi:type="xsd:long"&gt;38359&lt;/D&gt;&lt;D xsi:type="xsd:long"&gt;38358&lt;/D&gt;&lt;D xsi:type="xsd:long"&gt;38357&lt;/D&gt;&lt;D xsi:type="xsd:long"&gt;38356&lt;/D&gt;&lt;D xsi:type="xsd:long"&gt;38355&lt;/D&gt;&lt;D xsi:type="xsd:long"&gt;38352&lt;/D&gt;&lt;D xsi:type="xsd:long"&gt;38351&lt;/D&gt;&lt;D xsi:type="xsd:long"&gt;38350&lt;/D&gt;&lt;D xsi:type="xsd:long"&gt;38349&lt;/D&gt;&lt;D xsi:type="xsd:long"&gt;38348&lt;/D&gt;&lt;D xsi:type="xsd:long"&gt;38344&lt;/D&gt;&lt;D xsi:type="xsd:long"&gt;38343&lt;/D&gt;&lt;D xsi:type="xsd:long"&gt;38342&lt;/D&gt;&lt;D xsi:type="xsd:long"&gt;38341&lt;/D&gt;&lt;D xsi:type="xsd:long"&gt;38338&lt;/D&gt;&lt;D xsi:type="xsd:long"&gt;38337&lt;/D&gt;&lt;D xsi:type="xsd:long"&gt;38336&lt;/D&gt;&lt;D xsi:type="xsd:long"&gt;38335&lt;/D&gt;&lt;D xsi:type="xsd:long"&gt;38334&lt;/D&gt;&lt;D xsi:type="xsd:long"&gt;38331&lt;/D&gt;&lt;D xsi:type="xsd:long"&gt;38330&lt;/D&gt;&lt;D xsi:type="xsd:long"&gt;38329&lt;/D&gt;&lt;D xsi:type="xsd:long"&gt;38328&lt;/D&gt;&lt;D xsi:type="xsd:long"&gt;38327&lt;/D&gt;&lt;D xsi:type="xsd:long"&gt;38324&lt;/D&gt;&lt;D xsi:type="xsd:long"&gt;38323&lt;/D&gt;&lt;D xsi:type="xsd:long"&gt;38322&lt;/D&gt;&lt;D xsi:type="xsd:long"&gt;38321&lt;/D&gt;&lt;D xsi:type="xsd:long"&gt;38320&lt;/D&gt;&lt;D xsi:type="xsd:long"&gt;38317&lt;/D&gt;&lt;D xsi:type="xsd:long"&gt;38315&lt;/D&gt;&lt;D xsi:type="xsd:long"&gt;38314&lt;/D&gt;&lt;D xsi:type="xsd:long"&gt;38313&lt;/D&gt;&lt;D xsi:type="xsd:long"&gt;38310&lt;/D&gt;&lt;D xsi:type="xsd:long"&gt;38309&lt;/D&gt;&lt;D xsi:type="xsd:long"&gt;38308&lt;/D&gt;&lt;D xsi:type="xsd:long"&gt;38307&lt;/D&gt;&lt;D xsi:type="xsd:long"&gt;38306&lt;/D&gt;&lt;D xsi:type="xsd:long"&gt;38303&lt;/D&gt;&lt;D xsi:type="xsd:long"&gt;38302&lt;/D&gt;&lt;D xsi:type="xsd:long"&gt;38301&lt;/D&gt;&lt;D xsi:type="xsd:long"&gt;38300&lt;/D&gt;&lt;D xsi:type="xsd:long"&gt;38299&lt;/D&gt;&lt;D xsi:type="xsd:long"&gt;38296&lt;/D&gt;&lt;D xsi:type="xsd:long"&gt;38295&lt;/D&gt;&lt;D xsi:type="xsd:long"&gt;38294&lt;/D&gt;&lt;D xsi:type="xsd:long"&gt;38293&lt;/D&gt;&lt;D xsi:type="xsd:long"&gt;38292&lt;/D&gt;&lt;D xsi:type="xsd:long"&gt;38289&lt;/D&gt;&lt;D xsi:type="xsd:long"&gt;38288&lt;/D&gt;&lt;D xsi:type="xsd:long"&gt;38287&lt;/D&gt;&lt;D xsi:type="xsd:long"&gt;38286&lt;/D&gt;&lt;D xsi:type="xsd:long"&gt;38285&lt;/D&gt;&lt;D xsi:type="xsd:long"&gt;38282&lt;/D&gt;&lt;D xsi:type="xsd:long"&gt;38281&lt;/D&gt;&lt;D xsi:type="xsd:long"&gt;38280&lt;/D&gt;&lt;D xsi:type="xsd:long"&gt;38279&lt;/D&gt;&lt;D xsi:type="xsd:long"&gt;38278&lt;/D&gt;&lt;D xsi:type="xsd:long"&gt;38275&lt;/D&gt;&lt;D xsi:type="xsd:long"&gt;38274&lt;/D&gt;&lt;D xsi:type="xsd:long"&gt;38273&lt;/D&gt;&lt;D xsi:type="xsd:long"&gt;38272&lt;/D&gt;&lt;D xsi:type="xsd:long"&gt;38271&lt;/D&gt;&lt;D xsi:type="xsd:long"&gt;38268&lt;/D&gt;&lt;D xsi:type="xsd:long"&gt;38267&lt;/D&gt;&lt;D xsi:type="xsd:long"&gt;38266&lt;/D&gt;&lt;D xsi:type="xsd:long"&gt;38265&lt;/D&gt;&lt;D xsi:type="xsd:long"&gt;38264&lt;/D&gt;&lt;D xsi:type="xsd:long"&gt;38261&lt;/D&gt;&lt;D xsi:type="xsd:long"&gt;38260&lt;/D&gt;&lt;D xsi:type="xsd:long"&gt;38259&lt;/D&gt;&lt;D xsi:type="xsd:long"&gt;38258&lt;/D&gt;&lt;D xsi:type="xsd:long"&gt;38257&lt;/D&gt;&lt;D xsi:type="xsd:long"&gt;38254&lt;/D&gt;&lt;D xsi:type="xsd:long"&gt;38253&lt;/D&gt;&lt;D xsi:type="xsd:long"&gt;38252&lt;/D&gt;&lt;D xsi:type="xsd:long"&gt;38251&lt;/D&gt;&lt;D xsi:type="xsd:long"&gt;38250&lt;/D&gt;&lt;D xsi:type="xsd:long"&gt;38247&lt;/D&gt;&lt;D xsi:type="xsd:long"&gt;38246&lt;/D&gt;&lt;D xsi:type="xsd:long"&gt;38245&lt;/D&gt;&lt;D xsi:type="xsd:long"&gt;38244&lt;/D&gt;&lt;D xsi:type="xsd:long"&gt;38243&lt;/D&gt;&lt;D xsi:type="xsd:long"&gt;38240&lt;/D&gt;&lt;D xsi:type="xsd:long"&gt;38239&lt;/D&gt;&lt;D xsi:type="xsd:long"&gt;38238&lt;/D&gt;&lt;D xsi:type="xsd:long"&gt;38237&lt;/D&gt;&lt;D xsi:type="xsd:long"&gt;38233&lt;/D&gt;&lt;D xsi:type="xsd:long"&gt;38232&lt;/D&gt;&lt;D xsi:type="xsd:long"&gt;38231&lt;/D&gt;&lt;D xsi:type="xsd:long"&gt;38230&lt;/D&gt;&lt;D xsi:type="xsd:long"&gt;38229&lt;/D&gt;&lt;D xsi:type="xsd:long"&gt;38226&lt;/D&gt;&lt;D xsi:type="xsd:long"&gt;38225&lt;/D&gt;&lt;D xsi:type="xsd:long"&gt;38224&lt;/D&gt;&lt;D xsi:type="xsd:long"&gt;38223&lt;/D&gt;&lt;D xsi:type="xsd:long"&gt;38222&lt;/D&gt;&lt;D xsi:type="xsd:long"&gt;38219&lt;/D&gt;&lt;D xsi:type="xsd:long"&gt;38218&lt;/D&gt;&lt;D xsi:type="xsd:long"&gt;38217&lt;/D&gt;&lt;D xsi:type="xsd:long"&gt;38216&lt;/D&gt;&lt;D xsi:type="xsd:long"&gt;38215&lt;/D&gt;&lt;D xsi:type="xsd:long"&gt;38212&lt;/D&gt;&lt;D xsi:type="xsd:long"&gt;38211&lt;/D&gt;&lt;D xsi:type="xsd:long"&gt;38210&lt;/D&gt;&lt;D xsi:type="xsd:long"&gt;38209&lt;/D&gt;&lt;D xsi:type="xsd:long"&gt;38208&lt;/D&gt;&lt;D xsi:type="xsd:long"&gt;38205&lt;/D&gt;&lt;D xsi:type="xsd:long"&gt;38204&lt;/D&gt;&lt;D xsi:type="xsd:long"&gt;38203&lt;/D&gt;&lt;D xsi:type="xsd:long"&gt;38202&lt;/D&gt;&lt;D xsi:type="xsd:long"&gt;38201&lt;/D&gt;&lt;D xsi:type="xsd:long"&gt;38198&lt;/D&gt;&lt;D xsi:type="xsd:long"&gt;38197&lt;/D&gt;&lt;D xsi:type="xsd:long"&gt;38196&lt;/D&gt;&lt;D xsi:type="xsd:long"&gt;38195&lt;/D&gt;&lt;D xsi:type="xsd:long"&gt;38194&lt;/D&gt;&lt;D xsi:type="xsd:long"&gt;38191&lt;/D&gt;&lt;D xsi:type="xsd:long"&gt;38190&lt;/D&gt;&lt;D xsi:type="xsd:long"&gt;38189&lt;/D&gt;&lt;D xsi:type="xsd:long"&gt;38188&lt;/D&gt;&lt;D xsi:type="xsd:long"&gt;38187&lt;/D&gt;&lt;D xsi:type="xsd:long"&gt;38184&lt;/D&gt;&lt;D xsi:type="xsd:long"&gt;38183&lt;/D&gt;&lt;D xsi:type="xsd:long"&gt;38182&lt;/D&gt;&lt;D xsi:type="xsd:long"&gt;38181&lt;/D&gt;&lt;D xsi:type="xsd:long"&gt;38180&lt;/D&gt;&lt;D xsi:type="xsd:long"&gt;38177&lt;/D&gt;&lt;D xsi:type="xsd:long"&gt;38176&lt;/D&gt;&lt;D xsi:type="xsd:long"&gt;38175&lt;/D&gt;&lt;D xsi:type="xsd:long"&gt;38174&lt;/D&gt;&lt;D xsi:type="xsd:long"&gt;38170&lt;/D&gt;&lt;D xsi:type="xsd:long"&gt;38169&lt;/D&gt;&lt;D xsi:type="xsd:long"&gt;38168&lt;/D&gt;&lt;D xsi:type="xsd:long"&gt;38167&lt;/D&gt;&lt;D xsi:type="xsd:long"&gt;38166&lt;/D&gt;&lt;D xsi:type="xsd:long"&gt;38163&lt;/D&gt;&lt;D xsi:type="xsd:long"&gt;38162&lt;/D&gt;&lt;D xsi:type="xsd:long"&gt;38161&lt;/D&gt;&lt;D xsi:type="xsd:long"&gt;38160&lt;/D&gt;&lt;D xsi:type="xsd:long"&gt;38159&lt;/D&gt;&lt;D xsi:type="xsd:long"&gt;38156&lt;/D&gt;&lt;D xsi:type="xsd:long"&gt;38155&lt;/D&gt;&lt;D xsi:type="xsd:long"&gt;38154&lt;/D&gt;&lt;D xsi:type="xsd:long"&gt;38153&lt;/D&gt;&lt;D xsi:type="xsd:long"&gt;38152&lt;/D&gt;&lt;D xsi:type="xsd:long"&gt;38148&lt;/D&gt;&lt;D xsi:type="xsd:long"&gt;38147&lt;/D&gt;&lt;D xsi:type="xsd:long"&gt;38146&lt;/D&gt;&lt;D xsi:type="xsd:long"&gt;38145&lt;/D&gt;&lt;D xsi:type="xsd:long"&gt;38142&lt;/D&gt;&lt;D xsi:type="xsd:long"&gt;38141&lt;/D&gt;&lt;D xsi:type="xsd:long"&gt;38140&lt;/D&gt;&lt;D xsi:type="xsd:long"&gt;38139&lt;/D&gt;&lt;D xsi:type="xsd:long"&gt;38135&lt;/D&gt;&lt;D xsi:type="xsd:long"&gt;38134&lt;/D&gt;&lt;D xsi:type="xsd:long"&gt;38133&lt;/D&gt;&lt;D xsi:type="xsd:long"&gt;38132&lt;/D&gt;&lt;D xsi:type="xsd:long"&gt;38131&lt;/D&gt;&lt;D xsi:type="xsd:long"&gt;38128&lt;/D&gt;&lt;D xsi:type="xsd:long"&gt;38127&lt;/D&gt;&lt;D xsi:type="xsd:long"&gt;38126&lt;/D&gt;&lt;D xsi:type="xsd:long"&gt;38125&lt;/D&gt;&lt;D xsi:type="xsd:long"&gt;38124&lt;/D&gt;&lt;D xsi:type="xsd:long"&gt;38121&lt;/D&gt;&lt;D xsi:type="xsd:long"&gt;38120&lt;/D&gt;&lt;D xsi:type="xsd:long"&gt;38119&lt;/D&gt;&lt;D xsi:type="xsd:long"&gt;38118&lt;/D&gt;&lt;D xsi:type="xsd:long"&gt;38117&lt;/D&gt;&lt;D xsi:type="xsd:long"&gt;38114&lt;/D&gt;&lt;D xsi:type="xsd:long"&gt;38113&lt;/D&gt;&lt;D xsi:type="xsd:long"&gt;38112&lt;/D&gt;&lt;D xsi:type="xsd:long"&gt;38111&lt;/D&gt;&lt;D xsi:type="xsd:long"&gt;38110&lt;/D&gt;&lt;D xsi:type="xsd:long"&gt;38107&lt;/D&gt;&lt;D xsi:type="xsd:long"&gt;38106&lt;/D&gt;&lt;D xsi:type="xsd:long"&gt;38105&lt;/D&gt;&lt;D xsi:type="xsd:long"&gt;38104&lt;/D&gt;&lt;D xsi:type="xsd:long"&gt;38103&lt;/D&gt;&lt;D xsi:type="xsd:long"&gt;38100&lt;/D&gt;&lt;D xsi:type="xsd:long"&gt;38099&lt;/D&gt;&lt;D xsi:type="xsd:long"&gt;38098&lt;/D&gt;&lt;D xsi:type="xsd:long"&gt;38097&lt;/D&gt;&lt;D xsi:type="xsd:long"&gt;38096&lt;/D&gt;&lt;D xsi:type="xsd:long"&gt;38093&lt;/D&gt;&lt;D xsi:type="xsd:long"&gt;38092&lt;/D&gt;&lt;D xsi:type="xsd:long"&gt;38091&lt;/D&gt;&lt;D xsi:type="xsd:long"&gt;38090&lt;/D&gt;&lt;D xsi:type="xsd:long"&gt;38089&lt;/D&gt;&lt;D xsi:type="xsd:long"&gt;38085&lt;/D&gt;&lt;D xsi:type="xsd:long"&gt;38084&lt;/D&gt;&lt;D xsi:type="xsd:long"&gt;38083&lt;/D&gt;&lt;D xsi:type="xsd:long"&gt;38082&lt;/D&gt;&lt;D xsi:type="xsd:long"&gt;38079&lt;/D&gt;&lt;D xsi:type="xsd:long"&gt;38078&lt;/D&gt;&lt;D xsi:type="xsd:long"&gt;38077&lt;/D&gt;&lt;D xsi:type="xsd:long"&gt;38076&lt;/D&gt;&lt;D xsi:type="xsd:long"&gt;38075&lt;/D&gt;&lt;D xsi:type="xsd:long"&gt;38072&lt;/D&gt;&lt;D xsi:type="xsd:long"&gt;38071&lt;/D&gt;&lt;D xsi:type="xsd:long"&gt;38070&lt;/D&gt;&lt;D xsi:type="xsd:long"&gt;38069&lt;/D&gt;&lt;D xsi:type="xsd:long"&gt;38068&lt;/D&gt;&lt;D xsi:type="xsd:long"&gt;38065&lt;/D&gt;&lt;D xsi:type="xsd:long"&gt;38064&lt;/D&gt;&lt;D xsi:type="xsd:long"&gt;38063&lt;/D&gt;&lt;D xsi:type="xsd:long"&gt;38062&lt;/D&gt;&lt;D xsi:type="xsd:long"&gt;38061&lt;/D&gt;&lt;D xsi:type="xsd:long"&gt;38058&lt;/D&gt;&lt;D xsi:type="xsd:long"&gt;38057&lt;/D&gt;&lt;D xsi:type="xsd:long"&gt;38056&lt;/D&gt;&lt;D xsi:type="xsd:long"&gt;38055&lt;/D&gt;&lt;D xsi:type="xsd:long"&gt;38054&lt;/D&gt;&lt;D xsi:type="xsd:long"&gt;38051&lt;/D&gt;&lt;D xsi:type="xsd:long"&gt;38050&lt;/D&gt;&lt;D xsi:type="xsd:long"&gt;38049&lt;/D&gt;&lt;D xsi:type="xsd:long"&gt;38048&lt;/D&gt;&lt;D xsi:type="xsd:long"&gt;38047&lt;/D&gt;&lt;D xsi:type="xsd:long"&gt;38044&lt;/D&gt;&lt;D xsi:type="xsd:long"&gt;38043&lt;/D&gt;&lt;D xsi:type="xsd:long"&gt;38042&lt;/D&gt;&lt;D xsi:type="xsd:long"&gt;38041&lt;/D&gt;&lt;D xsi:type="xsd:long"&gt;38040&lt;/D&gt;&lt;D xsi:type="xsd:long"&gt;38037&lt;/D&gt;&lt;D xsi:type="xsd:long"&gt;38036&lt;/D&gt;&lt;D xsi:type="xsd:long"&gt;38035&lt;/D&gt;&lt;D xsi:type="xsd:long"&gt;38034&lt;/D&gt;&lt;D xsi:type="xsd:long"&gt;38030&lt;/D&gt;&lt;D xsi:type="xsd:long"&gt;38029&lt;/D&gt;&lt;D xsi:type="xsd:long"&gt;38028&lt;/D&gt;&lt;D xsi:type="xsd:long"&gt;38027&lt;/D&gt;&lt;D xsi:type="xsd:long"&gt;38026&lt;/D&gt;&lt;D xsi:type="xsd:long"&gt;38023&lt;/D&gt;&lt;D xsi:type="xsd:long"&gt;38022&lt;/D&gt;&lt;D xsi:type="xsd:long"&gt;38021&lt;/D&gt;&lt;D xsi:type="xsd:long"&gt;38020&lt;/D&gt;&lt;D xsi:type="xsd:long"&gt;38019&lt;/D&gt;&lt;D xsi:type="xsd:long"&gt;38016&lt;/D&gt;&lt;D xsi:type="xsd:long"&gt;38015&lt;/D&gt;&lt;D xsi:type="xsd:long"&gt;38014&lt;/D&gt;&lt;D xsi:type="xsd:long"&gt;38013&lt;/D&gt;&lt;D xsi:type="xsd:long"&gt;38012&lt;/D&gt;&lt;D xsi:type="xsd:long"&gt;38009&lt;/D&gt;&lt;D xsi:type="xsd:long"&gt;38008&lt;/D&gt;&lt;D xsi:type="xsd:long"&gt;38007&lt;/D&gt;&lt;D xsi:type="xsd:long"&gt;38006&lt;/D&gt;&lt;D xsi:type="xsd:long"&gt;38002&lt;/D&gt;&lt;D xsi:type="xsd:long"&gt;38001&lt;/D&gt;&lt;D xsi:type="xsd:long"&gt;38000&lt;/D&gt;&lt;D xsi:type="xsd:long"&gt;37999&lt;/D&gt;&lt;D xsi:type="xsd:long"&gt;37998&lt;/D&gt;&lt;D xsi:type="xsd:long"&gt;37995&lt;/D&gt;&lt;D xsi:type="xsd:long"&gt;37994&lt;/D&gt;&lt;D xsi:type="xsd:long"&gt;37993&lt;/D&gt;&lt;D xsi:type="xsd:long"&gt;37992&lt;/D&gt;&lt;D xsi:type="xsd:long"&gt;37991&lt;/D&gt;&lt;D xsi:type="xsd:long"&gt;37988&lt;/D&gt;&lt;D xsi:type="xsd:long"&gt;37986&lt;/D&gt;&lt;D xsi:type="xsd:long"&gt;37985&lt;/D&gt;&lt;D xsi:type="</t>
        </r>
      </text>
    </comment>
    <comment ref="A43" authorId="0" shapeId="0">
      <text>
        <r>
          <rPr>
            <b/>
            <sz val="9"/>
            <color indexed="81"/>
            <rFont val="Tahoma"/>
            <family val="2"/>
          </rPr>
          <t>xsd:long"&gt;37984&lt;/D&gt;&lt;D xsi:type="xsd:long"&gt;37981&lt;/D&gt;&lt;D xsi:type="xsd:long"&gt;37979&lt;/D&gt;&lt;D xsi:type="xsd:long"&gt;37978&lt;/D&gt;&lt;D xsi:type="xsd:long"&gt;37977&lt;/D&gt;&lt;D xsi:type="xsd:long"&gt;37974&lt;/D&gt;&lt;D xsi:type="xsd:long"&gt;37973&lt;/D&gt;&lt;D xsi:type="xsd:long"&gt;37972&lt;/D&gt;&lt;D xsi:type="xsd:long"&gt;37971&lt;/D&gt;&lt;D xsi:type="xsd:long"&gt;37970&lt;/D&gt;&lt;D xsi:type="xsd:long"&gt;37967&lt;/D&gt;&lt;D xsi:type="xsd:long"&gt;37966&lt;/D&gt;&lt;D xsi:type="xsd:long"&gt;37965&lt;/D&gt;&lt;D xsi:type="xsd:long"&gt;37964&lt;/D&gt;&lt;D xsi:type="xsd:long"&gt;37963&lt;/D&gt;&lt;D xsi:type="xsd:long"&gt;37960&lt;/D&gt;&lt;D xsi:type="xsd:long"&gt;37959&lt;/D&gt;&lt;D xsi:type="xsd:long"&gt;37958&lt;/D&gt;&lt;D xsi:type="xsd:long"&gt;37957&lt;/D&gt;&lt;D xsi:type="xsd:long"&gt;37956&lt;/D&gt;&lt;D xsi:type="xsd:long"&gt;37953&lt;/D&gt;&lt;D xsi:type="xsd:long"&gt;37951&lt;/D&gt;&lt;D xsi:type="xsd:long"&gt;37950&lt;/D&gt;&lt;D xsi:type="xsd:long"&gt;37949&lt;/D&gt;&lt;D xsi:type="xsd:long"&gt;37946&lt;/D&gt;&lt;D xsi:type="xsd:long"&gt;37945&lt;/D&gt;&lt;D xsi:type="xsd:long"&gt;37944&lt;/D&gt;&lt;D xsi:type="xsd:long"&gt;37943&lt;/D&gt;&lt;D xsi:type="xsd:long"&gt;37942&lt;/D&gt;&lt;D xsi:type="xsd:long"&gt;37939&lt;/D&gt;&lt;D xsi:type="xsd:long"&gt;37938&lt;/D&gt;&lt;D xsi:type="xsd:long"&gt;37937&lt;/D&gt;&lt;D xsi:type="xsd:long"&gt;37936&lt;/D&gt;&lt;D xsi:type="xsd:long"&gt;37935&lt;/D&gt;&lt;D xsi:type="xsd:long"&gt;37932&lt;/D&gt;&lt;D xsi:type="xsd:long"&gt;37931&lt;/D&gt;&lt;D xsi:type="xsd:long"&gt;37930&lt;/D&gt;&lt;D xsi:type="xsd:long"&gt;37929&lt;/D&gt;&lt;D xsi:type="xsd:long"&gt;37928&lt;/D&gt;&lt;D xsi:type="xsd:long"&gt;37925&lt;/D&gt;&lt;D xsi:type="xsd:long"&gt;37924&lt;/D&gt;&lt;D xsi:type="xsd:long"&gt;37923&lt;/D&gt;&lt;D xsi:type="xsd:long"&gt;37922&lt;/D&gt;&lt;D xsi:type="xsd:long"&gt;37921&lt;/D&gt;&lt;D xsi:type="xsd:long"&gt;37918&lt;/D&gt;&lt;D xsi:type="xsd:long"&gt;37917&lt;/D&gt;&lt;D xsi:type="xsd:long"&gt;37916&lt;/D&gt;&lt;D xsi:type="xsd:long"&gt;37915&lt;/D&gt;&lt;D xsi:type="xsd:long"&gt;37914&lt;/D&gt;&lt;D xsi:type="xsd:long"&gt;37911&lt;/D&gt;&lt;D xsi:type="xsd:long"&gt;37910&lt;/D&gt;&lt;D xsi:type="xsd:long"&gt;37909&lt;/D&gt;&lt;D xsi:type="xsd:long"&gt;37908&lt;/D&gt;&lt;D xsi:type="xsd:long"&gt;37907&lt;/D&gt;&lt;D xsi:type="xsd:long"&gt;37904&lt;/D&gt;&lt;D xsi:type="xsd:long"&gt;37903&lt;/D&gt;&lt;D xsi:type="xsd:long"&gt;37902&lt;/D&gt;&lt;D xsi:type="xsd:long"&gt;37901&lt;/D&gt;&lt;D xsi:type="xsd:long"&gt;37900&lt;/D&gt;&lt;D xsi:type="xsd:long"&gt;37897&lt;/D&gt;&lt;D xsi:type="xsd:long"&gt;37896&lt;/D&gt;&lt;D xsi:type="xsd:long"&gt;37895&lt;/D&gt;&lt;D xsi:type="xsd:long"&gt;37894&lt;/D&gt;&lt;D xsi:type="xsd:long"&gt;37893&lt;/D&gt;&lt;D xsi:type="xsd:long"&gt;37890&lt;/D&gt;&lt;D xsi:type="xsd:long"&gt;37889&lt;/D&gt;&lt;D xsi:type="xsd:long"&gt;37888&lt;/D&gt;&lt;D xsi:type="xsd:long"&gt;37887&lt;/D&gt;&lt;D xsi:type="xsd:long"&gt;37886&lt;/D&gt;&lt;D xsi:type="xsd:long"&gt;37883&lt;/D&gt;&lt;D xsi:type="xsd:long"&gt;37882&lt;/D&gt;&lt;D xsi:type="xsd:long"&gt;37881&lt;/D&gt;&lt;D xsi:type="xsd:long"&gt;37880&lt;/D&gt;&lt;D xsi:type="xsd:long"&gt;37879&lt;/D&gt;&lt;D xsi:type="xsd:long"&gt;37876&lt;/D&gt;&lt;D xsi:type="xsd:long"&gt;37875&lt;/D&gt;&lt;D xsi:type="xsd:long"&gt;37874&lt;/D&gt;&lt;D xsi:type="xsd:long"&gt;37873&lt;/D&gt;&lt;D xsi:type="xsd:long"&gt;37872&lt;/D&gt;&lt;D xsi:type="xsd:long"&gt;37869&lt;/D&gt;&lt;D xsi:type="xsd:long"&gt;37868&lt;/D&gt;&lt;D xsi:type="xsd:long"&gt;37867&lt;/D&gt;&lt;D xsi:type="xsd:long"&gt;37866&lt;/D&gt;&lt;D xsi:type="xsd:long"&gt;37862&lt;/D&gt;&lt;D xsi:type="xsd:long"&gt;37861&lt;/D&gt;&lt;D xsi:type="xsd:long"&gt;37860&lt;/D&gt;&lt;D xsi:type="xsd:long"&gt;37859&lt;/D&gt;&lt;D xsi:type="xsd:long"&gt;37858&lt;/D&gt;&lt;D xsi:type="xsd:long"&gt;37855&lt;/D&gt;&lt;D xsi:type="xsd:long"&gt;37854&lt;/D&gt;&lt;D xsi:type="xsd:long"&gt;37853&lt;/D&gt;&lt;D xsi:type="xsd:long"&gt;37852&lt;/D&gt;&lt;D xsi:type="xsd:long"&gt;37851&lt;/D&gt;&lt;D xsi:type="xsd:long"&gt;37848&lt;/D&gt;&lt;D xsi:type="xsd:long"&gt;37847&lt;/D&gt;&lt;D xsi:type="xsd:long"&gt;37846&lt;/D&gt;&lt;D xsi:type="xsd:long"&gt;37845&lt;/D&gt;&lt;D xsi:type="xsd:long"&gt;37844&lt;/D&gt;&lt;D xsi:type="xsd:long"&gt;37841&lt;/D&gt;&lt;D xsi:type="xsd:long"&gt;37840&lt;/D&gt;&lt;D xsi:type="xsd:long"&gt;37839&lt;/D&gt;&lt;D xsi:type="xsd:long"&gt;37838&lt;/D&gt;&lt;D xsi:type="xsd:long"&gt;37837&lt;/D&gt;&lt;D xsi:type="xsd:long"&gt;37834&lt;/D&gt;&lt;D xsi:type="xsd:long"&gt;37833&lt;/D&gt;&lt;D xsi:type="xsd:long"&gt;37832&lt;/D&gt;&lt;D xsi:type="xsd:long"&gt;37831&lt;/D&gt;&lt;D xsi:type="xsd:long"&gt;37830&lt;/D&gt;&lt;D xsi:type="xsd:long"&gt;37827&lt;/D&gt;&lt;D xsi:type="xsd:long"&gt;37826&lt;/D&gt;&lt;D xsi:type="xsd:long"&gt;37825&lt;/D&gt;&lt;D xsi:type="xsd:long"&gt;37824&lt;/D&gt;&lt;D xsi:type="xsd:long"&gt;37823&lt;/D&gt;&lt;D xsi:type="xsd:long"&gt;37820&lt;/D&gt;&lt;D xsi:type="xsd:long"&gt;37819&lt;/D&gt;&lt;D xsi:type="xsd:long"&gt;37818&lt;/D&gt;&lt;D xsi:type="xsd:long"&gt;37817&lt;/D&gt;&lt;D xsi:type="xsd:long"&gt;37816&lt;/D&gt;&lt;D xsi:type="xsd:long"&gt;37813&lt;/D&gt;&lt;D xsi:type="xsd:long"&gt;37812&lt;/D&gt;&lt;D xsi:type="xsd:long"&gt;37811&lt;/D&gt;&lt;D xsi:type="xsd:long"&gt;37810&lt;/D&gt;&lt;D xsi:type="xsd:long"&gt;37809&lt;/D&gt;&lt;D xsi:type="xsd:long"&gt;37805&lt;/D&gt;&lt;D xsi:type="xsd:long"&gt;37804&lt;/D&gt;&lt;D xsi:type="xsd:long"&gt;37803&lt;/D&gt;&lt;D xsi:type="xsd:long"&gt;37802&lt;/D&gt;&lt;D xsi:type="xsd:long"&gt;37799&lt;/D&gt;&lt;D xsi:type="xsd:long"&gt;37798&lt;/D&gt;&lt;D xsi:type="xsd:long"&gt;37797&lt;/D&gt;&lt;D xsi:type="xsd:long"&gt;37796&lt;/D&gt;&lt;D xsi:type="xsd:long"&gt;37795&lt;/D&gt;&lt;D xsi:type="xsd:long"&gt;37792&lt;/D&gt;&lt;D xsi:type="xsd:long"&gt;37791&lt;/D&gt;&lt;D xsi:type="xsd:long"&gt;37790&lt;/D&gt;&lt;D xsi:type="xsd:long"&gt;37789&lt;/D&gt;&lt;D xsi:type="xsd:long"&gt;37788&lt;/D&gt;&lt;D xsi:type="xsd:long"&gt;37785&lt;/D&gt;&lt;D xsi:type="xsd:long"&gt;37784&lt;/D&gt;&lt;D xsi:type="xsd:long"&gt;37783&lt;/D&gt;&lt;D xsi:type="xsd:long"&gt;37782&lt;/D&gt;&lt;D xsi:type="xsd:long"&gt;37781&lt;/D&gt;&lt;D xsi:type="xsd:long"&gt;37778&lt;/D&gt;&lt;D xsi:type="xsd:long"&gt;37777&lt;/D&gt;&lt;D xsi:type="xsd:long"&gt;37776&lt;/D&gt;&lt;D xsi:type="xsd:long"&gt;37775&lt;/D&gt;&lt;D xsi:type="xsd:long"&gt;37774&lt;/D&gt;&lt;D xsi:type="xsd:long"&gt;37771&lt;/D&gt;&lt;D xsi:type="xsd:long"&gt;37770&lt;/D&gt;&lt;D xsi:type="xsd:long"&gt;37769&lt;/D&gt;&lt;D xsi:type="xsd:long"&gt;37768&lt;/D&gt;&lt;D xsi:type="xsd:long"&gt;37764&lt;/D&gt;&lt;D xsi:type="xsd:long"&gt;37763&lt;/D&gt;&lt;D xsi:type="xsd:long"&gt;37762&lt;/D&gt;&lt;D xsi:type="xsd:long"&gt;37761&lt;/D&gt;&lt;D xsi:type="xsd:long"&gt;37760&lt;/D&gt;&lt;D xsi:type="xsd:long"&gt;37757&lt;/D&gt;&lt;D xsi:type="xsd:long"&gt;37756&lt;/D&gt;&lt;D xsi:type="xsd:long"&gt;37755&lt;/D&gt;&lt;D xsi:type="xsd:long"&gt;37754&lt;/D&gt;&lt;D xsi:type="xsd:long"&gt;37753&lt;/D&gt;&lt;D xsi:type="xsd:long"&gt;37750&lt;/D&gt;&lt;D xsi:type="xsd:long"&gt;37749&lt;/D&gt;&lt;D xsi:type="xsd:long"&gt;37748&lt;/D&gt;&lt;D xsi:type="xsd:long"&gt;37747&lt;/D&gt;&lt;D xsi:type="xsd:long"&gt;37746&lt;/D&gt;&lt;D xsi:type="xsd:long"&gt;37743&lt;/D&gt;&lt;D xsi:type="xsd:long"&gt;37742&lt;/D&gt;&lt;D xsi:type="xsd:long"&gt;37741&lt;/D&gt;&lt;D xsi:type="xsd:long"&gt;37740&lt;/D&gt;&lt;D xsi:type="xsd:long"&gt;37739&lt;/D&gt;&lt;D xsi:type="xsd:long"&gt;37736&lt;/D&gt;&lt;D xsi:type="xsd:long"&gt;37735&lt;/D&gt;&lt;D xsi:type="xsd:long"&gt;37734&lt;/D&gt;&lt;D xsi:type="xsd:long"&gt;37733&lt;/D&gt;&lt;D xsi:type="xsd:long"&gt;37732&lt;/D&gt;&lt;D xsi:type="xsd:long"&gt;37728&lt;/D&gt;&lt;D xsi:type="xsd:long"&gt;37727&lt;/D&gt;&lt;D xsi:type="xsd:long"&gt;37726&lt;/D&gt;&lt;D xsi:type="xsd:long"&gt;37725&lt;/D&gt;&lt;D xsi:type="xsd:long"&gt;37722&lt;/D&gt;&lt;D xsi:type="xsd:long"&gt;37721&lt;/D&gt;&lt;D xsi:type="xsd:long"&gt;37720&lt;/D&gt;&lt;D xsi:type="xsd:long"&gt;37719&lt;/D&gt;&lt;D xsi:type="xsd:long"&gt;37718&lt;/D&gt;&lt;D xsi:type="xsd:long"&gt;37715&lt;/D&gt;&lt;D xsi:type="xsd:long"&gt;37714&lt;/D&gt;&lt;D xsi:type="xsd:long"&gt;37713&lt;/D&gt;&lt;D xsi:type="xsd:long"&gt;37712&lt;/D&gt;&lt;D xsi:type="xsd:long"&gt;37711&lt;/D&gt;&lt;D xsi:type="xsd:long"&gt;37708&lt;/D&gt;&lt;D xsi:type="xsd:long"&gt;37707&lt;/D&gt;&lt;D xsi:type="xsd:long"&gt;37706&lt;/D&gt;&lt;D xsi:type="xsd:long"&gt;37705&lt;/D&gt;&lt;D xsi:type="xsd:long"&gt;37704&lt;/D&gt;&lt;D xsi:type="xsd:long"&gt;37701&lt;/D&gt;&lt;D xsi:type="xsd:long"&gt;37700&lt;/D&gt;&lt;D xsi:type="xsd:long"&gt;37699&lt;/D&gt;&lt;D xsi:type="xsd:long"&gt;37698&lt;/D&gt;&lt;D xsi:type="xsd:long"&gt;37697&lt;/D&gt;&lt;D xsi:type="xsd:long"&gt;37694&lt;/D&gt;&lt;D xsi:type="xsd:long"&gt;37693&lt;/D&gt;&lt;D xsi:type="xsd:long"&gt;37692&lt;/D&gt;&lt;D xsi:type="xsd:long"&gt;37691&lt;/D&gt;&lt;D xsi:type="xsd:long"&gt;37690&lt;/D&gt;&lt;D xsi:type="xsd:long"&gt;37687&lt;/D&gt;&lt;D xsi:type="xsd:long"&gt;37686&lt;/D&gt;&lt;D xsi:type="xsd:long"&gt;37685&lt;/D&gt;&lt;D xsi:type="xsd:long"&gt;37684&lt;/D&gt;&lt;D xsi:type="xsd:long"&gt;37683&lt;/D&gt;&lt;D xsi:type="xsd:long"&gt;37680&lt;/D&gt;&lt;D xsi:type="xsd:long"&gt;37679&lt;/D&gt;&lt;D xsi:type="xsd:long"&gt;37678&lt;/D&gt;&lt;D xsi:type="xsd:long"&gt;37677&lt;/D&gt;&lt;D xsi:type="xsd:long"&gt;37676&lt;/D&gt;&lt;D xsi:type="xsd:long"&gt;37673&lt;/D&gt;&lt;D xsi:type="xsd:long"&gt;37672&lt;/D&gt;&lt;D xsi:type="xsd:long"&gt;37671&lt;/D&gt;&lt;D xsi:type="xsd:long"&gt;37670&lt;/D&gt;&lt;D xsi:type="xsd:long"&gt;37666&lt;/D&gt;&lt;D xsi:type="xsd:long"&gt;37665&lt;/D&gt;&lt;D xsi:type="xsd:long"&gt;37664&lt;/D&gt;&lt;D xsi:type="xsd:long"&gt;37663&lt;/D&gt;&lt;D xsi:type="xsd:long"&gt;37662&lt;/D&gt;&lt;D xsi:type="xsd:long"&gt;37659&lt;/D&gt;&lt;D xsi:type="xsd:long"&gt;37658&lt;/D&gt;&lt;D xsi:type="xsd:long"&gt;37657&lt;/D&gt;&lt;D xsi:type="xsd:long"&gt;37656&lt;/D&gt;&lt;D xsi:type="xsd:long"&gt;37655&lt;/D&gt;&lt;D xsi:type="xsd:long"&gt;37652&lt;/D&gt;&lt;D xsi:type="xsd:long"&gt;37651&lt;/D&gt;&lt;D xsi:type="xsd:long"&gt;37650&lt;/D&gt;&lt;D xsi:type="xsd:long"&gt;37649&lt;/D&gt;&lt;D xsi:type="xsd:long"&gt;37648&lt;/D&gt;&lt;D xsi:type="xsd:long"&gt;37645&lt;/D&gt;&lt;D xsi:type="xsd:long"&gt;37644&lt;/D&gt;&lt;D xsi:type="xsd:long"&gt;37643&lt;/D&gt;&lt;D xsi:type="xsd:long"&gt;37642&lt;/D&gt;&lt;D xsi:type="xsd:long"&gt;37638&lt;/D&gt;&lt;D xsi:type="xsd:long"&gt;37637&lt;/D&gt;&lt;D xsi:type="xsd:long"&gt;37636&lt;/D&gt;&lt;D xsi:type="xsd:long"&gt;37635&lt;/D&gt;&lt;D xsi:type="xsd:long"&gt;37634&lt;/D&gt;&lt;D xsi:type="xsd:long"&gt;37631&lt;/D&gt;&lt;D xsi:type="xsd:long"&gt;37630&lt;/D&gt;&lt;D xsi:type="xsd:long"&gt;37629&lt;/D&gt;&lt;D xsi:type="xsd:long"&gt;37628&lt;/D&gt;&lt;D xsi:type="xsd:long"&gt;37627&lt;/D&gt;&lt;D xsi:type="xsd:long"&gt;37624&lt;/D&gt;&lt;D xsi:type="xsd:long"&gt;37623&lt;/D&gt;&lt;D xsi:type="xsd:long"&gt;37621&lt;/D&gt;&lt;D xsi:type="xsd:long"&gt;37620&lt;/D&gt;&lt;D xsi:type="xsd:long"&gt;37617&lt;/D&gt;&lt;D xsi:type="xsd:long"&gt;37616&lt;/D&gt;&lt;D xsi:type="xsd:long"&gt;37614&lt;/D&gt;&lt;D xsi:type="xsd:long"&gt;37613&lt;/D&gt;&lt;D xsi:type="xsd:long"&gt;37610&lt;/D&gt;&lt;D xsi:type="xsd:long"&gt;37609&lt;/D&gt;&lt;D xsi:type="xsd:long"&gt;37608&lt;/D&gt;&lt;D xsi:type="xsd:long"&gt;37607&lt;/D&gt;&lt;D xsi:type="xsd:long"&gt;37606&lt;/D&gt;&lt;D xsi:type="xsd:long"&gt;37603&lt;/D&gt;&lt;D xsi:type="xsd:long"&gt;37602&lt;/D&gt;&lt;D xsi:type="xsd:long"&gt;37601&lt;/D&gt;&lt;D xsi:type="xsd:long"&gt;37600&lt;/D&gt;&lt;D xsi:type="xsd:long"&gt;37599&lt;/D&gt;&lt;D xsi:type="xsd:long"&gt;37596&lt;/D&gt;&lt;D xsi:type="xsd:long"&gt;37595&lt;/D&gt;&lt;D xsi:type="xsd:long"&gt;37594&lt;/D&gt;&lt;D xsi:type="xsd:long"&gt;37593&lt;/D&gt;&lt;D xsi:type="xsd:long"&gt;37592&lt;/D&gt;&lt;D xsi:type="xsd:long"&gt;37589&lt;/D&gt;&lt;D xsi:type="xsd:long"&gt;37587&lt;/D&gt;&lt;D xsi:type="xsd:long"&gt;37586&lt;/D&gt;&lt;D xsi:type="xsd:long"&gt;37585&lt;/D&gt;&lt;D xsi:type="xsd:long"&gt;37582&lt;/D&gt;&lt;D xsi:type="xsd:long"&gt;37581&lt;/D&gt;&lt;D xsi:type="xsd:long"&gt;37580&lt;/D&gt;&lt;D xsi:type="xsd:long"&gt;37579&lt;/D&gt;&lt;D xsi:type="xsd:long"&gt;37578&lt;/D&gt;&lt;D xsi:type="xsd:long"&gt;37575&lt;/D&gt;&lt;D xsi:type="xsd:long"&gt;37574&lt;/D&gt;&lt;D xsi:type="xsd:long"&gt;37573&lt;/D&gt;&lt;D xsi:type="xsd:long"&gt;37572&lt;/D&gt;&lt;D xsi:type="xsd:long"&gt;37571&lt;/D&gt;&lt;D xsi:type="xsd:long"&gt;37568&lt;/D&gt;&lt;D xsi:type="xsd:long"&gt;37567&lt;/D&gt;&lt;D xsi:type="xsd:long"&gt;37566&lt;/D&gt;&lt;D xsi:type="xsd:long"&gt;37565&lt;/D&gt;&lt;D xsi:type="xsd:long"&gt;37564&lt;/D&gt;&lt;D xsi:type="xsd:long"&gt;37561&lt;/D&gt;&lt;D xsi:type="xsd:long"&gt;37560&lt;/D&gt;&lt;D xsi:type="xsd:long"&gt;37559&lt;/D&gt;&lt;D xsi:type="xsd:long"&gt;37558&lt;/D&gt;&lt;D xsi:type="xsd:long"&gt;37557&lt;/D&gt;&lt;D xsi:type="xsd:long"&gt;37554&lt;/D&gt;&lt;D xsi:type="xsd:long"&gt;37553&lt;/D&gt;&lt;D xsi:type="xsd:long"&gt;37552&lt;/D&gt;&lt;D xsi:type="xsd:long"&gt;37551&lt;/D&gt;&lt;D xsi:type="xsd:long"&gt;37550&lt;/D&gt;&lt;D xsi:type="xsd:long"&gt;37547&lt;/D&gt;&lt;D xsi:type="xsd:long"&gt;37546&lt;/D&gt;&lt;D xsi:type="xsd:long"&gt;37545&lt;/D&gt;&lt;D xsi:type="xsd:long"&gt;37544&lt;/D&gt;&lt;D xsi:type="xsd:long"&gt;37543&lt;/D&gt;&lt;D xsi:type="xsd:long"&gt;37540&lt;/D&gt;&lt;D xsi:type="xsd:long"&gt;37539&lt;/D&gt;&lt;D xsi:type="xsd:long"&gt;37538&lt;/D&gt;&lt;D xsi:type="xsd:long"&gt;37537&lt;/D&gt;&lt;D xsi:type="xsd:long"&gt;37536&lt;/D&gt;&lt;D xsi:type="xsd:long"&gt;37533&lt;/D&gt;&lt;D xsi:type="xsd:long"&gt;37532&lt;/D&gt;&lt;D xsi:type="xsd:long"&gt;37531&lt;/D&gt;&lt;D xsi:type="xsd:long"&gt;37530&lt;/D&gt;&lt;D xsi:type="xsd:long"&gt;37529&lt;/D&gt;&lt;D xsi:type="xsd:long"&gt;37526&lt;/D&gt;&lt;D xsi:type="xsd:long"&gt;37525&lt;/D&gt;&lt;D xsi:type="xsd:long"&gt;37524&lt;/D&gt;&lt;D xsi:type="xsd:long"&gt;37523&lt;/D&gt;&lt;D xsi:type="xsd:long"&gt;37522&lt;/D&gt;&lt;D xsi:type="xsd:long"&gt;37519&lt;/D&gt;&lt;D xsi:type="xsd:long"&gt;37518&lt;/D&gt;&lt;D xsi:type="xsd:long"&gt;37517&lt;/D&gt;&lt;D xsi:type="xsd:long"&gt;37516&lt;/D&gt;&lt;D xsi:type="xsd:long"&gt;37515&lt;/D&gt;&lt;D xsi:type="xsd:long"&gt;37512&lt;/D&gt;&lt;D xsi:type="xsd:long"&gt;37511&lt;/D&gt;&lt;D xsi:type="xsd:long"&gt;37510&lt;/D&gt;&lt;D xsi:type="xsd:long"&gt;37509&lt;/D&gt;&lt;D xsi:type="xsd:long"&gt;37508&lt;/D&gt;&lt;D xsi:type="xsd:long"&gt;37505&lt;/D&gt;&lt;D xsi:type="xsd:long"&gt;37504&lt;/D&gt;&lt;D xsi:type="xsd:long"&gt;37503&lt;/D&gt;&lt;D xsi:type="xsd:long"&gt;37502&lt;/D&gt;&lt;D xsi:type="xsd:long"&gt;37498&lt;/D&gt;&lt;D xsi:type="xsd:long"&gt;37497&lt;/D&gt;&lt;D xsi:type="xsd:long"&gt;37496&lt;/D&gt;&lt;D xsi:type="xsd:long"&gt;37495&lt;/D&gt;&lt;D xsi:type="xsd:long"&gt;37494&lt;/D&gt;&lt;D xsi:type="xsd:long"&gt;37491&lt;/D&gt;&lt;D xsi:type="xsd:long"&gt;37490&lt;/D&gt;&lt;D xsi:type="xsd:long"&gt;37489&lt;/D&gt;&lt;D xsi:type="xsd:long"&gt;37488&lt;/D&gt;&lt;D xsi:type="xsd:long"&gt;37487&lt;/D&gt;&lt;D xsi:type="xsd:long"&gt;37484&lt;/D&gt;&lt;D xsi:type="xsd:long"&gt;37483&lt;/D&gt;&lt;D xsi:type="xsd:long"&gt;37482&lt;/D&gt;&lt;D xsi:type="xsd:long"&gt;37481&lt;/D&gt;&lt;D xsi:type="xsd:long"&gt;37480&lt;/D&gt;&lt;D xsi:type="xsd:long"&gt;37477&lt;/D&gt;&lt;D xsi:type="xsd:long"&gt;37476&lt;/D&gt;&lt;D xsi:type="xsd:long"&gt;37475&lt;/D&gt;&lt;D xsi:type="xsd:long"&gt;37474&lt;/D&gt;&lt;D xsi:type="xsd:long"&gt;37473&lt;/D&gt;&lt;D xsi:type="xsd:long"&gt;37470&lt;/D&gt;&lt;D xsi:type="xsd:long"&gt;37469&lt;/D&gt;&lt;D xsi:type="xsd:long"&gt;37468&lt;/D&gt;&lt;D xsi:type="xsd:long"&gt;37467&lt;/D&gt;&lt;D xsi:type="xsd:long"&gt;37466&lt;/D&gt;&lt;D xsi:type="xsd:long"&gt;37463&lt;/D&gt;&lt;D xsi:type="xsd:long"&gt;37462&lt;/D&gt;&lt;D xsi:type="xsd:long"&gt;37461&lt;/D&gt;&lt;D xsi:type="xsd:long"&gt;37460&lt;/D&gt;&lt;D xsi:type="xsd:long"&gt;37459&lt;/D&gt;&lt;D xsi:type="xsd:long"&gt;37456&lt;/D&gt;&lt;D xsi:type="xsd:long"&gt;37455&lt;/D&gt;&lt;D xsi:type="xsd:long"&gt;37454&lt;/D&gt;&lt;D xsi:type="xsd:long"&gt;37453&lt;/D&gt;&lt;D xsi:type="xsd:long"&gt;37452&lt;/D&gt;&lt;D xsi:type="xsd:long"&gt;37449&lt;/D&gt;&lt;D xsi:type="xsd:long"&gt;37448&lt;/D&gt;&lt;D xsi:type="xsd:long"&gt;37447&lt;/D&gt;&lt;D xsi:type="xsd:long"&gt;37446&lt;/D&gt;&lt;D xsi:type="xsd:long"&gt;37445&lt;/D&gt;&lt;D xsi:type="xsd:long"&gt;37442&lt;/D&gt;&lt;D xsi:type="xsd:long"&gt;37440&lt;/D&gt;&lt;D xsi:type="xsd:long"&gt;37439&lt;/D&gt;&lt;D xsi:type="xsd:long"&gt;37438&lt;/D&gt;&lt;D xsi:type="xsd:long"&gt;37435&lt;/D&gt;&lt;D xsi:type="xsd:long"&gt;37434&lt;/D&gt;&lt;D xsi:type="xsd:long"&gt;37433&lt;/D&gt;&lt;D xsi:type="xsd:long"&gt;37432&lt;/D&gt;&lt;D xsi:type="xsd:long"&gt;37431&lt;/D&gt;&lt;D xsi:type="xsd:long"&gt;37428&lt;/D&gt;&lt;D xsi:type="xsd:long"&gt;37427&lt;/D&gt;&lt;D xsi:type="xsd:long"&gt;37426&lt;/D&gt;&lt;D xsi:type="xsd:long"&gt;37425&lt;/D&gt;&lt;D xsi:type="xsd:long"&gt;37424&lt;/D&gt;&lt;D xsi:type="xsd:long"&gt;37421&lt;/D&gt;&lt;D xsi:type="xsd:long"&gt;37420&lt;/D&gt;&lt;D xsi:type="xsd:long"&gt;37419&lt;/D&gt;&lt;D xsi:type="xsd:long"&gt;37418&lt;/D&gt;&lt;D xsi:type="xsd:long"&gt;37417&lt;/D&gt;&lt;D xsi:type="xsd:long"&gt;37414&lt;/D&gt;&lt;D xsi:type="xsd:long"&gt;37413&lt;/D&gt;&lt;D xsi:type="xsd:long"&gt;37412&lt;/D&gt;&lt;D xsi:type="xsd:long"&gt;37411&lt;/D&gt;&lt;D xsi:type="xsd:long"&gt;37410&lt;/D&gt;&lt;D xsi:type="xsd:long"&gt;37407&lt;/D&gt;&lt;D xsi:type="xsd:long"&gt;37406&lt;/D&gt;&lt;D xsi:type="xsd:long"&gt;37405&lt;/D&gt;&lt;D xsi:type="xsd:long"&gt;37404&lt;/D&gt;&lt;D xsi:type="xsd:long"&gt;37400&lt;/D&gt;&lt;D xsi:type="xsd:long"&gt;37399&lt;/D&gt;&lt;D xsi:type="xsd:long"&gt;37398&lt;/D&gt;&lt;D xsi:type="xsd:long"&gt;37397&lt;/D&gt;&lt;D xsi:type="xsd:long"&gt;37396&lt;/D&gt;&lt;D xsi:type="xsd:long"&gt;37393&lt;/D&gt;&lt;D xsi:type="xsd:long"&gt;37392&lt;/D&gt;&lt;D xsi:type="xsd:long"&gt;37391&lt;/D&gt;&lt;D xsi:type="xsd:long"&gt;37390&lt;/D&gt;&lt;D xsi:type="xsd:long"&gt;37389&lt;/D&gt;&lt;D xsi:type="xsd:long"&gt;37386&lt;/D&gt;&lt;D xsi:type="xsd:long"&gt;37385&lt;/D&gt;&lt;D xsi:type="xsd:long"&gt;37384&lt;/D&gt;&lt;D xsi:type="xsd:long"&gt;37383&lt;/D&gt;&lt;D xsi:type="xsd:long"&gt;37382&lt;/D&gt;&lt;D xsi:type="xsd:long"&gt;37379&lt;/D&gt;&lt;D xsi:type="xsd:long"&gt;37378&lt;/D&gt;&lt;D xsi:type="xsd:long"&gt;37377&lt;/D&gt;&lt;D xsi:type="xsd:long"&gt;37376&lt;/D&gt;&lt;D xsi:type="xsd:long"&gt;37375&lt;/D&gt;&lt;D xsi:type="xsd:long"&gt;37372&lt;/D&gt;&lt;D xsi:type="xsd:long"&gt;37371&lt;/D&gt;&lt;D xsi:type="xsd:long"&gt;37370&lt;/D&gt;&lt;D xsi:type="xsd:long"&gt;37369&lt;/D&gt;&lt;D xsi:type="xsd:long"&gt;37368&lt;/D&gt;&lt;D xsi:type="xsd:long"&gt;37365&lt;/D&gt;&lt;D xsi:type="xsd:long"&gt;37364&lt;/D&gt;&lt;D xsi:type="xsd:long"&gt;37363&lt;/D&gt;&lt;D xsi:type="xsd:long"&gt;37362&lt;/D&gt;&lt;D xsi:type="xsd:long"&gt;37361&lt;/D&gt;&lt;D xsi:type="xsd:long"&gt;37358&lt;/D&gt;&lt;D xsi:type="xsd:long"&gt;37357&lt;/D&gt;&lt;D xsi:type="xsd:long"&gt;37356&lt;/D&gt;&lt;D xsi:type="xsd:long"&gt;37355&lt;/D&gt;&lt;D xsi:type="xsd:long"&gt;37354&lt;/D&gt;&lt;D xsi:type="xsd:long"&gt;37351&lt;/D&gt;&lt;D xsi:type="xsd:long"&gt;37350&lt;/D&gt;&lt;D xsi:type="xsd:long"&gt;37349&lt;/D&gt;&lt;D xsi:type="xsd:long"&gt;37348&lt;/D&gt;&lt;D xsi:type="xsd:long"&gt;37347&lt;/D&gt;&lt;D xsi:type="xsd:long"&gt;37343&lt;/D&gt;&lt;D xsi:type="xsd:long"&gt;37342&lt;/D&gt;&lt;D xsi:type="xsd:long"&gt;37341&lt;/D&gt;&lt;D xsi:type="xsd:long"&gt;37340&lt;/D&gt;&lt;D xsi:type="xsd:long"&gt;37337&lt;/D&gt;&lt;D xsi:type="xsd:long"&gt;37336&lt;/D&gt;&lt;D xsi:type="xsd:long"&gt;37335&lt;/D&gt;&lt;D xsi:type="xsd:long"&gt;37334&lt;/D&gt;&lt;D xsi:type="xsd:long"&gt;37333&lt;/D&gt;&lt;D xsi:type="xsd:long"&gt;37330&lt;/D&gt;&lt;D xsi:type="xsd:long"&gt;37329&lt;/D&gt;&lt;D xsi:type="xsd:long"&gt;37328&lt;/D&gt;&lt;D xsi:type="xsd:long"&gt;37327&lt;/D&gt;&lt;D xsi:type="xsd:long"&gt;37326&lt;/D&gt;&lt;D xsi:type="xsd:long"&gt;37323&lt;/D&gt;&lt;D xsi:type="xsd:long"&gt;37322&lt;/D&gt;&lt;D xsi:type="xsd:long"&gt;37321&lt;/D&gt;&lt;D xsi:type="xsd:long"&gt;37320&lt;/D&gt;&lt;D xsi:type="xsd:long"&gt;37319&lt;/D&gt;&lt;D xsi:type="xsd:long"&gt;37316&lt;/D&gt;&lt;D xsi:type="xsd:long"&gt;37315&lt;/D&gt;&lt;D xsi:type="xsd:long"&gt;37314&lt;/D&gt;&lt;D xsi:type="xsd:long"&gt;37313&lt;/D&gt;&lt;D xsi:type="xsd:long"&gt;37312&lt;/D&gt;&lt;D xsi:type="xsd:long"&gt;37309&lt;/D&gt;&lt;D xsi:type="xsd:long"&gt;37308&lt;/D&gt;&lt;D xsi:type="xsd:long"&gt;37307&lt;/D&gt;&lt;D xsi:type="xsd:long"&gt;37306&lt;/D&gt;&lt;D xsi:type="xsd:long"&gt;37302&lt;/D&gt;&lt;D xsi:type="xsd:long"&gt;37301&lt;/D&gt;&lt;D xsi:type="xsd:long"&gt;37300&lt;/D&gt;&lt;D xsi:type="xsd:long"&gt;37299&lt;/D&gt;&lt;D xsi:type="xsd:long"&gt;37298&lt;/D&gt;&lt;D xsi:type="xsd:long"&gt;37295&lt;/D&gt;&lt;D xsi:type="xsd:long"&gt;37294&lt;/D&gt;&lt;D xsi:type="xsd:long"&gt;37293&lt;/D&gt;&lt;D xsi:type="xsd:long"&gt;37292&lt;/D&gt;&lt;D xsi:type="xsd:long"&gt;37291&lt;/D&gt;&lt;D xsi:type="xsd:long"&gt;37288&lt;/D&gt;&lt;D xsi:type="xsd:long"&gt;37287&lt;/D&gt;&lt;D xsi:type="xsd:long"&gt;37286&lt;/D&gt;&lt;D xsi:type="xsd:long"&gt;37285&lt;/D&gt;&lt;D xsi:type="xsd:long"&gt;37284&lt;/D&gt;&lt;D xsi:type="xsd:long"&gt;37281&lt;/D&gt;&lt;D xsi:type="xsd:long"&gt;37280&lt;/D&gt;&lt;D xsi:type="xsd:long"&gt;37279&lt;/D&gt;&lt;D xsi:type="xsd:long"&gt;37278&lt;/D&gt;&lt;D xsi:type="xsd:long"&gt;37274&lt;/D&gt;&lt;D xsi:type="xsd:long"&gt;37273&lt;/D&gt;&lt;D xsi:type="xsd:long"&gt;37272&lt;/D&gt;&lt;D xsi:type="xsd:long"&gt;37271&lt;/D&gt;&lt;D xsi:type="xsd:long"&gt;37270&lt;/D&gt;&lt;D xsi:type="xsd:long"&gt;37267&lt;/D&gt;&lt;D xsi:type="xsd:long"&gt;37266&lt;/D&gt;&lt;D xsi:type="xsd:long"&gt;37265&lt;/D&gt;&lt;D xsi:type="xsd:long"&gt;37264&lt;/D&gt;&lt;D xsi:type="xsd:long"&gt;37263&lt;/D&gt;&lt;D xsi:type="xsd:long"&gt;37260&lt;/D&gt;&lt;D xsi:type="xsd:long"&gt;37259&lt;/D&gt;&lt;D xsi:type="xsd:long"&gt;37258&lt;/D&gt;&lt;D xsi:type="xsd:long"&gt;37256&lt;/D&gt;&lt;D xsi:type="xsd:long"&gt;37253&lt;/D&gt;&lt;D xsi:type="xsd:long"&gt;37252&lt;/D&gt;&lt;D xsi:type="xsd:long"&gt;37251&lt;/D&gt;&lt;D xsi:type="xsd:long"&gt;37249&lt;/D&gt;&lt;D xsi:type="xsd:long"&gt;37246&lt;/D&gt;&lt;D xsi:type="xsd:long"&gt;37245&lt;/D&gt;&lt;D xsi:type="xsd:long"&gt;37244&lt;/D&gt;&lt;D xsi:type="xsd:long"&gt;37243&lt;/D&gt;&lt;D xsi:type="xsd:long"&gt;37242&lt;/D&gt;&lt;D xsi:type="xsd:long"&gt;37239&lt;/D&gt;&lt;D xsi:type="xsd:long"&gt;37238&lt;/D&gt;&lt;D xsi:type="xsd:long"&gt;37237&lt;/D&gt;&lt;D xsi:type="xsd:long"&gt;37236&lt;/D&gt;&lt;D xsi:type="xsd:long"&gt;37235&lt;/D&gt;&lt;D xsi:type="xsd:long"&gt;37232&lt;/D&gt;&lt;D xsi:type="xsd:long"&gt;37231&lt;/D&gt;&lt;D xsi:type="xsd:long"&gt;37230&lt;/D&gt;&lt;D xsi:type="xsd:long"&gt;37229&lt;/D&gt;&lt;D xsi:type="xsd:long"&gt;37228&lt;/D&gt;&lt;D xsi:type="xsd:long"&gt;37225&lt;/D&gt;&lt;D xsi:type="xsd:long"&gt;37224&lt;/D&gt;&lt;D xsi:type="xsd:long"&gt;37223&lt;/D&gt;&lt;D xsi:type="xsd:long"&gt;37222&lt;/D&gt;&lt;D xsi:type="xsd:long"&gt;37221&lt;/D&gt;&lt;D xsi:type="xsd:long"&gt;37218&lt;/D&gt;&lt;D xsi:type="xsd:long"&gt;37216&lt;/D&gt;&lt;D xsi:type="xsd:long"&gt;37215&lt;/D&gt;&lt;D xsi:type="xsd:long"&gt;37214&lt;/D&gt;&lt;D xsi:type="xsd:long"&gt;37211&lt;/D&gt;&lt;D xsi:type="xsd:long"&gt;37210&lt;/D&gt;&lt;D xsi:type="xsd:long"&gt;37209&lt;/D&gt;&lt;D xsi:type="xsd:long"&gt;37208&lt;/D&gt;&lt;D xsi:type="xsd:long"&gt;37207&lt;/D&gt;&lt;D xsi:type="xsd:long"&gt;37204&lt;/D&gt;&lt;D xsi:type="xsd:long"&gt;37203&lt;/D&gt;&lt;D xsi:type="xsd:long"&gt;37202&lt;/D&gt;&lt;D xsi:type="xsd:long"&gt;37201&lt;/D&gt;&lt;D xsi:type="xsd:long"&gt;37200&lt;/D&gt;&lt;D xsi:type="xsd:long"&gt;37197&lt;/D&gt;&lt;D xsi:type="xsd:long"&gt;37196&lt;/D&gt;&lt;D xsi:type="xsd:long"&gt;37195&lt;/D&gt;&lt;D xsi:type="xsd:long"&gt;37194&lt;/D&gt;&lt;D xsi:type="xsd:long"&gt;37193&lt;/D&gt;&lt;D xsi:type="xsd:long"&gt;37190&lt;/D&gt;&lt;D xsi:type="xsd:long"&gt;37189&lt;/D&gt;&lt;D xsi:type="xsd:long"&gt;37188&lt;/D&gt;&lt;D xsi:type="xsd:long"&gt;37187&lt;/D&gt;&lt;D xsi:type="xsd:long"&gt;37186&lt;/D&gt;&lt;D xsi:type="xsd:long"&gt;37183&lt;/D&gt;&lt;D xsi:type="xsd:long"&gt;37182&lt;/D&gt;&lt;D xsi:type="xsd:long"&gt;37181&lt;/D&gt;&lt;D xsi:type="xsd:long"&gt;37180&lt;/D&gt;&lt;D xsi:type="xsd:long"&gt;37179&lt;/D&gt;&lt;D xsi:type="xsd:long"&gt;37176&lt;/D&gt;&lt;D xsi:type="xsd:long"&gt;37175&lt;/D&gt;&lt;D xsi:type="xsd:long"&gt;37174&lt;/D&gt;&lt;D xsi:type="xsd:long"&gt;37173&lt;/D&gt;&lt;D xsi:type="xsd:long"&gt;37172&lt;/D&gt;&lt;D xsi:type="xsd:long"&gt;37169&lt;/D&gt;&lt;D xsi:type="xsd:long"&gt;37168&lt;/D&gt;&lt;D xsi:type="xsd:long"&gt;37167&lt;/D&gt;&lt;D xsi:type="xsd:long"&gt;37166&lt;/D&gt;&lt;D xsi:type="xsd:long"&gt;37165&lt;/D&gt;&lt;D xsi:type="xsd:long"&gt;37162&lt;/D&gt;&lt;D xsi:type="xsd:long"&gt;37161&lt;/D&gt;&lt;D xsi:type="xsd:long"&gt;37160&lt;/D&gt;&lt;D xsi:type="xsd:long"&gt;37159&lt;/D&gt;&lt;D xsi:type="xsd:long"&gt;37158&lt;/D&gt;&lt;D xsi:type="xsd:long"&gt;37155&lt;/D&gt;&lt;D xsi:type="xsd:long"&gt;37154&lt;/D&gt;&lt;D xsi:type="xsd:long"&gt;37153&lt;/D&gt;&lt;D xsi:type="xsd:long"&gt;37152&lt;/D&gt;&lt;D xsi:type="xsd:long"&gt;37151&lt;/D&gt;&lt;D xsi:type="xsd:long"&gt;37144&lt;/D&gt;&lt;D xsi:type="xsd:long"&gt;37141&lt;/D&gt;&lt;D xsi:type="xsd:long"&gt;37140&lt;/D&gt;&lt;D xsi:type="xsd:long"&gt;37139&lt;/D&gt;&lt;D xsi:type="xsd:long"&gt;37138&lt;/D&gt;&lt;D xsi:type="xsd:long"&gt;37134&lt;/D&gt;&lt;D xsi:type="xsd:long"&gt;37133&lt;/D&gt;&lt;D xsi:type="xsd:long"&gt;37132&lt;/D&gt;&lt;D xsi:type="xsd:long"&gt;37131&lt;/D&gt;&lt;D xsi:type="xsd:long"&gt;37130&lt;/D&gt;&lt;D xsi:type="xsd:long"&gt;37127&lt;/D&gt;&lt;D xsi:type="xsd:long"&gt;37126&lt;/D&gt;&lt;D xsi:type="xsd:long"&gt;37125&lt;/D&gt;&lt;D xsi:type="xsd:long"&gt;37124&lt;/D&gt;&lt;D xsi:type="xsd:long"&gt;37123&lt;/D&gt;&lt;D xsi:type="xsd:long"&gt;37120&lt;/D&gt;&lt;D xsi:type="xsd:long"&gt;37119&lt;/D&gt;&lt;D xsi:type="xsd:long"&gt;37118&lt;/D&gt;&lt;D xsi:type="xsd:long"&gt;37117&lt;/D&gt;&lt;D xsi:type="xsd:long"&gt;37116&lt;/D&gt;&lt;D xsi:type="xsd:long"&gt;37113&lt;/D&gt;&lt;D xsi:type="xsd:long"&gt;37112&lt;/D&gt;&lt;D xsi:type="xsd:long"&gt;37111&lt;/D&gt;&lt;D xsi:type="xsd:long"&gt;37110&lt;/D&gt;&lt;D xsi:type="xsd:long"&gt;37109&lt;/D&gt;&lt;D xsi:type="xsd:long"&gt;37106&lt;/D&gt;&lt;D xsi:type="xsd:long"&gt;37105&lt;/D&gt;&lt;D xsi:type="xsd:long"&gt;37104&lt;/D&gt;&lt;D xsi:type="xsd:long"&gt;37103&lt;/D&gt;&lt;D xsi:type="xsd:long"&gt;37102&lt;/D&gt;&lt;D xsi:type="xsd:long"&gt;37099&lt;/D&gt;&lt;D xsi:type="xsd:long"&gt;37098&lt;/D&gt;&lt;D xsi:type="xsd:long"&gt;37097&lt;/D&gt;&lt;D xsi:type="xsd:long"&gt;37096&lt;/D&gt;&lt;D xsi:type="xsd:long"&gt;37095&lt;/D&gt;&lt;D xsi:type="xsd:long"&gt;37092&lt;/D&gt;&lt;D xsi:type="xsd:long"&gt;37091&lt;/D&gt;&lt;D xsi:type="xsd:long"&gt;37090&lt;/D&gt;&lt;D xsi:type="xsd:long"&gt;37089&lt;/D&gt;&lt;D xsi:type="xsd:long"&gt;37088&lt;/D&gt;&lt;D xsi:type="xsd:long"&gt;37085&lt;/D&gt;&lt;D xsi:type="xsd:long"&gt;37084&lt;/D&gt;&lt;D xsi:type="xsd:long"&gt;37083&lt;/D&gt;&lt;D xsi:type="xsd:long"&gt;37082&lt;/D&gt;&lt;D xsi:type="xsd:long"&gt;37081&lt;/D&gt;&lt;D xsi:type="xsd:long"&gt;37078&lt;/D&gt;&lt;D xsi:type="xsd:long"&gt;37077&lt;/D&gt;&lt;D xsi:type="xsd:long"&gt;37075&lt;/D&gt;&lt;D xsi:type="xsd:long"&gt;37074&lt;/D&gt;&lt;D xsi:type="xsd:long"&gt;37071&lt;/D&gt;&lt;D xsi:type="xsd:long"&gt;37070&lt;/D&gt;&lt;D xsi:type="xsd:long"&gt;37069&lt;/D&gt;&lt;D xsi:type="xsd:long"&gt;37068&lt;/D&gt;&lt;D xsi:type="xsd:long"&gt;37067&lt;/D&gt;&lt;D xsi:type="xsd:long"&gt;37064&lt;/D&gt;&lt;D xsi:type="xsd:long"&gt;37063&lt;/D&gt;&lt;D xsi:type="xsd:long"&gt;37062&lt;/D&gt;&lt;D xsi:type="xsd:long"&gt;37061&lt;/D&gt;&lt;D xsi:type="xsd:long"&gt;37060&lt;/D&gt;&lt;D xsi:type="xsd:long"&gt;37057&lt;/D&gt;&lt;D xsi:type="xsd:long"&gt;37056&lt;/D&gt;&lt;D xsi:type="xsd:long"&gt;37055&lt;/D&gt;&lt;D xsi:type="xsd:long"&gt;37054&lt;/D&gt;&lt;D xsi:type="xsd:long"&gt;37053&lt;/D&gt;&lt;D xsi:type="xsd:long"&gt;37050&lt;/D&gt;&lt;D xsi:type="xsd:long"&gt;37049&lt;/D&gt;&lt;D xsi:type="xsd:long"&gt;37048&lt;/D&gt;&lt;D xsi:type="xsd:long"&gt;37047&lt;/D&gt;&lt;D xsi:type="xsd:long"&gt;37046&lt;/D&gt;&lt;D xsi:type="xsd:long"&gt;37043&lt;/D&gt;&lt;D xsi:type="xsd:long"&gt;37042&lt;/D&gt;&lt;D xsi:type="xsd:long"&gt;37041&lt;/D&gt;&lt;D xsi:type="xsd:long"&gt;37040&lt;/D&gt;&lt;D xsi:type="xsd:long"&gt;37036&lt;/D&gt;&lt;D xsi:type="xsd:long"&gt;37035&lt;/D&gt;&lt;D xsi:type="xsd:long"&gt;37034&lt;/D&gt;&lt;D xsi:type="xsd:long"&gt;37033&lt;/D&gt;&lt;D xsi:type="xsd:long"&gt;37032&lt;/D&gt;&lt;D xsi:type="xsd:long"&gt;37029&lt;/D&gt;&lt;D xsi:type="xsd:long"&gt;37028&lt;/D&gt;&lt;D xsi:type="xsd:long"&gt;37027&lt;/D&gt;&lt;D xsi:type="xsd:long"&gt;37026&lt;/D&gt;&lt;D xsi:type="xsd:long"&gt;37025&lt;/D&gt;&lt;D xsi:type="xsd:long"&gt;37022&lt;/D&gt;&lt;D xsi:type="xsd:long"&gt;37021&lt;/D&gt;&lt;D xsi:type="xsd:long"&gt;37020&lt;/D&gt;&lt;D xsi:type="xsd:long"&gt;37019&lt;/D&gt;&lt;D xsi:type="xsd:long"&gt;37018&lt;/D&gt;&lt;D xsi:type="xsd:long"&gt;37015&lt;/D&gt;&lt;D xsi:type="xsd:long"&gt;37014&lt;/D&gt;&lt;D xsi:type="xsd:long"&gt;37013&lt;/D&gt;&lt;D xsi:type="xsd:long"&gt;37012&lt;/D&gt;&lt;D xsi:type="xsd:long"&gt;37011&lt;/D&gt;&lt;D xsi:type="xsd:long"&gt;37008&lt;/D&gt;&lt;D xsi:type="xsd:long"&gt;37007&lt;/D&gt;&lt;D xsi:type="xsd:long"&gt;37006&lt;/D&gt;&lt;D xsi:type="xsd:long"&gt;37005&lt;/D&gt;&lt;D xsi:type="xsd:long"&gt;37004&lt;/D&gt;&lt;D xsi:type="xsd:long"&gt;37001&lt;/D&gt;&lt;D xsi:type="xsd:long"&gt;37000&lt;/D&gt;&lt;D xsi:type="xsd:long"&gt;36999&lt;/D&gt;&lt;D xsi:type="xsd:long"&gt;36998&lt;/D&gt;&lt;D xsi:type="xsd:long"&gt;36997&lt;/D&gt;&lt;D xsi:type="xsd:long"&gt;36993&lt;/D&gt;&lt;D xsi:type="xsd:long"&gt;36992&lt;/D&gt;&lt;D xsi:type="xsd:long"&gt;36991&lt;/D&gt;&lt;D xsi:type="xsd:long"&gt;36990&lt;/D&gt;&lt;D xsi:type="xsd:long"&gt;36987&lt;/D&gt;&lt;D xsi:type="xsd:long"&gt;36986&lt;/D&gt;&lt;D xsi:type="xsd:long"&gt;36985&lt;/D&gt;&lt;D xsi:type="xsd:long"&gt;36984&lt;/D&gt;&lt;D xsi:type="xsd:long"&gt;36983&lt;/D&gt;&lt;D xsi:type="xsd:long"&gt;36980&lt;/D&gt;&lt;D xsi:type="xsd:long"&gt;36979&lt;/D&gt;&lt;D xsi:type="xsd:long"&gt;36978&lt;/D&gt;&lt;D xsi:type="xsd:long"&gt;36977&lt;/D&gt;&lt;D xsi:type="xsd:long"&gt;36976&lt;/D&gt;&lt;D xsi:type="xsd:long"&gt;36973&lt;/D&gt;&lt;D xsi:type="xsd:long"&gt;36972&lt;/D&gt;&lt;D xsi:type="xsd:long"&gt;36971&lt;/D&gt;&lt;D xsi:type="xsd:long"&gt;36970&lt;/D&gt;&lt;D xsi:type="xsd:long"&gt;36969&lt;/D&gt;&lt;D xsi:type="xsd:long"&gt;36966&lt;/D&gt;&lt;D xsi:type="xsd:long"&gt;36965&lt;/D&gt;&lt;D xsi:type="xsd:long"&gt;36964&lt;/D&gt;&lt;D xsi:type="xsd:long"&gt;36963&lt;/D&gt;&lt;D xsi:type="xsd:long"&gt;36962&lt;/D&gt;&lt;D xsi:type="xsd:long"&gt;36959&lt;/D&gt;&lt;D xsi:type="xsd:long"&gt;36958&lt;/D&gt;&lt;D xsi:type="xsd:long"&gt;36957&lt;/D&gt;&lt;D xsi:type="xsd:long"&gt;36956&lt;/D&gt;&lt;D xsi:type="xsd:long"&gt;36955&lt;/D&gt;&lt;D xsi:type="xsd:long"&gt;36952&lt;/D&gt;&lt;D xsi:type="xsd:long"&gt;36951&lt;/D&gt;&lt;D xsi:type="xsd:long"&gt;36950&lt;/D&gt;&lt;D xsi:type="xsd:long"&gt;36949&lt;/D&gt;&lt;D xsi:type="xsd:long"&gt;36948&lt;/D&gt;&lt;D xsi:type="xsd:long"&gt;36945&lt;/D&gt;&lt;D xsi:type="xsd:long"&gt;36944&lt;/D&gt;&lt;D xsi:type="xsd:long"&gt;36943&lt;/D&gt;&lt;D xsi:type="xsd:long"&gt;36942&lt;/D&gt;&lt;D xsi:type="xsd:long"&gt;36938&lt;/D&gt;&lt;D xsi:type="xsd:long"&gt;36937&lt;/D&gt;&lt;D xsi:type="xsd:long"&gt;36936&lt;/D&gt;&lt;D xsi:type="xsd:long"&gt;36935&lt;/D&gt;&lt;D xsi:type="xsd:long"&gt;36934&lt;/D&gt;&lt;D xsi:type="xsd:long"&gt;36931&lt;/D&gt;&lt;D xsi:type="xsd:long"&gt;36930&lt;/D&gt;&lt;D xsi:type="xsd:long"&gt;36929&lt;/D&gt;&lt;D xsi:type="xsd:long"&gt;36928&lt;/D&gt;&lt;D xsi:type="xsd:long"&gt;36927&lt;/D&gt;&lt;D xsi:type="xsd:long"&gt;36924&lt;/D&gt;&lt;D xsi:type="xsd:long"&gt;36923&lt;/D&gt;&lt;D xsi:type="xsd:long"&gt;36922&lt;/D&gt;&lt;D xsi:type="xsd:long"&gt;36921&lt;/D&gt;&lt;D xsi:type="xsd:long"&gt;36920&lt;/D&gt;&lt;D xsi:type="xsd:long"&gt;36917&lt;/D&gt;&lt;D xsi:type="xsd:long"&gt;36916&lt;/D&gt;&lt;D xsi:type="xsd:long"&gt;36915&lt;/D&gt;&lt;D xsi:type="xsd:long"&gt;36914&lt;/D&gt;&lt;D xsi:type="xsd:long"&gt;36913&lt;/D&gt;&lt;D xsi:type="xsd:long"&gt;36910&lt;/D&gt;&lt;D xsi:type="xsd:long"&gt;36909&lt;/D&gt;&lt;D xsi:type="xsd:long"&gt;36908&lt;/D&gt;&lt;D xsi:type="xsd:long"&gt;36907&lt;/D&gt;&lt;D xsi:type="xsd:long"&gt;36903&lt;/D&gt;&lt;D xsi:type="xsd:long"&gt;36902&lt;/D&gt;&lt;D xsi:type="xsd:long"&gt;36901&lt;/D&gt;&lt;D xsi:type="xsd:long"&gt;36900&lt;/D&gt;&lt;D xsi:type="xsd:long"&gt;36899&lt;/D&gt;&lt;D xsi:type="xsd:long"&gt;36896&lt;/D&gt;&lt;D xsi:type="xsd:long"&gt;36895&lt;/D&gt;&lt;D xsi:type="xsd:long"&gt;36894&lt;/D&gt;&lt;D xsi:type="xsd:long"&gt;36893&lt;/D&gt;&lt;D xsi:type="xsd:long"&gt;36889&lt;/D&gt;&lt;D xsi:type="xsd:long"&gt;36888&lt;/D&gt;&lt;D xsi:type="xsd:long"&gt;36887&lt;/D&gt;&lt;D xsi:type="xsd:long"&gt;36886&lt;/D&gt;&lt;D xsi:type="xsd:long"&gt;36882&lt;/D&gt;&lt;D xsi:type="xsd:long"&gt;36881&lt;/D&gt;&lt;D xsi:type="xsd:long"&gt;36880&lt;/D&gt;&lt;D xsi:type="xsd:long"&gt;36879&lt;/D&gt;&lt;D xsi:type="xsd:long"&gt;36878&lt;/D&gt;&lt;D xsi:type="xsd:long"&gt;36875&lt;/D&gt;&lt;D xsi:type="xsd:long"&gt;36874&lt;/D&gt;&lt;D xsi:type="xsd:long"&gt;36873&lt;/D&gt;&lt;D xsi:type="xsd:long"&gt;36872&lt;/D&gt;&lt;D xsi:type="xsd:long"&gt;36871&lt;/D&gt;&lt;D xsi:type="xsd:long"&gt;36868&lt;/D&gt;&lt;D xsi:type="xsd:long"&gt;36867&lt;/D&gt;&lt;D xsi:type="xsd:long"&gt;36866&lt;/D&gt;&lt;D xsi:type="xsd:long"&gt;36865&lt;/D&gt;&lt;D xsi:type="xsd:long"&gt;36864&lt;/D&gt;&lt;D xsi:type="xsd:long"&gt;36861&lt;/D&gt;&lt;D xsi:type="xsd:long"&gt;36860&lt;/D&gt;&lt;D xsi:type="xsd:long"&gt;36859&lt;/D&gt;&lt;D xsi:type="xsd:long"&gt;36858&lt;/D&gt;&lt;D xsi:type="xsd:long"&gt;36857&lt;/D&gt;&lt;D xsi:type="xsd:long"&gt;36854&lt;/D&gt;&lt;D xsi:type="xsd:long"&gt;36852&lt;/D&gt;&lt;D xsi:type="xsd:long"&gt;36851&lt;/D&gt;&lt;D xsi:type="xsd:long"&gt;36850&lt;/D&gt;&lt;D xsi:type="xsd:long"&gt;36847&lt;/D&gt;&lt;D xsi:type="xsd:long"&gt;36846&lt;/D&gt;&lt;D xsi:type="xsd:long"&gt;36845&lt;/D&gt;&lt;D xsi:type="xsd:long"&gt;36844&lt;/D&gt;&lt;D xsi:type="xsd:long"&gt;36843&lt;/D&gt;&lt;D xsi:type="xsd:long"&gt;36840&lt;/D&gt;&lt;D xsi:type="xsd:long"&gt;36839&lt;/D&gt;&lt;D xsi:type="xsd:long"&gt;36838&lt;/D&gt;&lt;D xsi:type="xsd:long"&gt;36837&lt;/D&gt;&lt;D xsi:type="xsd:long"&gt;36836&lt;/D&gt;&lt;D xsi:type="xsd:long"&gt;36833&lt;/D&gt;&lt;D xsi:type="xsd:long"&gt;36832&lt;/D&gt;&lt;D xsi:type="xsd:long"&gt;36831&lt;/D&gt;&lt;D xsi:type="xsd:long"&gt;36830&lt;/D&gt;&lt;D xsi:type="xsd:long"&gt;36829&lt;/D&gt;&lt;D xsi:type="xsd:long"&gt;36826&lt;/D&gt;&lt;D xsi:type="xsd:long"&gt;36825&lt;/D&gt;&lt;D xsi:type="xsd:long"&gt;36824&lt;/D&gt;&lt;D xsi:type="xsd:long"&gt;36823&lt;/D&gt;&lt;D xsi:type="xsd:long"&gt;36822&lt;/D&gt;&lt;D xsi:type="xsd:long"&gt;36819&lt;/D&gt;&lt;D xsi:type="xsd:long"&gt;36818&lt;/D&gt;&lt;D xsi:type="xsd:long"&gt;36817&lt;/D&gt;&lt;D xsi:type="xsd:long"&gt;36816&lt;/D&gt;&lt;D xsi:type="xsd:long"&gt;36815&lt;/D&gt;&lt;D xsi:type="xsd:long"&gt;36812&lt;/D&gt;&lt;D xsi:type="xsd:long"&gt;36811&lt;/D&gt;&lt;D xsi:type="xsd:long"&gt;36810&lt;/D&gt;&lt;D xsi:type="xsd:long"&gt;36809&lt;/D&gt;&lt;D xsi:type="xsd:long"&gt;36808&lt;/D&gt;&lt;D xsi:type="xsd:long"&gt;36805&lt;/D&gt;&lt;D xsi:type="xsd:long"&gt;36804&lt;/D&gt;&lt;D xsi:type="xsd:long"&gt;36803&lt;/D&gt;&lt;D xsi:type="xsd:long"&gt;36802&lt;/D&gt;&lt;D xsi:type="xsd:long"&gt;36801&lt;/D&gt;&lt;D xsi:type="xsd:long"&gt;36798&lt;/D&gt;&lt;D xsi:type="xsd:long"&gt;36797&lt;/D&gt;&lt;D xsi:type="xsd:long"&gt;36796&lt;/D&gt;&lt;D xsi:type="xsd:long"&gt;36795&lt;/D&gt;&lt;D xsi:type="xsd:long"&gt;36794&lt;/D&gt;&lt;D xsi:type="xsd:long"&gt;36791&lt;/D&gt;&lt;D xsi:type="xsd:long"&gt;36790&lt;/D&gt;&lt;D xsi:type="xsd:long"&gt;36789&lt;/D&gt;&lt;D xsi:type="xsd:long"&gt;36788&lt;/D&gt;&lt;D xsi:type="xsd:long"&gt;36787&lt;/D&gt;&lt;D xsi:type="xsd:long"&gt;36784&lt;/D&gt;&lt;D xsi:type="xsd:long"&gt;36783&lt;/D&gt;&lt;D xsi:type="xsd:long"&gt;36782&lt;/D&gt;&lt;D xsi:type="xsd:long"&gt;36781&lt;/D&gt;&lt;D xsi:type="xsd:long"&gt;36780&lt;/D&gt;&lt;D xsi:type="xsd:long"&gt;36777&lt;/D&gt;&lt;D xsi:type="xsd:long"&gt;36776&lt;/D&gt;&lt;D xsi:type="xsd:long"&gt;36775&lt;/D&gt;&lt;D xsi:type="xsd:long"&gt;36774&lt;/D&gt;&lt;D xsi:type="xsd:long"&gt;36770&lt;/D&gt;&lt;D xsi:type="xsd:long"&gt;36769&lt;/D&gt;&lt;D xsi:type="xsd:long"&gt;36768&lt;/D&gt;&lt;D xsi:type="xsd:long"&gt;36767&lt;/D&gt;&lt;D xsi:type="xsd:long"&gt;36766&lt;/D&gt;&lt;D xsi:type="xsd:long"&gt;36763&lt;/D&gt;&lt;D xsi:type="xsd:long"&gt;36762&lt;/D&gt;&lt;D xsi:type="xsd:long"&gt;36761&lt;/D&gt;&lt;D xsi:type="xsd:long"&gt;36760&lt;/D&gt;&lt;D xsi:type="xsd:long"&gt;36759&lt;/D&gt;&lt;D xsi:type="xsd:long"&gt;36756&lt;/D&gt;&lt;D xsi:type="xsd:long"&gt;36755&lt;/D&gt;&lt;D xsi:type="xsd:long"&gt;36754&lt;/D&gt;&lt;D xsi:type="xsd:long"&gt;36753&lt;/D&gt;&lt;D xsi:type="xsd:long"&gt;36752&lt;/D&gt;&lt;D xsi:type="xsd:long"&gt;36749&lt;/D&gt;&lt;D xsi:type="xsd:long"&gt;36748&lt;/D&gt;&lt;D xsi:type="xsd:long"&gt;36747&lt;/D&gt;&lt;D xsi:type="xsd:long"&gt;36746&lt;/D&gt;&lt;D xsi:type="xsd:long"&gt;36745&lt;/D&gt;&lt;D xsi:type="xsd:long"&gt;36742&lt;/D&gt;&lt;D xsi:type="xsd:long"&gt;36741&lt;/D&gt;&lt;D xsi:type="xsd:long"&gt;36740&lt;/D&gt;&lt;D xsi:type="xsd:long"&gt;36739&lt;/D&gt;&lt;D xsi:type="xsd:long"&gt;36738&lt;/D&gt;&lt;D xsi:type="xsd:long"&gt;36735&lt;/D&gt;&lt;D xsi:type="xsd:long"&gt;36734&lt;/D&gt;&lt;D xsi:type="xsd:long"&gt;36733&lt;/D&gt;&lt;D xsi:type="xsd:long"&gt;36732&lt;/D&gt;&lt;D xsi:type="xsd:long"&gt;36731&lt;/D&gt;&lt;D xsi:type="xsd:long"&gt;36728&lt;/D&gt;&lt;D xsi:type="xsd:long"&gt;36727&lt;/D&gt;&lt;D xsi:type="xsd:long"&gt;36726&lt;/D&gt;&lt;D xsi:type="xsd:long"&gt;36725&lt;/D&gt;&lt;D xsi:type="xsd:long"&gt;36724&lt;/D&gt;&lt;D xsi:type="xsd:long"&gt;36721&lt;/D&gt;&lt;D xsi:type="xsd:long"&gt;36720&lt;/D&gt;&lt;D xsi:type="xsd:long"&gt;36719&lt;/D&gt;&lt;D xsi:type="xsd:long"&gt;36718&lt;/D&gt;&lt;D xsi:type="xsd:long"&gt;36717&lt;/D&gt;&lt;D xsi:type="xsd:long"&gt;36714&lt;/D&gt;&lt;D xsi:type="xsd:long"&gt;36713&lt;/D&gt;&lt;D xsi:type="xsd:long"&gt;36712&lt;/D&gt;&lt;D xsi:type="xsd:long"&gt;36710&lt;/D&gt;&lt;D xsi:type="xsd:long"&gt;36707&lt;/D&gt;&lt;D xsi:type="xsd:long"&gt;36706&lt;/D&gt;&lt;D xsi:type="xsd:long"&gt;36705&lt;/D&gt;&lt;D xsi:type="xsd:long"&gt;36704&lt;/D&gt;&lt;D xsi:type="xsd:long"&gt;36703&lt;/D&gt;&lt;D xsi:type="xsd:long"&gt;36700&lt;/D&gt;&lt;D xsi:type="xsd:long"&gt;36699&lt;/D&gt;&lt;D xsi:type="xsd:long"&gt;36698&lt;/D&gt;&lt;D xsi:type="xsd:long"&gt;36697&lt;/D&gt;&lt;D xsi:type="xsd:long"&gt;36696&lt;/D&gt;&lt;D xsi:type="xsd:long"&gt;36693&lt;/D&gt;&lt;D xsi:type="xsd:long"&gt;36692&lt;/D&gt;&lt;D xsi:type="xsd:long"&gt;36691&lt;/D&gt;&lt;D xsi:type="xsd:long"&gt;36690&lt;/D&gt;&lt;D xsi:type="xsd:long"&gt;36689&lt;/D&gt;&lt;D xsi:type="xsd:long"&gt;36686&lt;/D&gt;&lt;D xsi:type="xsd:long"&gt;36685&lt;/D&gt;&lt;D xsi:type="xsd:long"&gt;36684&lt;/D&gt;&lt;D xsi:type="xsd:long"&gt;36683&lt;/D&gt;&lt;D xsi:type="xsd:long"&gt;36682&lt;/D&gt;&lt;D xsi:type="xsd:long"&gt;36679&lt;/D&gt;&lt;D xsi:type="xsd:long"&gt;36678&lt;/D&gt;&lt;D xsi:type="xsd:long"&gt;36677&lt;/D&gt;&lt;D xsi:type="xsd:long"&gt;36676&lt;/D&gt;&lt;D xsi:type="xsd:long"&gt;36672&lt;/D&gt;&lt;D xsi:type="xsd:long"&gt;36671&lt;/D&gt;&lt;D xsi:type="xsd:long"&gt;36670&lt;/D&gt;&lt;D xsi:type="xsd:long"&gt;36669&lt;/D&gt;&lt;D xsi:type="xsd:long"&gt;36668&lt;/D&gt;&lt;D xsi:type="xsd:long"&gt;36665&lt;/D&gt;&lt;D xsi:type="xsd:long"&gt;36664&lt;/D&gt;&lt;D xsi:type="xsd:long"&gt;36663&lt;/D&gt;&lt;D xsi:type="xsd:long"&gt;36662&lt;/D&gt;&lt;D xsi:type="xsd:long"&gt;36661&lt;/D&gt;&lt;D xsi:type="xsd:long"&gt;36658&lt;/D&gt;&lt;D xsi:type="xsd:long"&gt;36657&lt;/D&gt;&lt;D xsi:type="xsd:long"&gt;36656&lt;/D&gt;&lt;D xsi:type="xsd:long"&gt;36655&lt;/D&gt;&lt;D xsi:type="xsd:long"&gt;36654&lt;/D&gt;&lt;D xsi:type="xsd:long"&gt;36651&lt;/D&gt;&lt;D xsi:type="xsd:long"&gt;36650&lt;/D&gt;&lt;D xsi:type="xsd:long"&gt;36649&lt;/D&gt;&lt;D xsi:type="xsd:long"&gt;36648&lt;/D&gt;&lt;D xsi:type="xsd:long"&gt;36647&lt;/D&gt;&lt;D xsi:type="xsd:long"&gt;36644&lt;/D&gt;&lt;D xsi:type="xsd:long"&gt;36643&lt;/D&gt;&lt;D xsi:type="xsd:long"&gt;36642&lt;/D&gt;&lt;D xsi:type="xsd:long"&gt;36641&lt;/D&gt;&lt;D xsi:type="xsd:long"&gt;36640&lt;/D&gt;&lt;D xsi:type="xsd:long"&gt;36636&lt;/D&gt;&lt;D xsi:type="xsd:long"&gt;36635&lt;/D&gt;&lt;D xsi:type="xsd:long"&gt;36634&lt;/D&gt;&lt;D xsi:type="xsd:long"&gt;36633&lt;/D&gt;&lt;D xsi:type="xsd:long"&gt;36630&lt;/D&gt;&lt;D xsi:type="xsd:long"&gt;36629&lt;/D&gt;&lt;D xsi:type="xsd:long"&gt;36628&lt;/D&gt;&lt;D xsi:type="xsd:long"&gt;36627&lt;/D&gt;&lt;D xsi:type="xsd:long"&gt;36626&lt;/D&gt;&lt;D xsi:type="xsd:long"&gt;36623&lt;/D&gt;&lt;D xsi:type="xsd:long"&gt;36622&lt;/D&gt;&lt;D xsi:type="xsd:long"&gt;36621&lt;/D&gt;&lt;D xsi:type="xsd:long"&gt;36620&lt;/D&gt;&lt;D xsi:type="xsd:long"&gt;36619&lt;/D&gt;&lt;D xsi:type="xsd:long"&gt;36616&lt;/D&gt;&lt;D xsi:type="xsd:long"&gt;36615&lt;/D&gt;&lt;D xsi:type="xsd:long"&gt;36614&lt;/D&gt;&lt;D xsi:type="xsd:long"&gt;36613&lt;/D&gt;&lt;D xsi:type="xsd:long"&gt;36612&lt;/D&gt;&lt;D xsi:type="xsd:long"&gt;36609&lt;/D&gt;&lt;D xsi:type="xsd:long"&gt;36608&lt;/D&gt;&lt;D xsi:type="xsd:long"&gt;36607&lt;/D&gt;&lt;D xsi:type="xsd:long"&gt;36606&lt;/D&gt;&lt;D xsi:type="xsd:long"&gt;36605&lt;/D&gt;&lt;D xsi:type="xsd:long"&gt;36602&lt;/D&gt;&lt;D xsi:type="xsd:long"&gt;36601&lt;/D&gt;&lt;D xsi:type="xsd:long"&gt;36600&lt;/D&gt;&lt;D xsi:type="xsd:long"&gt;36599&lt;/D&gt;&lt;D xsi:type="xsd:long"&gt;36598&lt;/D&gt;&lt;D xsi:type="xsd:long"&gt;36595&lt;/D&gt;&lt;D xsi:type="xsd:long"&gt;36594&lt;/D&gt;&lt;D xsi:type="xsd:long"&gt;36593&lt;/D&gt;&lt;D xsi:type="xsd:long"&gt;36592&lt;/D&gt;&lt;D xsi:type="xsd:long"&gt;36591&lt;/D&gt;&lt;D xsi:type="xsd:long"&gt;36588&lt;/D&gt;&lt;D xsi:type="xsd:long"&gt;36587&lt;/D&gt;&lt;D xsi:type="xsd:long"&gt;36586&lt;/D&gt;&lt;D xsi:type="xsd:long"&gt;36585&lt;/D&gt;&lt;D xsi:type="xsd:long"&gt;36584&lt;/D&gt;&lt;D xsi:type="xsd:long"&gt;36581&lt;/D&gt;&lt;D xsi:type="xsd:long"&gt;36580&lt;/D&gt;&lt;D xsi:type="xsd:long"&gt;36579&lt;/D&gt;&lt;D xsi:type="xsd:long"&gt;36578&lt;/D&gt;&lt;D xsi:type="xsd:long"&gt;36574&lt;/D&gt;&lt;D xsi:type="xsd:long"&gt;36573&lt;/D&gt;&lt;D xsi:type="xsd:long"&gt;36572&lt;/D&gt;&lt;D xsi:type="xsd:long"&gt;36571&lt;/D&gt;&lt;D xsi:type="xsd:long"&gt;36570&lt;/D&gt;&lt;D xsi:type="xsd:long"&gt;36567&lt;/D&gt;&lt;D xsi:type="xsd:long"&gt;36566&lt;/D&gt;&lt;D xsi:type="xsd:long"&gt;36565&lt;/D&gt;&lt;D xsi:type="xsd:long"&gt;36564&lt;/D&gt;&lt;D xsi:type="xsd:long"&gt;36563&lt;/D&gt;&lt;D xsi:type="xsd:long"&gt;36560&lt;/D&gt;&lt;D xsi:type="xsd:long"&gt;36559&lt;/D&gt;&lt;D xsi:type="xsd:long"&gt;36558&lt;/D&gt;&lt;D xsi:type="xsd:long"&gt;36557&lt;/D&gt;&lt;D xsi:type="xsd:long"&gt;36556&lt;/D&gt;&lt;/FQL&gt;&lt;FQL&gt;&lt;Q&gt;891800^FG_PRICE(2/27/2026,1/31/2000,,USD)&lt;/Q&gt;&lt;R&gt;6559&lt;/R&gt;&lt;C&gt;1&lt;/C&gt;&lt;D xsi:type="xsd:double"&gt;1610.700504&lt;/D&gt;&lt;D xsi:type="xsd:double"&gt;1619.28073&lt;/D&gt;&lt;D xsi:type="xsd:double"&gt;1614.57648&lt;/D&gt;&lt;D xsi:type="xsd:double"&gt;1591.637385&lt;/D&gt;&lt;D xsi:type="xsd:double"&gt;1582.697433&lt;/D&gt;&lt;D xsi:type="xsd:double"&gt;1567.226791&lt;/D&gt;&lt;D xsi:type="xsd:double"&gt;1563.340889&lt;/D&gt;&lt;D xsi:type="xsd:double"&gt;1560.881896&lt;/D&gt;&lt;D xsi:type="xsd:double"&gt;1555.697711&lt;/D&gt;&lt;D xsi:type="xsd:double"&gt;1555.118114&lt;/D&gt;&lt;D xsi:type="xsd:double"&gt;1570.438473&lt;/D&gt;&lt;D xsi:type="xsd:double"&gt;1564.48159&lt;/D&gt;&lt;D xsi:type="xsd:double"&gt;1549.732451&lt;/D&gt;&lt;D xsi:type="xsd:double"&gt;1539.537345&lt;/D&gt;&lt;D xsi:type="xsd:double"&gt;1506.381606&lt;/D&gt;&lt;D xsi:type="xsd:double"&gt;1507.527143&lt;/D&gt;&lt;D xsi:type="xsd:double"&gt;1532.667963&lt;/D&gt;&lt;D xsi:type="xsd:double"&gt;1535.998861&lt;/D&gt;&lt;D xsi:type="xsd:double"&gt;1493.913008&lt;/D&gt;&lt;D xsi:type="xsd:double"&gt;1528.08557&lt;/D&gt;&lt;D xsi:type="xsd:double"&gt;1554.78003&lt;/D&gt;&lt;D xsi:type="xsd:double"&gt;1556.804441&lt;/D&gt;&lt;D xsi:type="xsd:double"&gt;1528.893688&lt;/D&gt;&lt;D xsi:type="xsd:double"&gt;1509.347338&lt;/D&gt;&lt;D xsi:type="xsd:double"&gt;1501.109041&lt;/D&gt;&lt;D xsi:type="xsd:double"&gt;1495.162304&lt;/D&gt;&lt;D xsi:type="xsd:double"&gt;1480.348694&lt;/D&gt;&lt;D xsi:type="xsd:double"&gt;1480.632668&lt;/D&gt;&lt;D xsi:type="xsd:double"&gt;1484.96796&lt;/D&gt;&lt;D xsi:type="xsd:double"&gt;1478.249718&lt;/D&gt;&lt;D xsi:type="xsd:double"&gt;1479.391028&lt;/D&gt;&lt;D xsi:type</t>
        </r>
      </text>
    </comment>
    <comment ref="A44" authorId="0" shapeId="0">
      <text>
        <r>
          <rPr>
            <b/>
            <sz val="9"/>
            <color indexed="81"/>
            <rFont val="Tahoma"/>
            <family val="2"/>
          </rPr>
          <t>="xsd:double"&gt;1472.286105&lt;/D&gt;&lt;D xsi:type="xsd:double"&gt;1466.201591&lt;/D&gt;&lt;D xsi:type="xsd:double"&gt;1452.348298&lt;/D&gt;&lt;D xsi:type="xsd:double"&gt;1452.699698&lt;/D&gt;&lt;D xsi:type="xsd:double"&gt;1462.973715&lt;/D&gt;&lt;D xsi:type="xsd:double"&gt;1467.156958&lt;/D&gt;&lt;D xsi:type="xsd:double"&gt;1451.107556&lt;/D&gt;&lt;D xsi:type="xsd:double"&gt;1429.475115&lt;/D&gt;&lt;D xsi:type="xsd:double"&gt;1404.374696&lt;/D&gt;&lt;D xsi:type="xsd:double"&gt;1402.534705&lt;/D&gt;&lt;D xsi:type="xsd:double"&gt;1401.657345&lt;/D&gt;&lt;D xsi:type="xsd:double"&gt;1397.404266&lt;/D&gt;&lt;D xsi:type="xsd:double"&gt;1392.070328&lt;/D&gt;&lt;D xsi:type="xsd:double"&gt;1387.127276&lt;/D&gt;&lt;D xsi:type="xsd:double"&gt;1383.833764&lt;/D&gt;&lt;D xsi:type="xsd:double"&gt;1368.483995&lt;/D&gt;&lt;D xsi:type="xsd:double"&gt;1358.184043&lt;/D&gt;&lt;D xsi:type="xsd:double"&gt;1358.967923&lt;/D&gt;&lt;D xsi:type="xsd:double"&gt;1352.657642&lt;/D&gt;&lt;D xsi:type="xsd:double"&gt;1373.878022&lt;/D&gt;&lt;D xsi:type="xsd:double"&gt;1389.986828&lt;/D&gt;&lt;D xsi:type="xsd:double"&gt;1376.731991&lt;/D&gt;&lt;D xsi:type="xsd:double"&gt;1382.507832&lt;/D&gt;&lt;D xsi:type="xsd:double"&gt;1378.931014&lt;/D&gt;&lt;D xsi:type="xsd:double"&gt;1386.617065&lt;/D&gt;&lt;D xsi:type="xsd:double"&gt;1385.476824&lt;/D&gt;&lt;D xsi:type="xsd:double"&gt;1376.793182&lt;/D&gt;&lt;D xsi:type="xsd:double"&gt;1372.951802&lt;/D&gt;&lt;D xsi:type="xsd:double"&gt;1373.86743&lt;/D&gt;&lt;D xsi:type="xsd:double"&gt;1368.267628&lt;/D&gt;&lt;D xsi:type="xsd:double"&gt;1366.924047&lt;/D&gt;&lt;D xsi:type="xsd:double"&gt;1371.461108&lt;/D&gt;&lt;D xsi:type="xsd:double"&gt;1353.838853&lt;/D&gt;&lt;D xsi:type="xsd:double"&gt;1342.098871&lt;/D&gt;&lt;D xsi:type="xsd:double"&gt;1333.958512&lt;/D&gt;&lt;D xsi:type="xsd:double"&gt;1371.53784&lt;/D&gt;&lt;D xsi:type="xsd:double"&gt;1360.312635&lt;/D&gt;&lt;D xsi:type="xsd:double"&gt;1361.749928&lt;/D&gt;&lt;D xsi:type="xsd:double"&gt;1387.846932&lt;/D&gt;&lt;D xsi:type="xsd:double"&gt;1385.611873&lt;/D&gt;&lt;D xsi:type="xsd:double"&gt;1409.796259&lt;/D&gt;&lt;D xsi:type="xsd:double"&gt;1407.730323&lt;/D&gt;&lt;D xsi:type="xsd:double"&gt;1402.669292&lt;/D&gt;&lt;D xsi:type="xsd:double"&gt;1400.208267&lt;/D&gt;&lt;D xsi:type="xsd:double"&gt;1381.630375&lt;/D&gt;&lt;D xsi:type="xsd:double"&gt;1393.774182&lt;/D&gt;&lt;D xsi:type="xsd:double"&gt;1382.955651&lt;/D&gt;&lt;D xsi:type="xsd:double"&gt;1393.382679&lt;/D&gt;&lt;D xsi:type="xsd:double"&gt;1410.431075&lt;/D&gt;&lt;D xsi:type="xsd:double"&gt;1401.546163&lt;/D&gt;&lt;D xsi:type="xsd:double"&gt;1411.652873&lt;/D&gt;&lt;D xsi:type="xsd:double"&gt;1416.390359&lt;/D&gt;&lt;D xsi:type="xsd:double"&gt;1402.664229&lt;/D&gt;&lt;D xsi:type="xsd:double"&gt;1407.936651&lt;/D&gt;&lt;D xsi:type="xsd:double"&gt;1389.393038&lt;/D&gt;&lt;D xsi:type="xsd:double"&gt;1381.368362&lt;/D&gt;&lt;D xsi:type="xsd:double"&gt;1380.070218&lt;/D&gt;&lt;D xsi:type="xsd:double"&gt;1383.644076&lt;/D&gt;&lt;D xsi:type="xsd:double"&gt;1383.258933&lt;/D&gt;&lt;D xsi:type="xsd:double"&gt;1361.596441&lt;/D&gt;&lt;D xsi:type="xsd:double"&gt;1378.957&lt;/D&gt;&lt;D xsi:type="xsd:double"&gt;1365.689639&lt;/D&gt;&lt;D xsi:type="xsd:double"&gt;1338.981722&lt;/D&gt;&lt;D xsi:type="xsd:double"&gt;1353.311623&lt;/D&gt;&lt;D xsi:type="xsd:double"&gt;1365.667794&lt;/D&gt;&lt;D xsi:type="xsd:double"&gt;1375.898722&lt;/D&gt;&lt;D xsi:type="xsd:double"&gt;1372.043819&lt;/D&gt;&lt;D xsi:type="xsd:double"&gt;1375.23114&lt;/D&gt;&lt;D xsi:type="xsd:double"&gt;1372.248576&lt;/D&gt;&lt;D xsi:type="xsd:double"&gt;1373.890957&lt;/D&gt;&lt;D xsi:type="xsd:double"&gt;1367.70981&lt;/D&gt;&lt;D xsi:type="xsd:double"&gt;1352.728751&lt;/D&gt;&lt;D xsi:type="xsd:double"&gt;1346.045887&lt;/D&gt;&lt;D xsi:type="xsd:double"&gt;1339.713599&lt;/D&gt;&lt;D xsi:type="xsd:double"&gt;1325.576652&lt;/D&gt;&lt;D xsi:type="xsd:double"&gt;1343.823421&lt;/D&gt;&lt;D xsi:type="xsd:double"&gt;1351.913235&lt;/D&gt;&lt;D xsi:type="xsd:double"&gt;1346.545428&lt;/D&gt;&lt;D xsi:type="xsd:double"&gt;1343.734154&lt;/D&gt;&lt;D xsi:type="xsd:double"&gt;1340.908723&lt;/D&gt;&lt;D xsi:type="xsd:double"&gt;1345.831516&lt;/D&gt;&lt;D xsi:type="xsd:double"&gt;1347.853291&lt;/D&gt;&lt;D xsi:type="xsd:double"&gt;1339.908094&lt;/D&gt;&lt;D xsi:type="xsd:double"&gt;1328.79495&lt;/D&gt;&lt;D xsi:type="xsd:double"&gt;1325.727212&lt;/D&gt;&lt;D xsi:type="xsd:double"&gt;1310.080529&lt;/D&gt;&lt;D xsi:type="xsd:double"&gt;1307.492605&lt;/D&gt;&lt;D xsi:type="xsd:double"&gt;1295.377568&lt;/D&gt;&lt;D xsi:type="xsd:double"&gt;1282.201178&lt;/D&gt;&lt;D xsi:type="xsd:double"&gt;1276.051899&lt;/D&gt;&lt;D xsi:type="xsd:double"&gt;1261.562136&lt;/D&gt;&lt;D xsi:type="xsd:double"&gt;1266.99753&lt;/D&gt;&lt;D xsi:type="xsd:double"&gt;1265.440987&lt;/D&gt;&lt;D xsi:type="xsd:double"&gt;1258.438919&lt;/D&gt;&lt;D xsi:type="xsd:double"&gt;1261.260431&lt;/D&gt;&lt;D xsi:type="xsd:double"&gt;1269.110242&lt;/D&gt;&lt;D xsi:type="xsd:double"&gt;1274.207882&lt;/D&gt;&lt;D xsi:type="xsd:double"&gt;1285.461001&lt;/D&gt;&lt;D xsi:type="xsd:double"&gt;1266.553812&lt;/D&gt;&lt;D xsi:type="xsd:double"&gt;1261.737866&lt;/D&gt;&lt;D xsi:type="xsd:double"&gt;1259.879713&lt;/D&gt;&lt;D xsi:type="xsd:double"&gt;1270.734178&lt;/D&gt;&lt;D xsi:type="xsd:double"&gt;1273.086439&lt;/D&gt;&lt;D xsi:type="xsd:double"&gt;1272.429039&lt;/D&gt;&lt;D xsi:type="xsd:double"&gt;1271.971996&lt;/D&gt;&lt;D xsi:type="xsd:double"&gt;1276.97151&lt;/D&gt;&lt;D xsi:type="xsd:double"&gt;1257.266483&lt;/D&gt;&lt;D xsi:type="xsd:double"&gt;1255.652203&lt;/D&gt;&lt;D xsi:type="xsd:double"&gt;1253.793417&lt;/D&gt;&lt;D xsi:type="xsd:double"&gt;1260.459236&lt;/D&gt;&lt;D xsi:type="xsd:double"&gt;1244.427579&lt;/D&gt;&lt;D xsi:type="xsd:double"&gt;1246.099671&lt;/D&gt;&lt;D xsi:type="xsd:double"&gt;1237.049568&lt;/D&gt;&lt;D xsi:type="xsd:double"&gt;1226.175938&lt;/D&gt;&lt;D xsi:type="xsd:double"&gt;1243.227779&lt;/D&gt;&lt;D xsi:type="xsd:double"&gt;1252.467715&lt;/D&gt;&lt;D xsi:type="xsd:double"&gt;1252.308573&lt;/D&gt;&lt;D xsi:type="xsd:double"&gt;1255.43973&lt;/D&gt;&lt;D xsi:type="xsd:double"&gt;1257.782462&lt;/D&gt;&lt;D xsi:type="xsd:double"&gt;1267.288325&lt;/D&gt;&lt;D xsi:type="xsd:double"&gt;1265.156702&lt;/D&gt;&lt;D xsi:type="xsd:double"&gt;1248.048741&lt;/D&gt;&lt;D xsi:type="xsd:double"&gt;1253.462949&lt;/D&gt;&lt;D xsi:type="xsd:double"&gt;1249.380739&lt;/D&gt;&lt;D xsi:type="xsd:double"&gt;1241.25243&lt;/D&gt;&lt;D xsi:type="xsd:double"&gt;1239.528894&lt;/D&gt;&lt;D xsi:type="xsd:double"&gt;1240.447235&lt;/D&gt;&lt;D xsi:type="xsd:double"&gt;1228.592289&lt;/D&gt;&lt;D xsi:type="xsd:double"&gt;1229.131293&lt;/D&gt;&lt;D xsi:type="xsd:double"&gt;1231.263485&lt;/D&gt;&lt;D xsi:type="xsd:double"&gt;1227.866989&lt;/D&gt;&lt;D xsi:type="xsd:double"&gt;1231.540677&lt;/D&gt;&lt;D xsi:type="xsd:double"&gt;1226.193005&lt;/D&gt;&lt;D xsi:type="xsd:double"&gt;1236.971993&lt;/D&gt;&lt;D xsi:type="xsd:double"&gt;1230.241737&lt;/D&gt;&lt;D xsi:type="xsd:double"&gt;1229.251298&lt;/D&gt;&lt;D xsi:type="xsd:double"&gt;1222.778785&lt;/D&gt;&lt;D xsi:type="xsd:double"&gt;1228.532734&lt;/D&gt;&lt;D xsi:type="xsd:double"&gt;1226.946868&lt;/D&gt;&lt;D xsi:type="xsd:double"&gt;1220.72453&lt;/D&gt;&lt;D xsi:type="xsd:double"&gt;1211.839269&lt;/D&gt;&lt;D xsi:type="xsd:double"&gt;1182.250932&lt;/D&gt;&lt;D xsi:type="xsd:double"&gt;1189.851301&lt;/D&gt;&lt;D xsi:type="xsd:double"&gt;1193.454345&lt;/D&gt;&lt;D xsi:type="xsd:double"&gt;1196.956676&lt;/D&gt;&lt;D xsi:type="xsd:double"&gt;1198.18354&lt;/D&gt;&lt;D xsi:type="xsd:double"&gt;1190.031876&lt;/D&gt;&lt;D xsi:type="xsd:double"&gt;1202.739399&lt;/D&gt;&lt;D xsi:type="xsd:double"&gt;1208.975703&lt;/D&gt;&lt;D xsi:type="xsd:double"&gt;1201.126723&lt;/D&gt;&lt;D xsi:type="xsd:double"&gt;1193.78229&lt;/D&gt;&lt;D xsi:type="xsd:double"&gt;1182.927293&lt;/D&gt;&lt;D xsi:type="xsd:double"&gt;1182.676944&lt;/D&gt;&lt;D xsi:type="xsd:double"&gt;1172.452974&lt;/D&gt;&lt;D xsi:type="xsd:double"&gt;1158.129855&lt;/D&gt;&lt;D xsi:type="xsd:double"&gt;1153.773979&lt;/D&gt;&lt;D xsi:type="xsd:double"&gt;1157.338548&lt;/D&gt;&lt;D xsi:type="xsd:double"&gt;1170.164273&lt;/D&gt;&lt;D xsi:type="xsd:double"&gt;1163.842853&lt;/D&gt;&lt;D xsi:type="xsd:double"&gt;1164.103115&lt;/D&gt;&lt;D xsi:type="xsd:double"&gt;1170.978493&lt;/D&gt;&lt;D xsi:type="xsd:double"&gt;1165.383805&lt;/D&gt;&lt;D xsi:type="xsd:double"&gt;1174.559282&lt;/D&gt;&lt;D xsi:type="xsd:double"&gt;1167.455649&lt;/D&gt;&lt;D xsi:type="xsd:double"&gt;1166.644546&lt;/D&gt;&lt;D xsi:type="xsd:double"&gt;1172.377723&lt;/D&gt;&lt;D xsi:type="xsd:double"&gt;1173.527161&lt;/D&gt;&lt;D xsi:type="xsd:double"&gt;1173.65089&lt;/D&gt;&lt;D xsi:type="xsd:double"&gt;1156.820661&lt;/D&gt;&lt;D xsi:type="xsd:double"&gt;1161.84686&lt;/D&gt;&lt;D xsi:type="xsd:double"&gt;1138.399273&lt;/D&gt;&lt;D xsi:type="xsd:double"&gt;1133.584911&lt;/D&gt;&lt;D xsi:type="xsd:double"&gt;1137.410928&lt;/D&gt;&lt;D xsi:type="xsd:double"&gt;1137.420549&lt;/D&gt;&lt;D xsi:type="xsd:double"&gt;1139.594101&lt;/D&gt;&lt;D xsi:type="xsd:double"&gt;1133.270629&lt;/D&gt;&lt;D xsi:type="xsd:double"&gt;1111.970874&lt;/D&gt;&lt;D xsi:type="xsd:double"&gt;1112.841711&lt;/D&gt;&lt;D xsi:type="xsd:double"&gt;1105.985553&lt;/D&gt;&lt;D xsi:type="xsd:double"&gt;1102.567747&lt;/D&gt;&lt;D xsi:type="xsd:double"&gt;1097.103369&lt;/D&gt;&lt;D xsi:type="xsd:double"&gt;1092.977832&lt;/D&gt;&lt;D xsi:type="xsd:double"&gt;1096.05054&lt;/D&gt;&lt;D xsi:type="xsd:double"&gt;1073.790599&lt;/D&gt;&lt;D xsi:type="xsd:double"&gt;1071.946265&lt;/D&gt;&lt;D xsi:type="xsd:double"&gt;1067.068706&lt;/D&gt;&lt;D xsi:type="xsd:double"&gt;1059.100373&lt;/D&gt;&lt;D xsi:type="xsd:double"&gt;1070.25893&lt;/D&gt;&lt;D xsi:type="xsd:double"&gt;1060.219949&lt;/D&gt;&lt;D xsi:type="xsd:double"&gt;1045.201932&lt;/D&gt;&lt;D xsi:type="xsd:double"&gt;1028.862581&lt;/D&gt;&lt;D xsi:type="xsd:double"&gt;993.453924&lt;/D&gt;&lt;D xsi:type="xsd:double"&gt;1002.604528&lt;/D&gt;&lt;D xsi:type="xsd:double"&gt;1001.488891&lt;/D&gt;&lt;D xsi:type="xsd:double"&gt;1087.588791&lt;/D&gt;&lt;D xsi:type="xsd:double"&gt;1102.783811&lt;/D&gt;&lt;D xsi:type="xsd:double"&gt;1111.677102&lt;/D&gt;&lt;D xsi:type="xsd:double"&gt;1110.662232&lt;/D&gt;&lt;D xsi:type="xsd:double"&gt;1101.399501&lt;/D&gt;&lt;D xsi:type="xsd:double"&gt;1120.7222&lt;/D&gt;&lt;D xsi:type="xsd:double"&gt;1130.540687&lt;/D&gt;&lt;D xsi:type="xsd:double"&gt;1131.542989&lt;/D&gt;&lt;D xsi:type="xsd:double"&gt;1129.407667&lt;/D&gt;&lt;D xsi:type="xsd:double"&gt;1136.005515&lt;/D&gt;&lt;D xsi:type="xsd:double"&gt;1131.378744&lt;/D&gt;&lt;D xsi:type="xsd:double"&gt;1140.693228&lt;/D&gt;&lt;D xsi:type="xsd:double"&gt;1143.29443&lt;/D&gt;&lt;D xsi:type="xsd:double"&gt;1145.174495&lt;/D&gt;&lt;D xsi:type="xsd:double"&gt;1131.438209&lt;/D&gt;&lt;D xsi:type="xsd:double"&gt;1119.605863&lt;/D&gt;&lt;D xsi:type="xsd:double"&gt;1106.068865&lt;/D&gt;&lt;D xsi:type="xsd:double"&gt;1111.128484&lt;/D&gt;&lt;D xsi:type="xsd:double"&gt;1109.163858&lt;/D&gt;&lt;D xsi:type="xsd:double"&gt;1113.060937&lt;/D&gt;&lt;D xsi:type="xsd:double"&gt;1128.552801&lt;/D&gt;&lt;D xsi:type="xsd:double"&gt;1131.255333&lt;/D&gt;&lt;D xsi:type="xsd:double"&gt;1115.548174&lt;/D&gt;&lt;D xsi:type="xsd:double"&gt;1093.003155&lt;/D&gt;&lt;D xsi:type="xsd:double"&gt;1097.36775&lt;/D&gt;&lt;D xsi:type="xsd:double"&gt;1097.253995&lt;/D&gt;&lt;D xsi:type="xsd:double"&gt;1124.026119&lt;/D&gt;&lt;D xsi:type="xsd:double"&gt;1135.413064&lt;/D&gt;&lt;D xsi:type="xsd:double"&gt;1122.377795&lt;/D&gt;&lt;D xsi:type="xsd:double"&gt;1135.744725&lt;/D&gt;&lt;D xsi:type="xsd:double"&gt;1147.298001&lt;/D&gt;&lt;D xsi:type="xsd:double"&gt;1132.449147&lt;/D&gt;&lt;D xsi:type="xsd:double"&gt;1136.865094&lt;/D&gt;&lt;D xsi:type="xsd:double"&gt;1138.916473&lt;/D&gt;&lt;D xsi:type="xsd:double"&gt;1125.226578&lt;/D&gt;&lt;D xsi:type="xsd:double"&gt;1113.25105&lt;/D&gt;&lt;D xsi:type="xsd:double"&gt;1111.008696&lt;/D&gt;&lt;D xsi:type="xsd:double"&gt;1104.62737&lt;/D&gt;&lt;D xsi:type="xsd:double"&gt;1108.463703&lt;/D&gt;&lt;D xsi:type="xsd:double"&gt;1108.480623&lt;/D&gt;&lt;D xsi:type="xsd:double"&gt;1102.248688&lt;/D&gt;&lt;D xsi:type="xsd:double"&gt;1095.790325&lt;/D&gt;&lt;D xsi:type="xsd:double"&gt;1092.934094&lt;/D&gt;&lt;D xsi:type="xsd:double"&gt;1073.722226&lt;/D&gt;&lt;D xsi:type="xsd:double"&gt;1093.365461&lt;/D&gt;&lt;D xsi:type="xsd:double"&gt;1095.749125&lt;/D&gt;&lt;D xsi:type="xsd:double"&gt;1092.307976&lt;/D&gt;&lt;D xsi:type="xsd:double"&gt;1089.132939&lt;/D&gt;&lt;D xsi:type="xsd:double"&gt;1087.543426&lt;/D&gt;&lt;D xsi:type="xsd:double"&gt;1090.022523&lt;/D&gt;&lt;D xsi:type="xsd:double"&gt;1081.343266&lt;/D&gt;&lt;D xsi:type="xsd:double"&gt;1082.344897&lt;/D&gt;&lt;D xsi:type="xsd:double"&gt;1081.10951&lt;/D&gt;&lt;D xsi:type="xsd:double"&gt;1070.121613&lt;/D&gt;&lt;D xsi:type="xsd:double"&gt;1066.671321&lt;/D&gt;&lt;D xsi:type="xsd:double"&gt;1055.801702&lt;/D&gt;&lt;D xsi:type="xsd:double"&gt;1053.054408&lt;/D&gt;&lt;D xsi:type="xsd:double"&gt;1039.105197&lt;/D&gt;&lt;D xsi:type="xsd:double"&gt;1057.104841&lt;/D&gt;&lt;D xsi:type="xsd:double"&gt;1070.785028&lt;/D&gt;&lt;D xsi:type="xsd:double"&gt;1080.066209&lt;/D&gt;&lt;D xsi:type="xsd:double"&gt;1078.890035&lt;/D&gt;&lt;D xsi:type="xsd:double"&gt;1073.211632&lt;/D&gt;&lt;D xsi:type="xsd:double"&gt;1070.998504&lt;/D&gt;&lt;D xsi:type="xsd:double"&gt;1075.47512&lt;/D&gt;&lt;D xsi:type="xsd:double"&gt;1078.398034&lt;/D&gt;&lt;D xsi:type="xsd:double"&gt;1082.868659&lt;/D&gt;&lt;D xsi:type="xsd:double"&gt;1084.688022&lt;/D&gt;&lt;D xsi:type="xsd:double"&gt;1084.994546&lt;/D&gt;&lt;D xsi:type="xsd:double"&gt;1081.948747&lt;/D&gt;&lt;D xsi:type="xsd:double"&gt;1072.24872&lt;/D&gt;&lt;D xsi:type="xsd:double"&gt;1081.764047&lt;/D&gt;&lt;D xsi:type="xsd:double"&gt;1095.311849&lt;/D&gt;&lt;D xsi:type="xsd:double"&gt;1093.204706&lt;/D&gt;&lt;D xsi:type="xsd:double"&gt;1103.207046&lt;/D&gt;&lt;D xsi:type="xsd:double"&gt;1107.010976&lt;/D&gt;&lt;D xsi:type="xsd:double"&gt;1112.942653&lt;/D&gt;&lt;D xsi:type="xsd:double"&gt;1108.431983&lt;/D&gt;&lt;D xsi:type="xsd:double"&gt;1111.712409&lt;/D&gt;&lt;D xsi:type="xsd:double"&gt;1114.035011&lt;/D&gt;&lt;D xsi:type="xsd:double"&gt;1105.075354&lt;/D&gt;&lt;D xsi:type="xsd:double"&gt;1102.285551&lt;/D&gt;&lt;D xsi:type="xsd:double"&gt;1100.493062&lt;/D&gt;&lt;D xsi:type="xsd:double"&gt;1097.52372&lt;/D&gt;&lt;D xsi:type="xsd:double"&gt;1086.386564&lt;/D&gt;&lt;D xsi:type="xsd:double"&gt;1078.569525&lt;/D&gt;&lt;D xsi:type="xsd:double"&gt;1087.5794&lt;/D&gt;&lt;D xsi:type="xsd:double"&gt;1086.930897&lt;/D&gt;&lt;D xsi:type="xsd:double"&gt;1092.199392&lt;/D&gt;&lt;D xsi:type="xsd:double"&gt;1087.265061&lt;/D&gt;&lt;D xsi:type="xsd:double"&gt;1085.488848&lt;/D&gt;&lt;D xsi:type="xsd:double"&gt;1093.845824&lt;/D&gt;&lt;D xsi:type="xsd:double"&gt;1094.939294&lt;/D&gt;&lt;D xsi:type="xsd:double"&gt;1089.723809&lt;/D&gt;&lt;D xsi:type="xsd:double"&gt;1084.995916&lt;/D&gt;&lt;D xsi:type="xsd:double"&gt;1084.413512&lt;/D&gt;&lt;D xsi:type="xsd:double"&gt;1093.700419&lt;/D&gt;&lt;D xsi:type="xsd:double"&gt;1103.193332&lt;/D&gt;&lt;D xsi:type="xsd:double"&gt;1125.886897&lt;/D&gt;&lt;D xsi:type="xsd:double"&gt;1135.649018&lt;/D&gt;&lt;D xsi:type="xsd:double"&gt;1140.540309&lt;/D&gt;&lt;D xsi:type="xsd:double"&gt;1131.865063&lt;/D&gt;&lt;D xsi:type="xsd:double"&gt;1139.113154&lt;/D&gt;&lt;D xsi:type="xsd:double"&gt;1129.820764&lt;/D&gt;&lt;D xsi:type="xsd:double"&gt;1122.276272&lt;/D&gt;&lt;D xsi:type="xsd:double"&gt;1119.522196&lt;/D&gt;&lt;D xsi:type="xsd:double"&gt;1126.505222&lt;/D&gt;&lt;D xsi:type="xsd:double"&gt;1136.468755&lt;/D&gt;&lt;D xsi:type="xsd:double"&gt;1137.938795&lt;/D&gt;&lt;D xsi:type="xsd:double"&gt;1134.875057&lt;/D&gt;&lt;D xsi:type="xsd:double"&gt;1134.522577&lt;/D&gt;&lt;D xsi:type="xsd:double"&gt;1141.8136&lt;/D&gt;&lt;D xsi:type="xsd:double"&gt;1142.190292&lt;/D&gt;&lt;D xsi:type="xsd:double"&gt;1148.418063&lt;/D&gt;&lt;D xsi:type="xsd:double"&gt;1155.123463&lt;/D&gt;&lt;D xsi:type="xsd:double"&gt;1135.134788&lt;/D&gt;&lt;D xsi:type="xsd:double"&gt;1144.036435&lt;/D&gt;&lt;D xsi:type="xsd:double"&gt;1149.731685&lt;/D&gt;&lt;D xsi:type="xsd:double"&gt;1160.061601&lt;/D&gt;&lt;D xsi:type="xsd:double"&gt;1159.558799&lt;/D&gt;&lt;D xsi:type="xsd:double"&gt;1156.957485&lt;/D&gt;&lt;D xsi:type="xsd:double"&gt;1148.266508&lt;/D&gt;&lt;D xsi:type="xsd:double"&gt;1156.234706&lt;/D&gt;&lt;D xsi:type="xsd:double"&gt;1183.775933&lt;/D&gt;&lt;D xsi:type="xsd:double"&gt;1179.340827&lt;/D&gt;&lt;D xsi:type="xsd:double"&gt;1173.018281&lt;/D&gt;&lt;D xsi:type="xsd:double"&gt;1187.96873&lt;/D&gt;&lt;D xsi:type="xsd:double"&gt;1172.590752&lt;/D&gt;&lt;D xsi:type="xsd:double"&gt;1170.853143&lt;/D&gt;&lt;D xsi:type="xsd:double"&gt;1174.523035&lt;/D&gt;&lt;D xsi:type="xsd:double"&gt;1163.382947&lt;/D&gt;&lt;D xsi:type="xsd:double"&gt;1136.796459&lt;/D&gt;&lt;D xsi:type="xsd:double"&gt;1132.04099&lt;/D&gt;&lt;D xsi:type="xsd:double"&gt;1110.659948&lt;/D&gt;&lt;D xsi:type="xsd:double"&gt;1106.437883&lt;/D&gt;&lt;D xsi:type="xsd:double"&gt;1100.153381&lt;/D&gt;&lt;D xsi:type="xsd:double"&gt;1087.751153&lt;/D&gt;&lt;D xsi:type="xsd:double"&gt;1090.514739&lt;/D&gt;&lt;D xsi:type="xsd:double"&gt;1086.019749&lt;/D&gt;&lt;D xsi:type="xsd:double"&gt;1082.299247&lt;/D&gt;&lt;D xsi:type="xsd:double"&gt;1075.617281&lt;/D&gt;&lt;D xsi:type="xsd:double"&gt;1058.685087&lt;/D&gt;&lt;D xsi:type="xsd:double"&gt;1062.875685&lt;/D&gt;&lt;D xsi:type="xsd:double"&gt;1063.439296&lt;/D&gt;&lt;D xsi:type="xsd:double"&gt;1074.889743&lt;/D&gt;&lt;D xsi:type="xsd:double"&gt;1076.091515&lt;/D&gt;&lt;D xsi:type="xsd:double"&gt;1073.58844&lt;/D&gt;&lt;D xsi:type="xsd:double"&gt;1090.172628&lt;/D&gt;&lt;D xsi:type="xsd:double"&gt;1099.92266&lt;/D&gt;&lt;D xsi:type="xsd:double"&gt;1094.955871&lt;/D&gt;&lt;D xsi:type="xsd:double"&gt;1097.21675&lt;/D&gt;&lt;D xsi:type="xsd:double"&gt;1099.765701&lt;/D&gt;&lt;D xsi:type="xsd:double"&gt;1104.28472&lt;/D&gt;&lt;D xsi:type="xsd:double"&gt;1100.677964&lt;/D&gt;&lt;D xsi:type="xsd:double"&gt;1100.97824&lt;/D&gt;&lt;D xsi:type="xsd:double"&gt;1100.893137&lt;/D&gt;&lt;D xsi:type="xsd:double"&gt;1104.451676&lt;/D&gt;&lt;D xsi:type="xsd:double"&gt;1103.533341&lt;/D&gt;&lt;D xsi:type="xsd:double"&gt;1093.651257&lt;/D&gt;&lt;D xsi:type="xsd:double"&gt;1076.003371&lt;/D&gt;&lt;D xsi:type="xsd:double"&gt;1076.566118&lt;/D&gt;&lt;D xsi:type="xsd:double"&gt;1071.013909&lt;/D&gt;&lt;D xsi:type="xsd:double"&gt;1069.110141&lt;/D&gt;&lt;D xsi:type="xsd:double"&gt;1063.425692&lt;/D&gt;&lt;D xsi:type="xsd:double"&gt;1046.309778&lt;/D&gt;&lt;D xsi:type="xsd:double"&gt;1050.298554&lt;/D&gt;&lt;D xsi:type="xsd:double"&gt;1030.856029&lt;/D&gt;&lt;D xsi:type="xsd:double"&gt;1016.479408&lt;/D&gt;&lt;D xsi:type="xsd:double"&gt;1061.233924&lt;/D&gt;&lt;D xsi:type="xsd:double"&gt;1087.800487&lt;/D&gt;&lt;D xsi:type="xsd:double"&gt;1084.769484&lt;/D&gt;&lt;D xsi:type="xsd:double"&gt;1071.595311&lt;/D&gt;&lt;D xsi:type="xsd:double"&gt;1077.267417&lt;/D&gt;&lt;D xsi:type="xsd:double"&gt;1072.277811&lt;/D&gt;&lt;D xsi:type="xsd:double"&gt;1073.978823&lt;/D&gt;&lt;D xsi:type="xsd:double"&gt;1082.441321&lt;/D&gt;&lt;D xsi:type="xsd:double"&gt;1086.96393&lt;/D&gt;&lt;D xsi:type="xsd:double"&gt;1085.478069&lt;/D&gt;&lt;D xsi:type="xsd:double"&gt;1089.613419&lt;/D&gt;&lt;D xsi:type="xsd:double"&gt;1105.9543&lt;/D&gt;&lt;D xsi:type="xsd:double"&gt;1111.461578&lt;/D&gt;&lt;D xsi:type="xsd:double"&gt;1117.37755&lt;/D&gt;&lt;D xsi:type="xsd:double"&gt;1120.274004&lt;/D&gt;&lt;D xsi:type="xsd:double"&gt;1123.56317&lt;/D&gt;&lt;D xsi:type="xsd:double"&gt;1124.863073&lt;/D&gt;&lt;D xsi:type="xsd:double"&gt;1111.224818&lt;/D&gt;&lt;D xsi:type="xsd:double"&gt;1111.695297&lt;/D&gt;&lt;D xsi:type="xsd:double"&gt;1107.302357&lt;/D&gt;&lt;D xsi:type="xsd:double"&gt;1104.875619&lt;/D&gt;&lt;D xsi:type="xsd:double"&gt;1092.374954&lt;/D&gt;&lt;D xsi:type="xsd:double"&gt;1079.783936&lt;/D&gt;&lt;D xsi:type="xsd:double"&gt;1087.38371&lt;/D&gt;&lt;D xsi:type="xsd:double"&gt;1086.24999&lt;/D&gt;&lt;D xsi:type="xsd:double"&gt;1081.866187&lt;/D&gt;&lt;D xsi:type="xsd:double"&gt;1086.201657&lt;/D&gt;&lt;D xsi:type="xsd:double"&gt;1085.315885&lt;/D&gt;&lt;D xsi:type="xsd:double"&gt;1084.323168&lt;/D&gt;&lt;D xsi:type="xsd:double"&gt;1086.930012&lt;/D&gt;&lt;D xsi:type="xsd:double"&gt;1095.758892&lt;/D&gt;&lt;D xsi:type="xsd:double"&gt;1081.806271&lt;/D&gt;&lt;D xsi:type="xsd:double"&gt;1074.19815&lt;/D&gt;&lt;D xsi:type="xsd:double"&gt;1076.887195&lt;/D&gt;&lt;D xsi:type="xsd:double"&gt;1075.541741&lt;/D&gt;&lt;D xsi:type="xsd:double"&gt;1068.545322&lt;/D&gt;&lt;D xsi:type="xsd:double"&gt;1065.698565&lt;/D&gt;&lt;D xsi:type="xsd:double"&gt;1070.333358&lt;/D&gt;&lt;D xsi:type="xsd:double"&gt;1073.139074&lt;/D&gt;&lt;D xsi:type="xsd:double"&gt;1073.258138&lt;/D&gt;&lt;D xsi:type="xsd:double"&gt;1062.792272&lt;/D&gt;&lt;D xsi:type="xsd:double"&gt;1051.963433&lt;/D&gt;&lt;D xsi:type="xsd:double"&gt;1069.313284&lt;/D&gt;&lt;D xsi:type="xsd:double"&gt;1048.962257&lt;/D&gt;&lt;D xsi:type="xsd:double"&gt;1058.081151&lt;/D&gt;&lt;D xsi:type="xsd:double"&gt;1072.113118&lt;/D&gt;&lt;D xsi:type="xsd:double"&gt;1088.011171&lt;/D&gt;&lt;D xsi:type="xsd:double"&gt;1082.982722&lt;/D&gt;&lt;D xsi:type="xsd:double"&gt;1091.366017&lt;/D&gt;&lt;D xsi:type="xsd:double"&gt;1095.28625&lt;/D&gt;&lt;D xsi:type="xsd:double"&gt;1093.375728&lt;/D&gt;&lt;D xsi:type="xsd:double"&gt;1101.910555&lt;/D&gt;&lt;D xsi:type="xsd:double"&gt;1099.785774&lt;/D&gt;&lt;D xsi:type="xsd:double"&gt;1098.561753&lt;/D&gt;&lt;D xsi:type="xsd:double"&gt;1084.65095&lt;/D&gt;&lt;D xsi:type="xsd:double"&gt;1080.962582&lt;/D&gt;&lt;D xsi:type="xsd:double"&gt;1078.716314&lt;/D&gt;&lt;D xsi:type="xsd:double"&gt;1071.641307&lt;/D&gt;&lt;D xsi:type="xsd:double"&gt;1063.51956&lt;/D&gt;&lt;D xsi:type="xsd:double"&gt;1066.61646&lt;/D&gt;&lt;D xsi:type="xsd:double"&gt;1068.263702&lt;/D&gt;&lt;D xsi:type="xsd:double"&gt;1066.726218&lt;/D&gt;&lt;D xsi:type="xsd:double"&gt;1061.449686&lt;/D&gt;&lt;D xsi:type="xsd:double"&gt;1052.864307&lt;/D&gt;&lt;D xsi:type="xsd:double"&gt;1045.51789&lt;/D&gt;&lt;D xsi:type="xsd:double"&gt;1045.9479&lt;/D&gt;&lt;D xsi:type="xsd:double"&gt;1051.334501&lt;/D&gt;&lt;D xsi:type="xsd:double"&gt;1041.523587&lt;/D&gt;&lt;D xsi:type="xsd:double"&gt;1028.606836&lt;/D&gt;&lt;D xsi:type="xsd:double"&gt;1034.690721&lt;/D&gt;&lt;D xsi:type="xsd:double"&gt;1019.336142&lt;/D&gt;&lt;D xsi:type="xsd:double"&gt;1011.842741&lt;/D&gt;&lt;D xsi:type="xsd:double"&gt;1004.170153&lt;/D&gt;&lt;D xsi:type="xsd:double"&gt;1018.588829&lt;/D&gt;&lt;D xsi:type="xsd:double"&gt;1012.455608&lt;/D&gt;&lt;D xsi:type="xsd:double"&gt;1009.841755&lt;/D&gt;&lt;D xsi:type="xsd:double"&gt;1030.743747&lt;/D&gt;&lt;D xsi:type="xsd:double"&gt;1041.702984&lt;/D&gt;&lt;D xsi:type="xsd:double"&gt;1055.085486&lt;/D&gt;&lt;D xsi:type="xsd:double"&gt;1057.888128&lt;/D&gt;&lt;D xsi:type="xsd:double"&gt;1055.37366&lt;/D&gt;&lt;D xsi:type="xsd:double"&gt;1049.1607&lt;/D&gt;&lt;D xsi:type="xsd:double"&gt;1045.712269&lt;/D&gt;&lt;D xsi:type="xsd:double"&gt;1048.763423&lt;/D&gt;&lt;D xsi:type="xsd:double"&gt;1043.231719&lt;/D&gt;&lt;D xsi:type="xsd:double"&gt;1049.932664&lt;/D&gt;&lt;D xsi:type="xsd:double"&gt;1042.068134&lt;/D&gt;&lt;D xsi:type="xsd:double"&gt;1040.393012&lt;/D&gt;&lt;D xsi:type="xsd:double"&gt;1036.729084&lt;/D&gt;&lt;D xsi:type="xsd:double"&gt;1040.068048&lt;/D&gt;&lt;D xsi:type="xsd:double"&gt;1036.126147&lt;/D&gt;&lt;D xsi:type="xsd:double"&gt;1039.323998&lt;/D&gt;&lt;D xsi:type="xsd:double"&gt;1048.339304&lt;/D&gt;&lt;D xsi:type="xsd:double"&gt;1032.12199&lt;/D&gt;&lt;D xsi:type="xsd:double"&gt;1027.775997&lt;/D&gt;&lt;D xsi:type="xsd:double"&gt;1038.067201&lt;/D&gt;&lt;D xsi:type="xsd:double"&gt;1034.739916&lt;/D&gt;&lt;D xsi:type="xsd:double"&gt;1048.679759&lt;/D&gt;&lt;D xsi:type="xsd:double"&gt;1046.514299&lt;/D&gt;&lt;D xsi:type="xsd:double"&gt;1049.07292&lt;/D&gt;&lt;D xsi:type="xsd:double"&gt;1039.070672&lt;/D&gt;&lt;D xsi:type="xsd:double"&gt;1037.094513&lt;/D&gt;&lt;D xsi:type="xsd:double"&gt;1030.267827&lt;/D&gt;&lt;D xsi:type="xsd:double"&gt;1027.950026&lt;/D&gt;&lt;D xsi:type="xsd:double"&gt;1021.737026&lt;/D&gt;&lt;D xsi:type="xsd:double"&gt;1030.390044&lt;/D&gt;&lt;D xsi:type="xsd:double"&gt;1024.675846&lt;/D&gt;&lt;D xsi:type="xsd:double"&gt;1020.939696&lt;/D&gt;&lt;D xsi:type="xsd:double"&gt;1018.723107&lt;/D&gt;&lt;D xsi:type="xsd:double"&gt;1027.746036&lt;/D&gt;&lt;D xsi:type="xsd:double"&gt;1024.107028&lt;/D&gt;&lt;D xsi:type="xsd:double"&gt;1028.307654&lt;/D&gt;&lt;D xsi:type="xsd:double"&gt;1029.44324&lt;/D&gt;&lt;D xsi:type="xsd:double"&gt;1020.617844&lt;/D&gt;&lt;D xsi:type="xsd:double"&gt;1018.989838&lt;/D&gt;&lt;D xsi:type="xsd:double"&gt;1016.230566&lt;/D&gt;&lt;D xsi:type="xsd:double"&gt;1007.704695&lt;/D&gt;&lt;D xsi:type="xsd:double"&gt;998.857475&lt;/D&gt;&lt;D xsi:type="xsd:double"&gt;996.783337&lt;/D&gt;&lt;D xsi:type="xsd:double"&gt;996.05774&lt;/D&gt;&lt;D xsi:type="xsd:double"&gt;995.526526&lt;/D&gt;&lt;D xsi:type="xsd:double"&gt;997.541335&lt;/D&gt;&lt;D xsi:type="xsd:double"&gt;1002.550115&lt;/D&gt;&lt;D xsi:type="xsd:double"&gt;999.863903&lt;/D&gt;&lt;D xsi:type="xsd:double"&gt;983.324207&lt;/D&gt;&lt;D xsi:type="xsd:double"&gt;988.206501&lt;/D&gt;&lt;D xsi:type="xsd:double"&gt;982.120602&lt;/D&gt;&lt;D xsi:type="xsd:double"&gt;975.798654&lt;/D&gt;&lt;D xsi:type="xsd:double"&gt;980.585643&lt;/D&gt;&lt;D xsi:type="xsd:double"&gt;990.179405&lt;/D&gt;&lt;D xsi:type="xsd:double"&gt;985.095174&lt;/D&gt;&lt;D xsi:type="xsd:double"&gt;988.303505&lt;/D&gt;&lt;D xsi:type="xsd:double"&gt;982.335429&lt;/D&gt;&lt;D xsi:type="xsd:double"&gt;969.968538&lt;/D&gt;&lt;D xsi:type="xsd:double"&gt;964.151077&lt;/D&gt;&lt;D xsi:type="xsd:double"&gt;970.911491&lt;/D&gt;&lt;D xsi:type="xsd:double"&gt;961.343155&lt;/D&gt;&lt;D xsi:type="xsd:double"&gt;958.389983&lt;/D&gt;&lt;D xsi:type="xsd:double"&gt;979.718705&lt;/D&gt;&lt;D xsi:type="xsd:double"&gt;996.304075&lt;/D&gt;&lt;D xsi:type="xsd:double"&gt;994.748995&lt;/D&gt;&lt;D xsi:type="xsd:double"&gt;988.97207&lt;/D&gt;&lt;D xsi:type="xsd:double"&gt;992.997646&lt;/D&gt;&lt;D xsi:type="xsd:double"&gt;996.756575&lt;/D&gt;&lt;D xsi:type="xsd:double"&gt;1002.076873&lt;/D&gt;&lt;D xsi:type="xsd:double"&gt;1004.262997&lt;/D&gt;&lt;D xsi:type="xsd:double"&gt;1003.131271&lt;/D&gt;&lt;D xsi:type="xsd:double"&gt;1016.375579&lt;/D&gt;&lt;D xsi:type="xsd:double"&gt;1023.740854&lt;/D&gt;&lt;D xsi:type="xsd:double"&gt;1022.894612&lt;/D&gt;&lt;D xsi:type="xsd:double"&gt;1009.835573&lt;/D&gt;&lt;D xsi:type="xsd:double"&gt;998.530743&lt;/D&gt;&lt;D xsi:type="xsd:double"&gt;992.279745&lt;/D&gt;&lt;D xsi:type="xsd:double"&gt;998.315766&lt;/D&gt;&lt;D xsi:type="xsd:double"&gt;997.456532&lt;/D&gt;&lt;D xsi:type="xsd:double"&gt;998.604223&lt;/D&gt;&lt;D xsi:type="xsd:double"&gt;997.912907&lt;/D&gt;&lt;D xsi:type="xsd:double"&gt;1000.887868&lt;/D&gt;&lt;D xsi:type="xsd:double"&gt;992.505094&lt;/D&gt;&lt;D xsi:type="xsd:double"&gt;973.472433&lt;/D&gt;&lt;D xsi:type="xsd:double"&gt;976.581497&lt;/D&gt;&lt;D xsi:type="xsd:double"&gt;973.230611&lt;/D&gt;&lt;D xsi:type="xsd:double"&gt;975.00515&lt;/D&gt;&lt;D xsi:type="xsd:double"&gt;970.12456&lt;/D&gt;&lt;D xsi:type="xsd:double"&gt;974.97502&lt;/D&gt;&lt;D xsi:type="xsd:double"&gt;972.031287&lt;/D&gt;&lt;D xsi:type="xsd:double"&gt;980.236816&lt;/D&gt;&lt;D xsi:type="xsd:double"&gt;982.139668&lt;/D&gt;&lt;D xsi:type="xsd:double"&gt;987.099289&lt;/D&gt;&lt;D xsi:type="xsd:double"&gt;983.035678&lt;/D&gt;&lt;D xsi:type="xsd:double"&gt;985.470758&lt;/D&gt;&lt;D xsi:type="xsd:double"&gt;977.539959&lt;/D&gt;&lt;D xsi:type="xsd:double"&gt;980.328376&lt;/D&gt;&lt;D xsi:type="xsd:double"&gt;983.604485&lt;/D&gt;&lt;D xsi:type="xsd:double"&gt;988.473049&lt;/D&gt;&lt;D xsi:type="xsd:double"&gt;985.408741&lt;/D&gt;&lt;D xsi:type="xsd:double"&gt;976.517659&lt;/D&gt;&lt;D xsi:type="xsd:double"&gt;982.253372&lt;/D&gt;&lt;D xsi:type="xsd:double"&gt;983.510875&lt;/D&gt;&lt;D xsi:type="xsd:double"&gt;959.124154&lt;/D&gt;&lt;D xsi:type="xsd:double"&gt;952.26813&lt;/D&gt;&lt;D xsi:type="xsd:double"&gt;948.319202&lt;/D&gt;&lt;D xsi:type="xsd:double"&gt;956.248266&lt;/D&gt;&lt;D xsi:type="xsd:double"&gt;957.913297&lt;/D&gt;&lt;D xsi:type="xsd:double"&gt;960.663105&lt;/D&gt;&lt;D xsi:type="xsd:double"&gt;968.909621&lt;/D&gt;&lt;D xsi:type="xsd:double"&gt;948.260435&lt;/D&gt;&lt;D xsi:type="xsd:double"&gt;930.616072&lt;/D&gt;&lt;D xsi:type="xsd:double"&gt;915.97494&lt;/D&gt;&lt;D xsi:type="xsd:double"&gt;915.196318&lt;/D&gt;&lt;D xsi:type="xsd:double"&gt;921.902868&lt;/D&gt;&lt;D xsi:type="xsd:double"&gt;919.784234&lt;/D&gt;&lt;D xsi:type="xsd:double"&gt;910.913629&lt;/D&gt;&lt;D xsi:type="xsd:double"&gt;920.784078&lt;/D&gt;&lt;D xsi:type="xsd:double"&gt;920.568017&lt;/D&gt;&lt;D xsi:type="xsd:double"&gt;917.688696&lt;/D&gt;&lt;D xsi:type="xsd:double"&gt;925.58216&lt;/D&gt;&lt;D xsi:type="xsd:double"&gt;930.803001&lt;/D&gt;&lt;D xsi:type="xsd:double"&gt;943.123731&lt;/D&gt;&lt;D xsi:type="xsd:double"&gt;951.205365&lt;/D&gt;&lt;D xsi:type="xsd:double"&gt;946.206452&lt;/D&gt;&lt;D xsi:type="xsd:double"&gt;951.311604&lt;/D&gt;&lt;D xsi:type="xsd:double"&gt;962.686577&lt;/D&gt;&lt;D xsi:type="xsd:double"&gt;956.840227&lt;/D&gt;&lt;D xsi:type="xsd:double"&gt;944.54629&lt;/D&gt;&lt;D xsi:type="xsd:double"&gt;935.422356&lt;/D&gt;&lt;D xsi:type="xsd:double"&gt;937.338446&lt;/D&gt;&lt;D xsi:type="xsd:double"&gt;930.229755&lt;/D&gt;&lt;D xsi:type="xsd:double"&gt;927.860093&lt;/D&gt;&lt;D xsi:type="xsd:double"&gt;939.164286&lt;/D&gt;&lt;D xsi:type="xsd:double"&gt;951.490163&lt;/D&gt;&lt;D xsi:type="xsd:double"&gt;952.784054&lt;/D&gt;&lt;D xsi:type="xsd:double"&gt;944.077299&lt;/D&gt;&lt;D xsi:type="xsd:double"&gt;948.252424&lt;/D&gt;&lt;D xsi:type="xsd:double"&gt;947.183378&lt;/D&gt;&lt;D xsi:type="xsd:double"&gt;957.408901&lt;/D&gt;&lt;D xsi:type="xsd:double"&gt;964.236879&lt;/D&gt;&lt;D xsi:type="xsd:double"&gt;956.250701&lt;/D&gt;&lt;D xsi:type="xsd:double"&gt;970.869885&lt;/D&gt;&lt;D xsi:type="xsd:double"&gt;974.497698&lt;/D&gt;&lt;D xsi:type="xsd:double"&gt;976.167923&lt;/D&gt;&lt;D xsi:type="xsd:double"&gt;984.992672&lt;/D&gt;&lt;D xsi:type="xsd:double"&gt;982.106581&lt;/D&gt;&lt;D xsi:type="xsd:double"&gt;974.558758&lt;/D&gt;&lt;D xsi:type="xsd:double"&gt;975.716734&lt;/D&gt;&lt;D xsi:type="xsd:double"&gt;977.498513&lt;/D&gt;&lt;D xsi:type="xsd:double"&gt;973.861455&lt;/D&gt;&lt;D xsi:type="xsd:double"&gt;973.587899&lt;/D&gt;&lt;D xsi:type="xsd:double"&gt;981.424905&lt;/D&gt;&lt;D xsi:type="xsd:double"&gt;985.84388&lt;/D&gt;&lt;D xsi:type="xsd:double"&gt;985.681101&lt;/D&gt;&lt;D xsi:type="xsd:double"&gt;980.325256&lt;/D&gt;&lt;D xsi:type="xsd:double"&gt;988.303007&lt;/D&gt;&lt;D xsi:type="xsd:double"&gt;987.584745&lt;/D&gt;&lt;D xsi:type="xsd:double"&gt;978.092572&lt;/D&gt;&lt;D xsi:type="xsd:double"&gt;971.042534&lt;/D&gt;&lt;D xsi:type="xsd:double"&gt;982.309864&lt;/D&gt;&lt;D xsi:type="xsd:double"&gt;970.202983&lt;/D&gt;&lt;D xsi:type="xsd:double"&gt;966.687006&lt;/D&gt;&lt;D xsi:type="xsd:double"&gt;959.789965&lt;/D&gt;&lt;D xsi:type="xsd:double"&gt;964.439138&lt;/D&gt;&lt;D xsi:type="xsd:double"&gt;973.864305&lt;/D&gt;&lt;D xsi:type="xsd:double"&gt;975.766774&lt;/D&gt;&lt;D xsi:type="xsd:double"&gt;981.799172&lt;/D&gt;&lt;D xsi:type="xsd:double"&gt;986.28351&lt;/D&gt;&lt;D xsi:type="xsd:double"&gt;997.717025&lt;/D&gt;&lt;D xsi:type="xsd:double"&gt;1008.34351&lt;/D&gt;&lt;D xsi:type="xsd:double"&gt;1008.422275&lt;/D&gt;&lt;D xsi:type="xsd:double"&gt;1003.711472&lt;/D&gt;&lt;D xsi:type="xsd:double"&gt;1016.311065&lt;/D&gt;&lt;D xsi:type="xsd:double"&gt;1018.018761&lt;/D&gt;&lt;D xsi:type="xsd:double"&gt;1015.805265&lt;/D&gt;&lt;D xsi:type="xsd:double"&gt;1019.994583&lt;/D&gt;&lt;D xsi:type="xsd:double"&gt;1043.092249&lt;/D&gt;&lt;D xsi:type="xsd:double"&gt;1046.911652&lt;/D&gt;&lt;D xsi:type="xsd:double"&gt;1043.202624&lt;/D&gt;&lt;D xsi:type="xsd:double"&gt;1035.150574&lt;/D&gt;&lt;D xsi:type="xsd:double"&gt;1031.880334&lt;/D&gt;&lt;D xsi:type="xsd:double"&gt;1032.260637&lt;/D&gt;&lt;D xsi:type="xsd:double"&gt;1013.446801&lt;/D&gt;&lt;D xsi:type="xsd:double"&gt;1014.583607&lt;/D&gt;&lt;D xsi:type="xsd:double"&gt;1018.055177&lt;/D&gt;&lt;D xsi:type="xsd:double"&gt;1019.594328&lt;/D&gt;&lt;D xsi:type="xsd:double"&gt;1022.119183&lt;/D&gt;&lt;D xsi:type="xsd:double"&gt;1027.764983&lt;/D&gt;&lt;D xsi:type="xsd:double"&gt;1028.493287&lt;/D&gt;&lt;D xsi:type="xsd:double"&gt;1020.53112&lt;/D&gt;&lt;D xsi:type="xsd:double"&gt;1005.553859&lt;/D&gt;&lt;D xsi:type="xsd:double"&gt;994.893899&lt;/D&gt;&lt;D xsi:type="xsd:double"&gt;981.878889&lt;/D&gt;&lt;D xsi:type="xsd:double"&gt;980.659505&lt;/D&gt;&lt;D xsi:type="xsd:double"&gt;984.687418&lt;/D&gt;&lt;D xsi:type="xsd:double"&gt;1001.121317&lt;/D&gt;&lt;D xsi:type="xsd:double"&gt;1005.111076&lt;/D&gt;&lt;D xsi:type="xsd:double"&gt;989.47508&lt;/D&gt;&lt;D xsi:type="xsd:double"&gt;987.069887&lt;/D&gt;&lt;D xsi:type="xsd:double"&gt;992.060163&lt;/D&gt;&lt;D xsi:type="xsd:double"&gt;995.017845&lt;/D&gt;&lt;D xsi:type="xsd:double"&gt;989.273582&lt;/D&gt;&lt;D xsi:type="xsd:double"&gt;991.914475&lt;/D&gt;&lt;D xsi:type="xsd:double"&gt;1001.136477&lt;/D&gt;&lt;D xsi:type="xsd:double"&gt;1004.270545&lt;/D&gt;&lt;D xsi:type="xsd:double"&gt;1013.237396&lt;/D&gt;&lt;D xsi:type="xsd:double"&gt;1030.026663&lt;/D&gt;&lt;D xsi:type="xsd:double"&gt;1023.588355&lt;/D&gt;&lt;D xsi:type="xsd:double"&gt;1014.910413&lt;/D&gt;&lt;D xsi:type="xsd:double"&gt;1013.251357&lt;/D&gt;&lt;D xsi:type="xsd:double"&gt;1003.13755&lt;/D&gt;&lt;D xsi:type="xsd:double"&gt;1002.328673&lt;/D&gt;&lt;D xsi:type="xsd:double"&gt;994.07703&lt;/D&gt;&lt;D xsi:type="xsd:double"&gt;995.413241&lt;/D&gt;&lt;D xsi:type="xsd:double"&gt;988.493688&lt;/D&gt;&lt;D xsi:type="xsd:double"&gt;986.685082&lt;/D&gt;&lt;D xsi:type="xsd:double"&gt;984.358655&lt;/D&gt;&lt;D xsi:type="xsd:double"&gt;961.799468&lt;/D&gt;&lt;D xsi:type="xsd:double"&gt;958.527204&lt;/D&gt;&lt;D xsi:type="xsd:double"&gt;970.319817&lt;/D&gt;&lt;D xsi:type="xsd:double"&gt;972.859919&lt;/D&gt;&lt;D xsi:type="xsd:double"&gt;964.011098&lt;/D&gt;&lt;D xsi:type="xsd:double"&gt;970.904788&lt;/D&gt;&lt;D xsi:type="xsd:double"&gt;978.603109&lt;/D&gt;&lt;D xsi:type="xsd:double"&gt;983.267596&lt;/D&gt;&lt;D xsi:type="xsd:double"&gt;977.24313&lt;/D&gt;&lt;D xsi:type="xsd:double"&gt;978.162929&lt;/D&gt;&lt;D xsi:type="xsd:double"&gt;975.832815&lt;/D&gt;&lt;D xsi:type="xsd:double"&gt;979.242149&lt;/D&gt;&lt;D xsi:type="xsd:double"&gt;977.48444&lt;/D&gt;&lt;D xsi:type="xsd:double"&gt;972.995641&lt;/D&gt;&lt;D xsi:type="xsd:double"&gt;977.824002&lt;/D&gt;&lt;D xsi:type="xsd:double"&gt;979.642594&lt;/D&gt;&lt;D xsi:type="xsd:double"&gt;982.244186&lt;/D&gt;&lt;D xsi:type="xsd:double"&gt;989.437121&lt;/D&gt;&lt;D xsi:type="xsd:double"&gt;981.663155&lt;/D&gt;&lt;D xsi:type="xsd:double"&gt;976.364285&lt;/D&gt;&lt;D xsi:type="xsd:double"&gt;969.62347&lt;/D&gt;&lt;D xsi:type="xsd:double"&gt;973.937144&lt;/D&gt;&lt;D xsi:type="xsd:double"&gt;976.742369&lt;/D&gt;&lt;D xsi:type="xsd:double"&gt;977.046261&lt;/D&gt;&lt;D xsi:type="xsd:double"&gt;972.184924&lt;/D&gt;&lt;D xsi:type="xsd:double"&gt;967.854342&lt;/D&gt;&lt;D xsi:type="xsd:double"&gt;965.60339&lt;/D&gt;&lt;D xsi:type="xsd:double"&gt;977.38416&lt;/D&gt;&lt;D xsi:type="xsd:double"&gt;980.744279&lt;/D&gt;&lt;D xsi:type="xsd:double"&gt;989.786482&lt;/D&gt;&lt;D xsi:type="xsd:double"&gt;990.372424&lt;/D&gt;&lt;D xsi:type="xsd:double"&gt;1000.54451&lt;/D&gt;&lt;D xsi:type="xsd:double"&gt;1003.782412&lt;/D&gt;&lt;D xsi:type="xsd:double"&gt;1000.492611&lt;/D&gt;&lt;D xsi:type="xsd:double"&gt;997.033815&lt;/D&gt;&lt;D xsi:type="xsd:double"&gt;993.575651&lt;/D&gt;&lt;D xsi:type="xsd:double"&gt;996.246681&lt;/D&gt;&lt;D xsi:type="xsd:double"&gt;988.678213&lt;/D&gt;&lt;D xsi:type="xsd:double"&gt;984.433541&lt;/D&gt;&lt;D xsi:type="xsd:double"&gt;987.852844&lt;/D&gt;&lt;D xsi:type="xsd:double"&gt;987.615488&lt;/D&gt;&lt;D xsi:type="xsd:double"&gt;989.184713&lt;/D&gt;&lt;D xsi:type="xsd:double"&gt;990.284402&lt;/D&gt;&lt;D xsi:type="xsd:double"&gt;985.768725&lt;/D&gt;&lt;D xsi:type="xsd:double"&gt;980.140806&lt;/D&gt;&lt;D xsi:type="xsd:double"&gt;970.694469&lt;/D&gt;&lt;D xsi:type="xsd:double"&gt;964.014473&lt;/D&gt;&lt;D xsi:type="xsd:double"&gt;972.174924&lt;/D&gt;&lt;D xsi:type="xsd:double"&gt;977.776027&lt;/D&gt;&lt;D xsi:type="xsd:double"&gt;961.482438&lt;/D&gt;&lt;D xsi:type="xsd:double"&gt;952.454713&lt;/D&gt;&lt;D xsi:type="xsd:double"&gt;942.975484&lt;/D&gt;&lt;D xsi:type="xsd:double"&gt;951.562594&lt;/D&gt;&lt;D xsi:type="xsd:double"&gt;941.34828&lt;/D&gt;&lt;D xsi:type="xsd:double"&gt;946.871162&lt;/D&gt;&lt;D xsi:type="xsd:double"&gt;945.11655&lt;/D&gt;&lt;D xsi:type="xsd:double"&gt;961.500561&lt;/D&gt;&lt;D xsi:type="xsd:double"&gt;955.277479&lt;/D&gt;&lt;D xsi:type="xsd:double"&gt;968.385399&lt;/D&gt;&lt;D xsi:type="xsd:double"&gt;978.066925&lt;/D&gt;&lt;D xsi:type="xsd:double"&gt;988.378061&lt;/D&gt;&lt;D xsi:type="xsd:double"&gt;993.73709&lt;/D&gt;&lt;D xsi:type="xsd:double"&gt;988.02626&lt;/D&gt;&lt;D xsi:type="xsd:double"&gt;980.052687&lt;/D&gt;&lt;D xsi:type="xsd:double"&gt;984.189641&lt;/D&gt;&lt;D xsi:type="xsd:double"&gt;964.005572&lt;/D&gt;&lt;D xsi:type="xsd:double"&gt;967.246153&lt;/D&gt;&lt;D xsi:type="xsd:double"&gt;971.866953&lt;/D&gt;&lt;D xsi:type="xsd:double"&gt;987.738646&lt;/D&gt;&lt;D xsi:type="xsd:double"&gt;982.064157&lt;/D&gt;&lt;D xsi:type="xsd:double"&gt;995.191052&lt;/D&gt;&lt;D xsi:type="xsd:double"&gt;999.42436&lt;/D&gt;&lt;D xsi:type="xsd:double"&gt;1011.141421&lt;/D&gt;&lt;D xsi:type="xsd:double"&gt;1004.873281&lt;/D&gt;&lt;D xsi:type="xsd:double"&gt;1014.488488&lt;/D&gt;&lt;D xsi:type="xsd:double"&gt;1013.526245&lt;/D&gt;&lt;D xsi:type="xsd:double"&gt;1013.666355&lt;/D&gt;&lt;D xsi:type="xsd:double"&gt;1024.511486&lt;/D&gt;&lt;D xsi:type="xsd:double"&gt;1020.57613&lt;/D&gt;&lt;D xsi:type="xsd:double"&gt;1015.510511&lt;/D&gt;&lt;D xsi:type="xsd:double"&gt;1014.48708&lt;/D&gt;&lt;D xsi:type="xsd:double"&gt;1038.714929&lt;/D&gt;&lt;D xsi:type="xsd:double"&gt;1045.564474&lt;/D&gt;&lt;D xsi:type="xsd:double"&gt;1042.792033&lt;/D&gt;&lt;D xsi:type="xsd:double"&gt;1031.497108&lt;/D&gt;&lt;D xsi:type="xsd:double"&gt;1044.002041&lt;/D&gt;&lt;D xsi:type="xsd:double"&gt;1051.191217&lt;/D&gt;&lt;D xsi:type="xsd:double"&gt;1052.463055&lt;/D&gt;&lt;D xsi:type="xsd:double"&gt;1041.255378&lt;/D&gt;&lt;D xsi:type="xsd:double"&gt;1039.199516&lt;/D&gt;&lt;D xsi:type="xsd:double"&gt;1038.676342&lt;/D&gt;&lt;D xsi:type="xsd:double"&gt;1036.243443&lt;/D&gt;&lt;D xsi:type="xsd:double"&gt;1027.908218&lt;/D&gt;&lt;D xsi:type="xsd:double"&gt;1030.057428&lt;/D&gt;&lt;D xsi:type="xsd:double"&gt;1027.384466&lt;/D&gt;&lt;D xsi:type="xsd:double"&gt;1029.844601&lt;/D&gt;&lt;D xsi:type="xsd:double"&gt;1018.31354&lt;/D&gt;&lt;D xsi:type="xsd:double"&gt;1016.853056&lt;/D&gt;&lt;D xsi:type="xsd:double"&gt;1014.021295&lt;/D&gt;&lt;D xsi:type="xsd:double"&gt;1013.502977&lt;/D&gt;&lt;D xsi:type="xsd:double"&gt;988.676924&lt;/D&gt;&lt;D xsi:type="xsd:double"&gt;984.004865&lt;/D&gt;&lt;D xsi:type="xsd:double"&gt;974.219134&lt;/D&gt;&lt;D xsi:type="xsd:double"&gt;962.574444&lt;/D&gt;&lt;D xsi:type="xsd:double"&gt;956.377603&lt;/D&gt;&lt;D xsi:type="xsd:double"&gt;957.447535&lt;/D&gt;&lt;D xsi:type="xsd:double"&gt;960.184914&lt;/D&gt;&lt;D xsi:type="xsd:double"&gt;959.38744&lt;/D&gt;&lt;D xsi:type="xsd:double"&gt;954.777984&lt;/D&gt;&lt;D xsi:type="xsd:double"&gt;964.05758&lt;/D&gt;&lt;D xsi:type="xsd:double"&gt;952.983385&lt;/D&gt;&lt;D xsi:type="xsd:double"&gt;951.084632&lt;/D&gt;&lt;D xsi:type="xsd:double"&gt;957.635667&lt;/D&gt;&lt;D xsi:type="xsd:double"&gt;957.301435&lt;/D&gt;&lt;D xsi:type="xsd:double"&gt;960.224072&lt;/D&gt;&lt;D xsi:type="xsd:double"&gt;973.707491&lt;/D&gt;&lt;D xsi:type="xsd:double"&gt;965.252321&lt;/D&gt;&lt;D xsi:type="xsd:double"&gt;963.581727&lt;/D&gt;&lt;D xsi:type="xsd:double"&gt;978.281451&lt;/D&gt;&lt;D xsi:type="xsd:double"&gt;969.214807&lt;/D&gt;&lt;D xsi:type="xsd:double"&gt;958.770022&lt;/D&gt;&lt;D xsi:type="xsd:double"&gt;972.925261&lt;/D&gt;&lt;D xsi:type="xsd:double"&gt;984.258418&lt;/D&gt;&lt;D xsi:type="xsd:double"&gt;973.847688&lt;/D&gt;&lt;D xsi:type="xsd:double"&gt;978.304865&lt;/D&gt;&lt;D xsi:type="xsd:double"&gt;972.285337&lt;/D&gt;&lt;D xsi:type="xsd:double"&gt;952.93619&lt;/D&gt;&lt;D xsi:type="xsd:double"&gt;930.76512&lt;/D&gt;&lt;D xsi:type="xsd:double"&gt;941.005532&lt;/D&gt;&lt;D xsi:type="xsd:double"&gt;932.298046&lt;/D&gt;&lt;D xsi:type="xsd:double"&gt;927.414531&lt;/D&gt;&lt;D xsi:type="xsd:double"&gt;931.051738&lt;/D&gt;&lt;D xsi:type="xsd:double"&gt;943.005689&lt;/D&gt;&lt;D xsi:type="xsd:double"&gt;942.3565&lt;/D&gt;&lt;D xsi:type="xsd:double"&gt;954.308397&lt;/D&gt;&lt;D xsi:type="xsd:double"&gt;960.637108&lt;/D&gt;&lt;D xsi:type="xsd:double"&gt;939.778459&lt;/D&gt;&lt;D xsi:type="xsd:double"&gt;935.725918&lt;/D&gt;&lt;D xsi:type="xsd:double"&gt;889.601359&lt;/D&gt;&lt;D xsi:type="xsd:double"&gt;900.318413&lt;/D&gt;&lt;D xsi:type="xsd:double"&gt;900.019912&lt;/D&gt;&lt;D xsi:type="xsd:double"&gt;897.360897&lt;/D&gt;&lt;D xsi:type="xsd:double"&gt;884.975113&lt;/D&gt;&lt;D xsi:type="xsd:double"&gt;860.904318&lt;/D&gt;&lt;D xsi:type="xsd:double"&gt;873.02365&lt;/D&gt;&lt;D xsi:type="xsd:double"&gt;867.582057&lt;/D&gt;&lt;D xsi:type="xsd:double"&gt;848.162834&lt;/D&gt;&lt;D xsi:type="xsd:double"&gt;845.580723&lt;/D&gt;&lt;D xsi:type="xsd:double"&gt;859.464632&lt;/D&gt;&lt;D xsi:type="xsd:double"&gt;851.812575&lt;/D&gt;&lt;D xsi:type="xsd:double"&gt;844.50894&lt;/D&gt;&lt;D xsi:type="xsd:double"&gt;842.757636&lt;/D&gt;&lt;D xsi:type="xsd:double"&gt;865.038735&lt;/D&gt;&lt;D xsi:type="xsd:double"&gt;864.76147&lt;/D&gt;&lt;D xsi:type="xsd:double"&gt;865.911365&lt;/D&gt;&lt;D xsi:type="xsd:double"&gt;879.07387&lt;/D&gt;&lt;D xsi:type="xsd:double"&gt;865.770075&lt;/D&gt;&lt;D xsi:type="xsd:double"&gt;863.327939&lt;/D&gt;&lt;D xsi:type="xsd:double"&gt;854.531909&lt;/D&gt;&lt;D xsi:type="xsd:double"&gt;865.343437&lt;/D&gt;&lt;D xsi:type="xsd:double"&gt;864.655363&lt;/D&gt;&lt;D xsi:type="xsd:double"&gt;884.806716&lt;/D&gt;&lt;D xsi:type="xsd:double"&gt;897.742536&lt;/D&gt;&lt;D xsi:type="xsd:double"&gt;910.570194&lt;/D&gt;&lt;D xsi:type="xsd:double"&gt;909.518534&lt;/D&gt;&lt;D xsi:type="xsd:double"&gt;893.650318&lt;/D&gt;&lt;D xsi:type="xsd:double"&gt;876.146221&lt;/D&gt;&lt;D xsi:type="xsd:double"&gt;875.78565&lt;/D&gt;&lt;D xsi:type="xsd:double"&gt;873.285609&lt;/D&gt;&lt;D xsi:type="xsd:double"&gt;875.845002&lt;/D&gt;&lt;D xsi:type="xsd:double"&gt;891.888906&lt;/D&gt;&lt;D xsi:type="xsd:double"&gt;888.580961&lt;/D&gt;&lt;D xsi:type="xsd:double"&gt;905.836716&lt;</t>
        </r>
      </text>
    </comment>
    <comment ref="A45" authorId="0" shapeId="0">
      <text>
        <r>
          <rPr>
            <b/>
            <sz val="9"/>
            <color indexed="81"/>
            <rFont val="Tahoma"/>
            <family val="2"/>
          </rPr>
          <t xml:space="preserve">/D&gt;&lt;D xsi:type="xsd:double"&gt;922.61068&lt;/D&gt;&lt;D xsi:type="xsd:double"&gt;932.081875&lt;/D&gt;&lt;D xsi:type="xsd:double"&gt;946.165575&lt;/D&gt;&lt;D xsi:type="xsd:double"&gt;938.533537&lt;/D&gt;&lt;D xsi:type="xsd:double"&gt;944.115183&lt;/D&gt;&lt;D xsi:type="xsd:double"&gt;958.576236&lt;/D&gt;&lt;D xsi:type="xsd:double"&gt;962.552424&lt;/D&gt;&lt;D xsi:type="xsd:double"&gt;979.912933&lt;/D&gt;&lt;D xsi:type="xsd:double"&gt;979.051818&lt;/D&gt;&lt;D xsi:type="xsd:double"&gt;970.29329&lt;/D&gt;&lt;D xsi:type="xsd:double"&gt;957.216646&lt;/D&gt;&lt;D xsi:type="xsd:double"&gt;956.511328&lt;/D&gt;&lt;D xsi:type="xsd:double"&gt;965.238995&lt;/D&gt;&lt;D xsi:type="xsd:double"&gt;972.018457&lt;/D&gt;&lt;D xsi:type="xsd:double"&gt;976.139738&lt;/D&gt;&lt;D xsi:type="xsd:double"&gt;994.114388&lt;/D&gt;&lt;D xsi:type="xsd:double"&gt;992.762287&lt;/D&gt;&lt;D xsi:type="xsd:double"&gt;991.651871&lt;/D&gt;&lt;D xsi:type="xsd:double"&gt;1006.502248&lt;/D&gt;&lt;D xsi:type="xsd:double"&gt;1003.43849&lt;/D&gt;&lt;D xsi:type="xsd:double"&gt;985.128246&lt;/D&gt;&lt;D xsi:type="xsd:double"&gt;989.540585&lt;/D&gt;&lt;D xsi:type="xsd:double"&gt;991.89657&lt;/D&gt;&lt;D xsi:type="xsd:double"&gt;1001.46183&lt;/D&gt;&lt;D xsi:type="xsd:double"&gt;1009.583217&lt;/D&gt;&lt;D xsi:type="xsd:double"&gt;1015.589929&lt;/D&gt;&lt;D xsi:type="xsd:double"&gt;1014.22095&lt;/D&gt;&lt;D xsi:type="xsd:double"&gt;1015.00418&lt;/D&gt;&lt;D xsi:type="xsd:double"&gt;1016.827317&lt;/D&gt;&lt;D xsi:type="xsd:double"&gt;1014.291726&lt;/D&gt;&lt;D xsi:type="xsd:double"&gt;997.204368&lt;/D&gt;&lt;D xsi:type="xsd:double"&gt;1001.690002&lt;/D&gt;&lt;D xsi:type="xsd:double"&gt;1001.788946&lt;/D&gt;&lt;D xsi:type="xsd:double"&gt;1002.87208&lt;/D&gt;&lt;D xsi:type="xsd:double"&gt;994.590577&lt;/D&gt;&lt;D xsi:type="xsd:double"&gt;985.810454&lt;/D&gt;&lt;D xsi:type="xsd:double"&gt;984.32242&lt;/D&gt;&lt;D xsi:type="xsd:double"&gt;995.038763&lt;/D&gt;&lt;D xsi:type="xsd:double"&gt;993.781563&lt;/D&gt;&lt;D xsi:type="xsd:double"&gt;997.609043&lt;/D&gt;&lt;D xsi:type="xsd:double"&gt;989.887017&lt;/D&gt;&lt;D xsi:type="xsd:double"&gt;989.923545&lt;/D&gt;&lt;D xsi:type="xsd:double"&gt;987.075924&lt;/D&gt;&lt;D xsi:type="xsd:double"&gt;990.3716&lt;/D&gt;&lt;D xsi:type="xsd:double"&gt;990.688795&lt;/D&gt;&lt;D xsi:type="xsd:double"&gt;986.564605&lt;/D&gt;&lt;D xsi:type="xsd:double"&gt;979.94049&lt;/D&gt;&lt;D xsi:type="xsd:double"&gt;980.522311&lt;/D&gt;&lt;D xsi:type="xsd:double"&gt;961.853603&lt;/D&gt;&lt;D xsi:type="xsd:double"&gt;965.452436&lt;/D&gt;&lt;D xsi:type="xsd:double"&gt;970.458401&lt;/D&gt;&lt;D xsi:type="xsd:double"&gt;967.310835&lt;/D&gt;&lt;D xsi:type="xsd:double"&gt;981.148436&lt;/D&gt;&lt;D xsi:type="xsd:double"&gt;999.574607&lt;/D&gt;&lt;D xsi:type="xsd:double"&gt;994.341566&lt;/D&gt;&lt;D xsi:type="xsd:double"&gt;981.014201&lt;/D&gt;&lt;D xsi:type="xsd:double"&gt;991.471452&lt;/D&gt;&lt;D xsi:type="xsd:double"&gt;992.835995&lt;/D&gt;&lt;D xsi:type="xsd:double"&gt;1000.668125&lt;/D&gt;&lt;D xsi:type="xsd:double"&gt;1013.204105&lt;/D&gt;&lt;D xsi:type="xsd:double"&gt;1030.073598&lt;/D&gt;&lt;D xsi:type="xsd:double"&gt;1027.547411&lt;/D&gt;&lt;D xsi:type="xsd:double"&gt;1011.178156&lt;/D&gt;&lt;D xsi:type="xsd:double"&gt;995.336311&lt;/D&gt;&lt;D xsi:type="xsd:double"&gt;993.588323&lt;/D&gt;&lt;D xsi:type="xsd:double"&gt;1016.980012&lt;/D&gt;&lt;D xsi:type="xsd:double"&gt;1004.633108&lt;/D&gt;&lt;D xsi:type="xsd:double"&gt;1008.112418&lt;/D&gt;&lt;D xsi:type="xsd:double"&gt;1020.095965&lt;/D&gt;&lt;D xsi:type="xsd:double"&gt;1017.866385&lt;/D&gt;&lt;D xsi:type="xsd:double"&gt;1016.455424&lt;/D&gt;&lt;D xsi:type="xsd:double"&gt;1054.637704&lt;/D&gt;&lt;D xsi:type="xsd:double"&gt;1067.14761&lt;/D&gt;&lt;D xsi:type="xsd:double"&gt;1073.739209&lt;/D&gt;&lt;D xsi:type="xsd:double"&gt;1061.018828&lt;/D&gt;&lt;D xsi:type="xsd:double"&gt;1071.332871&lt;/D&gt;&lt;D xsi:type="xsd:double"&gt;1060.741394&lt;/D&gt;&lt;D xsi:type="xsd:double"&gt;1061.438982&lt;/D&gt;&lt;D xsi:type="xsd:double"&gt;1067.856504&lt;/D&gt;&lt;D xsi:type="xsd:double"&gt;1077.665885&lt;/D&gt;&lt;D xsi:type="xsd:double"&gt;1043.170426&lt;/D&gt;&lt;D xsi:type="xsd:double"&gt;1022.959697&lt;/D&gt;&lt;D xsi:type="xsd:double"&gt;1019.593567&lt;/D&gt;&lt;D xsi:type="xsd:double"&gt;1016.990317&lt;/D&gt;&lt;D xsi:type="xsd:double"&gt;1034.508419&lt;/D&gt;&lt;D xsi:type="xsd:double"&gt;1035.30628&lt;/D&gt;&lt;D xsi:type="xsd:double"&gt;1014.886381&lt;/D&gt;&lt;D xsi:type="xsd:double"&gt;1033.184988&lt;/D&gt;&lt;D xsi:type="xsd:double"&gt;1030.825586&lt;/D&gt;&lt;D xsi:type="xsd:double"&gt;1007.504055&lt;/D&gt;&lt;D xsi:type="xsd:double"&gt;1004.518707&lt;/D&gt;&lt;D xsi:type="xsd:double"&gt;987.819423&lt;/D&gt;&lt;D xsi:type="xsd:double"&gt;1011.217525&lt;/D&gt;&lt;D xsi:type="xsd:double"&gt;1007.218432&lt;/D&gt;&lt;D xsi:type="xsd:double"&gt;1014.683321&lt;/D&gt;&lt;D xsi:type="xsd:double"&gt;1031.501961&lt;/D&gt;&lt;D xsi:type="xsd:double"&gt;1058.722022&lt;/D&gt;&lt;D xsi:type="xsd:double"&gt;1063.838653&lt;/D&gt;&lt;D xsi:type="xsd:double"&gt;1069.237773&lt;/D&gt;&lt;D xsi:type="xsd:double"&gt;1072.564298&lt;/D&gt;&lt;D xsi:type="xsd:double"&gt;1076.189978&lt;/D&gt;&lt;D xsi:type="xsd:double"&gt;1053.816943&lt;/D&gt;&lt;D xsi:type="xsd:double"&gt;1043.74396&lt;/D&gt;&lt;D xsi:type="xsd:double"&gt;1049.394191&lt;/D&gt;&lt;D xsi:type="xsd:double"&gt;1046.043005&lt;/D&gt;&lt;D xsi:type="xsd:double"&gt;1075.598093&lt;/D&gt;&lt;D xsi:type="xsd:double"&gt;1086.926326&lt;/D&gt;&lt;D xsi:type="xsd:double"&gt;1095.629146&lt;/D&gt;&lt;D xsi:type="xsd:double"&gt;1096.002133&lt;/D&gt;&lt;D xsi:type="xsd:double"&gt;1106.677529&lt;/D&gt;&lt;D xsi:type="xsd:double"&gt;1117.363731&lt;/D&gt;&lt;D xsi:type="xsd:double"&gt;1119.316202&lt;/D&gt;&lt;D xsi:type="xsd:double"&gt;1110.40299&lt;/D&gt;&lt;D xsi:type="xsd:double"&gt;1111.764077&lt;/D&gt;&lt;D xsi:type="xsd:double"&gt;1127.927671&lt;/D&gt;&lt;D xsi:type="xsd:double"&gt;1126.061016&lt;/D&gt;&lt;D xsi:type="xsd:double"&gt;1142.501365&lt;/D&gt;&lt;D xsi:type="xsd:double"&gt;1156.751683&lt;/D&gt;&lt;D xsi:type="xsd:double"&gt;1161.64546&lt;/D&gt;&lt;D xsi:type="xsd:double"&gt;1145.847843&lt;/D&gt;&lt;D xsi:type="xsd:double"&gt;1141.787235&lt;/D&gt;&lt;D xsi:type="xsd:double"&gt;1149.302573&lt;/D&gt;&lt;D xsi:type="xsd:double"&gt;1136.448334&lt;/D&gt;&lt;D xsi:type="xsd:double"&gt;1124.815496&lt;/D&gt;&lt;D xsi:type="xsd:double"&gt;1125.008703&lt;/D&gt;&lt;D xsi:type="xsd:double"&gt;1136.949095&lt;/D&gt;&lt;D xsi:type="xsd:double"&gt;1140.721812&lt;/D&gt;&lt;D xsi:type="xsd:double"&gt;1131.409409&lt;/D&gt;&lt;D xsi:type="xsd:double"&gt;1115.263802&lt;/D&gt;&lt;D xsi:type="xsd:double"&gt;1122.981525&lt;/D&gt;&lt;D xsi:type="xsd:double"&gt;1120.933083&lt;/D&gt;&lt;D xsi:type="xsd:double"&gt;1081.000225&lt;/D&gt;&lt;D xsi:type="xsd:double"&gt;1026.770399&lt;/D&gt;&lt;D xsi:type="xsd:double"&gt;1055.010531&lt;/D&gt;&lt;D xsi:type="xsd:double"&gt;1085.663046&lt;/D&gt;&lt;D xsi:type="xsd:double"&gt;1102.739456&lt;/D&gt;&lt;D xsi:type="xsd:double"&gt;1090.67255&lt;/D&gt;&lt;D xsi:type="xsd:double"&gt;1096.047288&lt;/D&gt;&lt;D xsi:type="xsd:double"&gt;1107.300071&lt;/D&gt;&lt;D xsi:type="xsd:double"&gt;1144.906696&lt;/D&gt;&lt;D xsi:type="xsd:double"&gt;1172.558196&lt;/D&gt;&lt;D xsi:type="xsd:double"&gt;1168.406623&lt;/D&gt;&lt;D xsi:type="xsd:double"&gt;1176.429472&lt;/D&gt;&lt;D xsi:type="xsd:double"&gt;1171.309916&lt;/D&gt;&lt;D xsi:type="xsd:double"&gt;1171.988437&lt;/D&gt;&lt;D xsi:type="xsd:double"&gt;1154.862771&lt;/D&gt;&lt;D xsi:type="xsd:double"&gt;1206.856641&lt;/D&gt;&lt;D xsi:type="xsd:double"&gt;1206.629782&lt;/D&gt;&lt;D xsi:type="xsd:double"&gt;1231.773668&lt;/D&gt;&lt;D xsi:type="xsd:double"&gt;1242.920658&lt;/D&gt;&lt;D xsi:type="xsd:double"&gt;1244.187864&lt;/D&gt;&lt;D xsi:type="xsd:double"&gt;1229.050965&lt;/D&gt;&lt;D xsi:type="xsd:double"&gt;1220.416022&lt;/D&gt;&lt;D xsi:type="xsd:double"&gt;1240.506854&lt;/D&gt;&lt;D xsi:type="xsd:double"&gt;1251.092348&lt;/D&gt;&lt;D xsi:type="xsd:double"&gt;1239.790312&lt;/D&gt;&lt;D xsi:type="xsd:double"&gt;1219.804965&lt;/D&gt;&lt;D xsi:type="xsd:double"&gt;1219.328673&lt;/D&gt;&lt;D xsi:type="xsd:double"&gt;1221.100125&lt;/D&gt;&lt;D xsi:type="xsd:double"&gt;1210.270297&lt;/D&gt;&lt;D xsi:type="xsd:double"&gt;1213.230033&lt;/D&gt;&lt;D xsi:type="xsd:double"&gt;1214.006084&lt;/D&gt;&lt;D xsi:type="xsd:double"&gt;1208.231564&lt;/D&gt;&lt;D xsi:type="xsd:double"&gt;1191.135463&lt;/D&gt;&lt;D xsi:type="xsd:double"&gt;1192.060944&lt;/D&gt;&lt;D xsi:type="xsd:double"&gt;1211.446888&lt;/D&gt;&lt;D xsi:type="xsd:double"&gt;1210.45144&lt;/D&gt;&lt;D xsi:type="xsd:double"&gt;1222.162097&lt;/D&gt;&lt;D xsi:type="xsd:double"&gt;1244.307007&lt;/D&gt;&lt;D xsi:type="xsd:double"&gt;1255.741531&lt;/D&gt;&lt;D xsi:type="xsd:double"&gt;1239.830151&lt;/D&gt;&lt;D xsi:type="xsd:double"&gt;1241.576206&lt;/D&gt;&lt;D xsi:type="xsd:double"&gt;1257.463348&lt;/D&gt;&lt;D xsi:type="xsd:double"&gt;1263.300222&lt;/D&gt;&lt;D xsi:type="xsd:double"&gt;1267.338887&lt;/D&gt;&lt;D xsi:type="xsd:double"&gt;1243.042064&lt;/D&gt;&lt;D xsi:type="xsd:double"&gt;1232.267753&lt;/D&gt;&lt;D xsi:type="xsd:double"&gt;1226.102134&lt;/D&gt;&lt;D xsi:type="xsd:double"&gt;1217.072252&lt;/D&gt;&lt;D xsi:type="xsd:double"&gt;1222.736159&lt;/D&gt;&lt;D xsi:type="xsd:double"&gt;1234.9475&lt;/D&gt;&lt;D xsi:type="xsd:double"&gt;1233.501541&lt;/D&gt;&lt;D xsi:type="xsd:double"&gt;1232.007862&lt;/D&gt;&lt;D xsi:type="xsd:double"&gt;1222.746759&lt;/D&gt;&lt;D xsi:type="xsd:double"&gt;1217.933949&lt;/D&gt;&lt;D xsi:type="xsd:double"&gt;1227.115795&lt;/D&gt;&lt;D xsi:type="xsd:double"&gt;1221.755466&lt;/D&gt;&lt;D xsi:type="xsd:double"&gt;1219.594538&lt;/D&gt;&lt;D xsi:type="xsd:double"&gt;1209.878331&lt;/D&gt;&lt;D xsi:type="xsd:double"&gt;1203.660044&lt;/D&gt;&lt;D xsi:type="xsd:double"&gt;1190.084289&lt;/D&gt;&lt;D xsi:type="xsd:double"&gt;1216.295997&lt;/D&gt;&lt;D xsi:type="xsd:double"&gt;1223.887593&lt;/D&gt;&lt;D xsi:type="xsd:double"&gt;1214.496057&lt;/D&gt;&lt;D xsi:type="xsd:double"&gt;1222.099619&lt;/D&gt;&lt;D xsi:type="xsd:double"&gt;1230.60735&lt;/D&gt;&lt;D xsi:type="xsd:double"&gt;1238.535014&lt;/D&gt;&lt;D xsi:type="xsd:double"&gt;1247.713024&lt;/D&gt;&lt;D xsi:type="xsd:double"&gt;1241.009794&lt;/D&gt;&lt;D xsi:type="xsd:double"&gt;1235.559589&lt;/D&gt;&lt;D xsi:type="xsd:double"&gt;1213.956157&lt;/D&gt;&lt;D xsi:type="xsd:double"&gt;1224.641405&lt;/D&gt;&lt;D xsi:type="xsd:double"&gt;1236.192004&lt;/D&gt;&lt;D xsi:type="xsd:double"&gt;1226.807455&lt;/D&gt;&lt;D xsi:type="xsd:double"&gt;1212.417771&lt;/D&gt;&lt;D xsi:type="xsd:double"&gt;1218.987393&lt;/D&gt;&lt;D xsi:type="xsd:double"&gt;1223.131533&lt;/D&gt;&lt;D xsi:type="xsd:double"&gt;1253.152419&lt;/D&gt;&lt;D xsi:type="xsd:double"&gt;1255.390461&lt;/D&gt;&lt;D xsi:type="xsd:double"&gt;1261.55728&lt;/D&gt;&lt;D xsi:type="xsd:double"&gt;1269.222404&lt;/D&gt;&lt;D xsi:type="xsd:double"&gt;1273.870027&lt;/D&gt;&lt;D xsi:type="xsd:double"&gt;1286.869852&lt;/D&gt;&lt;D xsi:type="xsd:double"&gt;1290.547826&lt;/D&gt;&lt;D xsi:type="xsd:double"&gt;1286.815409&lt;/D&gt;&lt;D xsi:type="xsd:double"&gt;1285.479066&lt;/D&gt;&lt;D xsi:type="xsd:double"&gt;1281.396725&lt;/D&gt;&lt;D xsi:type="xsd:double"&gt;1274.390378&lt;/D&gt;&lt;D xsi:type="xsd:double"&gt;1272.954799&lt;/D&gt;&lt;D xsi:type="xsd:double"&gt;1268.822958&lt;/D&gt;&lt;D xsi:type="xsd:double"&gt;1264.065499&lt;/D&gt;&lt;D xsi:type="xsd:double"&gt;1268.45086&lt;/D&gt;&lt;D xsi:type="xsd:double"&gt;1262.459174&lt;/D&gt;&lt;D xsi:type="xsd:double"&gt;1263.956022&lt;/D&gt;&lt;D xsi:type="xsd:double"&gt;1264.535113&lt;/D&gt;&lt;D xsi:type="xsd:double"&gt;1264.754127&lt;/D&gt;&lt;D xsi:type="xsd:double"&gt;1276.068076&lt;/D&gt;&lt;D xsi:type="xsd:double"&gt;1282.88513&lt;/D&gt;&lt;D xsi:type="xsd:double"&gt;1296.059801&lt;/D&gt;&lt;D xsi:type="xsd:double"&gt;1297.259363&lt;/D&gt;&lt;D xsi:type="xsd:double"&gt;1293.14&lt;/D&gt;&lt;D xsi:type="xsd:double"&gt;1293.001535&lt;/D&gt;&lt;D xsi:type="xsd:double"&gt;1301.12884&lt;/D&gt;&lt;D xsi:type="xsd:double"&gt;1294.565609&lt;/D&gt;&lt;D xsi:type="xsd:double"&gt;1283.017335&lt;/D&gt;&lt;D xsi:type="xsd:double"&gt;1283.6716&lt;/D&gt;&lt;D xsi:type="xsd:double"&gt;1266.668723&lt;/D&gt;&lt;D xsi:type="xsd:double"&gt;1260.228871&lt;/D&gt;&lt;D xsi:type="xsd:double"&gt;1253.62926&lt;/D&gt;&lt;D xsi:type="xsd:double"&gt;1265.654078&lt;/D&gt;&lt;D xsi:type="xsd:double"&gt;1257.042376&lt;/D&gt;&lt;D xsi:type="xsd:double"&gt;1253.279509&lt;/D&gt;&lt;D xsi:type="xsd:double"&gt;1227.132093&lt;/D&gt;&lt;D xsi:type="xsd:double"&gt;1236.512327&lt;/D&gt;&lt;D xsi:type="xsd:double"&gt;1236.414464&lt;/D&gt;&lt;D xsi:type="xsd:double"&gt;1246.601493&lt;/D&gt;&lt;D xsi:type="xsd:double"&gt;1253.097343&lt;/D&gt;&lt;D xsi:type="xsd:double"&gt;1251.281642&lt;/D&gt;&lt;D xsi:type="xsd:double"&gt;1260.886033&lt;/D&gt;&lt;D xsi:type="xsd:double"&gt;1267.358832&lt;/D&gt;&lt;D xsi:type="xsd:double"&gt;1265.10193&lt;/D&gt;&lt;D xsi:type="xsd:double"&gt;1272.521426&lt;/D&gt;&lt;D xsi:type="xsd:double"&gt;1262.790734&lt;/D&gt;&lt;D xsi:type="xsd:double"&gt;1261.404638&lt;/D&gt;&lt;D xsi:type="xsd:double"&gt;1258.229454&lt;/D&gt;&lt;D xsi:type="xsd:double"&gt;1279.345642&lt;/D&gt;&lt;D xsi:type="xsd:double"&gt;1276.780011&lt;/D&gt;&lt;D xsi:type="xsd:double"&gt;1288.678121&lt;/D&gt;&lt;D xsi:type="xsd:double"&gt;1296.147265&lt;/D&gt;&lt;D xsi:type="xsd:double"&gt;1301.543991&lt;/D&gt;&lt;D xsi:type="xsd:double"&gt;1308.942264&lt;/D&gt;&lt;D xsi:type="xsd:double"&gt;1299.969452&lt;/D&gt;&lt;D xsi:type="xsd:double"&gt;1313.603377&lt;/D&gt;&lt;D xsi:type="xsd:double"&gt;1325.646978&lt;/D&gt;&lt;D xsi:type="xsd:double"&gt;1315.91436&lt;/D&gt;&lt;D xsi:type="xsd:double"&gt;1311.912658&lt;/D&gt;&lt;D xsi:type="xsd:double"&gt;1312.441392&lt;/D&gt;&lt;D xsi:type="xsd:double"&gt;1308.670457&lt;/D&gt;&lt;D xsi:type="xsd:double"&gt;1285.389647&lt;/D&gt;&lt;D xsi:type="xsd:double"&gt;1272.672844&lt;/D&gt;&lt;D xsi:type="xsd:double"&gt;1266.134393&lt;/D&gt;&lt;D xsi:type="xsd:double"&gt;1275.305659&lt;/D&gt;&lt;D xsi:type="xsd:double"&gt;1270.010978&lt;/D&gt;&lt;D xsi:type="xsd:double"&gt;1237.531487&lt;/D&gt;&lt;D xsi:type="xsd:double"&gt;1220.778494&lt;/D&gt;&lt;D xsi:type="xsd:double"&gt;1232.413436&lt;/D&gt;&lt;D xsi:type="xsd:double"&gt;1261.600124&lt;/D&gt;&lt;D xsi:type="xsd:double"&gt;1255.778044&lt;/D&gt;&lt;D xsi:type="xsd:double"&gt;1272.187495&lt;/D&gt;&lt;D xsi:type="xsd:double"&gt;1280.862878&lt;/D&gt;&lt;D xsi:type="xsd:double"&gt;1290.91153&lt;/D&gt;&lt;D xsi:type="xsd:double"&gt;1297.583501&lt;/D&gt;&lt;D xsi:type="xsd:double"&gt;1300.331919&lt;/D&gt;&lt;D xsi:type="xsd:double"&gt;1294.204292&lt;/D&gt;&lt;D xsi:type="xsd:double"&gt;1292.530116&lt;/D&gt;&lt;D xsi:type="xsd:double"&gt;1300.093401&lt;/D&gt;&lt;D xsi:type="xsd:double"&gt;1303.990846&lt;/D&gt;&lt;D xsi:type="xsd:double"&gt;1294.178285&lt;/D&gt;&lt;D xsi:type="xsd:double"&gt;1293.111166&lt;/D&gt;&lt;D xsi:type="xsd:double"&gt;1277.804958&lt;/D&gt;&lt;D xsi:type="xsd:double"&gt;1295.412154&lt;/D&gt;&lt;D xsi:type="xsd:double"&gt;1268.207123&lt;/D&gt;&lt;D xsi:type="xsd:double"&gt;1252.432714&lt;/D&gt;&lt;D xsi:type="xsd:double"&gt;1279.986531&lt;/D&gt;&lt;D xsi:type="xsd:double"&gt;1311.302425&lt;/D&gt;&lt;D xsi:type="xsd:double"&gt;1326.376527&lt;/D&gt;&lt;D xsi:type="xsd:double"&gt;1312.149804&lt;/D&gt;&lt;D xsi:type="xsd:double"&gt;1311.07429&lt;/D&gt;&lt;D xsi:type="xsd:double"&gt;1317.219978&lt;/D&gt;&lt;D xsi:type="xsd:double"&gt;1340.081503&lt;/D&gt;&lt;D xsi:type="xsd:double"&gt;1348.483666&lt;/D&gt;&lt;D xsi:type="xsd:double"&gt;1338.132431&lt;/D&gt;&lt;D xsi:type="xsd:double"&gt;1339.513664&lt;/D&gt;&lt;D xsi:type="xsd:double"&gt;1326.828778&lt;/D&gt;&lt;D xsi:type="xsd:double"&gt;1318.174554&lt;/D&gt;&lt;D xsi:type="xsd:double"&gt;1316.246786&lt;/D&gt;&lt;D xsi:type="xsd:double"&gt;1340.679739&lt;/D&gt;&lt;D xsi:type="xsd:double"&gt;1346.577862&lt;/D&gt;&lt;D xsi:type="xsd:double"&gt;1355.383136&lt;/D&gt;&lt;D xsi:type="xsd:double"&gt;1368.219298&lt;/D&gt;&lt;D xsi:type="xsd:double"&gt;1374.637403&lt;/D&gt;&lt;D xsi:type="xsd:double"&gt;1377.148647&lt;/D&gt;&lt;D xsi:type="xsd:double"&gt;1380.901846&lt;/D&gt;&lt;D xsi:type="xsd:double"&gt;1379.586474&lt;/D&gt;&lt;D xsi:type="xsd:double"&gt;1367.394064&lt;/D&gt;&lt;D xsi:type="xsd:double"&gt;1360.495058&lt;/D&gt;&lt;D xsi:type="xsd:double"&gt;1346.840478&lt;/D&gt;&lt;D xsi:type="xsd:double"&gt;1350.52269&lt;/D&gt;&lt;D xsi:type="xsd:double"&gt;1361.24558&lt;/D&gt;&lt;D xsi:type="xsd:double"&gt;1362.884878&lt;/D&gt;&lt;D xsi:type="xsd:double"&gt;1369.99969&lt;/D&gt;&lt;D xsi:type="xsd:double"&gt;1378.266963&lt;/D&gt;&lt;D xsi:type="xsd:double"&gt;1383.190691&lt;/D&gt;&lt;D xsi:type="xsd:double"&gt;1381.9922&lt;/D&gt;&lt;D xsi:type="xsd:double"&gt;1378.849995&lt;/D&gt;&lt;D xsi:type="xsd:double"&gt;1372.804352&lt;/D&gt;&lt;D xsi:type="xsd:double"&gt;1377.432104&lt;/D&gt;&lt;D xsi:type="xsd:double"&gt;1380.591734&lt;/D&gt;&lt;D xsi:type="xsd:double"&gt;1381.558717&lt;/D&gt;&lt;D xsi:type="xsd:double"&gt;1383.573209&lt;/D&gt;&lt;D xsi:type="xsd:double"&gt;1388.465631&lt;/D&gt;&lt;D xsi:type="xsd:double"&gt;1390.846106&lt;/D&gt;&lt;D xsi:type="xsd:double"&gt;1360.782132&lt;/D&gt;&lt;D xsi:type="xsd:double"&gt;1354.31428&lt;/D&gt;&lt;D xsi:type="xsd:double"&gt;1351.952351&lt;/D&gt;&lt;D xsi:type="xsd:double"&gt;1345.492651&lt;/D&gt;&lt;D xsi:type="xsd:double"&gt;1326.678242&lt;/D&gt;&lt;D xsi:type="xsd:double"&gt;1330.041443&lt;/D&gt;&lt;D xsi:type="xsd:double"&gt;1329.305746&lt;/D&gt;&lt;D xsi:type="xsd:double"&gt;1327.537997&lt;/D&gt;&lt;D xsi:type="xsd:double"&gt;1333.181671&lt;/D&gt;&lt;D xsi:type="xsd:double"&gt;1311.453855&lt;/D&gt;&lt;D xsi:type="xsd:double"&gt;1307.533693&lt;/D&gt;&lt;D xsi:type="xsd:double"&gt;1292.782124&lt;/D&gt;&lt;D xsi:type="xsd:double"&gt;1315.248848&lt;/D&gt;&lt;D xsi:type="xsd:double"&gt;1329.080906&lt;/D&gt;&lt;D xsi:type="xsd:double"&gt;1346.354146&lt;/D&gt;&lt;D xsi:type="xsd:double"&gt;1348.570309&lt;/D&gt;&lt;D xsi:type="xsd:double"&gt;1340.796608&lt;/D&gt;&lt;D xsi:type="xsd:double"&gt;1333.049473&lt;/D&gt;&lt;D xsi:type="xsd:double"&gt;1334.988286&lt;/D&gt;&lt;D xsi:type="xsd:double"&gt;1338.891055&lt;/D&gt;&lt;D xsi:type="xsd:double"&gt;1347.611538&lt;/D&gt;&lt;D xsi:type="xsd:double"&gt;1364.539182&lt;/D&gt;&lt;D xsi:type="xsd:double"&gt;1364.960942&lt;/D&gt;&lt;D xsi:type="xsd:double"&gt;1361.957312&lt;/D&gt;&lt;D xsi:type="xsd:double"&gt;1360.638135&lt;/D&gt;&lt;D xsi:type="xsd:double"&gt;1353.020229&lt;/D&gt;&lt;D xsi:type="xsd:double"&gt;1341.42603&lt;/D&gt;&lt;D xsi:type="xsd:double"&gt;1336.864755&lt;/D&gt;&lt;D xsi:type="xsd:double"&gt;1347.606449&lt;/D&gt;&lt;D xsi:type="xsd:double"&gt;1348.551861&lt;/D&gt;&lt;D xsi:type="xsd:double"&gt;1348.693239&lt;/D&gt;&lt;D xsi:type="xsd:double"&gt;1341.086987&lt;/D&gt;&lt;D xsi:type="xsd:double"&gt;1336.587128&lt;/D&gt;&lt;D xsi:type="xsd:double"&gt;1323.945263&lt;/D&gt;&lt;D xsi:type="xsd:double"&gt;1322.314906&lt;/D&gt;&lt;D xsi:type="xsd:double"&gt;1330.362915&lt;/D&gt;&lt;D xsi:type="xsd:double"&gt;1343.356334&lt;/D&gt;&lt;D xsi:type="xsd:double"&gt;1338.758564&lt;/D&gt;&lt;D xsi:type="xsd:double"&gt;1346.906504&lt;/D&gt;&lt;D xsi:type="xsd:double"&gt;1338.787349&lt;/D&gt;&lt;D xsi:type="xsd:double"&gt;1335.235501&lt;/D&gt;&lt;D xsi:type="xsd:double"&gt;1316.425392&lt;/D&gt;&lt;D xsi:type="xsd:double"&gt;1319.496317&lt;/D&gt;&lt;D xsi:type="xsd:double"&gt;1310.113373&lt;/D&gt;&lt;D xsi:type="xsd:double"&gt;1307.476119&lt;/D&gt;&lt;D xsi:type="xsd:double"&gt;1288.418493&lt;/D&gt;&lt;D xsi:type="xsd:double"&gt;1298.43947&lt;/D&gt;&lt;D xsi:type="xsd:double"&gt;1323.767225&lt;/D&gt;&lt;D xsi:type="xsd:double"&gt;1336.272185&lt;/D&gt;&lt;D xsi:type="xsd:double"&gt;1336.838806&lt;/D&gt;&lt;D xsi:type="xsd:double"&gt;1347.327642&lt;/D&gt;&lt;D xsi:type="xsd:double"&gt;1342.79941&lt;/D&gt;&lt;D xsi:type="xsd:double"&gt;1349.067375&lt;/D&gt;&lt;D xsi:type="xsd:double"&gt;1340.246816&lt;/D&gt;&lt;D xsi:type="xsd:double"&gt;1348.203124&lt;/D&gt;&lt;D xsi:type="xsd:double"&gt;1357.596585&lt;/D&gt;&lt;D xsi:type="xsd:double"&gt;1324.898503&lt;/D&gt;&lt;D xsi:type="xsd:double"&gt;1317.854371&lt;/D&gt;&lt;D xsi:type="xsd:double"&gt;1308.138652&lt;/D&gt;&lt;D xsi:type="xsd:double"&gt;1339.314292&lt;/D&gt;&lt;D xsi:type="xsd:double"&gt;1346.342253&lt;/D&gt;&lt;D xsi:type="xsd:double"&gt;1378.018603&lt;/D&gt;&lt;D xsi:type="xsd:double"&gt;1359.64796&lt;/D&gt;&lt;D xsi:type="xsd:double"&gt;1362.46502&lt;/D&gt;&lt;D xsi:type="xsd:double"&gt;1339.258698&lt;/D&gt;&lt;D xsi:type="xsd:double"&gt;1383.810763&lt;/D&gt;&lt;D xsi:type="xsd:double"&gt;1376.763355&lt;/D&gt;&lt;D xsi:type="xsd:double"&gt;1398.202076&lt;/D&gt;&lt;D xsi:type="xsd:double"&gt;1397.665334&lt;/D&gt;&lt;D xsi:type="xsd:double"&gt;1430.025802&lt;/D&gt;&lt;D xsi:type="xsd:double"&gt;1425.127029&lt;/D&gt;&lt;D xsi:type="xsd:double"&gt;1444.930186&lt;/D&gt;&lt;D xsi:type="xsd:double"&gt;1442.166666&lt;/D&gt;&lt;D xsi:type="xsd:double"&gt;1428.870477&lt;/D&gt;&lt;D xsi:type="xsd:double"&gt;1427.886302&lt;/D&gt;&lt;D xsi:type="xsd:double"&gt;1422.944765&lt;/D&gt;&lt;D xsi:type="xsd:double"&gt;1409.135255&lt;/D&gt;&lt;D xsi:type="xsd:double"&gt;1399.814657&lt;/D&gt;&lt;D xsi:type="xsd:double"&gt;1395.350096&lt;/D&gt;&lt;D xsi:type="xsd:double"&gt;1387.614398&lt;/D&gt;&lt;D xsi:type="xsd:double"&gt;1392.638927&lt;/D&gt;&lt;D xsi:type="xsd:double"&gt;1381.187728&lt;/D&gt;&lt;D xsi:type="xsd:double"&gt;1361.090965&lt;/D&gt;&lt;D xsi:type="xsd:double"&gt;1329.565794&lt;/D&gt;&lt;D xsi:type="xsd:double"&gt;1350.588039&lt;/D&gt;&lt;D xsi:type="xsd:double"&gt;1371.415072&lt;/D&gt;&lt;D xsi:type="xsd:double"&gt;1388.759456&lt;/D&gt;&lt;D xsi:type="xsd:double"&gt;1410.200119&lt;/D&gt;&lt;D xsi:type="xsd:double"&gt;1392.853036&lt;/D&gt;&lt;D xsi:type="xsd:double"&gt;1406.06539&lt;/D&gt;&lt;D xsi:type="xsd:double"&gt;1400.96875&lt;/D&gt;&lt;D xsi:type="xsd:double"&gt;1381.308384&lt;/D&gt;&lt;D xsi:type="xsd:double"&gt;1358.029638&lt;/D&gt;&lt;D xsi:type="xsd:double"&gt;1370.75613&lt;/D&gt;&lt;D xsi:type="xsd:double"&gt;1364.071475&lt;/D&gt;&lt;D xsi:type="xsd:double"&gt;1353.571512&lt;/D&gt;&lt;D xsi:type="xsd:double"&gt;1349.595318&lt;/D&gt;&lt;D xsi:type="xsd:double"&gt;1353.530654&lt;/D&gt;&lt;D xsi:type="xsd:double"&gt;1322.296099&lt;/D&gt;&lt;D xsi:type="xsd:double"&gt;1315.325096&lt;/D&gt;&lt;D xsi:type="xsd:double"&gt;1319.971017&lt;/D&gt;&lt;D xsi:type="xsd:double"&gt;1304.427863&lt;/D&gt;&lt;D xsi:type="xsd:double"&gt;1291.263514&lt;/D&gt;&lt;D xsi:type="xsd:double"&gt;1289.033876&lt;/D&gt;&lt;D xsi:type="xsd:double"&gt;1266.767113&lt;/D&gt;&lt;D xsi:type="xsd:double"&gt;1252.326976&lt;/D&gt;&lt;D xsi:type="xsd:double"&gt;1253.531489&lt;/D&gt;&lt;D xsi:type="xsd:double"&gt;1258.095478&lt;/D&gt;&lt;D xsi:type="xsd:double"&gt;1248.70452&lt;/D&gt;&lt;D xsi:type="xsd:double"&gt;1257.007453&lt;/D&gt;&lt;D xsi:type="xsd:double"&gt;1268.362535&lt;/D&gt;&lt;D xsi:type="xsd:double"&gt;1272.959305&lt;/D&gt;&lt;D xsi:type="xsd:double"&gt;1263.817582&lt;/D&gt;&lt;D xsi:type="xsd:double"&gt;1250.210773&lt;/D&gt;&lt;D xsi:type="xsd:double"&gt;1250.446073&lt;/D&gt;&lt;D xsi:type="xsd:double"&gt;1257.66107&lt;/D&gt;&lt;D xsi:type="xsd:double"&gt;1255.028424&lt;/D&gt;&lt;D xsi:type="xsd:double"&gt;1255.853085&lt;/D&gt;&lt;D xsi:type="xsd:double"&gt;1254.231278&lt;/D&gt;&lt;D xsi:type="xsd:double"&gt;1253.390143&lt;/D&gt;&lt;D xsi:type="xsd:double"&gt;1251.036957&lt;/D&gt;&lt;D xsi:type="xsd:double"&gt;1239.460889&lt;/D&gt;&lt;D xsi:type="xsd:double"&gt;1228.708788&lt;/D&gt;&lt;D xsi:type="xsd:double"&gt;1224.00323&lt;/D&gt;&lt;D xsi:type="xsd:double"&gt;1205.067741&lt;/D&gt;&lt;D xsi:type="xsd:double"&gt;1230.722307&lt;/D&gt;&lt;D xsi:type="xsd:double"&gt;1218.285797&lt;/D&gt;&lt;D xsi:type="xsd:double"&gt;1225.993747&lt;/D&gt;&lt;D xsi:type="xsd:double"&gt;1220.517498&lt;/D&gt;&lt;D xsi:type="xsd:double"&gt;1209.258357&lt;/D&gt;&lt;D xsi:type="xsd:double"&gt;1200.443904&lt;/D&gt;&lt;D xsi:type="xsd:double"&gt;1207.547118&lt;/D&gt;&lt;D xsi:type="xsd:double"&gt;1201.428863&lt;/D&gt;&lt;D xsi:type="xsd:double"&gt;1203.041601&lt;/D&gt;&lt;D xsi:type="xsd:double"&gt;1188.346374&lt;/D&gt;&lt;D xsi:type="xsd:double"&gt;1182.09912&lt;/D&gt;&lt;D xsi:type="xsd:double"&gt;1178.85559&lt;/D&gt;&lt;D xsi:type="xsd:double"&gt;1179.92348&lt;/D&gt;&lt;D xsi:type="xsd:double"&gt;1192.373095&lt;/D&gt;&lt;D xsi:type="xsd:double"&gt;1176.360933&lt;/D&gt;&lt;D xsi:type="xsd:double"&gt;1166.227402&lt;/D&gt;&lt;D xsi:type="xsd:double"&gt;1135.258338&lt;/D&gt;&lt;D xsi:type="xsd:double"&gt;1120.882219&lt;/D&gt;&lt;D xsi:type="xsd:double"&gt;1114.758348&lt;/D&gt;&lt;D xsi:type="xsd:double"&gt;1103.458245&lt;/D&gt;&lt;D xsi:type="xsd:double"&gt;1120.104584&lt;/D&gt;&lt;D xsi:type="xsd:double"&gt;1120.750855&lt;/D&gt;&lt;D xsi:type="xsd:double"&gt;1133.990254&lt;/D&gt;&lt;D xsi:type="xsd:double"&gt;1130.645421&lt;/D&gt;&lt;D xsi:type="xsd:double"&gt;1136.445723&lt;/D&gt;&lt;D xsi:type="xsd:double"&gt;1136.542201&lt;/D&gt;&lt;D xsi:type="xsd:double"&gt;1137.907953&lt;/D&gt;&lt;D xsi:type="xsd:double"&gt;1133.941167&lt;/D&gt;&lt;D xsi:type="xsd:double"&gt;1127.276824&lt;/D&gt;&lt;D xsi:type="xsd:double"&gt;1124.08059&lt;/D&gt;&lt;D xsi:type="xsd:double"&gt;1120.541417&lt;/D&gt;&lt;D xsi:type="xsd:double"&gt;1135.557002&lt;/D&gt;&lt;D xsi:type="xsd:double"&gt;1136.415143&lt;/D&gt;&lt;D xsi:type="xsd:double"&gt;1137.167343&lt;/D&gt;&lt;D xsi:type="xsd:double"&gt;1122.505422&lt;/D&gt;&lt;D xsi:type="xsd:double"&gt;1117.436154&lt;/D&gt;&lt;D xsi:type="xsd:double"&gt;1107.899227&lt;/D&gt;&lt;D xsi:type="xsd:double"&gt;1102.470317&lt;/D&gt;&lt;D xsi:type="xsd:double"&gt;1091.380993&lt;/D&gt;&lt;D xsi:type="xsd:double"&gt;1081.70569&lt;/D&gt;&lt;D xsi:type="xsd:double"&gt;1084.834662&lt;/D&gt;&lt;D xsi:type="xsd:double"&gt;1081.996075&lt;/D&gt;&lt;D xsi:type="xsd:double"&gt;1068.787761&lt;/D&gt;&lt;D xsi:type="xsd:double"&gt;1069.876625&lt;/D&gt;&lt;D xsi:type="xsd:double"&gt;1059.101546&lt;/D&gt;&lt;D xsi:type="xsd:double"&gt;1057.741967&lt;/D&gt;&lt;D xsi:type="xsd:double"&gt;1077.698209&lt;/D&gt;&lt;D xsi:type="xsd:double"&gt;1082.865359&lt;/D&gt;&lt;D xsi:type="xsd:double"&gt;1090.349573&lt;/D&gt;&lt;D xsi:type="xsd:double"&gt;1108.531577&lt;/D&gt;&lt;D xsi:type="xsd:double"&gt;1106.81907&lt;/D&gt;&lt;D xsi:type="xsd:double"&gt;1116.994059&lt;/D&gt;&lt;D xsi:type="xsd:double"&gt;1112.619346&lt;/D&gt;&lt;D xsi:type="xsd:double"&gt;1104.266245&lt;/D&gt;&lt;D xsi:type="xsd:double"&gt;1091.791036&lt;/D&gt;&lt;D xsi:type="xsd:double"&gt;1085.314436&lt;/D&gt;&lt;D xsi:type="xsd:double"&gt;1085.746692&lt;/D&gt;&lt;D xsi:type="xsd:double"&gt;1087.506155&lt;/D&gt;&lt;D xsi:type="xsd:double"&gt;1099.499343&lt;/D&gt;&lt;D xsi:type="xsd:double"&gt;1108.85184&lt;/D&gt;&lt;D xsi:type="xsd:double"&gt;1118.898943&lt;/D&gt;&lt;D xsi:type="xsd:double"&gt;1120.016314&lt;/D&gt;&lt;D xsi:type="xsd:double"&gt;1101.498665&lt;/D&gt;&lt;D xsi:type="xsd:double"&gt;1121.600014&lt;/D&gt;&lt;D xsi:type="xsd:double"&gt;1117.219022&lt;/D&gt;&lt;D xsi:type="xsd:double"&gt;1119.338465&lt;/D&gt;&lt;D xsi:type="xsd:double"&gt;1114.724092&lt;/D&gt;&lt;D xsi:type="xsd:double"&gt;1108.229769&lt;/D&gt;&lt;D xsi:type="xsd:double"&gt;1091.850043&lt;/D&gt;&lt;D xsi:type="xsd:double"&gt;1080.536697&lt;/D&gt;&lt;D xsi:type="xsd:double"&gt;1099.411609&lt;/D&gt;&lt;D xsi:type="xsd:double"&gt;1104.96101&lt;/D&gt;&lt;D xsi:type="xsd:double"&gt;1099.96238&lt;/D&gt;&lt;D xsi:type="xsd:double"&gt;1093.15527&lt;/D&gt;&lt;D xsi:type="xsd:double"&gt;1096.182868&lt;/D&gt;&lt;D xsi:type="xsd:double"&gt;1093.976111&lt;/D&gt;&lt;D xsi:type="xsd:double"&gt;1091.228858&lt;/D&gt;&lt;D xsi:type="xsd:double"&gt;1086.447224&lt;/D&gt;&lt;D xsi:type="xsd:double"&gt;1089.319026&lt;/D&gt;&lt;D xsi:type="xsd:double"&gt;1106.581246&lt;/D&gt;&lt;D xsi:type="xsd:double"&gt;1103.025563&lt;/D&gt;&lt;D xsi:type="xsd:double"&gt;1089.582091&lt;/D&gt;&lt;D xsi:type="xsd:double"&gt;1077.866549&lt;/D&gt;&lt;D xsi:type="xsd:double"&gt;1078.918666&lt;/D&gt;&lt;D xsi:type="xsd:double"&gt;1082.061067&lt;/D&gt;&lt;D xsi:type="xsd:double"&gt;1086.620202&lt;/D&gt;&lt;D xsi:type="xsd:double"&gt;1082.019483&lt;/D&gt;&lt;D xsi:type="xsd:double"&gt;1073.144018&lt;/D&gt;&lt;D xsi:type="xsd:double"&gt;1060.474346&lt;/D&gt;&lt;D xsi:type="xsd:double"&gt;1077.599282&lt;/D&gt;&lt;D xsi:type="xsd:double"&gt;1077.780046&lt;/D&gt;&lt;D xsi:type="xsd:double"&gt;1085.858865&lt;/D&gt;&lt;D xsi:type="xsd:double"&gt;1064.50145&lt;/D&gt;&lt;D xsi:type="xsd:double"&gt;1055.060992&lt;/D&gt;&lt;D xsi:type="xsd:double"&gt;1045.932798&lt;/D&gt;&lt;D xsi:type="xsd:double"&gt;1066.285245&lt;/D&gt;&lt;D xsi:type="xsd:double"&gt;1059.523845&lt;/D&gt;&lt;D xsi:type="xsd:double"&gt;1071.363687&lt;/D&gt;&lt;D xsi:type="xsd:double"&gt;1069.27258&lt;/D&gt;&lt;D xsi:type="xsd:double"&gt;1079.688827&lt;/D&gt;&lt;D xsi:type="xsd:double"&gt;1070.138647&lt;/D&gt;&lt;D xsi:type="xsd:double"&gt;1052.542941&lt;/D&gt;&lt;D xsi:type="xsd:double"&gt;1060.497294&lt;/D&gt;&lt;D xsi:type="xsd:double"&gt;1023.47581&lt;/D&gt;&lt;D xsi:type="xsd:double"&gt;1001.075235&lt;/D&gt;&lt;D xsi:type="xsd:double"&gt;995.098332&lt;/D&gt;&lt;D xsi:type="xsd:double"&gt;993.956865&lt;/D&gt;&lt;D xsi:type="xsd:double"&gt;998.896019&lt;/D&gt;&lt;D xsi:type="xsd:double"&gt;1004.442882&lt;/D&gt;&lt;D xsi:type="xsd:double"&gt;1010.79335&lt;/D&gt;&lt;D xsi:type="xsd:double"&gt;1014.620571&lt;/D&gt;&lt;D xsi:type="xsd:double"&gt;1000.191169&lt;/D&gt;&lt;D xsi:type="xsd:double"&gt;1001.357157&lt;/D&gt;&lt;D xsi:type="xsd:double"&gt;995.176709&lt;/D&gt;&lt;D xsi:type="xsd:double"&gt;994.619244&lt;/D&gt;&lt;D xsi:type="xsd:double"&gt;989.866624&lt;/D&gt;&lt;D xsi:type="xsd:double"&gt;966.321372&lt;/D&gt;&lt;D xsi:type="xsd:double"&gt;987.012565&lt;/D&gt;&lt;D xsi:type="xsd:double"&gt;993.589346&lt;/D&gt;&lt;D xsi:type="xsd:double"&gt;1012.511908&lt;/D&gt;&lt;D xsi:type="xsd:double"&gt;1009.60981&lt;/D&gt;&lt;D xsi:type="xsd:double"&gt;1007.45919&lt;/D&gt;&lt;D xsi:type="xsd:double"&gt;1002.654049&lt;/D&gt;&lt;D xsi:type="xsd:double"&gt;988.797905&lt;/D&gt;&lt;D xsi:type="xsd:double"&gt;988.015157&lt;/D&gt;&lt;D xsi:type="xsd:double"&gt;967.480655&lt;/D&gt;&lt;D xsi:type="xsd:double"&gt;951.478544&lt;/D&gt;&lt;D xsi:type="xsd:double"&gt;930.353774&lt;/D&gt;&lt;D xsi:type="xsd:double"&gt;925.339379&lt;/D&gt;&lt;D xsi:type="xsd:double"&gt;927.364543&lt;/D&gt;&lt;D xsi:type="xsd:double"&gt;926.652541&lt;/D&gt;&lt;D xsi:type="xsd:double"&gt;905.253741&lt;/D&gt;&lt;D xsi:type="xsd:double"&gt;930.010261&lt;/D&gt;&lt;D xsi:type="xsd:double"&gt;931.499963&lt;/D&gt;&lt;D xsi:type="xsd:double"&gt;925.215359&lt;/D&gt;&lt;D xsi:type="xsd:double"&gt;912.571301&lt;/D&gt;&lt;D xsi:type="xsd:double"&gt;901.163807&lt;/D&gt;&lt;D xsi:type="xsd:double"&gt;900.874265&lt;/D&gt;&lt;D xsi:type="xsd:double"&gt;909.196713&lt;/D&gt;&lt;D xsi:type="xsd:double"&gt;909.306913&lt;/D&gt;&lt;D xsi:type="xsd:double"&gt;915.900042&lt;/D&gt;&lt;D xsi:type="xsd:double"&gt;911.652891&lt;/D&gt;&lt;D xsi:type="xsd:double"&gt;896.887234&lt;/D&gt;&lt;D xsi:type="xsd:double"&gt;898.697702&lt;/D&gt;&lt;D xsi:type="xsd:double"&gt;895.738063&lt;/D&gt;&lt;D xsi:type="xsd:double"&gt;887.978431&lt;/D&gt;&lt;D xsi:type="xsd:double"&gt;916.770796&lt;/D&gt;&lt;D xsi:type="xsd:double"&gt;924.936512&lt;/D&gt;&lt;D xsi:type="xsd:double"&gt;919.655364&lt;/D&gt;&lt;D xsi:type="xsd:double"&gt;902.700002&lt;/D&gt;&lt;D xsi:type="xsd:double"&gt;895.328335&lt;/D&gt;&lt;D xsi:type="xsd:double"&gt;879.410621&lt;/D&gt;&lt;D xsi:type="xsd:double"&gt;891.813851&lt;/D&gt;&lt;D xsi:type="xsd:double"&gt;888.635832&lt;/D&gt;&lt;D xsi:type="xsd:double"&gt;878.237517&lt;/D&gt;&lt;D xsi:type="xsd:double"&gt;899.32606&lt;/D&gt;&lt;D xsi:type="xsd:double"&gt;901.31301&lt;/D&gt;&lt;D xsi:type="xsd:double"&gt;884.858064&lt;/D&gt;&lt;D xsi:type="xsd:double"&gt;888.140723&lt;/D&gt;&lt;D xsi:type="xsd:double"&gt;896.285017&lt;/D&gt;&lt;D xsi:type="xsd:double"&gt;883.142177&lt;/D&gt;&lt;D xsi:type="xsd:double"&gt;887.584117&lt;/D&gt;&lt;D xsi:type="xsd:double"&gt;873.847487&lt;/D&gt;&lt;D xsi:type="xsd:double"&gt;878.151778&lt;/D&gt;&lt;D xsi:type="xsd:double"&gt;853.830242&lt;/D&gt;&lt;D xsi:type="xsd:double"&gt;831.722546&lt;/D&gt;&lt;D xsi:type="xsd:double"&gt;838.527666&lt;/D&gt;&lt;D xsi:type="xsd:double"&gt;827.260443&lt;/D&gt;&lt;D xsi:type="xsd:double"&gt;848.576929&lt;/D&gt;&lt;D xsi:type="xsd:double"&gt;832.023275&lt;/D&gt;&lt;D xsi:type="xsd:double"&gt;842.539914&lt;/D&gt;&lt;D xsi:type="xsd:double"&gt;851.275145&lt;/D&gt;&lt;D xsi:type="xsd:double"&gt;836.538486&lt;/D&gt;&lt;D xsi:type="xsd:double"&gt;801.728687&lt;/D&gt;&lt;D xsi:type="xsd:double"&gt;758.204101&lt;/D&gt;&lt;D xsi:type="xsd:double"&gt;803.230731&lt;/D&gt;&lt;D xsi:type="xsd:double"&gt;766.411177&lt;/D&gt;&lt;D xsi:type="xsd:double"&gt;787.811755&lt;/D&gt;&lt;D xsi:type="xsd:double"&gt;826.679332&lt;/D&gt;&lt;D xsi:type="xsd:double"&gt;833.180844&lt;/D&gt;&lt;D xsi:type="xsd:double"&gt;891.19463&lt;/D&gt;&lt;D xsi:type="xsd:double"&gt;883.125967&lt;/D&gt;&lt;D xsi:type="xsd:double"&gt;946.623325&lt;/D&gt;&lt;D xsi:type="xsd:double"&gt;964.547662&lt;/D&gt;&lt;D xsi:type="xsd:double"&gt;947.921337&lt;/D&gt;&lt;D xsi:type="xsd:double"&gt;1012.083953&lt;/D&gt;&lt;D xsi:type="xsd:double"&gt;1039.339539&lt;/D&gt;&lt;D xsi:type="xsd:double"&gt;1037.807507&lt;/D&gt;&lt;D xsi:type="xsd:double"&gt;1027.815637&lt;/D&gt;&lt;D xsi:type="xsd:double"&gt;1017.030671&lt;/D&gt;&lt;D xsi:type="xsd:double"&gt;1005.515796&lt;/D&gt;&lt;D xsi:type="xsd:double"&gt;1030.670155&lt;/D&gt;&lt;D xsi:type="xsd:double"&gt;1043.314109&lt;/D&gt;&lt;D xsi:type="xsd:double"&gt;1056.543045&lt;/D&gt;&lt;D xsi:type="xsd:double"&gt;1055.321592&lt;/D&gt;&lt;D xsi:type="xsd:double"&gt;1084.217815&lt;/D&gt;&lt;D xsi:type="xsd:double"&gt;1095.315312&lt;/D&gt;&lt;D xsi:type="xsd:double"&gt;1103.691665&lt;/D&gt;&lt;D xsi:type="xsd:double"&gt;1095.661355&lt;/D&gt;&lt;D xsi:type="xsd:double"&gt;1106.304198&lt;/D&gt;&lt;D xsi:type="xsd:double"&gt;1106.069984&lt;/D&gt;&lt;D xsi:type="xsd:double"&gt;1109.696531&lt;/D&gt;&lt;D xsi:type="xsd:double"&gt;1099.408215&lt;/D&gt;&lt;D xsi:type="xsd:double"&gt;1086.929593&lt;/D&gt;&lt;D xsi:type="xsd:double"&gt;1091.644691&lt;/D&gt;&lt;D xsi:type="xsd:double"&gt;1102.385338&lt;/D&gt;&lt;D xsi:type="xsd:double"&gt;1089.404935&lt;/D&gt;&lt;D xsi:type="xsd:double"&gt;1085.393522&lt;/D&gt;&lt;D xsi:type="xsd:double"&gt;1060.321045&lt;/D&gt;&lt;D xsi:type="xsd:double"&gt;1062.342529&lt;/D&gt;&lt;D xsi:type="xsd:double"&gt;1072.789262&lt;/D&gt;&lt;D xsi:type="xsd:double"&gt;1097.514231&lt;/D&gt;&lt;D xsi:type="xsd:double"&gt;1101.718541&lt;/D&gt;&lt;D xsi:type="xsd:double"&gt;1102.976825&lt;/D&gt;&lt;D xsi:type="xsd:double"&gt;1119.387236&lt;/D&gt;&lt;D xsi:type="xsd:double"&gt;1122.193585&lt;/D&gt;&lt;D xsi:type="xsd:double"&gt;1133.402875&lt;/D&gt;&lt;D xsi:type="xsd:double"&gt;1126.849875&lt;/D&gt;&lt;D xsi:type="xsd:double"&gt;1146.828989&lt;/D&gt;&lt;D xsi:type="xsd:double"&gt;1140.620883&lt;/D&gt;&lt;D xsi:type="xsd:double"&gt;1137.983076&lt;/D&gt;&lt;D xsi:type="xsd:double"&gt;1143.863393&lt;/D&gt;&lt;D xsi:type="xsd:double"&gt;1144.002121&lt;/D&gt;&lt;D xsi:type="xsd:double"&gt;1133.631657&lt;/D&gt;&lt;D xsi:type="xsd:double"&gt;1129.370399&lt;/D&gt;&lt;D xsi:type="xsd:double"&gt;1111.398985&lt;/D&gt;&lt;D xsi:type="xsd:double"&gt;1115.836349&lt;/D&gt;&lt;D xsi:type="xsd:double"&gt;1112.528769&lt;/D&gt;&lt;D xsi:type="xsd:double"&gt;1123.865243&lt;/D&gt;&lt;D xsi:type="xsd:double"&gt;1128.012082&lt;/D&gt;&lt;D xsi:type="xsd:double"&gt;1114.659873&lt;/D&gt;&lt;D xsi:type="xsd:double"&gt;1118.421787&lt;/D&gt;&lt;D xsi:type="xsd:double"&gt;1118.671979&lt;/D&gt;&lt;D xsi:type="xsd:double"&gt;1112.083892&lt;/D&gt;&lt;D xsi:type="xsd:double"&gt;1109.072887&lt;/D&gt;&lt;D xsi:type="xsd:double"&gt;1111.638567&lt;/D&gt;&lt;D xsi:type="xsd:double"&gt;1107.643054&lt;/D&gt;&lt;D xsi:type="xsd:double"&gt;1106.628802&lt;/D&gt;&lt;D xsi:type="xsd:double"&gt;1109.183804&lt;/D&gt;&lt;D xsi:type="xsd:double"&gt;1102.608551&lt;/D&gt;&lt;D xsi:type="xsd:double"&gt;1087.956211&lt;/D&gt;&lt;D xsi:type="xsd:double"&gt;1086.913406&lt;/D&gt;&lt;D xsi:type="xsd:double"&gt;1070.710509&lt;/D&gt;&lt;D xsi:type="xsd:double"&gt;1058.229342&lt;/D&gt;&lt;D xsi:type="xsd:double"&gt;1049.501115&lt;/D&gt;&lt;D xsi:type="xsd:double"&gt;1051.112086&lt;/D&gt;&lt;D xsi:type="xsd:double"&gt;1048.958219&lt;/D&gt;&lt;D xsi:type="xsd:double"&gt;1042.846752&lt;/D&gt;&lt;D xsi:type="xsd:double"&gt;1036.566684&lt;/D&gt;&lt;D xsi:type="xsd:double"&gt;1037.378558&lt;/D&gt;&lt;D xsi:type="xsd:double"&gt;1040.215428&lt;/D&gt;&lt;D xsi:type="xsd:double"&gt;1040.045391&lt;/D&gt;&lt;D xsi:type="xsd:double"&gt;1052.927791&lt;/D&gt;&lt;D xsi:type="xsd:double"&gt;1047.835609&lt;/D&gt;&lt;D xsi:type="xsd:double"&gt;1053.471636&lt;/D&gt;&lt;D xsi:type="xsd:double"&gt;1048.546105&lt;/D&gt;&lt;D xsi:type="xsd:double"&gt;1044.577178&lt;/D&gt;&lt;D xsi:type="xsd:double"&gt;1052.000452&lt;/D&gt;&lt;D xsi:type="xsd:double"&gt;1057.157992&lt;/D&gt;&lt;D xsi:type="xsd:double"&gt;1052.115052&lt;/D&gt;&lt;D xsi:type="xsd:double"&gt;1048.79139&lt;/D&gt;&lt;D xsi:type="xsd:double"&gt;1042.254934&lt;/D&gt;&lt;D xsi:type="xsd:double"&gt;1043.82704&lt;/D&gt;&lt;D xsi:type="xsd:double"&gt;1055.833248&lt;/D&gt;&lt;D xsi:type="xsd:double"&gt;1052.880778&lt;/D&gt;&lt;D xsi:type="xsd:double"&gt;1064.84594&lt;/D&gt;&lt;D xsi:type="xsd:double"&gt;1073.572493&lt;/D&gt;&lt;D xsi:type="xsd:double"&gt;1068.865786&lt;/D&gt;&lt;D xsi:type="xsd:double"&gt;1071.221386&lt;/D&gt;&lt;D xsi:type="xsd:double"&gt;1064.54809&lt;/D&gt;&lt;D xsi:type="xsd:double"&gt;1049.189825&lt;/D&gt;&lt;D xsi:type="xsd:double"&gt;1041.980986&lt;/D&gt;&lt;D xsi:type="xsd:double"&gt;1041.497726&lt;/D&gt;&lt;D xsi:type="xsd:double"&gt;1043.727427&lt;/D&gt;&lt;D xsi:type="xsd:double"&gt;1042.968273&lt;/D&gt;&lt;D xsi:type="xsd:double"&gt;1035.837798&lt;/D&gt;&lt;D xsi:type="xsd:double"&gt;1037.408168&lt;/D&gt;&lt;D xsi:type="xsd:double"&gt;1030.947137&lt;/D&gt;&lt;D xsi:type="xsd:double"&gt;1034.076882&lt;/D&gt;&lt;D xsi:type="xsd:double"&gt;1028.506006&lt;/D&gt;&lt;D xsi:type="xsd:double"&gt;1024.023283&lt;/D&gt;&lt;D xsi:type="xsd:double"&gt;1028.388589&lt;/D&gt;&lt;D xsi:type="xsd:double"&gt;1024.084521&lt;/D&gt;&lt;D xsi:type="xsd:double"&gt;1019.247273&lt;/D&gt;&lt;D xsi:type="xsd:double"&gt;1017.451464&lt;/D&gt;&lt;D xsi:type="xsd:double"&gt;1011.544457&lt;/D&gt;&lt;D xsi:type="xsd:double"&gt;996.499535&lt;/D&gt;&lt;D xsi:type="xsd:double"&gt;993.012283&lt;/D&gt;&lt;D xsi:type="xsd:double"&gt;993.947589&lt;/D&gt;&lt;D xsi:type="xsd:double"&gt;994.162201&lt;/D&gt;&lt;D xsi:type="xsd:double"&gt;996.579605&lt;/D&gt;&lt;D xsi:type="xsd:double"&gt;992.277793&lt;/D&gt;&lt;D xsi:type="xsd:double"&gt;989.199648&lt;/D&gt;&lt;D xsi:type="xsd:double"&gt;998.484547&lt;/D&gt;&lt;D xsi:type="xsd:double"&gt;1000.996227&lt;/D&gt;&lt;D xsi:type="xsd:double"&gt;1001.498561&lt;/D&gt;&lt;D xsi:type="xsd:double"&gt;1009.296634&lt;/D&gt;&lt;D xsi:type="xsd:double"&gt;1005.563536&lt;/D&gt;&lt;D xsi:type="xsd:double"&gt;1011.352&lt;/D&gt;&lt;D xsi:type="xsd:double"&gt;1015.23226&lt;/D&gt;&lt;D xsi:type="xsd:double"&gt;1021.265334&lt;/D&gt;&lt;D xsi:type="xsd:double"&gt;1016.566364&lt;/D&gt;&lt;D xsi:type="xsd:double"&gt;1021.363007&lt;/D&gt;&lt;D xsi:type="xsd:double"&gt;1018.925562&lt;/D&gt;&lt;D xsi:type="xsd:double"&gt;1027.082795&lt;/D&gt;&lt;D xsi:type="xsd:double"&gt;1026.609666&lt;/D&gt;&lt;D xsi:type="xsd:double"&gt;1022.325412&lt;/D&gt;&lt;D xsi:type="xsd:double"&gt;1017.044059&lt;/D&gt;&lt;D xsi:type="xsd:double"&gt;1008.126513&lt;/D&gt;&lt;D xsi:type="xsd:double"&gt;1010.584763&lt;/D&gt;&lt;D xsi:type="xsd:double"&gt;1007.961103&lt;/D&gt;&lt;D xsi:type="xsd:double"&gt;1003.00749&lt;/D&gt;&lt;D xsi:type="xsd:double"&gt;990.608031&lt;/D&gt;&lt;D xsi:type="xsd:double"&gt;973.274747&lt;/D&gt;&lt;D xsi:type="xsd:double"&gt;984.334048&lt;/D&gt;&lt;D xsi:type="xsd:double"&gt;970.076671&lt;/D&gt;&lt;D xsi:type="xsd:double"&gt;965.345566&lt;/D&gt;&lt;D xsi:type="xsd:double"&gt;964.591019&lt;/D&gt;&lt;D xsi:type="xsd:double"&gt;960.81261&lt;/D&gt;&lt;D xsi:type="xsd:double"&gt;973.661747&lt;/D&gt;&lt;D xsi:type="xsd:double"&gt;975.660403&lt;/D&gt;&lt;D xsi:type="xsd:double"&gt;983.140117&lt;/D&gt;&lt;D xsi:type="xsd:double"&gt;980.110456&lt;/D&gt;&lt;D xsi:type="xsd:double"&gt;977.73283&lt;/D&gt;&lt;D xsi:type="xsd:double"&gt;970.270724&lt;/D&gt;&lt;D xsi:type="xsd:double"&gt;963.521467&lt;/D&gt;&lt;D xsi:type="xsd:double"&gt;964.427695&lt;/D&gt;&lt;D xsi:type="xsd:double"&gt;968.867127&lt;/D&gt;&lt;D xsi:type="xsd:double"&gt;974.476754&lt;/D&gt;&lt;D xsi:type="xsd:double"&gt;981.194056&lt;/D&gt;&lt;D xsi:type="xsd:double"&gt;984.297814&lt;/D&gt;&lt;D xsi:type="xsd:double"&gt;972.653283&lt;/D&gt;&lt;D xsi:type="xsd:double"&gt;972.672765&lt;/D&gt;&lt;D xsi:type="xsd:double"&gt;972.997902&lt;/D&gt;&lt;D xsi:type="xsd:double"&gt;1003.757444&lt;/D&gt;&lt;D xsi:type="xsd:double"&gt;1024.560892&lt;/D&gt;&lt;D xsi:type="xsd:double"&gt;1037.009265&lt;/D&gt;&lt;D xsi:type="xsd:double"&gt;1043.14466&lt;/D&gt;&lt;D xsi:type="xsd:double"&gt;1045.725092&lt;/D&gt;&lt;D xsi:type="xsd:double"&gt;1048.663699&lt;/D&gt;&lt;D xsi:type="xsd:double"&gt;1054.28512&lt;/D&gt;&lt;D xsi:type="xsd:double"&gt;1055.343472&lt;/D&gt;&lt;D xsi:type="xsd:double"&gt;1055.485598&lt;/D&gt;&lt;D xsi:type="xsd:double"&gt;1053.810745&lt;/D&gt;&lt;D xsi:type="xsd:double"&gt;1057.492144&lt;/D&gt;&lt;D xsi:type="xsd:double"&gt;1051.720129&lt;/D&gt;&lt;D xsi:type="xsd:double"&gt;1054.895615&lt;/D&gt;&lt;D xsi:type="xsd:double"&gt;1060.383789&lt;/D&gt;&lt;D xsi:type="xsd:double"&gt;1057.74857&lt;/D&gt;&lt;D xsi:type="xsd:double"&gt;1050.904724&lt;/D&gt;&lt;D xsi:type="xsd:double"&gt;1055.151785&lt;/D&gt;&lt;D xsi:type="xsd:double"&gt;1048.949785&lt;/D&gt;&lt;D xsi:type="xsd:double"&gt;1042.472235&lt;/D&gt;&lt;D xsi:type="xsd:double"&gt;1046.245043&lt;/D&gt;&lt;D xsi:type="xsd:double"&gt;1059.92539&lt;/D&gt;&lt;D xsi:type="xsd:double"&gt;1059.632252&lt;/D&gt;&lt;D xsi:type="xsd:double"&gt;1063.642662&lt;/D&gt;&lt;D xsi:type="xsd:double"&gt;1064.086153&lt;/D&gt;&lt;D xsi:type="xsd:double"&gt;1054.855844&lt;/D&gt;&lt;D xsi:type="xsd:double"&gt;1054.860345&lt;/D&gt;&lt;D xsi:type="xsd:double"&gt;1047.909612&lt;/D&gt;&lt;D xsi:type="xsd:double"&gt;1045.30284&lt;/D&gt;&lt;D xsi:type="xsd:double"&gt;1053.058046&lt;/D&gt;&lt;D xsi:type="xsd:double"&gt;1053.224666&lt;/D&gt;&lt;D xsi:type="xsd:double"&gt;1053.784272&lt;/D&gt;&lt;D xsi:type="xsd:double"&gt;1038.27126&lt;/D&gt;&lt;D xsi:type="xsd:double"&gt;1023.908493&lt;/D&gt;&lt;D xsi:type="xsd:double"&gt;1010.969597&lt;/D&gt;&lt;D </t>
        </r>
      </text>
    </comment>
    <comment ref="A46" authorId="0" shapeId="0">
      <text>
        <r>
          <rPr>
            <b/>
            <sz val="9"/>
            <color indexed="81"/>
            <rFont val="Tahoma"/>
            <family val="2"/>
          </rPr>
          <t>xsi:type="xsd:double"&gt;1015.080017&lt;/D&gt;&lt;D xsi:type="xsd:double"&gt;1022.083804&lt;/D&gt;&lt;D xsi:type="xsd:double"&gt;1026.236754&lt;/D&gt;&lt;D xsi:type="xsd:double"&gt;1031.852215&lt;/D&gt;&lt;D xsi:type="xsd:double"&gt;1022.032025&lt;/D&gt;&lt;D xsi:type="xsd:double"&gt;1007.385734&lt;/D&gt;&lt;D xsi:type="xsd:double"&gt;1002.749812&lt;/D&gt;&lt;D xsi:type="xsd:double"&gt;1004.679533&lt;/D&gt;&lt;D xsi:type="xsd:double"&gt;1005.4278&lt;/D&gt;&lt;D xsi:type="xsd:double"&gt;1008.341008&lt;/D&gt;&lt;D xsi:type="xsd:double"&gt;997.997713&lt;/D&gt;&lt;D xsi:type="xsd:double"&gt;994.927127&lt;/D&gt;&lt;D xsi:type="xsd:double"&gt;985.439288&lt;/D&gt;&lt;D xsi:type="xsd:double"&gt;988.155502&lt;/D&gt;&lt;D xsi:type="xsd:double"&gt;986.648268&lt;/D&gt;&lt;D xsi:type="xsd:double"&gt;984.807722&lt;/D&gt;&lt;D xsi:type="xsd:double"&gt;997.999569&lt;/D&gt;&lt;D xsi:type="xsd:double"&gt;998.969227&lt;/D&gt;&lt;D xsi:type="xsd:double"&gt;994.076994&lt;/D&gt;&lt;D xsi:type="xsd:double"&gt;996.391195&lt;/D&gt;&lt;D xsi:type="xsd:double"&gt;1011.145366&lt;/D&gt;&lt;D xsi:type="xsd:double"&gt;1015.969649&lt;/D&gt;&lt;D xsi:type="xsd:double"&gt;1014.482646&lt;/D&gt;&lt;D xsi:type="xsd:double"&gt;1016.494883&lt;/D&gt;&lt;D xsi:type="xsd:double"&gt;1033.436502&lt;/D&gt;&lt;D xsi:type="xsd:double"&gt;1028.398405&lt;/D&gt;&lt;D xsi:type="xsd:double"&gt;1050.935798&lt;/D&gt;&lt;D xsi:type="xsd:double"&gt;1057.054857&lt;/D&gt;&lt;D xsi:type="xsd:double"&gt;1062.641574&lt;/D&gt;&lt;D xsi:type="xsd:double"&gt;1082.770954&lt;/D&gt;&lt;D xsi:type="xsd:double"&gt;1078.951345&lt;/D&gt;&lt;D xsi:type="xsd:double"&gt;1080.480301&lt;/D&gt;&lt;D xsi:type="xsd:double"&gt;1079.235079&lt;/D&gt;&lt;D xsi:type="xsd:double"&gt;1082.910935&lt;/D&gt;&lt;D xsi:type="xsd:double"&gt;1078.062802&lt;/D&gt;&lt;D xsi:type="xsd:double"&gt;1076.714351&lt;/D&gt;&lt;D xsi:type="xsd:double"&gt;1084.515239&lt;/D&gt;&lt;D xsi:type="xsd:double"&gt;1089.763587&lt;/D&gt;&lt;D xsi:type="xsd:double"&gt;1089.026282&lt;/D&gt;&lt;D xsi:type="xsd:double"&gt;1092.51601&lt;/D&gt;&lt;D xsi:type="xsd:double"&gt;1096.394223&lt;/D&gt;&lt;D xsi:type="xsd:double"&gt;1093.553235&lt;/D&gt;&lt;D xsi:type="xsd:double"&gt;1086.222802&lt;/D&gt;&lt;D xsi:type="xsd:double"&gt;1089.085666&lt;/D&gt;&lt;D xsi:type="xsd:double"&gt;1087.49223&lt;/D&gt;&lt;D xsi:type="xsd:double"&gt;1096.049433&lt;/D&gt;&lt;D xsi:type="xsd:double"&gt;1093.438837&lt;/D&gt;&lt;D xsi:type="xsd:double"&gt;1088.497528&lt;/D&gt;&lt;D xsi:type="xsd:double"&gt;1085.14167&lt;/D&gt;&lt;D xsi:type="xsd:double"&gt;1080.727422&lt;/D&gt;&lt;D xsi:type="xsd:double"&gt;1079.798117&lt;/D&gt;&lt;D xsi:type="xsd:double"&gt;1071.140055&lt;/D&gt;&lt;D xsi:type="xsd:double"&gt;1070.087598&lt;/D&gt;&lt;D xsi:type="xsd:double"&gt;1058.127161&lt;/D&gt;&lt;D xsi:type="xsd:double"&gt;1045.2146&lt;/D&gt;&lt;D xsi:type="xsd:double"&gt;1044.099487&lt;/D&gt;&lt;D xsi:type="xsd:double"&gt;1050.44608&lt;/D&gt;&lt;D xsi:type="xsd:double"&gt;1047.711378&lt;/D&gt;&lt;D xsi:type="xsd:double"&gt;1059.626114&lt;/D&gt;&lt;D xsi:type="xsd:double"&gt;1069.684224&lt;/D&gt;&lt;D xsi:type="xsd:double"&gt;1068.468704&lt;/D&gt;&lt;D xsi:type="xsd:double"&gt;1070.945994&lt;/D&gt;&lt;D xsi:type="xsd:double"&gt;1069.261392&lt;/D&gt;&lt;D xsi:type="xsd:double"&gt;1057.295254&lt;/D&gt;&lt;D xsi:type="xsd:double"&gt;1048.198081&lt;/D&gt;&lt;D xsi:type="xsd:double"&gt;1050.461378&lt;/D&gt;&lt;D xsi:type="xsd:double"&gt;1051.520292&lt;/D&gt;&lt;D xsi:type="xsd:double"&gt;1041.149144&lt;/D&gt;&lt;D xsi:type="xsd:double"&gt;1030.127177&lt;/D&gt;&lt;D xsi:type="xsd:double"&gt;1043.56191&lt;/D&gt;&lt;D xsi:type="xsd:double"&gt;1055.679759&lt;/D&gt;&lt;D xsi:type="xsd:double"&gt;1055.117186&lt;/D&gt;&lt;D xsi:type="xsd:double"&gt;1053.615911&lt;/D&gt;&lt;D xsi:type="xsd:double"&gt;1051.541309&lt;/D&gt;&lt;D xsi:type="xsd:double"&gt;1050.950782&lt;/D&gt;&lt;D xsi:type="xsd:double"&gt;1061.262665&lt;/D&gt;&lt;D xsi:type="xsd:double"&gt;1064.93937&lt;/D&gt;&lt;D xsi:type="xsd:double"&gt;1067.636523&lt;/D&gt;&lt;D xsi:type="xsd:double"&gt;1058.653869&lt;/D&gt;&lt;D xsi:type="xsd:double"&gt;1050.993221&lt;/D&gt;&lt;D xsi:type="xsd:double"&gt;1049.318976&lt;/D&gt;&lt;D xsi:type="xsd:double"&gt;1036.972486&lt;/D&gt;&lt;D xsi:type="xsd:double"&gt;1030.636652&lt;/D&gt;&lt;D xsi:type="xsd:double"&gt;1039.194586&lt;/D&gt;&lt;D xsi:type="xsd:double"&gt;1041.844595&lt;/D&gt;&lt;D xsi:type="xsd:double"&gt;1042.134071&lt;/D&gt;&lt;D xsi:type="xsd:double"&gt;1035.40612&lt;/D&gt;&lt;D xsi:type="xsd:double"&gt;1036.02695&lt;/D&gt;&lt;D xsi:type="xsd:double"&gt;1041.968575&lt;/D&gt;&lt;D xsi:type="xsd:double"&gt;1048.458973&lt;/D&gt;&lt;D xsi:type="xsd:double"&gt;1051.896304&lt;/D&gt;&lt;D xsi:type="xsd:double"&gt;1048.0454339999999&lt;/D&gt;&lt;D xsi:type="xsd:double"&gt;1050.200182&lt;/D&gt;&lt;D xsi:type="xsd:double"&gt;1049.926638&lt;/D&gt;&lt;D xsi:type="xsd:double"&gt;1036.63441&lt;/D&gt;&lt;D xsi:type="xsd:double"&gt;1029.75147&lt;/D&gt;&lt;D xsi:type="xsd:double"&gt;1028.062269&lt;/D&gt;&lt;D xsi:type="xsd:double"&gt;1032.344188&lt;/D&gt;&lt;D xsi:type="xsd:double"&gt;1019.437933&lt;/D&gt;&lt;D xsi:type="xsd:double"&gt;1011.561181&lt;/D&gt;&lt;D xsi:type="xsd:double"&gt;1010.633315&lt;/D&gt;&lt;D xsi:type="xsd:double"&gt;1017.99472&lt;/D&gt;&lt;D xsi:type="xsd:double"&gt;1008.986901&lt;/D&gt;&lt;D xsi:type="xsd:double"&gt;1009.391216&lt;/D&gt;&lt;D xsi:type="xsd:double"&gt;1005.11154&lt;/D&gt;&lt;D xsi:type="xsd:double"&gt;992.705277&lt;/D&gt;&lt;D xsi:type="xsd:double"&gt;1001.109874&lt;/D&gt;&lt;D xsi:type="xsd:double"&gt;998.673571&lt;/D&gt;&lt;D xsi:type="xsd:double"&gt;994.408416&lt;/D&gt;&lt;D xsi:type="xsd:double"&gt;975.508228&lt;/D&gt;&lt;D xsi:type="xsd:double"&gt;977.964702&lt;/D&gt;&lt;D xsi:type="xsd:double"&gt;964.966235&lt;/D&gt;&lt;D xsi:type="xsd:double"&gt;949.572889&lt;/D&gt;&lt;D xsi:type="xsd:double"&gt;955.775474&lt;/D&gt;&lt;D xsi:type="xsd:double"&gt;965.776258&lt;/D&gt;&lt;D xsi:type="xsd:double"&gt;962.632788&lt;/D&gt;&lt;D xsi:type="xsd:double"&gt;952.333152&lt;/D&gt;&lt;D xsi:type="xsd:double"&gt;950.151666&lt;/D&gt;&lt;D xsi:type="xsd:double"&gt;952.844551&lt;/D&gt;&lt;D xsi:type="xsd:double"&gt;957.33491&lt;/D&gt;&lt;D xsi:type="xsd:double"&gt;959.78538&lt;/D&gt;&lt;D xsi:type="xsd:double"&gt;967.653731&lt;/D&gt;&lt;D xsi:type="xsd:double"&gt;962.984681&lt;/D&gt;&lt;D xsi:type="xsd:double"&gt;967.821637&lt;/D&gt;&lt;D xsi:type="xsd:double"&gt;971.897493&lt;/D&gt;&lt;D xsi:type="xsd:double"&gt;985.516951&lt;/D&gt;&lt;D xsi:type="xsd:double"&gt;978.896206&lt;/D&gt;&lt;D xsi:type="xsd:double"&gt;964.804334&lt;/D&gt;&lt;D xsi:type="xsd:double"&gt;962.789242&lt;/D&gt;&lt;D xsi:type="xsd:double"&gt;981.367069&lt;/D&gt;&lt;D xsi:type="xsd:double"&gt;978.927584&lt;/D&gt;&lt;D xsi:type="xsd:double"&gt;1014.250796&lt;/D&gt;&lt;D xsi:type="xsd:double"&gt;1016.869927&lt;/D&gt;&lt;D xsi:type="xsd:double"&gt;994.717429&lt;/D&gt;&lt;D xsi:type="xsd:double"&gt;998.052034&lt;/D&gt;&lt;D xsi:type="xsd:double"&gt;991.671353&lt;/D&gt;&lt;D xsi:type="xsd:double"&gt;980.163134&lt;/D&gt;&lt;D xsi:type="xsd:double"&gt;976.573374&lt;/D&gt;&lt;D xsi:type="xsd:double"&gt;969.1698&lt;/D&gt;&lt;D xsi:type="xsd:double"&gt;975.039963&lt;/D&gt;&lt;D xsi:type="xsd:double"&gt;972.582908&lt;/D&gt;&lt;D xsi:type="xsd:double"&gt;988.308532&lt;/D&gt;&lt;D xsi:type="xsd:double"&gt;986.304687&lt;/D&gt;&lt;D xsi:type="xsd:double"&gt;980.854294&lt;/D&gt;&lt;D xsi:type="xsd:double"&gt;968.140774&lt;/D&gt;&lt;D xsi:type="xsd:double"&gt;966.020952&lt;/D&gt;&lt;D xsi:type="xsd:double"&gt;966.412219&lt;/D&gt;&lt;D xsi:type="xsd:double"&gt;976.174391&lt;/D&gt;&lt;D xsi:type="xsd:double"&gt;993.528271&lt;/D&gt;&lt;D xsi:type="xsd:double"&gt;997.92423899999994&lt;/D&gt;&lt;D xsi:type="xsd:double"&gt;992.265969&lt;/D&gt;&lt;D xsi:type="xsd:double"&gt;992.376191&lt;/D&gt;&lt;D xsi:type="xsd:double"&gt;996.715739&lt;/D&gt;&lt;D xsi:type="xsd:double"&gt;971.440139&lt;/D&gt;&lt;D xsi:type="xsd:double"&gt;955.92361&lt;/D&gt;&lt;D xsi:type="xsd:double"&gt;936.303406&lt;/D&gt;&lt;D xsi:type="xsd:double"&gt;934.795987&lt;/D&gt;&lt;D xsi:type="xsd:double"&gt;939.553951&lt;/D&gt;&lt;D xsi:type="xsd:double"&gt;948.959127&lt;/D&gt;&lt;D xsi:type="xsd:double"&gt;953.050434&lt;/D&gt;&lt;D xsi:type="xsd:double"&gt;960.536605&lt;/D&gt;&lt;D xsi:type="xsd:double"&gt;982.863568&lt;/D&gt;&lt;D xsi:type="xsd:double"&gt;971.468629&lt;/D&gt;&lt;D xsi:type="xsd:double"&gt;970.902938&lt;/D&gt;&lt;D xsi:type="xsd:double"&gt;983.71207&lt;/D&gt;&lt;D xsi:type="xsd:double"&gt;984.655553&lt;/D&gt;&lt;D xsi:type="xsd:double"&gt;971.673715&lt;/D&gt;&lt;D xsi:type="xsd:double"&gt;980.094198&lt;/D&gt;&lt;D xsi:type="xsd:double"&gt;954.655931&lt;/D&gt;&lt;D xsi:type="xsd:double"&gt;985.672918&lt;/D&gt;&lt;D xsi:type="xsd:double"&gt;993.985429&lt;/D&gt;&lt;D xsi:type="xsd:double"&gt;995.501313&lt;/D&gt;&lt;D xsi:type="xsd:double"&gt;1000.756514&lt;/D&gt;&lt;D xsi:type="xsd:double"&gt;1010.378223&lt;/D&gt;&lt;D xsi:type="xsd:double"&gt;1035.034509&lt;/D&gt;&lt;D xsi:type="xsd:double"&gt;1033.299526&lt;/D&gt;&lt;D xsi:type="xsd:double"&gt;1046.398029&lt;/D&gt;&lt;D xsi:type="xsd:double"&gt;1047.908071&lt;/D&gt;&lt;D xsi:type="xsd:double"&gt;1051.302525&lt;/D&gt;&lt;D xsi:type="xsd:double"&gt;1046.024192&lt;/D&gt;&lt;D xsi:type="xsd:double"&gt;1041.780837&lt;/D&gt;&lt;D xsi:type="xsd:double"&gt;1042.345062&lt;/D&gt;&lt;D xsi:type="xsd:double"&gt;1051.434981&lt;/D&gt;&lt;D xsi:type="xsd:double"&gt;1036.927123&lt;/D&gt;&lt;D xsi:type="xsd:double"&gt;1031.073407&lt;/D&gt;&lt;D xsi:type="xsd:double"&gt;1019.741234&lt;/D&gt;&lt;D xsi:type="xsd:double"&gt;1016.430089&lt;/D&gt;&lt;D xsi:type="xsd:double"&gt;1028.527488&lt;/D&gt;&lt;D xsi:type="xsd:double"&gt;1017.643342&lt;/D&gt;&lt;D xsi:type="xsd:double"&gt;1004.559527&lt;/D&gt;&lt;D xsi:type="xsd:double"&gt;1003.329834&lt;/D&gt;&lt;D xsi:type="xsd:double"&gt;1011.254374&lt;/D&gt;&lt;D xsi:type="xsd:double"&gt;1022.983015&lt;/D&gt;&lt;D xsi:type="xsd:double"&gt;1018.293576&lt;/D&gt;&lt;D xsi:type="xsd:double"&gt;1021.719279&lt;/D&gt;&lt;D xsi:type="xsd:double"&gt;1040.16582&lt;/D&gt;&lt;D xsi:type="xsd:double"&gt;1055.959837&lt;/D&gt;&lt;D xsi:type="xsd:double"&gt;1057.844457&lt;/D&gt;&lt;D xsi:type="xsd:double"&gt;1070.527311&lt;/D&gt;&lt;D xsi:type="xsd:double"&gt;1070.616886&lt;/D&gt;&lt;D xsi:type="xsd:double"&gt;1069.136186&lt;/D&gt;&lt;D xsi:type="xsd:double"&gt;1050.186849&lt;/D&gt;&lt;D xsi:type="xsd:double"&gt;1048.199272&lt;/D&gt;&lt;D xsi:type="xsd:double"&gt;1050.609224&lt;/D&gt;&lt;D xsi:type="xsd:double"&gt;1044.31155&lt;/D&gt;&lt;D xsi:type="xsd:double"&gt;1033.653334&lt;/D&gt;&lt;D xsi:type="xsd:double"&gt;1022.936701&lt;/D&gt;&lt;D xsi:type="xsd:double"&gt;1021.57088&lt;/D&gt;&lt;D xsi:type="xsd:double"&gt;1023.427104&lt;/D&gt;&lt;D xsi:type="xsd:double"&gt;1042.555011&lt;/D&gt;&lt;D xsi:type="xsd:double"&gt;1043.300004&lt;/D&gt;&lt;D xsi:type="xsd:double"&gt;1062.369065&lt;/D&gt;&lt;D xsi:type="xsd:double"&gt;1078.669288&lt;/D&gt;&lt;D xsi:type="xsd:double"&gt;1079.728477&lt;/D&gt;&lt;D xsi:type="xsd:double"&gt;1079.786368&lt;/D&gt;&lt;D xsi:type="xsd:double"&gt;1070.998937&lt;/D&gt;&lt;D xsi:type="xsd:double"&gt;1073.330847&lt;/D&gt;&lt;D xsi:type="xsd:double"&gt;1067.424347&lt;/D&gt;&lt;D xsi:type="xsd:double"&gt;1086.874877&lt;/D&gt;&lt;D xsi:type="xsd:double"&gt;1087.455898&lt;/D&gt;&lt;D xsi:type="xsd:double"&gt;1090.143893&lt;/D&gt;&lt;D xsi:type="xsd:double"&gt;1092.36189&lt;/D&gt;&lt;D xsi:type="xsd:double"&gt;1089.173957&lt;/D&gt;&lt;D xsi:type="xsd:double"&gt;1088.821829&lt;/D&gt;&lt;D xsi:type="xsd:double"&gt;1080.378592&lt;/D&gt;&lt;D xsi:type="xsd:double"&gt;1069.51816&lt;/D&gt;&lt;D xsi:type="xsd:double"&gt;1070.066196&lt;/D&gt;&lt;D xsi:type="xsd:double"&gt;1060.648108&lt;/D&gt;&lt;D xsi:type="xsd:double"&gt;1068.751145&lt;/D&gt;&lt;D xsi:type="xsd:double"&gt;1070.907355&lt;/D&gt;&lt;D xsi:type="xsd:double"&gt;1070.242012&lt;/D&gt;&lt;D xsi:type="xsd:double"&gt;1075.641909&lt;/D&gt;&lt;D xsi:type="xsd:double"&gt;1070.241072&lt;/D&gt;&lt;D xsi:type="xsd:double"&gt;1064.715285&lt;/D&gt;&lt;D xsi:type="xsd:double"&gt;1076.187978&lt;/D&gt;&lt;D xsi:type="xsd:double"&gt;1075.738412&lt;/D&gt;&lt;D xsi:type="xsd:double"&gt;1059.967754&lt;/D&gt;&lt;D xsi:type="xsd:double"&gt;1054.349154&lt;/D&gt;&lt;D xsi:type="xsd:double"&gt;1057.700384&lt;/D&gt;&lt;D xsi:type="xsd:double"&gt;1059.319517&lt;/D&gt;&lt;D xsi:type="xsd:double"&gt;1069.517238&lt;/D&gt;&lt;D xsi:type="xsd:double"&gt;1046.707997&lt;/D&gt;&lt;D xsi:type="xsd:double"&gt;1052.117779&lt;/D&gt;&lt;D xsi:type="xsd:double"&gt;1067.753342&lt;/D&gt;&lt;D xsi:type="xsd:double"&gt;1071.060047&lt;/D&gt;&lt;D xsi:type="xsd:double"&gt;1087.998775&lt;/D&gt;&lt;D xsi:type="xsd:double"&gt;1080.189914&lt;/D&gt;&lt;D xsi:type="xsd:double"&gt;1093.259386&lt;/D&gt;&lt;D xsi:type="xsd:double"&gt;1085.02998&lt;/D&gt;&lt;D xsi:type="xsd:double"&gt;1105.983759&lt;/D&gt;&lt;D xsi:type="xsd:double"&gt;1113.75826&lt;/D&gt;&lt;D xsi:type="xsd:double"&gt;1125.705352&lt;/D&gt;&lt;D xsi:type="xsd:double"&gt;1135.681348&lt;/D&gt;&lt;D xsi:type="xsd:double"&gt;1140.643692&lt;/D&gt;&lt;D xsi:type="xsd:double"&gt;1139.456484&lt;/D&gt;&lt;D xsi:type="xsd:double"&gt;1135.388321&lt;/D&gt;&lt;D xsi:type="xsd:double"&gt;1149.682564&lt;/D&gt;&lt;D xsi:type="xsd:double"&gt;1150.166451&lt;/D&gt;&lt;D xsi:type="xsd:double"&gt;1144.437431&lt;/D&gt;&lt;D xsi:type="xsd:double"&gt;1146.743462&lt;/D&gt;&lt;D xsi:type="xsd:double"&gt;1130.216176&lt;/D&gt;&lt;D xsi:type="xsd:double"&gt;1120.710137&lt;/D&gt;&lt;D xsi:type="xsd:double"&gt;1112.74856&lt;/D&gt;&lt;D xsi:type="xsd:double"&gt;1126.249698&lt;/D&gt;&lt;D xsi:type="xsd:double"&gt;1136.619715&lt;/D&gt;&lt;D xsi:type="xsd:double"&gt;1135.063198&lt;/D&gt;&lt;D xsi:type="xsd:double"&gt;1133.096414&lt;/D&gt;&lt;D xsi:type="xsd:double"&gt;1142.051964&lt;/D&gt;&lt;D xsi:type="xsd:double"&gt;1136.49225&lt;/D&gt;&lt;D xsi:type="xsd:double"&gt;1137.745135&lt;/D&gt;&lt;D xsi:type="xsd:double"&gt;1144.069369&lt;/D&gt;&lt;D xsi:type="xsd:double"&gt;1155.094997&lt;/D&gt;&lt;D xsi:type="xsd:double"&gt;1150.267968&lt;/D&gt;&lt;D xsi:type="xsd:double"&gt;1168.896091&lt;/D&gt;&lt;D xsi:type="xsd:double"&gt;1164.485086&lt;/D&gt;&lt;D xsi:type="xsd:double"&gt;1156.545841&lt;/D&gt;&lt;D xsi:type="xsd:double"&gt;1143.758641&lt;/D&gt;&lt;D xsi:type="xsd:double"&gt;1142.664451&lt;/D&gt;&lt;D xsi:type="xsd:double"&gt;1139.552474&lt;/D&gt;&lt;D xsi:type="xsd:double"&gt;1136.17155&lt;/D&gt;&lt;D xsi:type="xsd:double"&gt;1137.847811&lt;/D&gt;&lt;D xsi:type="xsd:double"&gt;1151.435952&lt;/D&gt;&lt;D xsi:type="xsd:double"&gt;1162.475364&lt;/D&gt;&lt;D xsi:type="xsd:double"&gt;1164.427585&lt;/D&gt;&lt;D xsi:type="xsd:double"&gt;1156.297655&lt;/D&gt;&lt;D xsi:type="xsd:double"&gt;1144.34489&lt;/D&gt;&lt;D xsi:type="xsd:double"&gt;1140.274097&lt;/D&gt;&lt;D xsi:type="xsd:double"&gt;1154.20551&lt;/D&gt;&lt;D xsi:type="xsd:double"&gt;1158.260565&lt;/D&gt;&lt;D xsi:type="xsd:double"&gt;1168.243763&lt;/D&gt;&lt;D xsi:type="xsd:double"&gt;1184.125409&lt;/D&gt;&lt;D xsi:type="xsd:double"&gt;1176.143699&lt;/D&gt;&lt;D xsi:type="xsd:double"&gt;1164.359962&lt;/D&gt;&lt;D xsi:type="xsd:double"&gt;1163.250646&lt;/D&gt;&lt;D xsi:type="xsd:double"&gt;1170.087802&lt;/D&gt;&lt;D xsi:type="xsd:double"&gt;1176.88211&lt;/D&gt;&lt;D xsi:type="xsd:double"&gt;1175.526573&lt;/D&gt;&lt;D xsi:type="xsd:double"&gt;1175.324351&lt;/D&gt;&lt;D xsi:type="xsd:double"&gt;1163.06892&lt;/D&gt;&lt;D xsi:type="xsd:double"&gt;1161.968168&lt;/D&gt;&lt;D xsi:type="xsd:double"&gt;1166.484471&lt;/D&gt;&lt;D xsi:type="xsd:double"&gt;1155.644442&lt;/D&gt;&lt;D xsi:type="xsd:double"&gt;1170.14693&lt;/D&gt;&lt;D xsi:type="xsd:double"&gt;1169.434456&lt;/D&gt;&lt;D xsi:type="xsd:double"&gt;1169.265645&lt;/D&gt;&lt;D xsi:type="xsd:double"&gt;1162.670611&lt;/D&gt;&lt;D xsi:type="xsd:double"&gt;1185.17542&lt;/D&gt;&lt;D xsi:type="xsd:double"&gt;1182.283281&lt;/D&gt;&lt;D xsi:type="xsd:double"&gt;1172.097021&lt;/D&gt;&lt;D xsi:type="xsd:double"&gt;1196.72528&lt;/D&gt;&lt;D xsi:type="xsd:double"&gt;1209.615668&lt;/D&gt;&lt;D xsi:type="xsd:double"&gt;1209.886604&lt;/D&gt;&lt;D xsi:type="xsd:double"&gt;1203.590384&lt;/D&gt;&lt;D xsi:type="xsd:double"&gt;1213.137667&lt;/D&gt;&lt;D xsi:type="xsd:double"&gt;1216.238494&lt;/D&gt;&lt;D xsi:type="xsd:double"&gt;1218.696674&lt;/D&gt;&lt;D xsi:type="xsd:double"&gt;1223.832244&lt;/D&gt;&lt;D xsi:type="xsd:double"&gt;1222.200359&lt;/D&gt;&lt;D xsi:type="xsd:double"&gt;1207.225874&lt;/D&gt;&lt;D xsi:type="xsd:double"&gt;1195.235867&lt;/D&gt;&lt;D xsi:type="xsd:double"&gt;1189.197832&lt;/D&gt;&lt;D xsi:type="xsd:double"&gt;1193.934199&lt;/D&gt;&lt;D xsi:type="xsd:double"&gt;1176.115782&lt;/D&gt;&lt;D xsi:type="xsd:double"&gt;1182.056822&lt;/D&gt;&lt;D xsi:type="xsd:double"&gt;1192.254105&lt;/D&gt;&lt;D xsi:type="xsd:double"&gt;1195.192883&lt;/D&gt;&lt;D xsi:type="xsd:double"&gt;1212.329368&lt;/D&gt;&lt;D xsi:type="xsd:double"&gt;1221.07628&lt;/D&gt;&lt;D xsi:type="xsd:double"&gt;1216.425841&lt;/D&gt;&lt;D xsi:type="xsd:double"&gt;1200.90264&lt;/D&gt;&lt;D xsi:type="xsd:double"&gt;1209.670964&lt;/D&gt;&lt;D xsi:type="xsd:double"&gt;1194.528357&lt;/D&gt;&lt;D xsi:type="xsd:double"&gt;1199.734763&lt;/D&gt;&lt;D xsi:type="xsd:double"&gt;1202.623059&lt;/D&gt;&lt;D xsi:type="xsd:double"&gt;1185.334123&lt;/D&gt;&lt;D xsi:type="xsd:double"&gt;1164.491921&lt;/D&gt;&lt;D xsi:type="xsd:double"&gt;1153.372561&lt;/D&gt;&lt;D xsi:type="xsd:double"&gt;1142.85266&lt;/D&gt;&lt;D xsi:type="xsd:double"&gt;1163.087032&lt;/D&gt;&lt;D xsi:type="xsd:double"&gt;1173.379494&lt;/D&gt;&lt;D xsi:type="xsd:double"&gt;1176.175644&lt;/D&gt;&lt;D xsi:type="xsd:double"&gt;1209.336348&lt;/D&gt;&lt;D xsi:type="xsd:double"&gt;1230.834571&lt;/D&gt;&lt;D xsi:type="xsd:double"&gt;1248.647252&lt;/D&gt;&lt;D xsi:type="xsd:double"&gt;1254.587321&lt;/D&gt;&lt;D xsi:type="xsd:double"&gt;1247.628031&lt;/D&gt;&lt;D xsi:type="xsd:double"&gt;1267.98407&lt;/D&gt;&lt;D xsi:type="xsd:double"&gt;1273.071471&lt;/D&gt;&lt;D xsi:type="xsd:double"&gt;1263.454231&lt;/D&gt;&lt;D xsi:type="xsd:double"&gt;1258.746699&lt;/D&gt;&lt;D xsi:type="xsd:double"&gt;1252.385021&lt;/D&gt;&lt;D xsi:type="xsd:double"&gt;1238.503967&lt;/D&gt;&lt;D xsi:type="xsd:double"&gt;1232.596997&lt;/D&gt;&lt;D xsi:type="xsd:double"&gt;1227.516011&lt;/D&gt;&lt;D xsi:type="xsd:double"&gt;1222.621244&lt;/D&gt;&lt;D xsi:type="xsd:double"&gt;1217.866516&lt;/D&gt;&lt;D xsi:type="xsd:double"&gt;1208.168678&lt;/D&gt;&lt;D xsi:type="xsd:double"&gt;1197.004782&lt;/D&gt;&lt;D xsi:type="xsd:double"&gt;1197.526513&lt;/D&gt;&lt;D xsi:type="xsd:double"&gt;1205.136654&lt;/D&gt;&lt;D xsi:type="xsd:double"&gt;1206.863479&lt;/D&gt;&lt;D xsi:type="xsd:double"&gt;1201.006091&lt;/D&gt;&lt;D xsi:type="xsd:double"&gt;1192.555658&lt;/D&gt;&lt;D xsi:type="xsd:double"&gt;1184.214754&lt;/D&gt;&lt;D xsi:type="xsd:double"&gt;1177.97786&lt;/D&gt;&lt;D xsi:type="xsd:double"&gt;1158.454167&lt;/D&gt;&lt;D xsi:type="xsd:double"&gt;1153.580735&lt;/D&gt;&lt;D xsi:type="xsd:double"&gt;1144.389551&lt;/D&gt;&lt;D xsi:type="xsd:double"&gt;1138.632255&lt;/D&gt;&lt;D xsi:type="xsd:double"&gt;1141.090942&lt;/D&gt;&lt;D xsi:type="xsd:double"&gt;1134.381644&lt;/D&gt;&lt;D xsi:type="xsd:double"&gt;1132.848682&lt;/D&gt;&lt;D xsi:type="xsd:double"&gt;1132.19866&lt;/D&gt;&lt;D xsi:type="xsd:double"&gt;1130.39027&lt;/D&gt;&lt;D xsi:type="xsd:double"&gt;1118.50338&lt;/D&gt;&lt;D xsi:type="xsd:double"&gt;1121.222338&lt;/D&gt;&lt;D xsi:type="xsd:double"&gt;1118.805343&lt;/D&gt;&lt;D xsi:type="xsd:double"&gt;1112.367191&lt;/D&gt;&lt;D xsi:type="xsd:double"&gt;1119.971274&lt;/D&gt;&lt;D xsi:type="xsd:double"&gt;1110.778058&lt;/D&gt;&lt;D xsi:type="xsd:double"&gt;1100.541339&lt;/D&gt;&lt;D xsi:type="xsd:double"&gt;1101.194537&lt;/D&gt;&lt;D xsi:type="xsd:double"&gt;1117.686594&lt;/D&gt;&lt;D xsi:type="xsd:double"&gt;1121.947042&lt;/D&gt;&lt;D xsi:type="xsd:double"&gt;1115.937119&lt;/D&gt;&lt;D xsi:type="xsd:double"&gt;1120.793023&lt;/D&gt;&lt;D xsi:type="xsd:double"&gt;1141.379601&lt;/D&gt;&lt;D xsi:type="xsd:double"&gt;1146.497521&lt;/D&gt;&lt;D xsi:type="xsd:double"&gt;1144.326817&lt;/D&gt;&lt;D xsi:type="xsd:double"&gt;1154.255675&lt;/D&gt;&lt;D xsi:type="xsd:double"&gt;1156.674417&lt;/D&gt;&lt;D xsi:type="xsd:double"&gt;1150.983825&lt;/D&gt;&lt;D xsi:type="xsd:double"&gt;1136.102474&lt;/D&gt;&lt;D xsi:type="xsd:double"&gt;1136.452144&lt;/D&gt;&lt;D xsi:type="xsd:double"&gt;1125.355467&lt;/D&gt;&lt;D xsi:type="xsd:double"&gt;1111.11992&lt;/D&gt;&lt;D xsi:type="xsd:double"&gt;1118.320899&lt;/D&gt;&lt;D xsi:type="xsd:double"&gt;1123.262889&lt;/D&gt;&lt;D xsi:type="xsd:double"&gt;1128.491631&lt;/D&gt;&lt;D xsi:type="xsd:double"&gt;1133.782776&lt;/D&gt;&lt;D xsi:type="xsd:double"&gt;1134.67636&lt;/D&gt;&lt;D xsi:type="xsd:double"&gt;1134.546901&lt;/D&gt;&lt;D xsi:type="xsd:double"&gt;1131.026447&lt;/D&gt;&lt;D xsi:type="xsd:double"&gt;1126.17575&lt;/D&gt;&lt;D xsi:type="xsd:double"&gt;1127.309682&lt;/D&gt;&lt;D xsi:type="xsd:double"&gt;1128.939459&lt;/D&gt;&lt;D xsi:type="xsd:double"&gt;1119.078809&lt;/D&gt;&lt;D xsi:type="xsd:double"&gt;1115.532556&lt;/D&gt;&lt;D xsi:type="xsd:double"&gt;1110.220087&lt;/D&gt;&lt;D xsi:type="xsd:double"&gt;1108.16499&lt;/D&gt;&lt;D xsi:type="xsd:double"&gt;1114.094379&lt;/D&gt;&lt;D xsi:type="xsd:double"&gt;1113.317901&lt;/D&gt;&lt;D xsi:type="xsd:double"&gt;1115.895186&lt;/D&gt;&lt;D xsi:type="xsd:double"&gt;1119.687841&lt;/D&gt;&lt;D xsi:type="xsd:double"&gt;1116.913362&lt;/D&gt;&lt;D xsi:type="xsd:double"&gt;1126.897987&lt;/D&gt;&lt;D xsi:type="xsd:double"&gt;1125.664722&lt;/D&gt;&lt;D xsi:type="xsd:double"&gt;1131.824177&lt;/D&gt;&lt;D xsi:type="xsd:double"&gt;1125.9142&lt;/D&gt;&lt;D xsi:type="xsd:double"&gt;1121.615846&lt;/D&gt;&lt;D xsi:type="xsd:double"&gt;1117.333057&lt;/D&gt;&lt;D xsi:type="xsd:double"&gt;1112.524696&lt;/D&gt;&lt;D xsi:type="xsd:double"&gt;1100.414647&lt;/D&gt;&lt;D xsi:type="xsd:double"&gt;1103.116005&lt;/D&gt;&lt;D xsi:type="xsd:double"&gt;1102.755235&lt;/D&gt;&lt;D xsi:type="xsd:double"&gt;1101.840257&lt;/D&gt;&lt;D xsi:type="xsd:double"&gt;1097.025512&lt;/D&gt;&lt;D xsi:type="xsd:double"&gt;1082.970806&lt;/D&gt;&lt;D xsi:type="xsd:double"&gt;1081.721778&lt;/D&gt;&lt;D xsi:type="xsd:double"&gt;1072.381138&lt;/D&gt;&lt;D xsi:type="xsd:double"&gt;1078.57205&lt;/D&gt;&lt;D xsi:type="xsd:double"&gt;1080.112243&lt;/D&gt;&lt;D xsi:type="xsd:double"&gt;1088.264003&lt;/D&gt;&lt;D xsi:type="xsd:double"&gt;1102.253524&lt;/D&gt;&lt;D xsi:type="xsd:double"&gt;1108.185162&lt;/D&gt;&lt;D xsi:type="xsd:double"&gt;1112.067473&lt;/D&gt;&lt;D xsi:type="xsd:double"&gt;1109.630389&lt;/D&gt;&lt;D xsi:type="xsd:double"&gt;1112.919964&lt;/D&gt;&lt;D xsi:type="xsd:double"&gt;1102.164266&lt;/D&gt;&lt;D xsi:type="xsd:double"&gt;1099.889704&lt;/D&gt;&lt;D xsi:type="xsd:double"&gt;1099.459956&lt;/D&gt;&lt;D xsi:type="xsd:double"&gt;1102.261328&lt;/D&gt;&lt;D xsi:type="xsd:double"&gt;1099.176562&lt;/D&gt;&lt;D xsi:type="xsd:double"&gt;1091.170343&lt;/D&gt;&lt;D xsi:type="xsd:double"&gt;1090.097614&lt;/D&gt;&lt;D xsi:type="xsd:double"&gt;1083.179568&lt;/D&gt;&lt;D xsi:type="xsd:double"&gt;1084.929154&lt;/D&gt;&lt;D xsi:type="xsd:double"&gt;1091.360181&lt;/D&gt;&lt;D xsi:type="xsd:double"&gt;1087.697609&lt;/D&gt;&lt;D xsi:type="xsd:double"&gt;1088.004549&lt;/D&gt;&lt;D xsi:type="xsd:double"&gt;1081.230464&lt;/D&gt;&lt;D xsi:type="xsd:double"&gt;1085.079065&lt;/D&gt;&lt;D xsi:type="xsd:double"&gt;1085.374311&lt;/D&gt;&lt;D xsi:type="xsd:double"&gt;1082.450788&lt;/D&gt;&lt;D xsi:type="xsd:double"&gt;1075.598639&lt;/D&gt;&lt;D xsi:type="xsd:double"&gt;1072.522757&lt;/D&gt;&lt;D xsi:type="xsd:double"&gt;1063.663103&lt;/D&gt;&lt;D xsi:type="xsd:double"&gt;1059.539846&lt;/D&gt;&lt;D xsi:type="xsd:double"&gt;1063.325167&lt;/D&gt;&lt;D xsi:type="xsd:double"&gt;1060.272431&lt;/D&gt;&lt;D xsi:type="xsd:double"&gt;1052.50852&lt;/D&gt;&lt;D xsi:type="xsd:double"&gt;1053.652969&lt;/D&gt;&lt;D xsi:type="xsd:double"&gt;1042.797972&lt;/D&gt;&lt;D xsi:type="xsd:double"&gt;1056.213334&lt;/D&gt;&lt;D xsi:type="xsd:double"&gt;1068.919915&lt;/D&gt;&lt;D xsi:type="xsd:double"&gt;1078.526923&lt;/D&gt;&lt;D xsi:type="xsd:double"&gt;1075.363548&lt;/D&gt;&lt;D xsi:type="xsd:double"&gt;1067.255774&lt;/D&gt;&lt;D xsi:type="xsd:double"&gt;1064.072507&lt;/D&gt;&lt;D xsi:type="xsd:double"&gt;1069.97214&lt;/D&gt;&lt;D xsi:type="xsd:double"&gt;1069.003254&lt;/D&gt;&lt;D xsi:type="xsd:double"&gt;1066.233316&lt;/D&gt;&lt;D xsi:type="xsd:double"&gt;1062.974381&lt;/D&gt;&lt;D xsi:type="xsd:double"&gt;1068.949977&lt;/D&gt;&lt;D xsi:type="xsd:double"&gt;1062.294072&lt;/D&gt;&lt;D xsi:type="xsd:double"&gt;1061.686675&lt;/D&gt;&lt;D xsi:type="xsd:double"&gt;1064.268288&lt;/D&gt;&lt;D xsi:type="xsd:double"&gt;1060.178212&lt;/D&gt;&lt;D xsi:type="xsd:double"&gt;1059.400297&lt;/D&gt;&lt;D xsi:type="xsd:double"&gt;1060.118355&lt;/D&gt;&lt;D xsi:type="xsd:double"&gt;1053.225683&lt;/D&gt;&lt;D xsi:type="xsd:double"&gt;1051.546606&lt;/D&gt;&lt;D xsi:type="xsd:double"&gt;1047.05073&lt;/D&gt;&lt;D xsi:type="xsd:double"&gt;1040.723968&lt;/D&gt;&lt;D xsi:type="xsd:double"&gt;1029.901372&lt;/D&gt;&lt;D xsi:type="xsd:double"&gt;1018.199385&lt;/D&gt;&lt;D xsi:type="xsd:double"&gt;1009.292929&lt;/D&gt;&lt;D xsi:type="xsd:double"&gt;1002.481076&lt;/D&gt;&lt;D xsi:type="xsd:double"&gt;1006.160166&lt;/D&gt;&lt;D xsi:type="xsd:double"&gt;1009.849178&lt;/D&gt;&lt;D xsi:type="xsd:double"&gt;1014.241114&lt;/D&gt;&lt;D xsi:type="xsd:double"&gt;1010.800247&lt;/D&gt;&lt;D xsi:type="xsd:double"&gt;1014.021171&lt;/D&gt;&lt;D xsi:type="xsd:double"&gt;1012.103021&lt;/D&gt;&lt;D xsi:type="xsd:double"&gt;1016.675536&lt;/D&gt;&lt;D xsi:type="xsd:double"&gt;1019.108498&lt;/D&gt;&lt;D xsi:type="xsd:double"&gt;1011.666098&lt;/D&gt;&lt;D xsi:type="xsd:double"&gt;1008.806786&lt;/D&gt;&lt;D xsi:type="xsd:double"&gt;1006.467554&lt;/D&gt;&lt;D xsi:type="xsd:double"&gt;1008.671336&lt;/D&gt;&lt;D xsi:type="xsd:double"&gt;1012.947032&lt;/D&gt;&lt;D xsi:type="xsd:double"&gt;1003.120986&lt;/D&gt;&lt;D xsi:type="xsd:double"&gt;1003.643081&lt;/D&gt;&lt;D xsi:type="xsd:double"&gt;1013.691116&lt;/D&gt;&lt;D xsi:type="xsd:double"&gt;1009.782209&lt;/D&gt;&lt;D xsi:type="xsd:double"&gt;1008.923036&lt;/D&gt;&lt;D xsi:type="xsd:double"&gt;1018.185927&lt;/D&gt;&lt;D xsi:type="xsd:double"&gt;1019.064668&lt;/D&gt;&lt;D xsi:type="xsd:double"&gt;1015.746811&lt;/D&gt;&lt;D xsi:type="xsd:double"&gt;1015.885634&lt;/D&gt;&lt;D xsi:type="xsd:double"&gt;1017.594769&lt;/D&gt;&lt;D xsi:type="xsd:double"&gt;1015.081121&lt;/D&gt;&lt;D xsi:type="xsd:double"&gt;1008.469952&lt;/D&gt;&lt;D xsi:type="xsd:double"&gt;1005.325509&lt;/D&gt;&lt;D xsi:type="xsd:double"&gt;1011.77403&lt;/D&gt;&lt;D xsi:type="xsd:double"&gt;1017.001528&lt;/D&gt;&lt;D xsi:type="xsd:double"&gt;1014.548457&lt;/D&gt;&lt;D xsi:type="xsd:double"&gt;1005.026096&lt;/D&gt;&lt;D xsi:type="xsd:double"&gt;1004.469174&lt;/D&gt;&lt;D xsi:type="xsd:double"&gt;1003.655617&lt;/D&gt;&lt;D xsi:type="xsd:double"&gt;995.670927&lt;/D&gt;&lt;D xsi:type="xsd:double"&gt;988.37579&lt;/D&gt;&lt;D xsi:type="xsd:double"&gt;1008.628502&lt;/D&gt;&lt;D xsi:type="xsd:double"&gt;1015.048845&lt;/D&gt;&lt;D xsi:type="xsd:double"&gt;1010.232584&lt;/D&gt;&lt;D xsi:type="xsd:double"&gt;1002.37435&lt;/D&gt;&lt;D xsi:type="xsd:double"&gt;1000.347169&lt;/D&gt;&lt;D xsi:type="xsd:double"&gt;995.093392&lt;/D&gt;&lt;D xsi:type="xsd:double"&gt;990.603236&lt;/D&gt;&lt;D xsi:type="xsd:double"&gt;985.105376&lt;/D&gt;&lt;D xsi:type="xsd:double"&gt;978.27278&lt;/D&gt;&lt;D xsi:type="xsd:double"&gt;980.065262&lt;/D&gt;&lt;D xsi:type="xsd:double"&gt;985.737076&lt;/D&gt;&lt;D xsi:type="xsd:double"&gt;988.190239&lt;/D&gt;&lt;D xsi:type="xsd:double"&gt;979.760963&lt;/D&gt;&lt;D xsi:type="xsd:double"&gt;977.958508&lt;/D&gt;&lt;D xsi:type="xsd:double"&gt;979.662875&lt;/D&gt;&lt;D xsi:type="xsd:double"&gt;982.53231&lt;/D&gt;&lt;D xsi:type="xsd:double"&gt;982.650453&lt;/D&gt;&lt;D xsi:type="xsd:double"&gt;971.358769&lt;/D&gt;&lt;D xsi:type="xsd:double"&gt;961.779891&lt;/D&gt;&lt;D xsi:type="xsd:double"&gt;958.448571&lt;/D&gt;&lt;D xsi:type="xsd:double"&gt;952.923456&lt;/D&gt;&lt;D xsi:type="xsd:double"&gt;957.69726&lt;/D&gt;&lt;D xsi:type="xsd:double"&gt;962.708545&lt;/D&gt;&lt;D xsi:type="xsd:double"&gt;962.853226&lt;/D&gt;&lt;D xsi:type="xsd:double"&gt;958.203812&lt;/D&gt;&lt;D xsi:type="xsd:double"&gt;954.439479&lt;/D&gt;&lt;D xsi:type="xsd:double"&gt;958.001448&lt;/D&gt;&lt;D xsi:type="xsd:double"&gt;961.612751&lt;/D&gt;&lt;D xsi:type="xsd:double"&gt;963.291367&lt;/D&gt;&lt;D xsi:type="xsd:double"&gt;969.22202&lt;/D&gt;&lt;D xsi:type="xsd:double"&gt;965.172039&lt;/D&gt;&lt;D xsi:type="xsd:double"&gt;965.146888&lt;/D&gt;&lt;D xsi:type="xsd:double"&gt;958.368557&lt;/D&gt;&lt;D xsi:type="xsd:double"&gt;969.467381&lt;/D&gt;&lt;D xsi:type="xsd:double"&gt;971.864088&lt;/D&gt;&lt;D xsi:type="xsd:double"&gt;970.320968&lt;/D&gt;&lt;D xsi:type="xsd:double"&gt;965.708117&lt;/D&gt;&lt;D xsi:type="xsd:double"&gt;969.125981&lt;/D&gt;&lt;D xsi:type="xsd:double"&gt;967.923056&lt;/D&gt;&lt;D xsi:type="xsd:double"&gt;966.97014&lt;/D&gt;&lt;D xsi:type="xsd:double"&gt;973.082862&lt;/D&gt;&lt;D xsi:type="xsd:double"&gt;972.352311&lt;/D&gt;&lt;D xsi:type="xsd:double"&gt;965.567193&lt;/D&gt;&lt;D xsi:type="xsd:double"&gt;963.201607&lt;/D&gt;&lt;D xsi:type="xsd:double"&gt;943.515467&lt;/D&gt;&lt;D xsi:type="xsd:double"&gt;939.966525&lt;/D&gt;&lt;D xsi:type="xsd:double"&gt;938.502659&lt;/D&gt;&lt;D xsi:type="xsd:double"&gt;926.143466&lt;/D&gt;&lt;D xsi:type="xsd:double"&gt;922.937934&lt;/D&gt;&lt;D xsi:type="xsd:double"&gt;934.901683&lt;/D&gt;&lt;D xsi:type="xsd:double"&gt;936.501256&lt;/D&gt;&lt;D xsi:type="xsd:double"&gt;934.423292&lt;/D&gt;&lt;D xsi:type="xsd:double"&gt;931.06793&lt;/D&gt;&lt;D xsi:type="xsd:double"&gt;936.37326&lt;/D&gt;&lt;D xsi:type="xsd:double"&gt;938.468395&lt;/D&gt;&lt;D xsi:type="xsd:double"&gt;936.371428&lt;/D&gt;&lt;D xsi:type="xsd:double"&gt;940.317107&lt;/D&gt;&lt;D xsi:type="xsd:double"&gt;943.515432&lt;/D&gt;&lt;D xsi:type="xsd:double"&gt;952.117149&lt;/D&gt;&lt;D xsi:type="xsd:double"&gt;950.953356&lt;/D&gt;&lt;D xsi:type="xsd:double"&gt;945.640403&lt;/D&gt;&lt;D xsi:type="xsd:double"&gt;939.032562&lt;/D&gt;&lt;D xsi:type="xsd:double"&gt;945.618054&lt;/D&gt;&lt;D xsi:type="xsd:double"&gt;941.779104&lt;/D&gt;&lt;D xsi:type="xsd:double"&gt;934.078407&lt;/D&gt;&lt;D xsi:type="xsd:double"&gt;935.448022&lt;/D&gt;&lt;D xsi:type="xsd:double"&gt;930.158728&lt;/D&gt;&lt;D xsi:type="xsd:double"&gt;925.573907&lt;/D&gt;&lt;D xsi:type="xsd:double"&gt;921.676537&lt;/D&gt;&lt;D xsi:type="xsd:double"&gt;919.804862&lt;/D&gt;&lt;D xsi:type="xsd:double"&gt;922.985496&lt;/D&gt;&lt;D xsi:type="xsd:double"&gt;918.872547&lt;/D&gt;&lt;D xsi:type="xsd:double"&gt;915.207642&lt;/D&gt;&lt;D xsi:type="xsd:double"&gt;912.999243&lt;/D&gt;&lt;D xsi:type="xsd:double"&gt;909.228195&lt;/D&gt;&lt;D xsi:type="xsd:double"&gt;913.088917&lt;/D&gt;&lt;D xsi:type="xsd:double"&gt;915.920889&lt;/D&gt;&lt;D xsi:type="xsd:double"&gt;916.728309&lt;/D&gt;&lt;D xsi:type="xsd:double"&gt;912.159401&lt;/D&gt;&lt;D xsi:type="xsd:double"&gt;908.631032&lt;/D&gt;&lt;D xsi:type="xsd:double"&gt;902.139049&lt;/D&gt;&lt;D xsi:type="xsd:double"&gt;893.28433&lt;/D&gt;&lt;D xsi:type="xsd:double"&gt;894.51808&lt;/D&gt;&lt;D xsi:type="xsd:double"&gt;897.885349&lt;/D&gt;&lt;D xsi:type="xsd:double"&gt;894.87136&lt;/D&gt;&lt;D xsi:type="xsd:double"&gt;895.975744&lt;/D&gt;&lt;D xsi:type="xsd:double"&gt;896.63776&lt;/D&gt;&lt;D xsi:type="xsd:double"&gt;886.732375&lt;/D&gt;&lt;D xsi:type="xsd:double"&gt;885.70134&lt;/D&gt;&lt;D xsi:type="xsd:double"&gt;878.440096&lt;/D&gt;&lt;D xsi:type="xsd:double"&gt;881.112128&lt;/D&gt;&lt;D xsi:type="xsd:double"&gt;881.717379&lt;/D&gt;&lt;D xsi:type="xsd:double"&gt;871.45382&lt;/D&gt;&lt;D xsi:type="xsd:double"&gt;868.440518&lt;/D&gt;&lt;D xsi:type="xsd:double"&gt;862.274838&lt;/D&gt;&lt;D xsi:type="xsd:double"&gt;858.442436&lt;/D&gt;&lt;D xsi:type="xsd:double"&gt;851.17922&lt;/D&gt;&lt;D xsi:type="xsd:double"&gt;844.657102&lt;/D&gt;&lt;D xsi:type="xsd:double"&gt;841.595653&lt;/D&gt;&lt;D xsi:type="xsd:double"&gt;842.511977&lt;/D&gt;&lt;D xsi:type="xsd:double"&gt;851.169178&lt;/D&gt;&lt;D xsi:type="xsd:double"&gt;851.309091&lt;/D&gt;&lt;D xsi:type="xsd:double"&gt;851.127039&lt;/D&gt;&lt;D xsi:type="xsd:double"&gt;856.403316&lt;/D&gt;&lt;D xsi:type="xsd:double"&gt;858.645995&lt;/D&gt;&lt;D xsi:type="xsd:double"&gt;872.764208&lt;/D&gt;&lt;D xsi:type="xsd:double"&gt;877.199578&lt;/D&gt;&lt;D xsi:type="xsd:double"&gt;872.239963&lt;/D&gt;&lt;D xsi:type="xsd:double"&gt;877.845153&lt;/D&gt;&lt;D xsi:type="xsd:double"&gt;879.318733&lt;/D&gt;&lt;D xsi:type="xsd:double"&gt;867.605021&lt;/D&gt;&lt;D xsi:type="xsd:double"&gt;861.493941&lt;/D&gt;&lt;D xsi:type="xsd:double"&gt;853.974038&lt;/D&gt;&lt;D xsi:type="xsd:double"&gt;853.06794&lt;/D&gt;&lt;D xsi:type="xsd:double"&gt;858.411499&lt;/D&gt;&lt;D xsi:type="xsd:double"&gt;862.831824&lt;/D&gt;&lt;D xsi:type="xsd:double"&gt;858.469131&lt;/D&gt;&lt;D xsi:type="xsd:double"&gt;863.169403&lt;/D&gt;&lt;D xsi:type="xsd:double"&gt;855.783499&lt;/D&gt;&lt;D xsi:type="xsd:double"&gt;855.919949&lt;/D&gt;&lt;D xsi:type="xsd:double"&gt;857.446566&lt;/D&gt;&lt;D xsi:type="xsd:double"&gt;847.395808&lt;/D&gt;&lt;D xsi:type="xsd:double"&gt;844.534168&lt;/D&gt;&lt;D xsi:type="xsd:double"&gt;847.189111&lt;/D&gt;&lt;D xsi:type="xsd:double"&gt;847.149624&lt;/D&gt;&lt;D xsi:type="xsd:double"&gt;841.49376&lt;/D&gt;&lt;D xsi:type="xsd:double"&gt;838.960111&lt;/D&gt;&lt;D xsi:type="xsd:double"&gt;849.097424&lt;/D&gt;&lt;D xsi:type="xsd:double"&gt;875.630662&lt;/D&gt;&lt;D xsi:type="xsd:double"&gt;880.14899&lt;/D&gt;&lt;D xsi:type="xsd:double"&gt;902.44933&lt;/D&gt;&lt;D xsi:type="xsd:double"&gt;894.770079&lt;/D&gt;&lt;D xsi:type="xsd:double"&gt;880.12465&lt;/D&gt;&lt;D xsi:type="xsd:double"&gt;884.928513&lt;/D&gt;&lt;D xsi:type="xsd:double"&gt;890.209014&lt;/D&gt;&lt;D xsi:type="xsd:double"&gt;902.580937&lt;/D&gt;&lt;D xsi:type="xsd:double"&gt;905.089445&lt;/D&gt;&lt;D xsi:type="xsd:double"&gt;903.500113&lt;/D&gt;&lt;D xsi:type="xsd:double"&gt;905.307694&lt;/D&gt;&lt;D xsi:type="xsd:double"&gt;910.576041&lt;/D&gt;&lt;D xsi:type="xsd:double"&gt;918.248503&lt;/D&gt;&lt;D xsi:type="xsd:double"&gt;918.398904&lt;/D&gt;&lt;D xsi:type="xsd:double"&gt;911.236305&lt;/D&gt;&lt;D xsi:type="xsd:double"&gt;913.378467&lt;/D&gt;&lt;D xsi:type="xsd:double"&gt;913.349006&lt;/D&gt;&lt;D xsi:type="xsd:double"&gt;908.545209&lt;/D&gt;&lt;D xsi:type="xsd:double"&gt;894.709235&lt;/D&gt;&lt;D xsi:type="xsd:double"&gt;897.03155&lt;/D&gt;&lt;D xsi:type="xsd:double"&gt;890.648005&lt;/D&gt;&lt;D xsi:type="xsd:double"&gt;902.741562&lt;/D&gt;&lt;D xsi:type="xsd:double"&gt;905.571598&lt;/D&gt;&lt;D xsi:type="xsd:double"&gt;918.680391&lt;/D&gt;&lt;D xsi:type="xsd:double"&gt;914.806043&lt;/D&gt;&lt;D xsi:type="xsd:double"&gt;917.037968&lt;/D&gt;&lt;D xsi:type="xsd:double"&gt;915.258021&lt;/D&gt;&lt;D xsi:type="xsd:double"&gt;915.612425&lt;/D&gt;&lt;D xsi:type="xsd:double"&gt;911.605068&lt;/D&gt;&lt;D xsi:type="xsd:double"&gt;903.459731&lt;/D&gt;&lt;D xsi:type="xsd:double"&gt;913.387903&lt;/D&gt;&lt;D xsi:type="xsd:double"&gt;912.186969&lt;/D&gt;&lt;D xsi:type="xsd:double"&gt;911.126869&lt;/D&gt;&lt;D xsi:type="xsd:double"&gt;905.486164&lt;/D&gt;&lt;D xsi:type="xsd:double"&gt;917.502974&lt;/D&gt;&lt;D xsi:type="xsd:double"&gt;920.915337&lt;/D&gt;&lt;D xsi:type="xsd:double"&gt;905.653993&lt;/D&gt;&lt;D xsi:type="xsd:double"&gt;898.816497&lt;/D&gt;&lt;D xsi:type="xsd:double"&gt;897.679695&lt;/D&gt;&lt;D xsi:type="xsd:double"&gt;885.452815&lt;/D&gt;&lt;D xsi:type="xsd:double"&gt;888.975547&lt;/D&gt;&lt;D xsi:type="xsd:double"&gt;885.138784&lt;/D&gt;&lt;D xsi:type="xsd:double"&gt;886.007562&lt;/D&gt;&lt;D xsi:type="xsd:double"&gt;889.414743&lt;/D&gt;&lt;D xsi:type="xsd:double"&gt;909.323843&lt;/D&gt;&lt;D xsi:type="xsd:double"&gt;927.286581&lt;/D&gt;&lt;D xsi:type="xsd:double"&gt;926.042492&lt;/D&gt;&lt;D xsi:type="xsd:double"&gt;923.445972&lt;/D&gt;&lt;D xsi:type="xsd:double"&gt;899.611225&lt;/D&gt;&lt;D xsi:type="xsd:double"&gt;891.075628&lt;/D&gt;&lt;D xsi:type="xsd:double"&gt;893.67757&lt;/D&gt;&lt;D xsi:type="xsd:double"&gt;898.916303&lt;/D&gt;&lt;D xsi:type="xsd:double"&gt;895.967717&lt;/D&gt;&lt;D xsi:type="xsd:double"&gt;901.392639&lt;/D&gt;&lt;D xsi:type="xsd:double"&gt;898.098676&lt;/D&gt;&lt;D xsi:type="xsd:double"&gt;896.754061&lt;/D&gt;&lt;D xsi:type="xsd:double"&gt;906.496924&lt;/D&gt;&lt;D xsi:type="xsd:double"&gt;904.219662&lt;/D&gt;&lt;D xsi:type="xsd:double"&gt;910.336817&lt;/D&gt;&lt;D xsi:type="xsd:double"&gt;916.397658&lt;/D&gt;&lt;D xsi:type="xsd:double"&gt;909.665139&lt;/D&gt;&lt;D xsi:type="xsd:double"&gt;915.598428&lt;/D&gt;&lt;D xsi:type="xsd:double"&gt;915.863647&lt;/D&gt;&lt;D xsi:type="xsd:double"&gt;910.084728&lt;/D&gt;&lt;D xsi:type="xsd:double"&gt;907.604562&lt;/D&gt;&lt;D xsi:type="xsd:double"&gt;902.994308&lt;/D&gt;&lt;D xsi:type="xsd:double"&gt;899.792368&lt;/D&gt;&lt;D xsi:type="xsd:double"&gt;895.530524&lt;/D&gt;&lt;D xsi:type="xsd:double"&gt;885.51698&lt;/D&gt;&lt;D xsi:type="xsd:double"&gt;876.040397&lt;/D&gt;&lt;D xsi:type="xsd:double"&gt;868.177372&lt;/D&gt;&lt;D xsi:type="xsd:double"&gt;876.766082&lt;/D&gt;&lt;D xsi:type="xsd:double"&gt;882.545493&lt;/D&gt;&lt;D xsi:type="xsd:double"&gt;873.470986&lt;/D&gt;&lt;D xsi:type="xsd:double"&gt;875.523558&lt;/D&gt;&lt;D xsi:type="xsd:double"&gt;874.049327&lt;/D&gt;&lt;D xsi:type="xsd:double"&gt;870.722767&lt;/D&gt;&lt;D xsi:type="xsd:double"&gt;869.103812&lt;/D&gt;&lt;D xsi:type="xsd:double"&gt;869.301829&lt;/D&gt;&lt;D xsi:type="xsd:double"&gt;871.1686&lt;/D&gt;&lt;D xsi:type="xsd:double"&gt;870.764796&lt;/D&gt;&lt;D xsi:type="xsd:double"&gt;868.117111&lt;/D&gt;&lt;D xsi:type="xsd:double"&gt;870.126761&lt;/D&gt;&lt;D xsi:type="xsd:double"&gt;867.840902&lt;/D&gt;&lt;D xsi:type="xsd:double"&gt;865.925242&lt;/D&gt;&lt;D xsi:type="xsd:double"&gt;856.35994&lt;/D&gt;&lt;D xsi:type="xsd:double"&gt;854.082446&lt;/D&gt;&lt;D xsi:type="xsd:double"&gt;846.72947&lt;/D&gt;&lt;D xsi:type="xsd:double"&gt;828.837767&lt;/D&gt;&lt;D xsi:type="xsd:double"&gt;826.986328&lt;/D&gt;&lt;D xsi:type="xsd:double"&gt;819.188905&lt;/D&gt;&lt;D xsi:type="xsd:double"&gt;831.68415&lt;/D&gt;&lt;D xsi:type="xsd:double"&gt;839.254352&lt;/D&gt;&lt;D xsi:type="xsd:double"&gt;834.102962&lt;/D&gt;&lt;D xsi:type="xsd:double"&gt;821.817139&lt;/D&gt;&lt;D xsi:type="xsd:double"&gt;805.243725&lt;/D&gt;&lt;D xsi:type="xsd:double"&gt;794.561685&lt;/D&gt;&lt;D xsi:type="xsd:double"&gt;805.866469&lt;/D&gt;&lt;D xsi:type="xsd:double"&gt;835.431707&lt;/D&gt;&lt;D xsi:type="xsd:double"&gt;829.326304&lt;/D&gt;&lt;D xsi:type="xsd:double"&gt;825.350599&lt;/D&gt;&lt;D xsi:type="xsd:double"&gt;821.167394&lt;/D&gt;&lt;D xsi:type="xsd:double"&gt;806.223539&lt;/D&gt;&lt;D xsi:type="xsd:double"&gt;799.781206&lt;/D&gt;&lt;D xsi:type="xsd:double"&gt;808.189555&lt;/D&gt;&lt;D xsi:type="xsd:double"&gt;803.057233&lt;/D&gt;&lt;D xsi:type="xsd:double"&gt;809.462728&lt;/D&gt;&lt;D xsi:type="xsd:double"&gt;823.8178&lt;/D&gt;&lt;D xsi:type="xsd:double"&gt;837.027838&lt;/D&gt;&lt;D xsi:type="xsd:double"&gt;842.380968&lt;/D&gt;&lt;D xsi:type="xsd:double"&gt;835.897418&lt;/D&gt;&lt;D xsi:type="xsd:double"&gt;823.258274&lt;/D&gt;&lt;D xsi:type="xsd:double"&gt;816.179343&lt;/D&gt;&lt;D xsi:type="xsd:double"&gt;809.344731&lt;/D&gt;&lt;D xsi:type="xsd:double"&gt;807.224079&lt;/D&gt;&lt;D xsi:type="xsd:double"&gt;807.454029&lt;/D&gt;&lt;D xsi:type="xsd:double"&gt;808.288748&lt;/D&gt;&lt;D xsi:type="xsd:double"&gt;802.92843&lt;/D&gt;&lt;D xsi:type="xsd:double"&gt;799.681306&lt;/D&gt;&lt;D xsi:type="xsd:double"&gt;787.994048&lt;/D&gt;&lt;D xsi:type="xsd:double"&gt;788.895007&lt;/D&gt;&lt;D xsi:type="xsd:double"&gt;785.264197&lt;/D&gt;&lt;D xsi:type="xsd:double"&gt;781.838168&lt;/D&gt;&lt;D xsi:type="xsd:double"&gt;794.216183&lt;/D&gt;&lt;D xsi:type="xsd:double"&gt;801.642817&lt;/D&gt;&lt;D xsi:type="xsd:double"&gt;797.427019&lt;/D&gt;&lt;D xsi:type="xsd:double"&gt;796.071529&lt;/D&gt;&lt;D xsi:type="xsd:double"&gt;806.68121&lt;/D&gt;&lt;D xsi:type="xsd:double"&gt;807.965213&lt;/D&gt;&lt;D xsi:type="xsd:double"&gt;806.91438&lt;/D&gt;&lt;D xsi:type="xsd:double"&gt;800.913307&lt;/D&gt;&lt;D xsi:type="xsd:double"&gt;805.336385&lt;/D&gt;&lt;D xsi:type="xsd:double"&gt;809.45879&lt;/D&gt;&lt;D xsi:type="xsd:double"&gt;813.518277&lt;/D&gt;&lt;D xsi:type="xsd:double"&gt;821.091835&lt;/D&gt;&lt;D xsi:type="xsd:double"&gt;835.567077&lt;/D&gt;&lt;D xsi:type="xsd:double"&gt;840.189967&lt;/D&gt;&lt;D xsi:type="xsd:double"&gt;844.059151&lt;/D&gt;&lt;D xsi:type="xsd:double"&gt;843.167832&lt;/D&gt;&lt;D xsi:type="xsd:double"&gt;842.625876&lt;/D&gt;&lt;D xsi:type="xsd:double"&gt;839.197851&lt;/D&gt;&lt;D xsi:type="xsd:double"&gt;845.206659&lt;/D&gt;&lt;D xsi:type="xsd:double"&gt;853.685027&lt;/D&gt;&lt;D xsi:type="xsd:double"&gt;849.44685&lt;/D&gt;&lt;D xsi:type="xsd:double"&gt;852.729579&lt;/D&gt;&lt;D xsi:type="xsd:double"&gt;843.680743&lt;/D&gt;&lt;D xsi:type="xsd:double"&gt;846.69756&lt;/D&gt;&lt;D xsi:type="xsd:double"&gt;845.450628&lt;/D&gt;&lt;D xsi:type="xsd:double"&gt;844.15264&lt;/D&gt;&lt;D xsi:type="xsd:double"&gt;830.883343&lt;/D&gt;&lt;D xsi:type="xsd:double"&gt;824.013694&lt;/D&gt;&lt;D xsi:type="xsd:double"&gt;816.819314&lt;/D&gt;&lt;D xsi:type="xsd:double"&gt;809.291391&lt;/D&gt;&lt;D xsi:type="xsd:double"&gt;809.033999&lt;/D&gt;&lt;D xsi:type="xsd:double"&gt;812.966312&lt;/D&gt;&lt;D xsi:type="xsd:double"&gt;826.778698&lt;/D&gt;&lt;D xsi:type="xsd:double"&gt;826.193492&lt;/D&gt;&lt;D xsi:type="xsd:double"&gt;836.803096&lt;/D&gt;&lt;D xsi:type="xsd:double"&gt;833.982743&lt;/D&gt;&lt;D xsi:type="xsd:double"&gt;814.829113&lt;/D&gt;&lt;D xsi:type="xsd:double"&gt;813.042553&lt;/D&gt;&lt;D xsi:type="xsd:double"&gt;813.610085&lt;/D&gt;&lt;D xsi:type="xsd:double"&gt;821.70863&lt;/D&gt;&lt;D xsi:type="xsd:double"&gt;830.512871&lt;/D&gt;&lt;D xsi:type="xsd:double"&gt;829.055832&lt;/D&gt;&lt;D xsi:type="xsd:double"&gt;826.754945&lt;/D&gt;&lt;D xsi:type="xsd:double"&gt;816.896928&lt;/D&gt;&lt;D xsi:type="xsd:double"&gt;791.175114&lt;/D&gt;&lt;D xsi:type="xsd:double"&gt;790.684288&lt;/D&gt;&lt;D xsi:type="xsd:double"&gt;803.44652&lt;/D&gt;&lt;D xsi:type="xsd:double"&gt;800.907919&lt;/D&gt;&lt;D xsi:type="xsd:double"&gt;790.744834&lt;/D&gt;&lt;D xsi:type="xsd:double"&gt;787.690267&lt;/D&gt;&lt;D xsi:type="xsd:double"&gt;788.09231&lt;/D&gt;&lt;D xsi:type="xsd:double"&gt;795.179239&lt;/D&gt;&lt;D xsi:type="xsd:double"&gt;790.967733&lt;/D&gt;&lt;D xsi:type="xsd:double"&gt;780.185054&lt;/D&gt;&lt;D xsi:type="xsd:double"&gt;769.097618&lt;/D&gt;&lt;D xsi:type="xsd:double"&gt;752.922662&lt;/D&gt;&lt;D xsi:type="xsd:double"&gt;740.326851&lt;/D&gt;&lt;D xsi:type="xsd:double"&gt;740.017</t>
        </r>
      </text>
    </comment>
    <comment ref="A47" authorId="0" shapeId="0">
      <text>
        <r>
          <rPr>
            <b/>
            <sz val="9"/>
            <color indexed="81"/>
            <rFont val="Tahoma"/>
            <family val="2"/>
          </rPr>
          <t>653&lt;/D&gt;&lt;D xsi:type="xsd:double"&gt;735.351431&lt;/D&gt;&lt;D xsi:type="xsd:double"&gt;736.534856&lt;/D&gt;&lt;D xsi:type="xsd:double"&gt;744.764798&lt;/D&gt;&lt;D xsi:type="xsd:double"&gt;749.422904&lt;/D&gt;&lt;D xsi:type="xsd:double"&gt;740.984133&lt;/D&gt;&lt;D xsi:type="xsd:double"&gt;746.236681&lt;/D&gt;&lt;D xsi:type="xsd:double"&gt;735.784083&lt;/D&gt;&lt;D xsi:type="xsd:double"&gt;731.40113&lt;/D&gt;&lt;D xsi:type="xsd:double"&gt;711.244024&lt;/D&gt;&lt;D xsi:type="xsd:double"&gt;713.040471&lt;/D&gt;&lt;D xsi:type="xsd:double"&gt;730.583482&lt;/D&gt;&lt;D xsi:type="xsd:double"&gt;729.884845&lt;/D&gt;&lt;D xsi:type="xsd:double"&gt;734.126895&lt;/D&gt;&lt;D xsi:type="xsd:double"&gt;739.612118&lt;/D&gt;&lt;D xsi:type="xsd:double"&gt;739.554546&lt;/D&gt;&lt;D xsi:type="xsd:double"&gt;721.647436&lt;/D&gt;&lt;D xsi:type="xsd:double"&gt;728.706926&lt;/D&gt;&lt;D xsi:type="xsd:double"&gt;742.735839&lt;/D&gt;&lt;D xsi:type="xsd:double"&gt;742.370947&lt;/D&gt;&lt;D xsi:type="xsd:double"&gt;722.234134&lt;/D&gt;&lt;D xsi:type="xsd:double"&gt;715.977496&lt;/D&gt;&lt;D xsi:type="xsd:double"&gt;708.326311&lt;/D&gt;&lt;D xsi:type="xsd:double"&gt;716.084385&lt;/D&gt;&lt;D xsi:type="xsd:double"&gt;710.66067&lt;/D&gt;&lt;D xsi:type="xsd:double"&gt;688.518555&lt;/D&gt;&lt;D xsi:type="xsd:double"&gt;692.758791&lt;/D&gt;&lt;D xsi:type="xsd:double"&gt;714.374237&lt;/D&gt;&lt;D xsi:type="xsd:double"&gt;709.187654&lt;/D&gt;&lt;D xsi:type="xsd:double"&gt;723.14579&lt;/D&gt;&lt;D xsi:type="xsd:double"&gt;729.556749&lt;/D&gt;&lt;D xsi:type="xsd:double"&gt;723.212811&lt;/D&gt;&lt;D xsi:type="xsd:double"&gt;723.360543&lt;/D&gt;&lt;D xsi:type="xsd:double"&gt;740.071955&lt;/D&gt;&lt;D xsi:type="xsd:double"&gt;738.860904&lt;/D&gt;&lt;D xsi:type="xsd:double"&gt;759.81357&lt;/D&gt;&lt;D xsi:type="xsd:double"&gt;768.464021&lt;/D&gt;&lt;D xsi:type="xsd:double"&gt;767.773666&lt;/D&gt;&lt;D xsi:type="xsd:double"&gt;794.139377&lt;/D&gt;&lt;D xsi:type="xsd:double"&gt;791.470863&lt;/D&gt;&lt;D xsi:type="xsd:double"&gt;799.694145&lt;/D&gt;&lt;D xsi:type="xsd:double"&gt;800.323623&lt;/D&gt;&lt;D xsi:type="xsd:double"&gt;804.061964&lt;/D&gt;&lt;D xsi:type="xsd:double"&gt;803.13288&lt;/D&gt;&lt;D xsi:type="xsd:double"&gt;794.614055&lt;/D&gt;&lt;D xsi:type="xsd:double"&gt;791.429358&lt;/D&gt;&lt;D xsi:type="xsd:double"&gt;789.710423&lt;/D&gt;&lt;D xsi:type="xsd:double"&gt;798.586113&lt;/D&gt;&lt;D xsi:type="xsd:double"&gt;790.343011&lt;/D&gt;&lt;D xsi:type="xsd:double"&gt;779.413556&lt;/D&gt;&lt;D xsi:type="xsd:double"&gt;771.22316&lt;/D&gt;&lt;D xsi:type="xsd:double"&gt;773.562262&lt;/D&gt;&lt;D xsi:type="xsd:double"&gt;789.022978&lt;/D&gt;&lt;D xsi:type="xsd:double"&gt;795.225397&lt;/D&gt;&lt;D xsi:type="xsd:double"&gt;795.458281&lt;/D&gt;&lt;D xsi:type="xsd:double"&gt;807.791008&lt;/D&gt;&lt;D xsi:type="xsd:double"&gt;812.266712&lt;/D&gt;&lt;D xsi:type="xsd:double"&gt;819.247263&lt;/D&gt;&lt;D xsi:type="xsd:double"&gt;821.782544&lt;/D&gt;&lt;D xsi:type="xsd:double"&gt;825.478413&lt;/D&gt;&lt;D xsi:type="xsd:double"&gt;814.296969&lt;/D&gt;&lt;D xsi:type="xsd:double"&gt;826.361054&lt;/D&gt;&lt;D xsi:type="xsd:double"&gt;836.14983&lt;/D&gt;&lt;D xsi:type="xsd:double"&gt;839.303701&lt;/D&gt;&lt;D xsi:type="xsd:double"&gt;841.111994&lt;/D&gt;&lt;D xsi:type="xsd:double"&gt;843.478297&lt;/D&gt;&lt;D xsi:type="xsd:double"&gt;837.135387&lt;/D&gt;&lt;D xsi:type="xsd:double"&gt;822.837445&lt;/D&gt;&lt;D xsi:type="xsd:double"&gt;824.087726&lt;/D&gt;&lt;D xsi:type="xsd:double"&gt;813.377338&lt;/D&gt;&lt;D xsi:type="xsd:double"&gt;821.118769&lt;/D&gt;&lt;D xsi:type="xsd:double"&gt;833.736475&lt;/D&gt;&lt;D xsi:type="xsd:double"&gt;833.383352&lt;/D&gt;&lt;D xsi:type="xsd:double"&gt;833.390017&lt;/D&gt;&lt;D xsi:type="xsd:double"&gt;843.570507&lt;/D&gt;&lt;D xsi:type="xsd:double"&gt;852.470442&lt;/D&gt;&lt;D xsi:type="xsd:double"&gt;864.137649&lt;/D&gt;&lt;D xsi:type="xsd:double"&gt;868.158239&lt;/D&gt;&lt;D xsi:type="xsd:double"&gt;860.769228&lt;/D&gt;&lt;D xsi:type="xsd:double"&gt;850.228662&lt;/D&gt;&lt;D xsi:type="xsd:double"&gt;847.839247&lt;/D&gt;&lt;D xsi:type="xsd:double"&gt;846.135183&lt;/D&gt;&lt;D xsi:type="xsd:double"&gt;860.295891&lt;/D&gt;&lt;D xsi:type="xsd:double"&gt;862.70653&lt;/D&gt;&lt;D xsi:type="xsd:double"&gt;867.654386&lt;/D&gt;&lt;D xsi:type="xsd:double"&gt;868.555872&lt;/D&gt;&lt;D xsi:type="xsd:double"&gt;858.169918&lt;/D&gt;&lt;D xsi:type="xsd:double"&gt;859.102621&lt;/D&gt;&lt;D xsi:type="xsd:double"&gt;864.474652&lt;/D&gt;&lt;D xsi:type="xsd:double"&gt;867.245056&lt;/D&gt;&lt;D xsi:type="xsd:double"&gt;865.277591&lt;/D&gt;&lt;D xsi:type="xsd:double"&gt;864.733461&lt;/D&gt;&lt;D xsi:type="xsd:double"&gt;849.39715&lt;/D&gt;&lt;D xsi:type="xsd:double"&gt;854.287321&lt;/D&gt;&lt;D xsi:type="xsd:double"&gt;865.225223&lt;/D&gt;&lt;D xsi:type="xsd:double"&gt;859.323798&lt;/D&gt;&lt;D xsi:type="xsd:double"&gt;848.367775&lt;/D&gt;&lt;D xsi:type="xsd:double"&gt;850.783269&lt;/D&gt;&lt;D xsi:type="xsd:double"&gt;828.679511&lt;/D&gt;&lt;D xsi:type="xsd:double"&gt;821.261623&lt;/D&gt;&lt;D xsi:type="xsd:double"&gt;804.101081&lt;/D&gt;&lt;D xsi:type="xsd:double"&gt;797.612359&lt;/D&gt;&lt;D xsi:type="xsd:double"&gt;792.049119&lt;/D&gt;&lt;D xsi:type="xsd:double"&gt;776.35277&lt;/D&gt;&lt;D xsi:type="xsd:double"&gt;781.570768&lt;/D&gt;&lt;D xsi:type="xsd:double"&gt;789.146332&lt;/D&gt;&lt;D xsi:type="xsd:double"&gt;785.675633&lt;/D&gt;&lt;D xsi:type="xsd:double"&gt;791.789652&lt;/D&gt;&lt;D xsi:type="xsd:double"&gt;808.231459&lt;/D&gt;&lt;D xsi:type="xsd:double"&gt;815.630292&lt;/D&gt;&lt;D xsi:type="xsd:double"&gt;829.862881&lt;/D&gt;&lt;D xsi:type="xsd:double"&gt;827.500758&lt;/D&gt;&lt;D xsi:type="xsd:double"&gt;822.709691&lt;/D&gt;&lt;D xsi:type="xsd:double"&gt;806.784255&lt;/D&gt;&lt;D xsi:type="xsd:double"&gt;807.660095&lt;/D&gt;&lt;D xsi:type="xsd:double"&gt;802.49284&lt;/D&gt;&lt;D xsi:type="xsd:double"&gt;804.157181&lt;/D&gt;&lt;D xsi:type="xsd:double"&gt;809.514438&lt;/D&gt;&lt;D xsi:type="xsd:double"&gt;790.56931&lt;/D&gt;&lt;D xsi:type="xsd:double"&gt;788.594891&lt;/D&gt;&lt;D xsi:type="xsd:double"&gt;801.484365&lt;/D&gt;&lt;D xsi:type="xsd:double"&gt;796.678484&lt;/D&gt;&lt;D xsi:type="xsd:double"&gt;801.114129&lt;/D&gt;&lt;D xsi:type="xsd:double"&gt;818.730345&lt;/D&gt;&lt;D xsi:type="xsd:double"&gt;820.252757&lt;/D&gt;&lt;D xsi:type="xsd:double"&gt;813.084056&lt;/D&gt;&lt;D xsi:type="xsd:double"&gt;787.299089&lt;/D&gt;&lt;D xsi:type="xsd:double"&gt;788.536774&lt;/D&gt;&lt;D xsi:type="xsd:double"&gt;771.769462&lt;/D&gt;&lt;D xsi:type="xsd:double"&gt;812.384494&lt;/D&gt;&lt;D xsi:type="xsd:double"&gt;830.277741&lt;/D&gt;&lt;D xsi:type="xsd:double"&gt;840.513693&lt;/D&gt;&lt;D xsi:type="xsd:double"&gt;848.120003&lt;/D&gt;&lt;D xsi:type="xsd:double"&gt;854.712286&lt;/D&gt;&lt;D xsi:type="xsd:double"&gt;863.825701&lt;/D&gt;&lt;D xsi:type="xsd:double"&gt;864.801009&lt;/D&gt;&lt;D xsi:type="xsd:double"&gt;861.710067&lt;/D&gt;&lt;D xsi:type="xsd:double"&gt;878.272587&lt;/D&gt;&lt;D xsi:type="xsd:double"&gt;887.697427&lt;/D&gt;&lt;D xsi:type="xsd:double"&gt;885.070375&lt;/D&gt;&lt;D xsi:type="xsd:double"&gt;884.934401&lt;/D&gt;&lt;D xsi:type="xsd:double"&gt;891.952596&lt;/D&gt;&lt;D xsi:type="xsd:double"&gt;893.106325&lt;/D&gt;&lt;D xsi:type="xsd:double"&gt;890.854886&lt;/D&gt;&lt;D xsi:type="xsd:double"&gt;901.676361&lt;/D&gt;&lt;D xsi:type="xsd:double"&gt;894.068841&lt;/D&gt;&lt;D xsi:type="xsd:double"&gt;900.118839&lt;/D&gt;&lt;D xsi:type="xsd:double"&gt;891.235753&lt;/D&gt;&lt;D xsi:type="xsd:double"&gt;892.597567&lt;/D&gt;&lt;D xsi:type="xsd:double"&gt;910.399246&lt;/D&gt;&lt;D xsi:type="xsd:double"&gt;923.560592&lt;/D&gt;&lt;D xsi:type="xsd:double"&gt;931.138206&lt;/D&gt;&lt;D xsi:type="xsd:double"&gt;939.813806&lt;/D&gt;&lt;D xsi:type="xsd:double"&gt;935.446337&lt;/D&gt;&lt;D xsi:type="xsd:double"&gt;941.683039&lt;/D&gt;&lt;D xsi:type="xsd:double"&gt;941.686575&lt;/D&gt;&lt;D xsi:type="xsd:double"&gt;937.975904&lt;/D&gt;&lt;D xsi:type="xsd:double"&gt;940.82862&lt;/D&gt;&lt;D xsi:type="xsd:double"&gt;943.013103&lt;/D&gt;&lt;D xsi:type="xsd:double"&gt;932.854419&lt;/D&gt;&lt;D xsi:type="xsd:double"&gt;919.784676&lt;/D&gt;&lt;D xsi:type="xsd:double"&gt;904.569689&lt;/D&gt;&lt;D xsi:type="xsd:double"&gt;930.251678&lt;/D&gt;&lt;D xsi:type="xsd:double"&gt;943.439464&lt;/D&gt;&lt;D xsi:type="xsd:double"&gt;971.474571&lt;/D&gt;&lt;D xsi:type="xsd:double"&gt;971.909301&lt;/D&gt;&lt;D xsi:type="xsd:double"&gt;972.254488&lt;/D&gt;&lt;D xsi:type="xsd:double"&gt;959.415775&lt;/D&gt;&lt;D xsi:type="xsd:double"&gt;980.626916&lt;/D&gt;&lt;D xsi:type="xsd:double"&gt;988.184809&lt;/D&gt;&lt;D xsi:type="xsd:double"&gt;993.310097&lt;/D&gt;&lt;D xsi:type="xsd:double"&gt;990.665327&lt;/D&gt;&lt;D xsi:type="xsd:double"&gt;987.299235&lt;/D&gt;&lt;D xsi:type="xsd:double"&gt;974.564759&lt;/D&gt;&lt;D xsi:type="xsd:double"&gt;977.612196&lt;/D&gt;&lt;D xsi:type="xsd:double"&gt;969.402205&lt;/D&gt;&lt;D xsi:type="xsd:double"&gt;965.339591&lt;/D&gt;&lt;D xsi:type="xsd:double"&gt;970.508717&lt;/D&gt;&lt;D xsi:type="xsd:double"&gt;979.455677&lt;/D&gt;&lt;D xsi:type="xsd:double"&gt;976.779962&lt;/D&gt;&lt;D xsi:type="xsd:double"&gt;977.852844&lt;/D&gt;&lt;D xsi:type="xsd:double"&gt;971.090125&lt;/D&gt;&lt;D xsi:type="xsd:double"&gt;977.085669&lt;/D&gt;&lt;D xsi:type="xsd:double"&gt;982.140384&lt;/D&gt;&lt;D xsi:type="xsd:double"&gt;988.054115&lt;/D&gt;&lt;D xsi:type="xsd:double"&gt;995.834735&lt;/D&gt;&lt;D xsi:type="xsd:double"&gt;999.868042&lt;/D&gt;&lt;D xsi:type="xsd:double"&gt;1002.925044&lt;/D&gt;&lt;D xsi:type="xsd:double"&gt;1004.217517&lt;/D&gt;&lt;D xsi:type="xsd:double"&gt;1009.522681&lt;/D&gt;&lt;D xsi:type="xsd:double"&gt;1019.090445&lt;/D&gt;&lt;D xsi:type="xsd:double"&gt;1026.453364&lt;/D&gt;&lt;D xsi:type="xsd:double"&gt;1037.623799&lt;/D&gt;&lt;D xsi:type="xsd:double"&gt;1032.695113&lt;/D&gt;&lt;D xsi:type="xsd:double"&gt;1036.095059&lt;/D&gt;&lt;D xsi:type="xsd:double"&gt;1040.886118&lt;/D&gt;&lt;D xsi:type="xsd:double"&gt;1040.945373&lt;/D&gt;&lt;D xsi:type="xsd:double"&gt;1043.404916&lt;/D&gt;&lt;D xsi:type="xsd:double"&gt;1035.804164&lt;/D&gt;&lt;D xsi:type="xsd:double"&gt;1033.881967&lt;/D&gt;&lt;D xsi:type="xsd:double"&gt;1029.026703&lt;/D&gt;&lt;D xsi:type="xsd:double"&gt;1036.023571&lt;/D&gt;&lt;D xsi:type="xsd:double"&gt;1034.935963&lt;/D&gt;&lt;D xsi:type="xsd:double"&gt;1024.909364&lt;/D&gt;&lt;D xsi:type="xsd:double"&gt;1040.444084&lt;/D&gt;&lt;D xsi:type="xsd:double"&gt;1047.927187&lt;/D&gt;&lt;D xsi:type="xsd:double"&gt;1048.203966&lt;/D&gt;&lt;D xsi:type="xsd:double"&gt;1045.994627&lt;/D&gt;&lt;D xsi:type="xsd:double"&gt;1047.780817&lt;/D&gt;&lt;D xsi:type="xsd:double"&gt;1059.513619&lt;/D&gt;&lt;D xsi:type="xsd:double"&gt;1067.012641&lt;/D&gt;&lt;D xsi:type="xsd:double"&gt;1065.616263&lt;/D&gt;&lt;D xsi:type="xsd:double"&gt;1060.500748&lt;/D&gt;&lt;D xsi:type="xsd:double"&gt;1053.911227&lt;/D&gt;&lt;D xsi:type="xsd:double"&gt;1047.612283&lt;/D&gt;&lt;D xsi:type="xsd:double"&gt;1042.210174&lt;/D&gt;&lt;D xsi:type="xsd:double"&gt;1033.766986&lt;/D&gt;&lt;D xsi:type="xsd:double"&gt;1042.675181&lt;/D&gt;&lt;D xsi:type="xsd:double"&gt;1052.247569&lt;/D&gt;&lt;D xsi:type="xsd:double"&gt;1036.872258&lt;/D&gt;&lt;D xsi:type="xsd:double"&gt;1036.771929&lt;/D&gt;&lt;D xsi:type="xsd:double"&gt;1041.46152&lt;/D&gt;&lt;D xsi:type="xsd:double"&gt;1034.592449&lt;/D&gt;&lt;D xsi:type="xsd:double"&gt;1028.630823&lt;/D&gt;&lt;D xsi:type="xsd:double"&gt;1021.048597&lt;/D&gt;&lt;D xsi:type="xsd:double"&gt;1006.255589&lt;/D&gt;&lt;D xsi:type="xsd:double"&gt;1005.857397&lt;/D&gt;&lt;D xsi:type="xsd:double"&gt;992.85687&lt;/D&gt;&lt;D xsi:type="xsd:double"&gt;982.93244&lt;/D&gt;&lt;D xsi:type="xsd:double"&gt;974.571623&lt;/D&gt;&lt;D xsi:type="xsd:double"&gt;968.914727&lt;/D&gt;&lt;D xsi:type="xsd:double"&gt;958.114403&lt;/D&gt;&lt;D xsi:type="xsd:double"&gt;962.459797&lt;/D&gt;&lt;D xsi:type="xsd:double"&gt;976.153142&lt;/D&gt;&lt;D xsi:type="xsd:double"&gt;978.249723&lt;/D&gt;&lt;D xsi:type="xsd:double"&gt;975.377652&lt;/D&gt;&lt;D xsi:type="xsd:double"&gt;969.530128&lt;/D&gt;&lt;D xsi:type="xsd:double"&gt;964.970692&lt;/D&gt;&lt;D xsi:type="xsd:double"&gt;956.733715&lt;/D&gt;&lt;D xsi:type="xsd:double"&gt;949.055701&lt;/D&gt;&lt;D xsi:type="xsd:double"&gt;940.570412&lt;/D&gt;&lt;D xsi:type="xsd:double"&gt;939.55799&lt;/D&gt;&lt;D xsi:type="xsd:double"&gt;948.516001&lt;/D&gt;&lt;D xsi:type="xsd:double"&gt;943.033982&lt;/D&gt;&lt;D xsi:type="xsd:double"&gt;943.732494&lt;/D&gt;&lt;D xsi:type="xsd:double"&gt;959.223325&lt;/D&gt;&lt;D xsi:type="xsd:double"&gt;971.233127&lt;/D&gt;&lt;D xsi:type="xsd:double"&gt;974.574769&lt;/D&gt;&lt;D xsi:type="xsd:double"&gt;976.268257&lt;/D&gt;&lt;D xsi:type="xsd:double"&gt;986.201799&lt;/D&gt;&lt;D xsi:type="xsd:double"&gt;988.259297&lt;/D&gt;&lt;D xsi:type="xsd:double"&gt;990.275259&lt;/D&gt;&lt;D xsi:type="xsd:double"&gt;993.815553&lt;/D&gt;&lt;D xsi:type="xsd:double"&gt;992.804955&lt;/D&gt;&lt;D xsi:type="xsd:double"&gt;987.894765&lt;/D&gt;&lt;D xsi:type="xsd:double"&gt;983.467017&lt;/D&gt;&lt;D xsi:type="xsd:double"&gt;984.420329&lt;/D&gt;&lt;D xsi:type="xsd:double"&gt;985.074398&lt;/D&gt;&lt;D xsi:type="xsd:double"&gt;985.010036&lt;/D&gt;&lt;D xsi:type="xsd:double"&gt;983.118086&lt;/D&gt;&lt;D xsi:type="xsd:double"&gt;986.64563&lt;/D&gt;&lt;D xsi:type="xsd:double"&gt;971.188074&lt;/D&gt;&lt;D xsi:type="xsd:double"&gt;961.210039&lt;/D&gt;&lt;D xsi:type="xsd:double"&gt;966.828267&lt;/D&gt;&lt;D xsi:type="xsd:double"&gt;972.832269&lt;/D&gt;&lt;D xsi:type="xsd:double"&gt;978.573443&lt;/D&gt;&lt;D xsi:type="xsd:double"&gt;982.209785&lt;/D&gt;&lt;D xsi:type="xsd:double"&gt;980.815656&lt;/D&gt;&lt;D xsi:type="xsd:double"&gt;976.495226&lt;/D&gt;&lt;D xsi:type="xsd:double"&gt;963.801687&lt;/D&gt;&lt;D xsi:type="xsd:double"&gt;961.605254&lt;/D&gt;&lt;D xsi:type="xsd:double"&gt;973.189691&lt;/D&gt;&lt;D xsi:type="xsd:double"&gt;984.650258&lt;/D&gt;&lt;D xsi:type="xsd:double"&gt;989.833335&lt;/D&gt;&lt;D xsi:type="xsd:double"&gt;988.714744&lt;/D&gt;&lt;D xsi:type="xsd:double"&gt;990.894925&lt;/D&gt;&lt;D xsi:type="xsd:double"&gt;983.531237&lt;/D&gt;&lt;D xsi:type="xsd:double"&gt;976.065156&lt;/D&gt;&lt;D xsi:type="xsd:double"&gt;957.276786&lt;/D&gt;&lt;D xsi:type="xsd:double"&gt;957.456722&lt;/D&gt;&lt;D xsi:type="xsd:double"&gt;959.973319&lt;/D&gt;&lt;D xsi:type="xsd:double"&gt;955.727553&lt;/D&gt;&lt;D xsi:type="xsd:double"&gt;959.892467&lt;/D&gt;&lt;D xsi:type="xsd:double"&gt;955.526996&lt;/D&gt;&lt;D xsi:type="xsd:double"&gt;961.371988&lt;/D&gt;&lt;D xsi:type="xsd:double"&gt;958.834769&lt;/D&gt;&lt;D xsi:type="xsd:double"&gt;941.178828&lt;/D&gt;&lt;D xsi:type="xsd:double"&gt;934.734832&lt;/D&gt;&lt;D xsi:type="xsd:double"&gt;940.692325&lt;/D&gt;&lt;D xsi:type="xsd:double"&gt;953.720978&lt;/D&gt;&lt;D xsi:type="xsd:double"&gt;956.307803&lt;/D&gt;&lt;D xsi:type="xsd:double"&gt;954.582449&lt;/D&gt;&lt;D xsi:type="xsd:double"&gt;958.696258&lt;/D&gt;&lt;D xsi:type="xsd:double"&gt;952.530534&lt;/D&gt;&lt;D xsi:type="xsd:double"&gt;951.194225&lt;/D&gt;&lt;D xsi:type="xsd:double"&gt;951.952188&lt;/D&gt;&lt;D xsi:type="xsd:double"&gt;957.567575&lt;/D&gt;&lt;D xsi:type="xsd:double"&gt;944.600183&lt;/D&gt;&lt;D xsi:type="xsd:double"&gt;935.118647&lt;/D&gt;&lt;D xsi:type="xsd:double"&gt;918.152659&lt;/D&gt;&lt;D xsi:type="xsd:double"&gt;909.976621&lt;/D&gt;&lt;D xsi:type="xsd:double"&gt;924.055343&lt;/D&gt;&lt;D xsi:type="xsd:double"&gt;938.411922&lt;/D&gt;&lt;D xsi:type="xsd:double"&gt;946.040469&lt;/D&gt;&lt;D xsi:type="xsd:double"&gt;958.672218&lt;/D&gt;&lt;D xsi:type="xsd:double"&gt;965.41326&lt;/D&gt;&lt;D xsi:type="xsd:double"&gt;976.838024&lt;/D&gt;&lt;D xsi:type="xsd:double"&gt;985.679432&lt;/D&gt;&lt;D xsi:type="xsd:double"&gt;986.913618&lt;/D&gt;&lt;D xsi:type="xsd:double"&gt;985.894804&lt;/D&gt;&lt;D xsi:type="xsd:double"&gt;984.491494&lt;/D&gt;&lt;D xsi:type="xsd:double"&gt;985.079368&lt;/D&gt;&lt;D xsi:type="xsd:double"&gt;1004.715233&lt;/D&gt;&lt;D xsi:type="xsd:double"&gt;1011.971235&lt;/D&gt;&lt;D xsi:type="xsd:double"&gt;1009.095007&lt;/D&gt;&lt;D xsi:type="xsd:double"&gt;1011.230589&lt;/D&gt;&lt;D xsi:type="xsd:double"&gt;1004.349069&lt;/D&gt;&lt;D xsi:type="xsd:double"&gt;990.09717&lt;/D&gt;&lt;D xsi:type="xsd:double"&gt;989.91164&lt;/D&gt;&lt;D xsi:type="xsd:double"&gt;988.662974&lt;/D&gt;&lt;D xsi:type="xsd:double"&gt;985.882117&lt;/D&gt;&lt;D xsi:type="xsd:double"&gt;990.806529&lt;/D&gt;&lt;D xsi:type="xsd:double"&gt;992.722023&lt;/D&gt;&lt;D xsi:type="xsd:double"&gt;996.061846&lt;/D&gt;&lt;D xsi:type="xsd:double"&gt;993.692099&lt;/D&gt;&lt;D xsi:type="xsd:double"&gt;997.65648&lt;/D&gt;&lt;D xsi:type="xsd:double"&gt;987.646592&lt;/D&gt;&lt;D xsi:type="xsd:double"&gt;991.324583&lt;/D&gt;&lt;D xsi:type="xsd:double"&gt;998.438555&lt;/D&gt;&lt;D xsi:type="xsd:double"&gt;1007.106269&lt;/D&gt;&lt;D xsi:type="xsd:double"&gt;1010.365462&lt;/D&gt;&lt;D xsi:type="xsd:double"&gt;1016.071532&lt;/D&gt;&lt;D xsi:type="xsd:double"&gt;1007.54246&lt;/D&gt;&lt;D xsi:type="xsd:double"&gt;1004.877642&lt;/D&gt;&lt;D xsi:type="xsd:double"&gt;992.53607&lt;/D&gt;&lt;D xsi:type="xsd:double"&gt;977.795107&lt;/D&gt;&lt;D xsi:type="xsd:double"&gt;984.378232&lt;/D&gt;&lt;D xsi:type="xsd:double"&gt;981.7533&lt;/D&gt;&lt;D xsi:type="xsd:double"&gt;987.091089&lt;/D&gt;&lt;D xsi:type="xsd:double"&gt;981.783957&lt;/D&gt;&lt;D xsi:type="xsd:double"&gt;981.496252&lt;/D&gt;&lt;D xsi:type="xsd:double"&gt;976.759227&lt;/D&gt;&lt;D xsi:type="xsd:double"&gt;970.645517&lt;/D&gt;&lt;D xsi:type="xsd:double"&gt;982.596833&lt;/D&gt;&lt;D xsi:type="xsd:double"&gt;992.076036&lt;/D&gt;&lt;D xsi:type="xsd:double"&gt;991.491801&lt;/D&gt;&lt;D xsi:type="xsd:double"&gt;989.869054&lt;/D&gt;&lt;D xsi:type="xsd:double"&gt;1008.332278&lt;/D&gt;&lt;D xsi:type="xsd:double"&gt;998.758838&lt;/D&gt;&lt;D xsi:type="xsd:double"&gt;1010.85574&lt;/D&gt;&lt;D xsi:type="xsd:double"&gt;1010.317674&lt;/D&gt;&lt;D xsi:type="xsd:double"&gt;997.269867&lt;/D&gt;&lt;D xsi:type="xsd:double"&gt;992.529292&lt;/D&gt;&lt;D xsi:type="xsd:double"&gt;996.855612&lt;/D&gt;&lt;D xsi:type="xsd:double"&gt;1005.325643&lt;/D&gt;&lt;D xsi:type="xsd:double"&gt;1009.431962&lt;/D&gt;&lt;D xsi:type="xsd:double"&gt;1023.905646&lt;/D&gt;&lt;D xsi:type="xsd:double"&gt;1025.632487&lt;/D&gt;&lt;D xsi:type="xsd:double"&gt;1035.314817&lt;/D&gt;&lt;D xsi:type="xsd:double"&gt;1032.794672&lt;/D&gt;&lt;D xsi:type="xsd:double"&gt;1040.287016&lt;/D&gt;&lt;D xsi:type="xsd:double"&gt;1053.920705&lt;/D&gt;&lt;D xsi:type="xsd:double"&gt;1056.371825&lt;/D&gt;&lt;D xsi:type="xsd:double"&gt;1062.386253&lt;/D&gt;&lt;D xsi:type="xsd:double"&gt;1054.068517&lt;/D&gt;&lt;D xsi:type="xsd:double"&gt;1055.780826&lt;/D&gt;&lt;D xsi:type="xsd:double"&gt;1061.533579&lt;/D&gt;&lt;D xsi:type="xsd:double"&gt;1069.431007&lt;/D&gt;&lt;D xsi:type="xsd:double"&gt;1075.216905&lt;/D&gt;&lt;D xsi:type="xsd:double"&gt;1087.536214&lt;/D&gt;&lt;D xsi:type="xsd:double"&gt;1094.987489&lt;/D&gt;&lt;D xsi:type="xsd:double"&gt;1096.826171&lt;/D&gt;&lt;D xsi:type="xsd:double"&gt;1100.233433&lt;/D&gt;&lt;D xsi:type="xsd:double"&gt;1100.981574&lt;/D&gt;&lt;D xsi:type="xsd:double"&gt;1086.731682&lt;/D&gt;&lt;D xsi:type="xsd:double"&gt;1087.88001&lt;/D&gt;&lt;D xsi:type="xsd:double"&gt;1086.977609&lt;/D&gt;&lt;D xsi:type="xsd:double"&gt;1093.744455&lt;/D&gt;&lt;D xsi:type="xsd:double"&gt;1087.773828&lt;/D&gt;&lt;D xsi:type="xsd:double"&gt;1085.293009&lt;/D&gt;&lt;D xsi:type="xsd:double"&gt;1083.072171&lt;/D&gt;&lt;D xsi:type="xsd:double"&gt;1081.92768&lt;/D&gt;&lt;D xsi:type="xsd:double"&gt;1085.083971&lt;/D&gt;&lt;D xsi:type="xsd:double"&gt;1084.454239&lt;/D&gt;&lt;D xsi:type="xsd:double"&gt;1077.06725&lt;/D&gt;&lt;D xsi:type="xsd:double"&gt;1074.514348&lt;/D&gt;&lt;D xsi:type="xsd:double"&gt;1072.371723&lt;/D&gt;&lt;D xsi:type="xsd:double"&gt;1070.871423&lt;/D&gt;&lt;D xsi:type="xsd:double"&gt;1064.419374&lt;/D&gt;&lt;D xsi:type="xsd:double"&gt;1061.41443&lt;/D&gt;&lt;D xsi:type="xsd:double"&gt;1045.514085&lt;/D&gt;&lt;D xsi:type="xsd:double"&gt;1051.220525&lt;/D&gt;&lt;D xsi:type="xsd:double"&gt;1056.7694&lt;/D&gt;&lt;D xsi:type="xsd:double"&gt;1063.11484&lt;/D&gt;&lt;D xsi:type="xsd:double"&gt;1069.301703&lt;/D&gt;&lt;D xsi:type="xsd:double"&gt;1060.127698&lt;/D&gt;&lt;D xsi:type="xsd:double"&gt;1065.774528&lt;/D&gt;&lt;D xsi:type="xsd:double"&gt;1078.75108&lt;/D&gt;&lt;D xsi:type="xsd:double"&gt;1080.537321&lt;/D&gt;&lt;D xsi:type="xsd:double"&gt;1079.244039&lt;/D&gt;&lt;D xsi:type="xsd:double"&gt;1078.694934&lt;/D&gt;&lt;D xsi:type="xsd:double"&gt;1080.849867&lt;/D&gt;&lt;D xsi:type="xsd:double"&gt;1077.70077&lt;/D&gt;&lt;D xsi:type="xsd:double"&gt;1074.482041&lt;/D&gt;&lt;D xsi:type="xsd:double"&gt;1063.259396&lt;/D&gt;&lt;D xsi:type="xsd:double"&gt;1063.262228&lt;/D&gt;&lt;D xsi:type="xsd:double"&gt;1062.590896&lt;/D&gt;&lt;D xsi:type="xsd:double"&gt;1066.830774&lt;/D&gt;&lt;D xsi:type="xsd:double"&gt;1066.346058&lt;/D&gt;&lt;D xsi:type="xsd:double"&gt;1063.659857&lt;/D&gt;&lt;D xsi:type="xsd:double"&gt;1058.673362&lt;/D&gt;&lt;D xsi:type="xsd:double"&gt;1062.372008&lt;/D&gt;&lt;D xsi:type="xsd:double"&gt;1060.934653&lt;/D&gt;&lt;D xsi:type="xsd:double"&gt;1064.726237&lt;/D&gt;&lt;D xsi:type="xsd:double"&gt;1064.332235&lt;/D&gt;&lt;D xsi:type="xsd:double"&gt;1062.177785&lt;/D&gt;&lt;D xsi:type="xsd:double"&gt;1060.574233&lt;/D&gt;&lt;D xsi:type="xsd:double"&gt;1051.38632&lt;/D&gt;&lt;D xsi:type="xsd:double"&gt;1050.777839&lt;/D&gt;&lt;D xsi:type="xsd:double"&gt;1046.183929&lt;/D&gt;&lt;D xsi:type="xsd:double"&gt;1046.813771&lt;/D&gt;&lt;D xsi:type="xsd:double"&gt;1041.775528&lt;/D&gt;&lt;D xsi:type="xsd:double"&gt;1048.141521&lt;/D&gt;&lt;D xsi:type="xsd:double"&gt;1042.333158&lt;/D&gt;&lt;D xsi:type="xsd:double"&gt;1043.864882&lt;/D&gt;&lt;D xsi:type="xsd:double"&gt;1049.935545&lt;/D&gt;&lt;D xsi:type="xsd:double"&gt;1044.567189&lt;/D&gt;&lt;D xsi:type="xsd:double"&gt;1043.532998&lt;/D&gt;&lt;D xsi:type="xsd:double"&gt;1046.279506&lt;/D&gt;&lt;D xsi:type="xsd:double"&gt;1049.138832&lt;/D&gt;&lt;D xsi:type="xsd:double"&gt;1054.741666&lt;/D&gt;&lt;D xsi:type="xsd:double"&gt;1056.037257&lt;/D&gt;&lt;D xsi:type="xsd:double"&gt;1057.593666&lt;/D&gt;&lt;D xsi:type="xsd:double"&gt;1048.964142&lt;/D&gt;&lt;D xsi:type="xsd:double"&gt;1044.934875&lt;/D&gt;&lt;D xsi:type="xsd:double"&gt;1034.982615&lt;/D&gt;&lt;D xsi:type="xsd:double"&gt;1031.18796&lt;/D&gt;&lt;D xsi:type="xsd:double"&gt;1035.948951&lt;/D&gt;&lt;D xsi:type="xsd:double"&gt;1029.499931&lt;/D&gt;&lt;D xsi:type="xsd:double"&gt;1027.692992&lt;/D&gt;&lt;D xsi:type="xsd:double"&gt;1038.63955&lt;/D&gt;&lt;D xsi:type="xsd:double"&gt;1038.233446&lt;/D&gt;&lt;D xsi:type="xsd:double"&gt;1032.881746&lt;/D&gt;&lt;D xsi:type="xsd:double"&gt;1042.924846&lt;/D&gt;&lt;D xsi:type="xsd:double"&gt;1041.193886&lt;/D&gt;&lt;D xsi:type="xsd:double"&gt;1031.65903&lt;/D&gt;&lt;D xsi:type="xsd:double"&gt;1029.906304&lt;/D&gt;&lt;D xsi:type="xsd:double"&gt;1035.427488&lt;/D&gt;&lt;D xsi:type="xsd:double"&gt;1031.954297&lt;/D&gt;&lt;D xsi:type="xsd:double"&gt;1029.10496&lt;/D&gt;&lt;D xsi:type="xsd:double"&gt;1032.236085&lt;/D&gt;&lt;D xsi:type="xsd:double"&gt;1022.440079&lt;/D&gt;&lt;D xsi:type="xsd:double"&gt;1015.805288&lt;/D&gt;&lt;D xsi:type="xsd:double"&gt;1006.954818&lt;/D&gt;&lt;D xsi:type="xsd:double"&gt;1008.853126&lt;/D&gt;&lt;D xsi:type="xsd:double"&gt;1004.49571&lt;/D&gt;&lt;D xsi:type="xsd:double"&gt;1003.933026&lt;/D&gt;&lt;D xsi:type="xsd:double"&gt;1001.005656&lt;/D&gt;&lt;D xsi:type="xsd:double"&gt;1003.392262&lt;/D&gt;&lt;D xsi:type="xsd:double"&gt;996.006053&lt;/D&gt;&lt;D xsi:type="xsd:double"&gt;995.282946&lt;/D&gt;&lt;D xsi:type="xsd:double"&gt;999.928164&lt;/D&gt;&lt;D xsi:type="xsd:double"&gt;993.124693&lt;/D&gt;&lt;D xsi:type="xsd:double"&gt;993.346426&lt;/D&gt;&lt;D xsi:type="xsd:double"&gt;1004.457812&lt;/D&gt;&lt;D xsi:type="xsd:double"&gt;1003.790225&lt;/D&gt;&lt;D xsi:type="xsd:double"&gt;1008.716329&lt;/D&gt;&lt;D xsi:type="xsd:double"&gt;1010.764702&lt;/D&gt;&lt;D xsi:type="xsd:double"&gt;1009.217892&lt;/D&gt;&lt;D xsi:type="xsd:double"&gt;1002.495966&lt;/D&gt;&lt;D xsi:type="xsd:double"&gt;999.898189&lt;/D&gt;&lt;D xsi:type="xsd:double"&gt;1011.725725&lt;/D&gt;&lt;D xsi:type="xsd:double"&gt;1015.444632&lt;/D&gt;&lt;D xsi:type="xsd:double"&gt;1021.738235&lt;/D&gt;&lt;D xsi:type="xsd:double"&gt;1014.831603&lt;/D&gt;&lt;D xsi:type="xsd:double"&gt;1011.48616&lt;/D&gt;&lt;D xsi:type="xsd:double"&gt;1004.152647&lt;/D&gt;&lt;D xsi:type="xsd:double"&gt;1002.0443&lt;/D&gt;&lt;D xsi:type="xsd:double"&gt;1000.169109&lt;/D&gt;&lt;D xsi:type="xsd:double"&gt;1004.968016&lt;/D&gt;&lt;D xsi:type="xsd:double"&gt;1000.788438&lt;/D&gt;&lt;D xsi:type="xsd:double"&gt;994.652683&lt;/D&gt;&lt;D xsi:type="xsd:double"&gt;984.905854&lt;/D&gt;&lt;D xsi:type="xsd:double"&gt;975.285796&lt;/D&gt;&lt;D xsi:type="xsd:double"&gt;968.22907&lt;/D&gt;&lt;D xsi:type="xsd:double"&gt;958.485237&lt;/D&gt;&lt;D xsi:type="xsd:double"&gt;953.902572&lt;/D&gt;&lt;D xsi:type="xsd:double"&gt;944.962202&lt;/D&gt;&lt;D xsi:type="xsd:double"&gt;940.699644&lt;/D&gt;&lt;D xsi:type="xsd:double"&gt;950.594005&lt;/D&gt;&lt;D xsi:type="xsd:double"&gt;952.476657&lt;/D&gt;&lt;D xsi:type="xsd:double"&gt;943.221802&lt;/D&gt;&lt;D xsi:type="xsd:double"&gt;937.694522&lt;/D&gt;&lt;D xsi:type="xsd:double"&gt;943.190532&lt;/D&gt;&lt;D xsi:type="xsd:double"&gt;944.631278&lt;/D&gt;&lt;D xsi:type="xsd:double"&gt;955.885402&lt;/D&gt;&lt;D xsi:type="xsd:double"&gt;955.024701&lt;/D&gt;&lt;D xsi:type="xsd:double"&gt;966.720519&lt;/D&gt;&lt;D xsi:type="xsd:double"&gt;970.266612&lt;/D&gt;&lt;D xsi:type="xsd:double"&gt;959.184403&lt;/D&gt;&lt;D xsi:type="xsd:double"&gt;956.191842&lt;/D&gt;&lt;D xsi:type="xsd:double"&gt;950.684186&lt;/D&gt;&lt;D xsi:type="xsd:double"&gt;966.42077&lt;/D&gt;&lt;D xsi:type="xsd:double"&gt;963.227322&lt;/D&gt;&lt;D xsi:type="xsd:double"&gt;956.264408&lt;/D&gt;&lt;D xsi:type="xsd:double"&gt;955.544085&lt;/D&gt;&lt;D xsi:type="xsd:double"&gt;958.422142&lt;/D&gt;&lt;D xsi:type="xsd:double"&gt;959.255469&lt;/D&gt;&lt;D xsi:type="xsd:double"&gt;950.61742&lt;/D&gt;&lt;D xsi:type="xsd:double"&gt;959.088031&lt;/D&gt;&lt;D xsi:type="xsd:double"&gt;958.871084&lt;/D&gt;&lt;D xsi:type="xsd:double"&gt;957.309735&lt;/D&gt;&lt;D xsi:type="xsd:double"&gt;945.834322&lt;/D&gt;&lt;D xsi:type="xsd:double"&gt;953.296182&lt;/D&gt;&lt;D xsi:type="xsd:double"&gt;944.750658&lt;/D&gt;&lt;D xsi:type="xsd:double"&gt;935.502079&lt;/D&gt;&lt;D xsi:type="xsd:double"&gt;937.297876&lt;/D&gt;&lt;D xsi:type="xsd:double"&gt;929.80473&lt;/D&gt;&lt;D xsi:type="xsd:double"&gt;916.562175&lt;/D&gt;&lt;D xsi:type="xsd:double"&gt;917.735173&lt;/D&gt;&lt;D xsi:type="xsd:double"&gt;926.740364&lt;/D&gt;&lt;D xsi:type="xsd:double"&gt;936.526604&lt;/D&gt;&lt;D xsi:type="xsd:double"&gt;936.373087&lt;/D&gt;&lt;D xsi:type="xsd:double"&gt;936.667205&lt;/D&gt;&lt;D xsi:type="xsd:double"&gt;934.091707&lt;/D&gt;&lt;D xsi:type="xsd:double"&gt;931.639169&lt;/D&gt;&lt;D xsi:type="xsd:double"&gt;949.831297&lt;/D&gt;&lt;D xsi:type="xsd:double"&gt;963.91056&lt;/D&gt;&lt;D xsi:type="xsd:double"&gt;976.401811&lt;/D&gt;&lt;D xsi:type="xsd:double"&gt;970.679316&lt;/D&gt;&lt;D xsi:type="xsd:double"&gt;972.195414&lt;/D&gt;&lt;D xsi:type="xsd:double"&gt;974.574989&lt;/D&gt;&lt;D xsi:type="xsd:double"&gt;977.800064&lt;/D&gt;&lt;D xsi:type="xsd:double"&gt;975.282496&lt;/D&gt;&lt;D xsi:type="xsd:double"&gt;977.424503&lt;/D&gt;&lt;D xsi:type="xsd:double"&gt;970.14965&lt;/D&gt;&lt;D xsi:type="xsd:double"&gt;963.110843&lt;/D&gt;&lt;D xsi:type="xsd:double"&gt;973.173172&lt;/D&gt;&lt;D xsi:type="xsd:double"&gt;971.483356&lt;/D&gt;&lt;D xsi:type="xsd:double"&gt;972.419974&lt;/D&gt;&lt;D xsi:type="xsd:double"&gt;979.487022&lt;/D&gt;&lt;D xsi:type="xsd:double"&gt;990.788119&lt;/D&gt;&lt;D xsi:type="xsd:double"&gt;1002.69277&lt;/D&gt;&lt;D xsi:type="xsd:double"&gt;1001.900777&lt;/D&gt;&lt;D xsi:type="xsd:double"&gt;997.562779&lt;/D&gt;&lt;D xsi:type="xsd:double"&gt;993.18223&lt;/D&gt;&lt;D xsi:type="xsd:double"&gt;995.352673&lt;/D&gt;&lt;D xsi:type="xsd:double"&gt;992.685526&lt;/D&gt;&lt;D xsi:type="xsd:double"&gt;988.2564&lt;/D&gt;&lt;D xsi:type="xsd:double"&gt;990.646414&lt;/D&gt;&lt;D xsi:type="xsd:double"&gt;992.70441&lt;/D&gt;&lt;D xsi:type="xsd:double"&gt;990.49334&lt;/D&gt;&lt;D xsi:type="xsd:double"&gt;990.404107&lt;/D&gt;&lt;D xsi:type="xsd:double"&gt;990.483858&lt;/D&gt;&lt;D xsi:type="xsd:double"&gt;991.523686&lt;/D&gt;&lt;D xsi:type="xsd:double"&gt;1002.54669&lt;/D&gt;&lt;D xsi:type="xsd:double"&gt;1012.318296&lt;/D&gt;&lt;D xsi:type="xsd:double"&gt;1012.760539&lt;/D&gt;&lt;D xsi:type="xsd:double"&gt;1002.1956&lt;/D&gt;&lt;D xsi:type="xsd:double"&gt;998.453603&lt;/D&gt;&lt;D xsi:type="xsd:double"&gt;995.746948&lt;/D&gt;&lt;D xsi:type="xsd:double"&gt;1002.714952&lt;/D&gt;&lt;D xsi:type="xsd:double"&gt;1013.443106&lt;/D&gt;&lt;D xsi:type="xsd:double"&gt;1018.283733&lt;/D&gt;&lt;D xsi:type="xsd:double"&gt;1008.806339&lt;/D&gt;&lt;D xsi:type="xsd:double"&gt;1005.403675&lt;/D&gt;&lt;D xsi:type="xsd:double"&gt;1010.629531&lt;/D&gt;&lt;D xsi:type="xsd:double"&gt;1009.169455&lt;/D&gt;&lt;D xsi:type="xsd:double"&gt;1004.241446&lt;/D&gt;&lt;D xsi:type="xsd:double"&gt;1019.568319&lt;/D&gt;&lt;D xsi:type="xsd:double"&gt;1024.533852&lt;/D&gt;&lt;D xsi:type="xsd:double"&gt;1025.300087&lt;/D&gt;&lt;D xsi:type="xsd:double"&gt;1005.172181&lt;/D&gt;&lt;D xsi:type="xsd:double"&gt;991.773412&lt;/D&gt;&lt;D xsi:type="xsd:double"&gt;979.87921&lt;/D&gt;&lt;D xsi:type="xsd:double"&gt;991.452125&lt;/D&gt;&lt;D xsi:type="xsd:double"&gt;992.985577&lt;/D&gt;&lt;D xsi:type="xsd:double"&gt;995.302529&lt;/D&gt;&lt;D xsi:type="xsd:double"&gt;1010.189427&lt;/D&gt;&lt;D xsi:type="xsd:double"&gt;1016.185648&lt;/D&gt;&lt;D xsi:type="xsd:double"&gt;1016.296456&lt;/D&gt;&lt;D xsi:type="xsd:double"&gt;1027.062737&lt;/D&gt;&lt;D xsi:type="xsd:double"&gt;1027.868969&lt;/D&gt;&lt;D xsi:type="xsd:double"&gt;1034.420003&lt;/D&gt;&lt;D xsi:type="xsd:double"&gt;1042.751119&lt;/D&gt;&lt;D xsi:type="xsd:double"&gt;1036.763007&lt;/D&gt;&lt;D xsi:type="xsd:double"&gt;1034.375797&lt;/D&gt;&lt;D xsi:type="xsd:double"&gt;1027.267657&lt;/D&gt;&lt;D xsi:type="xsd:double"&gt;1030.8154&lt;/D&gt;&lt;D xsi:type="xsd:double"&gt;1033.472214&lt;/D&gt;&lt;D xsi:type="xsd:double"&gt;1044.660156&lt;/D&gt;&lt;D xsi:type="xsd:double"&gt;1042.659803&lt;/D&gt;&lt;D xsi:type="xsd:double"&gt;1042.056656&lt;/D&gt;&lt;D xsi:type="xsd:double"&gt;1033.970909&lt;/D&gt;&lt;D xsi:type="xsd:double"&gt;1031.272291&lt;/D&gt;&lt;D xsi:type="xsd:double"&gt;1029.854181&lt;/D&gt;&lt;D xsi:type="xsd:double"&gt;1022.654448&lt;/D&gt;&lt;D xsi:type="xsd:double"&gt;1023.209183&lt;/D&gt;&lt;D xsi:type="xsd:double"&gt;1014.054014&lt;/D&gt;&lt;D xsi:type="xsd:double"&gt;1005.690385&lt;/D&gt;&lt;D xsi:type="xsd:double"&gt;1008.885355&lt;/D&gt;&lt;D xsi:type="xsd:double"&gt;1004.660586&lt;/D&gt;&lt;D xsi:type="xsd:double"&gt;1007.920072&lt;/D&gt;&lt;D xsi:type="xsd:double"&gt;1005.251008&lt;/D&gt;&lt;D xsi:type="xsd:double"&gt;997.851916&lt;/D&gt;&lt;D xsi:type="xsd:double"&gt;996.343973&lt;/D&gt;&lt;D xsi:type="xsd:double"&gt;987.458423&lt;/D&gt;&lt;D xsi:type="xsd:double"&gt;999.880967&lt;/D&gt;&lt;D xsi:type="xsd:double"&gt;1003.003215&lt;/D&gt;&lt;D xsi:type="xsd:double"&gt;1007.547553&lt;/D&gt;&lt;D xsi:type="xsd:double"&gt;1010.557268&lt;/D&gt;&lt;D xsi:type="xsd:double"&gt;1016.296173&lt;/D&gt;&lt;D xsi:type="xsd:double"&gt;1013.165008&lt;/D&gt;&lt;D xsi:type="xsd:double"&gt;1022.538258&lt;/D&gt;&lt;D xsi:type="xsd:double"&gt;1000.985159&lt;/D&gt;&lt;D xsi:type="xsd:double"&gt;1002.441922&lt;/D&gt;&lt;D xsi:type="xsd:double"&gt;1001.76125&lt;/D&gt;&lt;D xsi:type="xsd:double"&gt;986.84344&lt;/D&gt;&lt;D xsi:type="xsd:double"&gt;990.411255&lt;/D&gt;&lt;D xsi:type="xsd:double"&gt;991.940351&lt;/D&gt;&lt;D xsi:type="xsd:double"&gt;991.362636&lt;/D&gt;&lt;D xsi:type="xsd:double"&gt;973.790438&lt;/D&gt;&lt;D xsi:type="xsd:double"&gt;955.728665&lt;/D&gt;&lt;D xsi:type="xsd:double"&gt;947.673675&lt;/D&gt;&lt;D xsi:type="xsd:double"&gt;937.7867&lt;/D&gt;&lt;D xsi:type="xsd:double"&gt;933.937166&lt;/D&gt;&lt;D xsi:type="xsd:double"&gt;929.536364&lt;/D&gt;&lt;D xsi:type="xsd:double"&gt;920.837598&lt;/D&gt;&lt;D xsi:type="xsd:double"&gt;909.814418&lt;/D&gt;&lt;D xsi:type="xsd:double"&gt;915.44386&lt;/D&gt;&lt;D xsi:type="xsd:double"&gt;932.779654&lt;/D&gt;&lt;D xsi:type="xsd:double"&gt;932.758892&lt;/D&gt;&lt;D xsi:type="xsd:double"&gt;922.279114&lt;/D&gt;&lt;D xsi:type="xsd:double"&gt;924.189428&lt;/D&gt;&lt;D xsi:type="xsd:double"&gt;932.147287&lt;/D&gt;&lt;D xsi:type="xsd:double"&gt;944.884707&lt;/D&gt;&lt;D xsi:type="xsd:double"&gt;958.108195&lt;/D&gt;&lt;D xsi:type="xsd:double"&gt;960.48306&lt;/D&gt;&lt;D xsi:type="xsd:double"&gt;967.915832&lt;/D&gt;&lt;D xsi:type="xsd:double"&gt;965.943373&lt;/D&gt;&lt;D xsi:type="xsd:double"&gt;957.819153&lt;/D&gt;&lt;D xsi:type="xsd:double"&gt;951.365744&lt;/D&gt;&lt;D xsi:type="xsd:double"&gt;946.39469&lt;/D&gt;&lt;D xsi:type="xsd:double"&gt;937.864256&lt;/D&gt;&lt;D xsi:type="xsd:double"&gt;946.30269&lt;/D&gt;&lt;D xsi:type="xsd:double"&gt;956.397275&lt;/D&gt;&lt;D xsi:type="xsd:double"&gt;955.352675&lt;/D&gt;&lt;D xsi:type="xsd:double"&gt;954.149273&lt;/D&gt;&lt;D xsi:type="xsd:double"&gt;947.553421&lt;/D&gt;&lt;D xsi:type="xsd:double"&gt;953.649237&lt;/D&gt;&lt;D xsi:type="xsd:double"&gt;953.858657&lt;/D&gt;&lt;D xsi:type="xsd:double"&gt;961.529669&lt;/D&gt;&lt;D xsi:type="xsd:double"&gt;962.358048&lt;/D&gt;&lt;D xsi:type="xsd:double"&gt;966.497075&lt;/D&gt;&lt;D xsi:type="xsd:double"&gt;969.038945&lt;/D&gt;&lt;D xsi:type="xsd:double"&gt;954.004877&lt;/D&gt;&lt;D xsi:type="xsd:double"&gt;950.467081&lt;/D&gt;&lt;D xsi:type="xsd:double"&gt;957.436667&lt;/D&gt;&lt;D xsi:type="xsd:double"&gt;959.366774&lt;/D&gt;&lt;D xsi:type="xsd:double"&gt;953.021756&lt;/D&gt;&lt;D xsi:type="xsd:double"&gt;952.231396&lt;/D&gt;&lt;D xsi:type="xsd:double"&gt;945.35599&lt;/D&gt;&lt;D xsi:type="xsd:double"&gt;942.876806&lt;/D&gt;&lt;D xsi:type="xsd:double"&gt;915.631369&lt;/D&gt;&lt;D xsi:type="xsd:double"&gt;912.711195&lt;/D&gt;&lt;D xsi:type="xsd:double"&gt;905.962134&lt;/D&gt;&lt;D xsi:type="xsd:double"&gt;917.579966&lt;/D&gt;&lt;D xsi:type="xsd:double"&gt;912.180849&lt;/D&gt;&lt;D xsi:type="xsd:double"&gt;932.122757&lt;/D&gt;&lt;D xsi:type="xsd:double"&gt;941.92591&lt;/D&gt;&lt;D xsi:type="xsd:double"&gt;940.329502&lt;/D&gt;&lt;D xsi:type="xsd:double"&gt;919.460268&lt;/D&gt;&lt;D xsi:type="xsd:double"&gt;901.980605&lt;/D&gt;&lt;D xsi:type="xsd:double"&gt;885.850348&lt;/D&gt;&lt;D xsi:type="xsd:double"&gt;883.338472&lt;/D&gt;&lt;D xsi:type="xsd:double"&gt;900.542403&lt;/D&gt;&lt;D xsi:type="xsd:double"&gt;908.492725&lt;/D&gt;&lt;D xsi:type="xsd:double"&gt;946.76837&lt;/D&gt;&lt;D xsi:type="xsd:double"&gt;953.538413&lt;/D&gt;&lt;D xsi:type="xsd:double"&gt;957.117638&lt;/D&gt;&lt;D xsi:type="xsd:double"&gt;953.683016&lt;/D&gt;&lt;D xsi:type="xsd:double"&gt;943.588661&lt;/D&gt;&lt;D xsi:type="xsd:double"&gt;954.37625&lt;/D&gt;&lt;D xsi:type="xsd:double"&gt;954.375571&lt;/D&gt;&lt;D xsi:type="xsd:double"&gt;972.892745&lt;/D&gt;&lt;D xsi:type="xsd:double"&gt;980.636986&lt;/D&gt;&lt;D xsi:type="xsd:double"&gt;985.051439&lt;/D&gt;&lt;D xsi:type="xsd:double"&gt;991.378495&lt;/D&gt;&lt;D xsi:type="xsd:double"&gt;1004.0268&lt;/D&gt;&lt;D xsi:type="xsd:double"&gt;998.54882&lt;/D&gt;&lt;D xsi:type="xsd:double"&gt;1008.878469&lt;/D&gt;&lt;D xsi:type="xsd:double"&gt;1016.024492&lt;/D&gt;&lt;D xsi:type="xsd:double"&gt;1020.415012&lt;/D&gt;&lt;D xsi:type="xsd:double"&gt;1030.82145&lt;/D&gt;&lt;D xsi:type="xsd:double"&gt;1026.675459&lt;/D&gt;&lt;D xsi:type="xsd:double"&gt;1025.916922&lt;/D&gt;&lt;D xsi:type="xsd:double"&gt;1048.094834&lt;/D&gt;&lt;D xsi:type="xsd:double"&gt;1048.125044&lt;/D&gt;&lt;D xsi:type="xsd:double"&gt;1048.154572&lt;/D&gt;&lt;D xsi:type="xsd:double"&gt;1045.764696&lt;/D&gt;&lt;D xsi:type="xsd:double"&gt;1046.331841&lt;/D&gt;&lt;D xsi:type="xsd:double"&gt;1046.096749&lt;/D&gt;&lt;D xsi:type="xsd:double"&gt;1046.177486&lt;/D&gt;&lt;D xsi:type="xsd:double"&gt;1041.904652&lt;/D&gt;&lt;D xsi:type="xsd:double"&gt;1050.742536&lt;/D&gt;&lt;D xsi:type="xsd:double"&gt;1060.578618&lt;/D&gt;&lt;D xsi:type="xsd:double"&gt;1061.092517&lt;/D&gt;&lt;D xsi:type="xsd:double"&gt;1052.483343&lt;/D&gt;&lt;D xsi:type="xsd:double"&gt;1046.024358&lt;/D&gt;&lt;D xsi:type="xsd:double"&gt;1042.260985&lt;/D&gt;&lt;D xsi:type="xsd:double"&gt;1037.330644&lt;/D&gt;&lt;D xsi:type="xsd:double"&gt;1038.122092&lt;/D&gt;&lt;D xsi:type="xsd:double"&gt;1039.452122&lt;/D&gt;&lt;D xsi:type="xsd:double"&gt;1027.418371&lt;/D&gt;&lt;D xsi:type="xsd:double"&gt;1022.361643&lt;/D&gt;&lt;D xsi:type="xsd:double"&gt;1027.300583&lt;/D&gt;&lt;D xsi:type="xsd:double"&gt;1017.712044&lt;/D&gt;&lt;D xsi:type="xsd:double"&gt;1009.806109&lt;/D&gt;&lt;D xsi:type="xsd:double"&gt;1011.957153&lt;/D&gt;&lt;D xsi:type="xsd:double"&gt;1011.170797&lt;/D&gt;&lt;D xsi:type="xsd:double"&gt;997.331791&lt;/D&gt;&lt;D xsi:type="xsd:double"&gt;1001.104218&lt;/D&gt;&lt;D xsi:type="xsd:double"&gt;1008.921769&lt;/D&gt;&lt;D xsi:type="xsd:double"&gt;1003.293165&lt;/D&gt;&lt;D xsi:type="xsd:double"&gt;1019.610197&lt;/D&gt;&lt;D xsi:type="xsd:double"&gt;1029.221433&lt;/D&gt;&lt;D xsi:type="xsd:double"&gt;1024.489738&lt;/D&gt;&lt;D xsi:type="xsd:double"&gt;1015.926994&lt;/D&gt;&lt;D xsi:type="xsd:double"&gt;1007.136939&lt;/D&gt;&lt;D xsi:type="xsd:double"&gt;1008.126246&lt;/D&gt;&lt;D xsi:type="xsd:double"&gt;1017.062228&lt;/D&gt;&lt;D xsi:type="xsd:double"&gt;1024.992511&lt;/D&gt;&lt;D xsi:type="xsd:double"&gt;1029.101176&lt;/D&gt;&lt;D xsi:type="xsd:double"&gt;1031.150154&lt;/D&gt;&lt;D xsi:type="xsd:double"&gt;1032.615182&lt;/D&gt;&lt;D xsi:type="xsd:double"&gt;1032.050288&lt;/D&gt;&lt;D xsi:type="xsd:double"&gt;1028.653344&lt;/D&gt;&lt;D xsi:type="xsd:double"&gt;1022.270821&lt;/D&gt;&lt;D xsi:type="xsd:double"&gt;1015.465226&lt;/D&gt;&lt;D xsi:type="xsd:double"&gt;1022.428067&lt;/D&gt;&lt;D xsi:type="xsd:double"&gt;1026.347274&lt;/D&gt;&lt;D xsi:type="xsd:double"&gt;1024.962552&lt;/D&gt;&lt;D xsi:type="xsd:double"&gt;1030.110624&lt;/D&gt;&lt;D xsi:type="xsd:double"&gt;1042.239904&lt;/D&gt;&lt;D xsi:type="xsd:double"&gt;1047.698284&lt;/D&gt;&lt;D xsi:type="xsd:double"&gt;1049.084415&lt;/D&gt;&lt;D xsi:type="xsd:double"&gt;1057.652914&lt;/D&gt;&lt;D xsi:type="xsd:double"&gt;1063.562853&lt;/D&gt;&lt;D xsi:type="xsd:double"&gt;1065.940343&lt;/D&gt;&lt;D xsi:type="xsd:double"&gt;1057.924378&lt;/D&gt;&lt;D xsi:type="xsd:double"&gt;1059.841867&lt;/D&gt;&lt;D xsi:type="xsd:double"&gt;1049.936739&lt;/D&gt;&lt;D xsi:type="xsd:double"&gt;1041.280269&lt;/D&gt;&lt;D xsi:type="xsd:double"&gt;1053.133073&lt;/D&gt;&lt;D xsi:type="xsd:double"&gt;1054.615879&lt;/D&gt;&lt;D xsi:type="xsd:double"&gt;1046.563351&lt;/D&gt;&lt;D xsi:type="xsd:double"&gt;1042.705807&lt;/D&gt;&lt;D xsi:type="xsd:double"&gt;1054.411777&lt;/D&gt;&lt;D xsi:type="xsd:double"&gt;1053.390664&lt;/D&gt;&lt;D xsi:type="xsd:double"&gt;1053.142879&lt;/D&gt;&lt;D xsi:type="xsd:double"&gt;1068.45695&lt;/D&gt;&lt;D xsi:type="xsd:double"&gt;1063.986761&lt;/D&gt;&lt;D xsi:type="xsd:double"&gt;1066.519638&lt;/D&gt;&lt;D xsi:type="xsd:double"&gt;1065.835873&lt;/D&gt;&lt;D xsi:type="xsd:double"&gt;1064.878919&lt;/D&gt;&lt;D xsi:type="xsd:double"&gt;1059.026836&lt;/D&gt;&lt;D xsi:type="xsd:double"&gt;1058.746945&lt;/D&gt;&lt;D xsi:type="xsd:double"&gt;1060.869348&lt;/D&gt;&lt;D xsi:type="xsd:double"&gt;1059.564078&lt;/D&gt;&lt;D xsi:type="xsd:double"&gt;1063.749459&lt;/D&gt;&lt;D xsi:type="xsd:double"&gt;1067.610323&lt;/D&gt;&lt;D xsi:type="xsd:double"&gt;1072.72758&lt;/D&gt;&lt;D xsi:type="xsd:double"&gt;1072.820083&lt;/D&gt;&lt;D xsi:type="xsd:double"&gt;1069.009786&lt;/D&gt;&lt;D xsi:type="xsd:double"&gt;1068.197777&lt;/D&gt;&lt;D xsi:type="xsd:double"&gt;1069.881068&lt;/D&gt;&lt;D xsi:type="xsd:double"&gt;1062.057765&lt;/D&gt;&lt;D xsi:type="xsd:double"&gt;1069.11507&lt;/D&gt;&lt;D xsi:type="xsd:double"&gt;1072.260344&lt;/D&gt;&lt;D xsi:type="xsd:double"&gt;1076.530908&lt;/D&gt;&lt;D xsi:type="xsd:double"&gt;1079.070151&lt;/D&gt;&lt;D xsi:type="xsd:double"&gt;1080.741535&lt;/D&gt;&lt;D xsi:type="xsd:double"&gt;1073.153696&lt;/D&gt;&lt;D xsi:type="xsd:double"&gt;1071.212414&lt;/D&gt;&lt;D xsi:type="xsd:double"&gt;1073.482417&lt;/D&gt;&lt;D xsi:type="xsd:double"&gt;1080.714736&lt;/D&gt;&lt;D xsi:type="xsd:double"&gt;1073.037562&lt;/D&gt;&lt;D xsi:type="xsd:double"&gt;1076.987914&lt;/D&gt;&lt;D xsi:type="xsd:double"&gt;1073.029108&lt;/D&gt;&lt;D xsi:type="xsd:double"&gt;1069.859724&lt;/D&gt;&lt;D xsi:type="xsd:double"&gt;1075.764496&lt;/D&gt;&lt;D xsi:type="xsd:double"&gt;1077.896222&lt;/D&gt;&lt;D xsi:type="xsd:double"&gt;1082.683937&lt;/D&gt;&lt;D xsi:type="xsd:double"&gt;1078.164217&lt;/D&gt;&lt;D xsi:type="xsd:double"&gt;1055.196343&lt;/D&gt;&lt;D xsi:type="xsd:double"&gt;1055.17844&lt;/D&gt;&lt;D xsi:type="xsd:double"&gt;1049.450108&lt;/D&gt;&lt;D xsi:type="xsd:double"&gt;1046.647955&lt;/D&gt;&lt;D xsi:type="xsd:double"&gt;1043.725352&lt;/D&gt;&lt;D xsi:type="xsd:double"&gt;1043.031491&lt;/D&gt;&lt;D xsi:type="xsd:double"&gt;1052.682484&lt;/D&gt;&lt;D xsi:type="xsd:double"&gt;1053.170128&lt;/D&gt;&lt;D xsi:type="xsd:double"&gt;1046.241754&lt;/D&gt;&lt;D xsi:type="xsd:double"&gt;1040.017034&lt;/D&gt;&lt;D xsi:type="xsd:double"&gt;1042.816759&lt;/D&gt;&lt;D xsi:type="xsd:double"&gt;1042.558634&lt;/D&gt;&lt;D xsi:type="xsd:double"&gt;1041.373904&lt;/D&gt;&lt;D xsi:type="xsd:double"&gt;1034.552024&lt;/D&gt;&lt;D xsi:type="xsd:double"&gt;1029.059829&lt;/D&gt;&lt;D xsi:type="xsd:double"&gt;1024.056512&lt;/D&gt;&lt;D xsi:type="xsd:double"&gt;1021.261793&lt;/D&gt;&lt;D xsi:type="xsd:double"&gt;1017.371139&lt;/D&gt;&lt;D xsi:type="xsd:double"&gt;1007.272706&lt;/D&gt;&lt;D xsi:type="xsd:double"&gt;1007.676499&lt;/D&gt;&lt;D xsi:type="xsd:double"&gt;1007.022489&lt;/D&gt;&lt;D xsi:type="xsd:double"&gt;1003.792615&lt;/D&gt;&lt;D xsi:type="xsd:double"&gt;991.26661&lt;/D&gt;&lt;D xsi:type="xsd:double"&gt;996.435426&lt;/D&gt;&lt;D xsi:type="xsd:double"&gt;995.097235&lt;/D&gt;&lt;D xsi:type="xsd:double"&gt;995.944477&lt;/D&gt;&lt;D xsi:type="xsd:double"&gt;980.837591&lt;/D&gt;&lt;D xsi:type="xsd:double"&gt;979.48688&lt;/D&gt;&lt;D xsi:type="xsd:double"&gt;977.982426&lt;/D&gt;&lt;D xsi:type="xsd:double"&gt;969.822775&lt;/D&gt;&lt;D xsi:type="xsd:double"&gt;974.332395&lt;/D&gt;&lt;D xsi:type="xsd:double"&gt;980.624205&lt;/D&gt;&lt;D xsi:type="xsd:double"&gt;982.168993&lt;/D&gt;&lt;D xsi:type="xsd:double"&gt;989.265247&lt;/D&gt;&lt;D xsi:type="xsd:double"&gt;990.978436&lt;/D&gt;&lt;D xsi:type="xsd:double"&gt;995.306118&lt;/D&gt;&lt;D xsi:type="xsd:double"&gt;1007.452363&lt;/D&gt;&lt;D xsi:type="xsd:double"&gt;1006.273833&lt;/D&gt;&lt;D xsi:type="xsd:double"&gt;1000.797028&lt;/D&gt;&lt;D xsi:type="xsd:double"&gt;1004.683216&lt;/D&gt;</t>
        </r>
      </text>
    </comment>
    <comment ref="A48" authorId="0" shapeId="0">
      <text>
        <r>
          <rPr>
            <b/>
            <sz val="9"/>
            <color indexed="81"/>
            <rFont val="Tahoma"/>
            <family val="2"/>
          </rPr>
          <t>&lt;D xsi:type="xsd:double"&gt;999.628754&lt;/D&gt;&lt;D xsi:type="xsd:double"&gt;995.325633&lt;/D&gt;&lt;D xsi:type="xsd:double"&gt;990.700369&lt;/D&gt;&lt;D xsi:type="xsd:double"&gt;999.122814&lt;/D&gt;&lt;D xsi:type="xsd:double"&gt;994.548246&lt;/D&gt;&lt;D xsi:type="xsd:double"&gt;996.824708&lt;/D&gt;&lt;D xsi:type="xsd:double"&gt;1007.308244&lt;/D&gt;&lt;D xsi:type="xsd:double"&gt;1006.066819&lt;/D&gt;&lt;D xsi:type="xsd:double"&gt;1013.361756&lt;/D&gt;&lt;D xsi:type="xsd:double"&gt;1010.847184&lt;/D&gt;&lt;D xsi:type="xsd:double"&gt;1003.346509&lt;/D&gt;&lt;D xsi:type="xsd:double"&gt;995.223395&lt;/D&gt;&lt;D xsi:type="xsd:double"&gt;996.695166&lt;/D&gt;&lt;D xsi:type="xsd:double"&gt;995.953902&lt;/D&gt;&lt;D xsi:type="xsd:double"&gt;992.086672&lt;/D&gt;&lt;D xsi:type="xsd:double"&gt;996.586731&lt;/D&gt;&lt;D xsi:type="xsd:double"&gt;997.933647&lt;/D&gt;&lt;D xsi:type="xsd:double"&gt;1009.158757&lt;/D&gt;&lt;D xsi:type="xsd:double"&gt;1005.516321&lt;/D&gt;&lt;D xsi:type="xsd:double"&gt;1002.502492&lt;/D&gt;&lt;D xsi:type="xsd:double"&gt;1006.226945&lt;/D&gt;&lt;D xsi:type="xsd:double"&gt;1005.080286&lt;/D&gt;&lt;D xsi:type="xsd:double"&gt;1002.656112&lt;/D&gt;&lt;D xsi:type="xsd:double"&gt;998.36105&lt;/D&gt;&lt;D xsi:type="xsd:double"&gt;990.372299&lt;/D&gt;&lt;D xsi:type="xsd:double"&gt;1001.854448&lt;/D&gt;&lt;D xsi:type="xsd:double"&gt;1004.371598&lt;/D&gt;&lt;D xsi:type="xsd:double"&gt;1006.598713&lt;/D&gt;&lt;D xsi:type="xsd:double"&gt;998.271275&lt;/D&gt;&lt;D xsi:type="xsd:double"&gt;1009.435142&lt;/D&gt;&lt;D xsi:type="xsd:double"&gt;1006.840552&lt;/D&gt;&lt;D xsi:type="xsd:double"&gt;1012.631312&lt;/D&gt;&lt;D xsi:type="xsd:double"&gt;1014.069679&lt;/D&gt;&lt;D xsi:type="xsd:double"&gt;982.003097&lt;/D&gt;&lt;D xsi:type="xsd:double"&gt;978.483316&lt;/D&gt;&lt;D xsi:type="xsd:double"&gt;973.090214&lt;/D&gt;&lt;D xsi:type="xsd:double"&gt;969.970169&lt;/D&gt;&lt;D xsi:type="xsd:double"&gt;968.820876&lt;/D&gt;&lt;D xsi:type="xsd:double"&gt;950.450784&lt;/D&gt;&lt;D xsi:type="xsd:double"&gt;939.511124&lt;/D&gt;&lt;D xsi:type="xsd:double"&gt;947.369878&lt;/D&gt;&lt;D xsi:type="xsd:double"&gt;947.328386&lt;/D&gt;&lt;D xsi:type="xsd:double"&gt;944.389257&lt;/D&gt;&lt;D xsi:type="xsd:double"&gt;952.910025&lt;/D&gt;&lt;D xsi:type="xsd:double"&gt;956.761059&lt;/D&gt;&lt;D xsi:type="xsd:double"&gt;960.859427&lt;/D&gt;&lt;D xsi:type="xsd:double"&gt;965.466944&lt;/D&gt;&lt;D xsi:type="xsd:double"&gt;974.089703&lt;/D&gt;&lt;D xsi:type="xsd:double"&gt;969.427151&lt;/D&gt;&lt;D xsi:type="xsd:double"&gt;975.462537&lt;/D&gt;&lt;D xsi:type="xsd:double"&gt;969.208481&lt;/D&gt;&lt;D xsi:type="xsd:double"&gt;971.049848&lt;/D&gt;&lt;D xsi:type="xsd:double"&gt;975.819395&lt;/D&gt;&lt;D xsi:type="xsd:double"&gt;974.230914&lt;/D&gt;&lt;D xsi:type="xsd:double"&gt;977.25368&lt;/D&gt;&lt;D xsi:type="xsd:double"&gt;972.585095&lt;/D&gt;&lt;D xsi:type="xsd:double"&gt;979.254158&lt;/D&gt;&lt;D xsi:type="xsd:double"&gt;979.278478&lt;/D&gt;&lt;D xsi:type="xsd:double"&gt;970.599513&lt;/D&gt;&lt;D xsi:type="xsd:double"&gt;967.848097&lt;/D&gt;&lt;D xsi:type="xsd:double"&gt;967.44324&lt;/D&gt;&lt;D xsi:type="xsd:double"&gt;952.788582&lt;/D&gt;&lt;D xsi:type="xsd:double"&gt;944.944553&lt;/D&gt;&lt;D xsi:type="xsd:double"&gt;954.224804&lt;/D&gt;&lt;D xsi:type="xsd:double"&gt;952.487512&lt;/D&gt;&lt;D xsi:type="xsd:double"&gt;948.970809&lt;/D&gt;&lt;D xsi:type="xsd:double"&gt;941.763767&lt;/D&gt;&lt;D xsi:type="xsd:double"&gt;916.443931&lt;/D&gt;&lt;D xsi:type="xsd:double"&gt;905.649364&lt;/D&gt;&lt;D xsi:type="xsd:double"&gt;909.430297&lt;/D&gt;&lt;D xsi:type="xsd:double"&gt;912.469745&lt;/D&gt;&lt;D xsi:type="xsd:double"&gt;936.86803&lt;/D&gt;&lt;D xsi:type="xsd:double"&gt;941.130058&lt;/D&gt;&lt;D xsi:type="xsd:double"&gt;930.895162&lt;/D&gt;&lt;D xsi:type="xsd:double"&gt;933.140888&lt;/D&gt;&lt;D xsi:type="xsd:double"&gt;926.732625&lt;/D&gt;&lt;D xsi:type="xsd:double"&gt;926.133392&lt;/D&gt;&lt;D xsi:type="xsd:double"&gt;914.069791&lt;/D&gt;&lt;D xsi:type="xsd:double"&gt;932.383334&lt;/D&gt;&lt;D xsi:type="xsd:double"&gt;934.246711&lt;/D&gt;&lt;D xsi:type="xsd:double"&gt;935.660975&lt;/D&gt;&lt;D xsi:type="xsd:double"&gt;946.010419&lt;/D&gt;&lt;D xsi:type="xsd:double"&gt;955.179763&lt;/D&gt;&lt;D xsi:type="xsd:double"&gt;956.766324&lt;/D&gt;&lt;D xsi:type="xsd:double"&gt;941.398309&lt;/D&gt;&lt;D xsi:type="xsd:double"&gt;937.353867&lt;/D&gt;&lt;D xsi:type="xsd:double"&gt;906.711211&lt;/D&gt;&lt;D xsi:type="xsd:double"&gt;913.171051&lt;/D&gt;&lt;D xsi:type="xsd:double"&gt;906.85246&lt;/D&gt;&lt;D xsi:type="xsd:double"&gt;904.150312&lt;/D&gt;&lt;D xsi:type="xsd:double"&gt;917.175117&lt;/D&gt;&lt;D xsi:type="xsd:double"&gt;932.360609&lt;/D&gt;&lt;D xsi:type="xsd:double"&gt;948.270875&lt;/D&gt;&lt;D xsi:type="xsd:double"&gt;943.440363&lt;/D&gt;&lt;D xsi:type="xsd:double"&gt;934.06142&lt;/D&gt;&lt;D xsi:type="xsd:double"&gt;925.21824&lt;/D&gt;&lt;D xsi:type="xsd:double"&gt;913.544966&lt;/D&gt;&lt;D xsi:type="xsd:double"&gt;919.46786&lt;/D&gt;&lt;D xsi:type="xsd:double"&gt;912.99738&lt;/D&gt;&lt;D xsi:type="xsd:double"&gt;914.873296&lt;/D&gt;&lt;D xsi:type="xsd:double"&gt;905.166764&lt;/D&gt;&lt;D xsi:type="xsd:double"&gt;913.18409&lt;/D&gt;&lt;D xsi:type="xsd:double"&gt;902.569488&lt;/D&gt;&lt;D xsi:type="xsd:double"&gt;886.411549&lt;/D&gt;&lt;D xsi:type="xsd:double"&gt;882.463769&lt;/D&gt;&lt;D xsi:type="xsd:double"&gt;893.859336&lt;/D&gt;&lt;D xsi:type="xsd:double"&gt;906.295682&lt;/D&gt;&lt;D xsi:type="xsd:double"&gt;907.884963&lt;/D&gt;&lt;D xsi:type="xsd:double"&gt;921.706806&lt;/D&gt;&lt;D xsi:type="xsd:double"&gt;902.133676&lt;/D&gt;&lt;D xsi:type="xsd:double"&gt;902.093188&lt;/D&gt;&lt;D xsi:type="xsd:double"&gt;896.964341&lt;/D&gt;&lt;D xsi:type="xsd:double"&gt;919.280859&lt;/D&gt;&lt;D xsi:type="xsd:double"&gt;913.389907&lt;/D&gt;&lt;D xsi:type="xsd:double"&gt;906.610209&lt;/D&gt;&lt;D xsi:type="xsd:double"&gt;920.776076&lt;/D&gt;&lt;D xsi:type="xsd:double"&gt;924.261835&lt;/D&gt;&lt;D xsi:type="xsd:double"&gt;946.098181&lt;/D&gt;&lt;D xsi:type="xsd:double"&gt;951.999782&lt;/D&gt;&lt;D xsi:type="xsd:double"&gt;971.014304&lt;/D&gt;&lt;D xsi:type="xsd:double"&gt;980.690169&lt;/D&gt;&lt;D xsi:type="xsd:double"&gt;977.904585&lt;/D&gt;&lt;D xsi:type="xsd:double"&gt;992.548575&lt;/D&gt;&lt;D xsi:type="xsd:double"&gt;1001.845999&lt;/D&gt;&lt;D xsi:type="xsd:double"&gt;1012.957361&lt;/D&gt;&lt;D xsi:type="xsd:double"&gt;1024.27342&lt;/D&gt;&lt;D xsi:type="xsd:double"&gt;1029.830825&lt;/D&gt;&lt;D xsi:type="xsd:double"&gt;1025.555698&lt;/D&gt;&lt;D xsi:type="xsd:double"&gt;1026.015587&lt;/D&gt;&lt;D xsi:type="xsd:double"&gt;1019.498017&lt;/D&gt;&lt;D xsi:type="xsd:double"&gt;1015.944226&lt;/D&gt;&lt;D xsi:type="xsd:double"&gt;1011.536907&lt;/D&gt;&lt;D xsi:type="xsd:double"&gt;1011.126743&lt;/D&gt;&lt;D xsi:type="xsd:double"&gt;1007.959397&lt;/D&gt;&lt;D xsi:type="xsd:double"&gt;1021.507518&lt;/D&gt;&lt;D xsi:type="xsd:double"&gt;1023.485833&lt;/D&gt;&lt;D xsi:type="xsd:double"&gt;1023.753809&lt;/D&gt;&lt;D xsi:type="xsd:double"&gt;1020.080194&lt;/D&gt;&lt;D xsi:type="xsd:double"&gt;1020.004248&lt;/D&gt;&lt;D xsi:type="xsd:double"&gt;1027.306232&lt;/D&gt;&lt;D xsi:type="xsd:double"&gt;1024.897588&lt;/D&gt;&lt;D xsi:type="xsd:double"&gt;1016.208472&lt;/D&gt;&lt;D xsi:type="xsd:double"&gt;1016.168675&lt;/D&gt;&lt;D xsi:type="xsd:double"&gt;1026.292264&lt;/D&gt;&lt;D xsi:type="xsd:double"&gt;1037.262733&lt;/D&gt;&lt;D xsi:type="xsd:double"&gt;1037.325648&lt;/D&gt;&lt;D xsi:type="xsd:double"&gt;1055.62827&lt;/D&gt;&lt;D xsi:type="xsd:double"&gt;1047.721262&lt;/D&gt;&lt;D xsi:type="xsd:double"&gt;1041.447461&lt;/D&gt;&lt;D xsi:type="xsd:double"&gt;1032.604124&lt;/D&gt;&lt;D xsi:type="xsd:double"&gt;1043.903293&lt;/D&gt;&lt;D xsi:type="xsd:double"&gt;1055.416575&lt;/D&gt;&lt;D xsi:type="xsd:double"&gt;1044.312078&lt;/D&gt;&lt;D xsi:type="xsd:double"&gt;1041.955537&lt;/D&gt;&lt;D xsi:type="xsd:double"&gt;1040.575605&lt;/D&gt;&lt;D xsi:type="xsd:double"&gt;1047.619203&lt;/D&gt;&lt;D xsi:type="xsd:double"&gt;1049.787633&lt;/D&gt;&lt;D xsi:type="xsd:double"&gt;1061.313973&lt;/D&gt;&lt;D xsi:type="xsd:double"&gt;1063.34262&lt;/D&gt;&lt;D xsi:type="xsd:double"&gt;1065.453093&lt;/D&gt;&lt;D xsi:type="xsd:double"&gt;1066.829774&lt;/D&gt;&lt;D xsi:type="xsd:double"&gt;1066.54266&lt;/D&gt;&lt;D xsi:type="xsd:double"&gt;1050.501917&lt;/D&gt;&lt;D xsi:type="xsd:double"&gt;1060.007954&lt;/D&gt;&lt;D xsi:type="xsd:double"&gt;1052.690139&lt;/D&gt;&lt;D xsi:type="xsd:double"&gt;1037.712836&lt;/D&gt;&lt;D xsi:type="xsd:double"&gt;1041.200905&lt;/D&gt;&lt;D xsi:type="xsd:double"&gt;1065.300665&lt;/D&gt;&lt;D xsi:type="xsd:double"&gt;1079.935582&lt;/D&gt;&lt;D xsi:type="xsd:double"&gt;1076.421341&lt;/D&gt;&lt;D xsi:type="xsd:double"&gt;1079.443335&lt;/D&gt;&lt;D xsi:type="xsd:double"&gt;1068.823309&lt;/D&gt;&lt;D xsi:type="xsd:double"&gt;1056.513021&lt;/D&gt;&lt;D xsi:type="xsd:double"&gt;1067.559731&lt;/D&gt;&lt;D xsi:type="xsd:double"&gt;1059.255902&lt;/D&gt;&lt;D xsi:type="xsd:double"&gt;1064.560288&lt;/D&gt;&lt;D xsi:type="xsd:double"&gt;1064.414324&lt;/D&gt;&lt;D xsi:type="xsd:double"&gt;1062.459924&lt;/D&gt;&lt;D xsi:type="xsd:double"&gt;1049.240324&lt;/D&gt;&lt;D xsi:type="xsd:double"&gt;1058.472348&lt;/D&gt;&lt;D xsi:type="xsd:double"&gt;1046.9582&lt;/D&gt;&lt;D xsi:type="xsd:double"&gt;1052.999687&lt;/D&gt;&lt;D xsi:type="xsd:double"&gt;1042.152424&lt;/D&gt;&lt;D xsi:type="xsd:double"&gt;1061.684799&lt;/D&gt;&lt;D xsi:type="xsd:double"&gt;1060.699883&lt;/D&gt;&lt;D xsi:type="xsd:double"&gt;1048.557548&lt;/D&gt;&lt;D xsi:type="xsd:double"&gt;1047.216495&lt;/D&gt;&lt;D xsi:type="xsd:double"&gt;1048.356354&lt;/D&gt;&lt;D xsi:type="xsd:double"&gt;1043.957065&lt;/D&gt;&lt;D xsi:type="xsd:double"&gt;1029.852075&lt;/D&gt;&lt;D xsi:type="xsd:double"&gt;1019.3944&lt;/D&gt;&lt;D xsi:type="xsd:double"&gt;1006.166587&lt;/D&gt;&lt;D xsi:type="xsd:double"&gt;1016.609605&lt;/D&gt;&lt;D xsi:type="xsd:double"&gt;1014.976398&lt;/D&gt;&lt;D xsi:type="xsd:double"&gt;999.598459&lt;/D&gt;&lt;D xsi:type="xsd:double"&gt;997.604363&lt;/D&gt;&lt;D xsi:type="xsd:double"&gt;999.643764&lt;/D&gt;&lt;D xsi:type="xsd:double"&gt;995.077581&lt;/D&gt;&lt;D xsi:type="xsd:double"&gt;991.381782&lt;/D&gt;&lt;D xsi:type="xsd:double"&gt;980.928963&lt;/D&gt;&lt;D xsi:type="xsd:double"&gt;972.34672&lt;/D&gt;&lt;D xsi:type="xsd:double"&gt;952.921655&lt;/D&gt;&lt;D xsi:type="xsd:double"&gt;953.479921&lt;/D&gt;&lt;D xsi:type="xsd:double"&gt;948.651957&lt;/D&gt;&lt;D xsi:type="xsd:double"&gt;948.819251&lt;/D&gt;&lt;D xsi:type="xsd:double"&gt;930.869589&lt;/D&gt;&lt;D xsi:type="xsd:double"&gt;927.061491&lt;/D&gt;&lt;D xsi:type="xsd:double"&gt;932.4426&lt;/D&gt;&lt;D xsi:type="xsd:double"&gt;937.540112&lt;/D&gt;&lt;D xsi:type="xsd:double"&gt;939.911771&lt;/D&gt;&lt;D xsi:type="xsd:double"&gt;916.38682&lt;/D&gt;&lt;D xsi:type="xsd:double"&gt;914.209319&lt;/D&gt;&lt;D xsi:type="xsd:double"&gt;913.105168&lt;/D&gt;&lt;D xsi:type="xsd:double"&gt;924.276899&lt;/D&gt;&lt;D xsi:type="xsd:double"&gt;927.703665&lt;/D&gt;&lt;D xsi:type="xsd:double"&gt;919.55295&lt;/D&gt;&lt;D xsi:type="xsd:double"&gt;916.204553&lt;/D&gt;&lt;D xsi:type="xsd:double"&gt;900.787159&lt;/D&gt;&lt;D xsi:type="xsd:double"&gt;888.765503&lt;/D&gt;&lt;D xsi:type="xsd:double"&gt;904.09245&lt;/D&gt;&lt;D xsi:type="xsd:double"&gt;896.678738&lt;/D&gt;&lt;D xsi:type="xsd:double"&gt;903.948754&lt;/D&gt;&lt;D xsi:type="xsd:double"&gt;916.864893&lt;/D&gt;&lt;D xsi:type="xsd:double"&gt;924.906007&lt;/D&gt;&lt;D xsi:type="xsd:double"&gt;934.176312&lt;/D&gt;&lt;D xsi:type="xsd:double"&gt;947.591743&lt;/D&gt;&lt;D xsi:type="xsd:double"&gt;959.334995&lt;/D&gt;&lt;D xsi:type="xsd:double"&gt;953.497734&lt;/D&gt;&lt;D xsi:type="xsd:double"&gt;966.193354&lt;/D&gt;&lt;D xsi:type="xsd:double"&gt;960.830523&lt;/D&gt;&lt;D xsi:type="xsd:double"&gt;959.117929&lt;/D&gt;&lt;D xsi:type="xsd:double"&gt;928.324818&lt;/D&gt;&lt;D xsi:type="xsd:double"&gt;909.483216&lt;/D&gt;&lt;D xsi:type="xsd:double"&gt;902.277764&lt;/D&gt;&lt;D xsi:type="xsd:double"&gt;877.404843&lt;/D&gt;&lt;D xsi:type="xsd:double"&gt;885.256228&lt;/D&gt;&lt;D xsi:type="xsd:double"&gt;909.335835&lt;/D&gt;&lt;D xsi:type="xsd:double"&gt;909.838133&lt;/D&gt;&lt;D xsi:type="xsd:double"&gt;934.076126&lt;/D&gt;&lt;D xsi:type="xsd:double"&gt;951.965582&lt;/D&gt;&lt;D xsi:type="xsd:double"&gt;960.046337&lt;/D&gt;&lt;D xsi:type="xsd:double"&gt;969.195724&lt;/D&gt;&lt;D xsi:type="xsd:double"&gt;976.8608&lt;/D&gt;&lt;D xsi:type="xsd:double"&gt;971.154696&lt;/D&gt;&lt;D xsi:type="xsd:double"&gt;953.951416&lt;/D&gt;&lt;D xsi:type="xsd:double"&gt;980.014757&lt;/D&gt;&lt;D xsi:type="xsd:double"&gt;990.550452&lt;/D&gt;&lt;D xsi:type="xsd:double"&gt;990.2884&lt;/D&gt;&lt;D xsi:type="xsd:double"&gt;989.627936&lt;/D&gt;&lt;D xsi:type="xsd:double"&gt;973.99267&lt;/D&gt;&lt;D xsi:type="xsd:double"&gt;977.107534&lt;/D&gt;&lt;D xsi:type="xsd:double"&gt;968.691402&lt;/D&gt;&lt;D xsi:type="xsd:double"&gt;995.562451&lt;/D&gt;&lt;D xsi:type="xsd:double"&gt;1010.119413&lt;/D&gt;&lt;D xsi:type="xsd:double"&gt;993.814191&lt;/D&gt;&lt;D xsi:type="xsd:double"&gt;960.377574&lt;/D&gt;&lt;D xsi:type="xsd:double"&gt;955.282951&lt;/D&gt;&lt;D xsi:type="xsd:double"&gt;949.392801&lt;/D&gt;&lt;D xsi:type="xsd:double"&gt;920.070769&lt;/D&gt;&lt;D xsi:type="xsd:double"&gt;907.713846&lt;/D&gt;&lt;D xsi:type="xsd:double"&gt;932.954148&lt;/D&gt;&lt;D xsi:type="xsd:double"&gt;925.132642&lt;/D&gt;&lt;D xsi:type="xsd:double"&gt;941.023765&lt;/D&gt;&lt;D xsi:type="xsd:double"&gt;935.502235&lt;/D&gt;&lt;D xsi:type="xsd:double"&gt;930.474418&lt;/D&gt;&lt;D xsi:type="xsd:double"&gt;923.153879&lt;/D&gt;&lt;D xsi:type="xsd:double"&gt;909.42642&lt;/D&gt;&lt;D xsi:type="xsd:double"&gt;898.265061&lt;/D&gt;&lt;D xsi:type="xsd:double"&gt;883.897718&lt;/D&gt;&lt;D xsi:type="xsd:double"&gt;864.077754&lt;/D&gt;&lt;D xsi:type="xsd:double"&gt;836.543665&lt;/D&gt;&lt;D xsi:type="xsd:double"&gt;831.215043&lt;/D&gt;&lt;D xsi:type="xsd:double"&gt;852.239161&lt;/D&gt;&lt;D xsi:type="xsd:double"&gt;880.434214&lt;/D&gt;&lt;D xsi:type="xsd:double"&gt;894.481825&lt;/D&gt;&lt;D xsi:type="xsd:double"&gt;891.052064&lt;/D&gt;&lt;D xsi:type="xsd:double"&gt;893.465035&lt;/D&gt;&lt;D xsi:type="xsd:double"&gt;851.510329&lt;/D&gt;&lt;D xsi:type="xsd:double"&gt;861.528941&lt;/D&gt;&lt;D xsi:type="xsd:double"&gt;880.644466&lt;/D&gt;&lt;D xsi:type="xsd:double"&gt;940.016185&lt;/D&gt;&lt;D xsi:type="xsd:double"&gt;951.148544&lt;/D&gt;&lt;D xsi:type="xsd:double"&gt;949.3909&lt;/D&gt;&lt;D xsi:type="xsd:double"&gt;976.843285&lt;/D&gt;&lt;D xsi:type="xsd:double"&gt;963.72128&lt;/D&gt;&lt;D xsi:type="xsd:double"&gt;952.547789&lt;/D&gt;&lt;D xsi:type="xsd:double"&gt;964.426167&lt;/D&gt;&lt;D xsi:type="xsd:double"&gt;969.969736&lt;/D&gt;&lt;D xsi:type="xsd:double"&gt;992.306094&lt;/D&gt;&lt;D xsi:type="xsd:double"&gt;1013.527032&lt;/D&gt;&lt;D xsi:type="xsd:double"&gt;1009.750993&lt;/D&gt;&lt;D xsi:type="xsd:double"&gt;988.053559&lt;/D&gt;&lt;D xsi:type="xsd:double"&gt;1021.883737&lt;/D&gt;&lt;D xsi:type="xsd:double"&gt;1038.000672&lt;/D&gt;&lt;D xsi:type="xsd:double"&gt;1033.14968&lt;/D&gt;&lt;D xsi:type="xsd:double"&gt;1013.681648&lt;/D&gt;&lt;D xsi:type="xsd:double"&gt;1004.570353&lt;/D&gt;&lt;D xsi:type="xsd:double"&gt;975.924064&lt;/D&gt;&lt;D xsi:type="xsd:double"&gt;973.051241&lt;/D&gt;&lt;D xsi:type="xsd:double"&gt;978.208836&lt;/D&gt;&lt;D xsi:type="xsd:double"&gt;985.802805&lt;/D&gt;&lt;D xsi:type="xsd:double"&gt;966.059657&lt;/D&gt;&lt;D xsi:type="xsd:double"&gt;970.157386&lt;/D&gt;&lt;D xsi:type="xsd:double"&gt;995.439355&lt;/D&gt;&lt;D xsi:type="xsd:double"&gt;1024.451292&lt;/D&gt;&lt;D xsi:type="xsd:double"&gt;1018.643956&lt;/D&gt;&lt;D xsi:type="xsd:double"&gt;1013.413566&lt;/D&gt;&lt;D xsi:type="xsd:double"&gt;989.736521&lt;/D&gt;&lt;D xsi:type="xsd:double"&gt;989.947523&lt;/D&gt;&lt;D xsi:type="xsd:double"&gt;980.744184&lt;/D&gt;&lt;D xsi:type="xsd:double"&gt;968.509994&lt;/D&gt;&lt;D xsi:type="xsd:double"&gt;990.184535&lt;/D&gt;&lt;D xsi:type="xsd:double"&gt;1041.068011&lt;/D&gt;&lt;D xsi:type="xsd:double"&gt;1073.021497&lt;/D&gt;&lt;D xsi:type="xsd:double"&gt;1102.593189&lt;/D&gt;&lt;D xsi:type="xsd:double"&gt;1126.967721&lt;/D&gt;&lt;D xsi:type="xsd:double"&gt;1147.595697&lt;/D&gt;&lt;D xsi:type="xsd:double"&gt;1137.731265&lt;/D&gt;&lt;D xsi:type="xsd:double"&gt;1145.395059&lt;/D&gt;&lt;D xsi:type="xsd:double"&gt;1148.991353&lt;/D&gt;&lt;D xsi:type="xsd:double"&gt;1156.561061&lt;/D&gt;&lt;D xsi:type="xsd:double"&gt;1148.180146&lt;/D&gt;&lt;D xsi:type="xsd:double"&gt;1153.183186&lt;/D&gt;&lt;D xsi:type="xsd:double"&gt;1143.293486&lt;/D&gt;&lt;D xsi:type="xsd:double"&gt;1136.793536&lt;/D&gt;&lt;D xsi:type="xsd:double"&gt;1129.001465&lt;/D&gt;&lt;D xsi:type="xsd:double"&gt;1122.3934&lt;/D&gt;&lt;D xsi:type="xsd:double"&gt;1135.598581&lt;/D&gt;&lt;D xsi:type="xsd:double"&gt;1135.424229&lt;/D&gt;&lt;D xsi:type="xsd:double"&gt;1137.880459&lt;/D&gt;&lt;D xsi:type="xsd:double"&gt;1121.267789&lt;/D&gt;&lt;D xsi:type="xsd:double"&gt;1142.816878&lt;/D&gt;&lt;D xsi:type="xsd:double"&gt;1163.925579&lt;/D&gt;&lt;D xsi:type="xsd:double"&gt;1167.605726&lt;/D&gt;&lt;D xsi:type="xsd:double"&gt;1161.171076&lt;/D&gt;&lt;D xsi:type="xsd:double"&gt;1166.19862&lt;/D&gt;&lt;D xsi:type="xsd:double"&gt;1156.740151&lt;/D&gt;&lt;D xsi:type="xsd:double"&gt;1146.21862&lt;/D&gt;&lt;D xsi:type="xsd:double"&gt;1132.788017&lt;/D&gt;&lt;D xsi:type="xsd:double"&gt;1121.138557&lt;/D&gt;&lt;D xsi:type="xsd:double"&gt;1112.543208&lt;/D&gt;&lt;D xsi:type="xsd:double"&gt;1115.673276&lt;/D&gt;&lt;D xsi:type="xsd:double"&gt;1105.306962&lt;/D&gt;&lt;D xsi:type="xsd:double"&gt;1116.250682&lt;/D&gt;&lt;D xsi:type="xsd:double"&gt;1113.026049&lt;/D&gt;&lt;D xsi:type="xsd:double"&gt;1098.325277&lt;/D&gt;&lt;D xsi:type="xsd:double"&gt;1103.738484&lt;/D&gt;&lt;D xsi:type="xsd:double"&gt;1107.429925&lt;/D&gt;&lt;D xsi:type="xsd:double"&gt;1127.797688&lt;/D&gt;&lt;D xsi:type="xsd:double"&gt;1134.399944&lt;/D&gt;&lt;D xsi:type="xsd:double"&gt;1124.672384&lt;/D&gt;&lt;D xsi:type="xsd:double"&gt;1128.850636&lt;/D&gt;&lt;D xsi:type="xsd:double"&gt;1142.24467&lt;/D&gt;&lt;D xsi:type="xsd:double"&gt;1145.46705&lt;/D&gt;&lt;D xsi:type="xsd:double"&gt;1152.555692&lt;/D&gt;&lt;D xsi:type="xsd:double"&gt;1149.000972&lt;/D&gt;&lt;D xsi:type="xsd:double"&gt;1155.505713&lt;/D&gt;&lt;D xsi:type="xsd:double"&gt;1158.957738&lt;/D&gt;&lt;D xsi:type="xsd:double"&gt;1166.716822&lt;/D&gt;&lt;D xsi:type="xsd:double"&gt;1167.972217&lt;/D&gt;&lt;D xsi:type="xsd:double"&gt;1147.818934&lt;/D&gt;&lt;D xsi:type="xsd:double"&gt;1133.369094&lt;/D&gt;&lt;D xsi:type="xsd:double"&gt;1118.020133&lt;/D&gt;&lt;D xsi:type="xsd:double"&gt;1124.61599&lt;/D&gt;&lt;D xsi:type="xsd:double"&gt;1113.796452&lt;/D&gt;&lt;D xsi:type="xsd:double"&gt;1140.547123&lt;/D&gt;&lt;D xsi:type="xsd:double"&gt;1140.424673&lt;/D&gt;&lt;D xsi:type="xsd:double"&gt;1142.465592&lt;/D&gt;&lt;D xsi:type="xsd:double"&gt;1133.389945&lt;/D&gt;&lt;D xsi:type="xsd:double"&gt;1136.659064&lt;/D&gt;&lt;D xsi:type="xsd:double"&gt;1144.689332&lt;/D&gt;&lt;D xsi:type="xsd:double"&gt;1147.584665&lt;/D&gt;&lt;D xsi:type="xsd:double"&gt;1165.909632&lt;/D&gt;&lt;D xsi:type="xsd:double"&gt;1166.640886&lt;/D&gt;&lt;D xsi:type="xsd:double"&gt;1161.941847&lt;/D&gt;&lt;D xsi:type="xsd:double"&gt;1163.33849&lt;/D&gt;&lt;D xsi:type="xsd:double"&gt;1161.681237&lt;/D&gt;&lt;D xsi:type="xsd:double"&gt;1170.927646&lt;/D&gt;&lt;D xsi:type="xsd:double"&gt;1185.755586&lt;/D&gt;&lt;D xsi:type="xsd:double"&gt;1206.485346&lt;/D&gt;&lt;D xsi:type="xsd:double"&gt;1204.027833&lt;/D&gt;&lt;D xsi:type="xsd:double"&gt;1200.709985&lt;/D&gt;&lt;D xsi:type="xsd:double"&gt;1202.430049&lt;/D&gt;&lt;D xsi:type="xsd:double"&gt;1203.33207&lt;/D&gt;&lt;D xsi:type="xsd:double"&gt;1203.747539&lt;/D&gt;&lt;D xsi:type="xsd:double"&gt;1205.898236&lt;/D&gt;&lt;D xsi:type="xsd:double"&gt;1194.987345&lt;/D&gt;&lt;D xsi:type="xsd:double"&gt;1166.411703&lt;/D&gt;&lt;D xsi:type="xsd:double"&gt;1162.081239&lt;/D&gt;&lt;D xsi:type="xsd:double"&gt;1181.571309&lt;/D&gt;&lt;D xsi:type="xsd:double"&gt;1182.207797&lt;/D&gt;&lt;D xsi:type="xsd:double"&gt;1185.323681&lt;/D&gt;&lt;D xsi:type="xsd:double"&gt;1177.309826&lt;/D&gt;&lt;D xsi:type="xsd:double"&gt;1200.241152&lt;/D&gt;&lt;D xsi:type="xsd:double"&gt;1206.030977&lt;/D&gt;&lt;D xsi:type="xsd:double"&gt;1202.237828&lt;/D&gt;&lt;D xsi:type="xsd:double"&gt;1203.469176&lt;/D&gt;&lt;D xsi:type="xsd:double"&gt;1194.833767&lt;/D&gt;&lt;D xsi:type="xsd:double"&gt;1193.134001&lt;/D&gt;&lt;D xsi:type="xsd:double"&gt;1185.120841&lt;/D&gt;&lt;D xsi:type="xsd:double"&gt;1170.870233&lt;/D&gt;&lt;D xsi:type="xsd:double"&gt;1159.521239&lt;/D&gt;&lt;D xsi:type="xsd:double"&gt;1142.564126&lt;/D&gt;&lt;D xsi:type="xsd:double"&gt;1138.364362&lt;/D&gt;&lt;D xsi:type="xsd:double"&gt;1143.942301&lt;/D&gt;&lt;D xsi:type="xsd:double"&gt;1134.707339&lt;/D&gt;&lt;D xsi:type="xsd:double"&gt;1123.621875&lt;/D&gt;&lt;D xsi:type="xsd:double"&gt;1120.094659&lt;/D&gt;&lt;D xsi:type="xsd:double"&gt;1110.151538&lt;/D&gt;&lt;D xsi:type="xsd:double"&gt;1098.595232&lt;/D&gt;&lt;D xsi:type="xsd:double"&gt;1091.447209&lt;/D&gt;&lt;D xsi:type="xsd:double"&gt;1096.326248&lt;/D&gt;&lt;D xsi:type="xsd:double"&gt;1092.650889&lt;/D&gt;&lt;D xsi:type="xsd:double"&gt;1116.912041&lt;/D&gt;&lt;D xsi:type="xsd:double"&gt;1108.523905&lt;/D&gt;&lt;D xsi:type="xsd:double"&gt;1115.69197&lt;/D&gt;&lt;D xsi:type="xsd:double"&gt;1135.666077&lt;/D&gt;&lt;D xsi:type="xsd:double"&gt;1135.772962&lt;/D&gt;&lt;D xsi:type="xsd:double"&gt;1132.022269&lt;/D&gt;&lt;D xsi:type="xsd:double"&gt;1138.474695&lt;/D&gt;&lt;D xsi:type="xsd:double"&gt;1127.446381&lt;/D&gt;&lt;D xsi:type="xsd:double"&gt;1113.305837&lt;/D&gt;&lt;D xsi:type="xsd:double"&gt;1112.149617&lt;/D&gt;&lt;D xsi:type="xsd:double"&gt;1107.767316&lt;/D&gt;&lt;D xsi:type="xsd:double"&gt;1099.455016&lt;/D&gt;&lt;D xsi:type="xsd:double"&gt;1087.104432&lt;/D&gt;&lt;D xsi:type="xsd:double"&gt;1095.995653&lt;/D&gt;&lt;D xsi:type="xsd:double"&gt;1101.659102&lt;/D&gt;&lt;D xsi:type="xsd:double"&gt;1122.008103&lt;/D&gt;&lt;D xsi:type="xsd:double"&gt;1111.917848&lt;/D&gt;&lt;D xsi:type="xsd:double"&gt;1108.584403&lt;/D&gt;&lt;D xsi:type="xsd:double"&gt;1104.096218&lt;/D&gt;&lt;D xsi:type="xsd:double"&gt;1105.577179&lt;/D&gt;&lt;D xsi:type="xsd:double"&gt;1091.164772&lt;/D&gt;&lt;D xsi:type="xsd:double"&gt;1089.283406&lt;/D&gt;&lt;D xsi:type="xsd:double"&gt;1110.322886&lt;/D&gt;&lt;D xsi:type="xsd:double"&gt;1126.942967&lt;/D&gt;&lt;D xsi:type="xsd:double"&gt;1128.274637&lt;/D&gt;&lt;D xsi:type="xsd:double"&gt;1129.692312&lt;/D&gt;&lt;D xsi:type="xsd:double"&gt;1133.123535&lt;/D&gt;&lt;D xsi:type="xsd:double"&gt;1135.324988&lt;/D&gt;&lt;D xsi:type="xsd:double"&gt;1130.738675&lt;/D&gt;&lt;D xsi:type="xsd:double"&gt;1119.079273&lt;/D&gt;&lt;D xsi:type="xsd:double"&gt;1126.28589&lt;/D&gt;&lt;D xsi:type="xsd:double"&gt;1141.821983&lt;/D&gt;&lt;D xsi:type="xsd:double"&gt;1142.493235&lt;/D&gt;&lt;D xsi:type="xsd:double"&gt;1135.920477&lt;/D&gt;&lt;D xsi:type="xsd:double"&gt;1136.69122&lt;/D&gt;&lt;D xsi:type="xsd:double"&gt;1136.650343&lt;/D&gt;&lt;D xsi:type="xsd:double"&gt;1143.15965&lt;/D&gt;&lt;D xsi:type="xsd:double"&gt;1161.189186&lt;/D&gt;&lt;D xsi:type="xsd:double"&gt;1159.002256&lt;/D&gt;&lt;D xsi:type="xsd:double"&gt;1160.034859&lt;/D&gt;&lt;D xsi:type="xsd:double"&gt;1163.034179&lt;/D&gt;&lt;D xsi:type="xsd:double"&gt;1163.066117&lt;/D&gt;&lt;D xsi:type="xsd:double"&gt;1143.142755&lt;/D&gt;&lt;D xsi:type="xsd:double"&gt;1136.203721&lt;/D&gt;&lt;D xsi:type="xsd:double"&gt;1147.14069&lt;/D&gt;&lt;D xsi:type="xsd:double"&gt;1154.988671&lt;/D&gt;&lt;D xsi:type="xsd:double"&gt;1160.979444&lt;/D&gt;&lt;D xsi:type="xsd:double"&gt;1165.045107&lt;/D&gt;&lt;D xsi:type="xsd:double"&gt;1163.498977&lt;/D&gt;&lt;D xsi:type="xsd:double"&gt;1151.384661&lt;/D&gt;&lt;D xsi:type="xsd:double"&gt;1145.78841&lt;/D&gt;&lt;D xsi:type="xsd:double"&gt;1136.887215&lt;/D&gt;&lt;D xsi:type="xsd:double"&gt;1125.898593&lt;/D&gt;&lt;D xsi:type="xsd:double"&gt;1124.96008&lt;/D&gt;&lt;D xsi:type="xsd:double"&gt;1127.780951&lt;/D&gt;&lt;D xsi:type="xsd:double"&gt;1126.491023&lt;/D&gt;&lt;D xsi:type="xsd:double"&gt;1124.343951&lt;/D&gt;&lt;D xsi:type="xsd:double"&gt;1111.007915&lt;/D&gt;&lt;D xsi:type="xsd:double"&gt;1115.416701&lt;/D&gt;&lt;D xsi:type="xsd:double"&gt;1111.847552&lt;/D&gt;&lt;D xsi:type="xsd:double"&gt;1120.287738&lt;/D&gt;&lt;D xsi:type="xsd:double"&gt;1128.889671&lt;/D&gt;&lt;D xsi:type="xsd:double"&gt;1122.850778&lt;/D&gt;&lt;D xsi:type="xsd:double"&gt;1114.793602&lt;/D&gt;&lt;D xsi:type="xsd:double"&gt;1116.564835&lt;/D&gt;&lt;D xsi:type="xsd:double"&gt;1115.249943&lt;/D&gt;&lt;D xsi:type="xsd:double"&gt;1130.480409&lt;/D&gt;&lt;D xsi:type="xsd:double"&gt;1126.431069&lt;/D&gt;&lt;D xsi:type="xsd:double"&gt;1121.77583&lt;/D&gt;&lt;D xsi:type="xsd:double"&gt;1114.032467&lt;/D&gt;&lt;D xsi:type="xsd:double"&gt;1097.502198&lt;/D&gt;&lt;D xsi:type="xsd:double"&gt;1075.853252&lt;/D&gt;&lt;D xsi:type="xsd:double"&gt;1080.693656&lt;/D&gt;&lt;D xsi:type="xsd:double"&gt;1081.058821&lt;/D&gt;&lt;D xsi:type="xsd:double"&gt;1096.722366&lt;/D&gt;&lt;D xsi:type="xsd:double"&gt;1090.012334&lt;/D&gt;&lt;D xsi:type="xsd:double"&gt;1113.651695&lt;/D&gt;&lt;D xsi:type="xsd:double"&gt;1112.015886&lt;/D&gt;&lt;D xsi:type="xsd:double"&gt;1110.979352&lt;/D&gt;&lt;D xsi:type="xsd:double"&gt;1093.823648&lt;/D&gt;&lt;D xsi:type="xsd:double"&gt;1100.574697&lt;/D&gt;&lt;D xsi:type="xsd:double"&gt;1115.050581&lt;/D&gt;&lt;D xsi:type="xsd:double"&gt;1121.166283&lt;/D&gt;&lt;D xsi:type="xsd:double"&gt;1138.844174&lt;/D&gt;&lt;D xsi:type="xsd:double"&gt;1147.953646&lt;/D&gt;&lt;D xsi:type="xsd:double"&gt;1154.624115&lt;/D&gt;&lt;D xsi:type="xsd:double"&gt;1154.181147&lt;/D&gt;&lt;D xsi:type="xsd:double"&gt;1155.941689&lt;/D&gt;&lt;D xsi:type="xsd:double"&gt;1151.079736&lt;/D&gt;&lt;D xsi:type="xsd:double"&gt;1132.440221&lt;/D&gt;&lt;D xsi:type="xsd:double"&gt;1124.187853&lt;/D&gt;&lt;D xsi:type="xsd:double"&gt;1120.850758&lt;/D&gt;&lt;D xsi:type="xsd:double"&gt;1105.753609&lt;/D&gt;&lt;D xsi:type="xsd:double"&gt;1102.82358&lt;/D&gt;&lt;D xsi:type="xsd:double"&gt;1098.928313&lt;/D&gt;&lt;D xsi:type="xsd:double"&gt;1116.610291&lt;/D&gt;&lt;D xsi:type="xsd:double"&gt;1115.298192&lt;/D&gt;&lt;D xsi:type="xsd:double"&gt;1105.19306&lt;/D&gt;&lt;D xsi:type="xsd:double"&gt;1106.226802&lt;/D&gt;&lt;D xsi:type="xsd:double"&gt;1101.282002&lt;/D&gt;&lt;D xsi:type="xsd:double"&gt;1097.656506&lt;/D&gt;&lt;D xsi:type="xsd:double"&gt;1112.42279&lt;/D&gt;&lt;D xsi:type="xsd:double"&gt;1121.433041&lt;/D&gt;&lt;D xsi:type="xsd:double"&gt;1127.194724&lt;/D&gt;&lt;D xsi:type="xsd:double"&gt;1117.687488&lt;/D&gt;&lt;D xsi:type="xsd:double"&gt;1098.948772&lt;/D&gt;&lt;D xsi:type="xsd:double"&gt;1107.665859&lt;/D&gt;&lt;D xsi:type="xsd:double"&gt;1101.26725&lt;/D&gt;&lt;D xsi:type="xsd:double"&gt;1102.823903&lt;/D&gt;&lt;D xsi:type="xsd:double"&gt;1106.747586&lt;/D&gt;&lt;D xsi:type="xsd:double"&gt;1096.856927&lt;/D&gt;&lt;D xsi:type="xsd:double"&gt;1090.761369&lt;/D&gt;&lt;D xsi:type="xsd:double"&gt;1086.089763&lt;/D&gt;&lt;D xsi:type="xsd:double"&gt;1075.529114&lt;/D&gt;&lt;D xsi:type="xsd:double"&gt;1070.378654&lt;/D&gt;&lt;D xsi:type="xsd:double"&gt;1061.322247&lt;/D&gt;&lt;D xsi:type="xsd:double"&gt;1061.565505&lt;/D&gt;&lt;D xsi:type="xsd:double"&gt;1053.267188&lt;/D&gt;&lt;D xsi:type="xsd:double"&gt;1047.157402&lt;/D&gt;&lt;D xsi:type="xsd:double"&gt;1047.950466&lt;/D&gt;&lt;D xsi:type="xsd:double"&gt;1043.951779&lt;/D&gt;&lt;D xsi:type="xsd:double"&gt;1044.183616&lt;/D&gt;&lt;D xsi:type="xsd:double"&gt;1035.937984&lt;/D&gt;&lt;D xsi:type="xsd:double"&gt;1031.05853&lt;/D&gt;&lt;D xsi:type="xsd:double"&gt;1038.112148&lt;/D&gt;&lt;D xsi:type="xsd:double"&gt;1035.512733&lt;/D&gt;&lt;D xsi:type="xsd:double"&gt;1033.637485&lt;/D&gt;&lt;D xsi:type="xsd:double"&gt;1012.984264&lt;/D&gt;&lt;D xsi:type="xsd:double"&gt;1009.088177&lt;/D&gt;&lt;D xsi:type="xsd:double"&gt;1004.549395&lt;/D&gt;&lt;D xsi:type="xsd:double"&gt;1006.139398&lt;/D&gt;&lt;D xsi:type="xsd:double"&gt;1003.747467&lt;/D&gt;&lt;D xsi:type="xsd:double"&gt;995.276649&lt;/D&gt;&lt;D xsi:type="xsd:double"&gt;989.760219&lt;/D&gt;&lt;D xsi:type="xsd:double"&gt;970.046017&lt;/D&gt;&lt;D xsi:type="xsd:double"&gt;972.29056&lt;/D&gt;&lt;D xsi:type="xsd:double"&gt;970.040162&lt;/D&gt;&lt;D xsi:type="xsd:double"&gt;966.046947&lt;/D&gt;&lt;D xsi:type="xsd:double"&gt;962.642143&lt;/D&gt;&lt;D xsi:type="xsd:double"&gt;973.577391&lt;/D&gt;&lt;D xsi:type="xsd:double"&gt;986.297302&lt;/D&gt;&lt;D xsi:type="xsd:double"&gt;988.16222&lt;/D&gt;&lt;D xsi:type="xsd:double"&gt;994.245234&lt;/D&gt;&lt;D xsi:type="xsd:double"&gt;994.095205&lt;/D&gt;&lt;D xsi:type="xsd:double"&gt;993.786644&lt;/D&gt;&lt;D xsi:type="xsd:double"&gt;985.238966&lt;/D&gt;&lt;D xsi:type="xsd:double"&gt;980.474739&lt;/D&gt;&lt;D xsi:type="xsd:double"&gt;976.181037&lt;/D&gt;&lt;D xsi:type="xsd:double"&gt;982.227505&lt;/D&gt;&lt;D xsi:type="xsd:double"&gt;1001.704312&lt;/D&gt;&lt;D xsi:type="xsd:double"&gt;1015.990081&lt;/D&gt;&lt;D xsi:type="xsd:double"&gt;1010.952883&lt;/D&gt;&lt;D xsi:type="xsd:double"&gt;1011.715653&lt;/D&gt;&lt;D xsi:type="xsd:double"&gt;1011.480367&lt;/D&gt;&lt;D xsi:type="xsd:double"&gt;1009.666774&lt;/D&gt;&lt;D xsi:type="xsd:double"&gt;1012.940772&lt;/D&gt;&lt;D xsi:type="xsd:double"&gt;991.409701&lt;/D&gt;&lt;D xsi:type="xsd:double"&gt;993.835662&lt;/D&gt;&lt;D xsi:type="xsd:double"&gt;991.293511&lt;/D&gt;&lt;D xsi:type="xsd:double"&gt;991.038782&lt;/D&gt;&lt;D xsi:type="xsd:double"&gt;985.479428&lt;/D&gt;&lt;D xsi:type="xsd:double"&gt;981.421943&lt;/D&gt;&lt;D xsi:type="xsd:double"&gt;973.39302&lt;/D&gt;&lt;D xsi:type="xsd:double"&gt;964.646493&lt;/D&gt;&lt;D xsi:type="xsd:double"&gt;953.680636&lt;/D&gt;&lt;D xsi:type="xsd:double"&gt;945.059351&lt;/D&gt;&lt;D xsi:type="xsd:double"&gt;948.919412&lt;/D&gt;&lt;D xsi:type="xsd:double"&gt;957.136292&lt;/D&gt;&lt;D xsi:type="xsd:double"&gt;961.51007&lt;/D&gt;&lt;D xsi:type="xsd:double"&gt;957.2205&lt;/D&gt;&lt;D xsi:type="xsd:double"&gt;952.491158&lt;/D&gt;&lt;D xsi:type="xsd:double"&gt;951.854909&lt;/D&gt;&lt;D xsi:type="xsd:double"&gt;940.75101&lt;/D&gt;&lt;D xsi:type="xsd:double"&gt;930.200408&lt;/D&gt;&lt;D xsi:type="xsd:double"&gt;930.456462&lt;/D&gt;&lt;D xsi:type="xsd:double"&gt;913.545555&lt;/D&gt;&lt;D xsi:type="xsd:double"&gt;909.30293&lt;/D&gt;&lt;D xsi:type="xsd:double"&gt;917.985187&lt;/D&gt;&lt;D xsi:type="xsd:double"&gt;924.811523&lt;/D&gt;&lt;D xsi:type="xsd:double"&gt;951.805745&lt;/D&gt;&lt;D xsi:type="xsd:double"&gt;947.560077&lt;/D&gt;&lt;D xsi:type="xsd:double"&gt;952.129608&lt;/D&gt;&lt;D xsi:type="xsd:double"&gt;960.20692&lt;/D&gt;&lt;D xsi:type="xsd:double"&gt;967.612038&lt;/D&gt;&lt;D xsi:type="xsd:double"&gt;978.59218&lt;/D&gt;&lt;D xsi:type="xsd:double"&gt;953.481232&lt;/D&gt;&lt;D xsi:type="xsd:double"&gt;947.20372&lt;/D&gt;&lt;D xsi:type="xsd:double"&gt;943.3603&lt;/D&gt;&lt;D xsi:type="xsd:double"&gt;937.677367&lt;/D&gt;&lt;D xsi:type="xsd:double"&gt;930.295523&lt;/D&gt;&lt;D xsi:type="xsd:double"&gt;917.176783&lt;/D&gt;&lt;D xsi:type="xsd:double"&gt;906.976429&lt;/D&gt;&lt;D xsi:type="xsd:double"&gt;895.214762&lt;/D&gt;&lt;D xsi:type="xsd:double"&gt;891.115558&lt;/D&gt;&lt;D xsi:type="xsd:double"&gt;889.655155&lt;/D&gt;&lt;D xsi:type="xsd:double"&gt;913.485964&lt;/D&gt;&lt;D xsi:type="xsd:double"&gt;924.668501&lt;/D&gt;&lt;D xsi:type="xsd:double"&gt;908.554167&lt;/D&gt;&lt;D xsi:type="xsd:double"&gt;907.132234&lt;/D&gt;&lt;D xsi:type="xsd:double"&gt;917.046585&lt;/D&gt;&lt;D xsi:type="xsd:double"&gt;904.181511&lt;/D&gt;&lt;D xsi:type="xsd:double"&gt;883.18146&lt;/D&gt;&lt;D xsi:type="xsd:double"&gt;855.52341&lt;/D&gt;&lt;D xsi:type="xsd:double"&gt;891.499245&lt;/D&gt;&lt;D xsi:type="xsd:double"&gt;886.657404&lt;/D&gt;&lt;D xsi:type="xsd:double"&gt;882.420484&lt;/D&gt;&lt;D xsi:type="xsd:double"&gt;910.54963&lt;/D&gt;&lt;D xsi:type="xsd:double"&gt;939.77526&lt;/D&gt;&lt;D xsi:type="xsd:double"&gt;939.739557&lt;/D&gt;&lt;D xsi:type="xsd:double"&gt;959.814937&lt;/D&gt;&lt;D xsi:type="xsd:double"&gt;975.562772&lt;/D&gt;&lt;D xsi:type="xsd:double"&gt;968.004236&lt;/D&gt;&lt;D xsi:type="xsd:double"&gt;958.826706&lt;/D&gt;&lt;D xsi:type="xsd:double"&gt;967.228887&lt;/D&gt;&lt;D xsi:type="xsd:double"&gt;927.037424&lt;/D&gt;&lt;D xsi:type="xsd:double"&gt;948.535458&lt;/D&gt;&lt;D xsi:type="xsd:double"&gt;970.244009&lt;/D&gt;&lt;D xsi:type="xsd:double"&gt;990.641674&lt;/D&gt;&lt;D xsi:type="xsd:double"&gt;1008.313626&lt;/D&gt;&lt;D xsi:type="xsd:double"&gt;1020.033087&lt;/D&gt;&lt;D xsi:type="xsd:double"&gt;1014.080985&lt;/D&gt;&lt;D xsi:type="xsd:double"&gt;1005.270714&lt;/D&gt;&lt;D xsi:type="xsd:double"&gt;1020.236199&lt;/D&gt;&lt;D xsi:type="xsd:double"&gt;1035.216185&lt;/D&gt;&lt;D xsi:type="xsd:double"&gt;1024.070611&lt;/D&gt;&lt;D xsi:type="xsd:double"&gt;1020.67401&lt;/D&gt;&lt;D xsi:type="xsd:double"&gt;1026.891192&lt;/D&gt;&lt;D xsi:type="xsd:double"&gt;1022.862616&lt;/D&gt;&lt;D xsi:type="xsd:double"&gt;1011.290081&lt;/D&gt;&lt;D xsi:type="xsd:double"&gt;1032.083182&lt;/D&gt;&lt;D xsi:type="xsd:double"&gt;1047.513338&lt;/D&gt;&lt;D xsi:type="xsd:double"&gt;1046.443869&lt;/D&gt;&lt;D xsi:type="xsd:double"&gt;1033.80644&lt;/D&gt;&lt;D xsi:type="xsd:double"&gt;1041.376696&lt;/D&gt;&lt;D xsi:type="xsd:double"&gt;1043.99727&lt;/D&gt;&lt;D xsi:type="xsd:double"&gt;1036.311402&lt;/D&gt;&lt;D xsi:type="xsd:double"&gt;1042.988162&lt;/D&gt;&lt;D xsi:type="xsd:double"&gt;1039.265631&lt;/D&gt;&lt;D xsi:type="xsd:double"&gt;1036.616741&lt;/D&gt;&lt;D xsi:type="xsd:double"&gt;1027.274011&lt;/D&gt;&lt;D xsi:type="xsd:double"&gt;1010.333899&lt;/D&gt;&lt;D xsi:type="xsd:double"&gt;1009.330982&lt;/D&gt;&lt;D xsi:type="xsd:double"&gt;1003.666032&lt;/D&gt;&lt;D xsi:type="xsd:double"&gt;993.078349&lt;/D&gt;&lt;D xsi:type="xsd:double"&gt;989.952148&lt;/D&gt;&lt;D xsi:type="xsd:double"&gt;992.002346&lt;/D&gt;&lt;D xsi:type="xsd:double"&gt;994.116175&lt;/D&gt;&lt;D xsi:type="xsd:double"&gt;989.925886&lt;/D&gt;&lt;D xsi:type="xsd:double"&gt;997.940462&lt;/D&gt;&lt;D xsi:type="xsd:double"&gt;1001.507499&lt;/D&gt;&lt;D xsi:type="xsd:double"&gt;1005.765827&lt;/D&gt;&lt;D xsi:type="xsd:double"&gt;991.483196&lt;/D&gt;&lt;D xsi:type="xsd:double"&gt;983.036253&lt;/D&gt;&lt;D xsi:type="xsd:double"&gt;992.680657&lt;/D&gt;&lt;D xsi:type="xsd:double"&gt;989.831583&lt;/D&gt;&lt;D xsi:type="xsd:double"&gt;993.442816&lt;/D&gt;&lt;D xsi:type="xsd:double"&gt;986.152943&lt;/D&gt;&lt;D xsi:type="xsd:double"&gt;986.079501&lt;/D&gt;&lt;D xsi:type="xsd:double"&gt;974.922581&lt;/D&gt;&lt;D xsi:type="xsd:double"&gt;961.340622&lt;/D&gt;&lt;D xsi:type="xsd:double"&gt;966.434487&lt;/D&gt;&lt;D xsi:type="xsd:double"&gt;959.661932&lt;/D&gt;&lt;D xsi:type="xsd:double"&gt;947.895298&lt;/D&gt;&lt;D xsi:type="xsd:double"&gt;935.92941&lt;/D&gt;&lt;D xsi:type="xsd:double"&gt;922.927775&lt;/D&gt;&lt;D xsi:type="xsd:double"&gt;933.226585&lt;/D&gt;&lt;D xsi:type="xsd:double"&gt;940.209496&lt;/D&gt;&lt;D xsi:type="xsd:double"&gt;943.298787&lt;/D&gt;&lt;D xsi:type="xsd:double"&gt;933.354281&lt;/D&gt;&lt;D xsi:type="xsd:double"&gt;943.112161&lt;/D&gt;&lt;D xsi:type="xsd:double"&gt;945.085474&lt;/D&gt;&lt;D xsi:type="xsd:double"&gt;932.549894&lt;/D&gt;&lt;D xsi:type="xsd:double"&gt;921.748819&lt;/D&gt;&lt;D xsi:type="xsd:double"&gt;922.908297&lt;/D&gt;&lt;D xsi:type="xsd:double"&gt;912.492674&lt;/D&gt;&lt;D xsi:type="xsd:double"&gt;908.66642&lt;/D&gt;&lt;D xsi:type="xsd:double"&gt;894.071738&lt;/D&gt;&lt;D xsi:type="xsd:double"&gt;897.699791&lt;/D&gt;&lt;D xsi:type="xsd:double"&gt;926.413529&lt;/D&gt;&lt;D xsi:type="xsd:double"&gt;952.256711&lt;/D&gt;&lt;D xsi:type="xsd:double"&gt;940.431039&lt;/D&gt;&lt;D xsi:type="xsd:double"&gt;934.222947&lt;/D&gt;&lt;D xsi:type="xsd:double"&gt;933.589677&lt;/D&gt;&lt;D xsi:type="xsd:double"&gt;940.074425&lt;/D&gt;&lt;D xsi:type="xsd:double"&gt;928.705574&lt;/D&gt;&lt;D xsi:type="xsd:double"&gt;938.062397&lt;/D&gt;&lt;D xsi:type="xsd:double"&gt;959.05876&lt;/D&gt;&lt;D xsi:type="xsd:double"&gt;963.851954&lt;/D&gt;&lt;D xsi:type="xsd:double"&gt;981.165422&lt;/D&gt;&lt;D xsi:type="xsd:double"&gt;997.492286&lt;/D&gt;&lt;D xsi:type="xsd:double"&gt;1013.412227&lt;/D&gt;&lt;D xsi:type="xsd:double"&gt;1010.774906&lt;/D&gt;&lt;D xsi:type="xsd:double"&gt;1013.291533&lt;/D&gt;&lt;D xsi:type="xsd:double"&gt;1012.094783&lt;/D&gt;&lt;D xsi:type="xsd:double"&gt;1021.179769&lt;/D&gt;&lt;D xsi:type="xsd:double"&gt;1028.07004&lt;/D&gt;&lt;D xsi:type="xsd:double"&gt;1016.405749&lt;/D&gt;&lt;D xsi:type="xsd:double"&gt;1014.420721&lt;/D&gt;&lt;D xsi:type="xsd:double"&gt;1021.751589&lt;/D&gt;&lt;D xsi:type="xsd:double"&gt;1015.257167&lt;/D&gt;&lt;D xsi:type="xsd:double"&gt;1004.511256&lt;/D&gt;&lt;D xsi:type="xsd:double"&gt;989.46945&lt;/D&gt;&lt;D xsi:type="xsd:double"&gt;980.609988&lt;/D&gt;&lt;D xsi:type="xsd:double"&gt;980.581563&lt;/D&gt;&lt;D xsi:type="xsd:double"&gt;981.14267&lt;/D&gt;&lt;D xsi:type="xsd:double"&gt;973.863371&lt;/D&gt;&lt;D xsi:type="xsd:double"&gt;964.409336&lt;/D&gt;&lt;D xsi:type="xsd:double"&gt;953.92198&lt;/D&gt;&lt;D xsi:type="xsd:double"&gt;946.415408&lt;/D&gt;&lt;D xsi:type="xsd:double"&gt;950.210023&lt;/D&gt;&lt;D xsi:type="xsd:double"&gt;954.93131&lt;/D&gt;&lt;D xsi:type="xsd:double"&gt;973.419294&lt;/D&gt;&lt;D xsi:type="xsd:double"&gt;975.010546&lt;/D&gt;&lt;D xsi:type="xsd:double"&gt;979.211079&lt;/D&gt;&lt;D xsi:type="xsd:double"&gt;972.786363&lt;/D&gt;&lt;D xsi:type="xsd:double"&gt;965.255649&lt;/D&gt;&lt;D xsi:type="xsd:double"&gt;962.596029&lt;/D&gt;&lt;D xsi:type="xsd:double"&gt;969.190565&lt;/D&gt;&lt;D xsi:type="xsd:double"&gt;980.343896&lt;/D&gt;&lt;D xsi:type="xsd:double"&gt;983.323668&lt;/D&gt;&lt;D xsi:type="xsd:double"&gt;986.069971&lt;/D&gt;&lt;D xsi:type="xsd:double"&gt;981.565389&lt;/D&gt;&lt;D xsi:type="xsd:double"&gt;973.313427&lt;/D&gt;&lt;D xsi:type="xsd:double"&gt;953.127978&lt;/D&gt;&lt;D xsi:type="xsd:double"&gt;941.009365&lt;/D&gt;&lt;D xsi:type="xsd:double"&gt;978.654083&lt;/D&gt;&lt;D xsi:type="xsd:double"&gt;972.184805&lt;/D&gt;&lt;D xsi:type="xsd:double"&gt;977.197417&lt;/D&gt;&lt;D xsi:type="xsd:double"&gt;965.080845&lt;/D&gt;&lt;D xsi:type="xsd:double"&gt;968.459568&lt;/D&gt;&lt;D xsi:type="xsd:double"&gt;981.792277&lt;/D&gt;&lt;D xsi:type="xsd:double"&gt;980.40508&lt;/D&gt;&lt;D xsi:type="xsd:double"&gt;982.428198&lt;/D&gt;&lt;D xsi:type="xsd:double"&gt;962.511357&lt;/D&gt;&lt;D xsi:type="xsd:double"&gt;958.882979&lt;/D&gt;&lt;D xsi:type="xsd:double"&gt;972.09352&lt;/D&gt;&lt;D xsi:type="xsd:double"&gt;963.088768&lt;/D&gt;&lt;D xsi:type="xsd:double"&gt;959.657146&lt;/D&gt;&lt;D xsi:type="xsd:double"&gt;936.358011&lt;/D&gt;&lt;D xsi:type="xsd:double"&gt;930.089653&lt;/D&gt;&lt;D xsi:type="xsd:double"&gt;926.135466&lt;/D&gt;&lt;D xsi:type="xsd:double"&gt;903.459847&lt;/D&gt;&lt;D xsi:type="xsd:double"&gt;911.157183&lt;/D&gt;&lt;D xsi:type="xsd:double"&gt;914.258746&lt;/D&gt;&lt;D xsi:type="xsd:double"&gt;921.344634&lt;/D&gt;&lt;D xsi:type="xsd:double"&gt;916.644686&lt;/D&gt;&lt;D xsi:type="xsd:double"&gt;946.948062&lt;/D&gt;&lt;D xsi:type="xsd:double"&gt;966.416447&lt;/D&gt;&lt;D xsi:type="xsd:double"&gt;967.95023&lt;/D&gt;&lt;D xsi:type="xsd:double"&gt;961.454201&lt;/D&gt;&lt;D xsi:type="xsd:double"&gt;968.276037&lt;/D&gt;&lt;D xsi:type="xsd:double"&gt;972.190813&lt;/D&gt;&lt;D xsi:type="xsd:double"&gt;976.974818&lt;/D&gt;&lt;D xsi:type="xsd:double"&gt;966.037244&lt;/D&gt;&lt;D xsi:type="xsd:double"&gt;975.791905&lt;/D&gt;&lt;D xsi:type="xsd:double"&gt;972.098422&lt;/D&gt;&lt;D xsi:type="xsd:double"&gt;950.985054&lt;/D&gt;&lt;D xsi:type="xsd:double"&gt;950.34255&lt;/D&gt;&lt;D xsi:type="xsd:double"&gt;946.286698&lt;/D&gt;&lt;D xsi:type="xsd:double"&gt;939.911735&lt;/D&gt;&lt;D xsi:type="xsd:double"&gt;928.889861&lt;/D&gt;&lt;D xsi:type="xsd:double"&gt;925.953396&lt;/D&gt;&lt;D xsi:type="xsd:double"&gt;907.023978&lt;/D&gt;&lt;D xsi:type="xsd:double"&gt;901.385405&lt;/D&gt;&lt;D xsi:type="xsd:double"&gt;911.261735&lt;/D&gt;&lt;D xsi:type="xsd:double"&gt;914.045364&lt;/D&gt;&lt;D xsi:type="xsd:double"&gt;913.188551&lt;/D&gt;&lt;D xsi:type="xsd:double"&gt;904.536101&lt;/D&gt;&lt;D xsi:type="xsd:double"&gt;908.073755&lt;/D&gt;&lt;D xsi:type="xsd:double"&gt;908.129418&lt;/D&gt;&lt;D xsi:type="xsd:double"&gt;918.559281&lt;/D&gt;&lt;D xsi:type="xsd:double"&gt;922.306574&lt;/D&gt;&lt;D xsi:type="xsd:double"&gt;910.705409&lt;/D&gt;&lt;D xsi:type="xsd:double"&gt;918.900345&lt;/D&gt;&lt;D xsi:type="xsd:double"&gt;919.890408&lt;/D&gt;&lt;D xsi:type="xsd:double"&gt;913.509588&lt;/D&gt;&lt;D xsi:type="xsd:double"&gt;894.004284&lt;/D&gt;&lt;D xsi:type="xsd:double"&gt;884.590187&lt;/D&gt;&lt;D xsi:type="xsd:double"&gt;894.298641&lt;/D&gt;&lt;D xsi:type="xsd:double"&gt;887.052717&lt;/D&gt;&lt;D xsi:type="xsd:double"&gt;879.936108&lt;/D&gt;&lt;D xsi:type="xsd:double"&gt;880.785283&lt;/D&gt;&lt;D xsi:type="xsd:double"&gt;853.319145&lt;/D&gt;&lt;D xsi:type="xsd:double"&gt;840.987944&lt;/D&gt;&lt;D xsi:type="xsd:double"&gt;831.03829&lt;/D&gt;&lt;D xsi:type="xsd:double"&gt;842.113744&lt;/D&gt;&lt;D xsi:type="xsd:double"&gt;839.459719&lt;/D&gt;&lt;D xsi:type="xsd:double"&gt;851.462085&lt;/D&gt;&lt;D xsi:type="xsd:double"&gt;843.994356&lt;/D&gt;&lt;D xsi:type="xsd:double"&gt;851.883887&lt;/D&gt;&lt;D xsi:type="xsd:double"&gt;858.259101&lt;/D&gt;&lt;D xsi:type="xsd:double"&gt;861.37019&lt;/D&gt;&lt;D xsi:type="xsd:double"&gt;845.506656&lt;/D&gt;&lt;D xsi:type="xsd:double"&gt;837.119564&lt;/D&gt;&lt;D xsi:type="xsd:double"&gt;822.860987&lt;/D&gt;&lt;D xsi:type="xsd:double"&gt;825.193528&lt;/D&gt;&lt;D xsi:type="xsd:double"&gt;819.831251&lt;/D&gt;&lt;D xsi:type="xsd:double"&gt;852.738045&lt;/D&gt;&lt;D xsi:type="xsd:double"&gt;855.6382&lt;/D&gt;&lt;D xsi:type="xsd:double"&gt;840.239272&lt;/D&gt;&lt;D xsi:type="xsd:double"&gt;844.899991&lt;/D&gt;&lt;D xsi:type="xsd:double"&gt;854.778726&lt;/D&gt;&lt;D xsi:type="xsd:double"&gt;852.930637&lt;/D&gt;&lt;D xsi:type="xsd:double"&gt;855.518474&lt;/D&gt;&lt;D xsi:type="xsd:double"&gt;854.540793&lt;/D&gt;&lt;D xsi:type="xsd:double"&gt;860.617663&lt;/D&gt;&lt;D xsi:type="xsd:double"&gt;864.728663&lt;/D&gt;&lt;D xsi:type="xsd:double"&gt;844.024329&lt;/D&gt;&lt;D xsi:type="xsd:double"&gt;833.544452&lt;/D&gt;&lt;D xsi:type="xsd:double"&gt;822.438196&lt;/D&gt;&lt;D xsi:type="xsd:double"&gt;836.593498&lt;/D&gt;&lt;D xsi:type="xsd:double"&gt;833.662682&lt;/D&gt;&lt;D xsi:type="xsd:double"&gt;823.713836&lt;/D&gt;&lt;D xsi:type="xsd:double"&gt;822.113958&lt;/D&gt;&lt;D xsi:type="xsd:double"&gt;806.55097&lt;/D&gt;&lt;D xsi:type="xsd:double"&gt;810.462718&lt;/D&gt;&lt;D xsi:type="xsd:double"&gt;807.02095&lt;/D&gt;&lt;D xsi:type="xsd:double"&gt;782.679837&lt;/D&gt;&lt;D xsi:type="xsd:double"&gt;773.408017&lt;/D&gt;&lt;D xsi:type="xsd:double"&gt;766.05201</t>
        </r>
      </text>
    </comment>
    <comment ref="A49" authorId="0" shapeId="0">
      <text>
        <r>
          <rPr>
            <b/>
            <sz val="9"/>
            <color indexed="81"/>
            <rFont val="Tahoma"/>
            <family val="2"/>
          </rPr>
          <t>1&lt;/D&gt;&lt;D xsi:type="xsd:double"&gt;739.582264&lt;/D&gt;&lt;D xsi:type="xsd:double"&gt;723.052057&lt;/D&gt;&lt;D xsi:type="xsd:double"&gt;736.019025&lt;/D&gt;&lt;D xsi:type="xsd:double"&gt;741.746727&lt;/D&gt;&lt;D xsi:type="xsd:double"&gt;739.453931&lt;/D&gt;&lt;D xsi:type="xsd:double"&gt;750.722325&lt;/D&gt;&lt;D xsi:type="xsd:double"&gt;751.335428&lt;/D&gt;&lt;D xsi:type="xsd:double"&gt;766.13712&lt;/D&gt;&lt;D xsi:type="xsd:double"&gt;773.072759&lt;/D&gt;&lt;D xsi:type="xsd:double"&gt;761.295181&lt;/D&gt;&lt;D xsi:type="xsd:double"&gt;764.678679&lt;/D&gt;&lt;D xsi:type="xsd:double"&gt;761.919222&lt;/D&gt;&lt;D xsi:type="xsd:double"&gt;750.224872&lt;/D&gt;&lt;D xsi:type="xsd:double"&gt;741.797365&lt;/D&gt;&lt;D xsi:type="xsd:double"&gt;723.71855&lt;/D&gt;&lt;D xsi:type="xsd:double"&gt;736.481136&lt;/D&gt;&lt;D xsi:type="xsd:double"&gt;750.473298&lt;/D&gt;&lt;D xsi:type="xsd:double"&gt;743.723048&lt;/D&gt;&lt;D xsi:type="xsd:double"&gt;749.021121&lt;/D&gt;&lt;D xsi:type="xsd:double"&gt;764.628874&lt;/D&gt;&lt;D xsi:type="xsd:double"&gt;769.9376&lt;/D&gt;&lt;D xsi:type="xsd:double"&gt;790.185085&lt;/D&gt;&lt;D xsi:type="xsd:double"&gt;791.032432&lt;/D&gt;&lt;D xsi:type="xsd:double"&gt;789.134891&lt;/D&gt;&lt;D xsi:type="xsd:double"&gt;771.184092&lt;/D&gt;&lt;D xsi:type="xsd:double"&gt;772.253427&lt;/D&gt;&lt;D xsi:type="xsd:double"&gt;786.964648&lt;/D&gt;&lt;D xsi:type="xsd:double"&gt;781.757237&lt;/D&gt;&lt;D xsi:type="xsd:double"&gt;784.220526&lt;/D&gt;&lt;D xsi:type="xsd:double"&gt;795.592331&lt;/D&gt;&lt;D xsi:type="xsd:double"&gt;802.210284&lt;/D&gt;&lt;D xsi:type="xsd:double"&gt;773.121257&lt;/D&gt;&lt;D xsi:type="xsd:double"&gt;761.744163&lt;/D&gt;&lt;D xsi:type="xsd:double"&gt;754.180315&lt;/D&gt;&lt;D xsi:type="xsd:double"&gt;739.618308&lt;/D&gt;&lt;D xsi:type="xsd:double"&gt;746.416923&lt;/D&gt;&lt;D xsi:type="xsd:double"&gt;740.957485&lt;/D&gt;&lt;D xsi:type="xsd:double"&gt;756.069569&lt;/D&gt;&lt;D xsi:type="xsd:double"&gt;745.818769&lt;/D&gt;&lt;D xsi:type="xsd:double"&gt;728.492405&lt;/D&gt;&lt;D xsi:type="xsd:double"&gt;707.928379&lt;/D&gt;&lt;D xsi:type="xsd:double"&gt;699.390552&lt;/D&gt;&lt;D xsi:type="xsd:double"&gt;709.865801&lt;/D&gt;&lt;D xsi:type="xsd:double"&gt;721.131228&lt;/D&gt;&lt;D xsi:type="xsd:double"&gt;723.584859&lt;/D&gt;&lt;D xsi:type="xsd:double"&gt;725.130708&lt;/D&gt;&lt;D xsi:type="xsd:double"&gt;714.913287&lt;/D&gt;&lt;D xsi:type="xsd:double"&gt;712.050651&lt;/D&gt;&lt;D xsi:type="xsd:double"&gt;704.293777&lt;/D&gt;&lt;D xsi:type="xsd:double"&gt;700.985066&lt;/D&gt;&lt;D xsi:type="xsd:double"&gt;662.834736&lt;/D&gt;&lt;D xsi:type="xsd:double"&gt;662.730425&lt;/D&gt;&lt;D xsi:type="xsd:double"&gt;645.561719&lt;/D&gt;&lt;D xsi:type="xsd:double"&gt;623.720104&lt;/D&gt;&lt;D xsi:type="xsd:double"&gt;633.517825&lt;/D&gt;&lt;D xsi:type="xsd:double"&gt;647.837408&lt;/D&gt;&lt;D xsi:type="xsd:double"&gt;639.753167&lt;/D&gt;&lt;D xsi:type="xsd:double"&gt;629.230817&lt;/D&gt;&lt;D xsi:type="xsd:double"&gt;627.244751&lt;/D&gt;&lt;D xsi:type="xsd:double"&gt;633.484451&lt;/D&gt;&lt;D xsi:type="xsd:double"&gt;643.397587&lt;/D&gt;&lt;D xsi:type="xsd:double"&gt;648.392473&lt;/D&gt;&lt;D xsi:type="xsd:double"&gt;643.855434&lt;/D&gt;&lt;D xsi:type="xsd:double"&gt;645.560924&lt;/D&gt;&lt;D xsi:type="xsd:double"&gt;640.596921&lt;/D&gt;&lt;D xsi:type="xsd:double"&gt;632.628192&lt;/D&gt;&lt;D xsi:type="xsd:double"&gt;610.2201&lt;/D&gt;&lt;D xsi:type="xsd:double"&gt;615.888485&lt;/D&gt;&lt;D xsi:type="xsd:double"&gt;623.031015&lt;/D&gt;&lt;D xsi:type="xsd:double"&gt;617.113963&lt;/D&gt;&lt;D xsi:type="xsd:double"&gt;613.071752&lt;/D&gt;&lt;D xsi:type="xsd:double"&gt;580.758159&lt;/D&gt;&lt;D xsi:type="xsd:double"&gt;569.966602&lt;/D&gt;&lt;D xsi:type="xsd:double"&gt;561.45571&lt;/D&gt;&lt;D xsi:type="xsd:double"&gt;591.319944&lt;/D&gt;&lt;D xsi:type="xsd:double"&gt;599.730896&lt;/D&gt;&lt;D xsi:type="xsd:double"&gt;587.445901&lt;/D&gt;&lt;D xsi:type="xsd:double"&gt;581.513416&lt;/D&gt;&lt;D xsi:type="xsd:double"&gt;579.309559&lt;/D&gt;&lt;D xsi:type="xsd:double"&gt;552.991014&lt;/D&gt;&lt;D xsi:type="xsd:double"&gt;557.455947&lt;/D&gt;&lt;D xsi:type="xsd:double"&gt;543.878375&lt;/D&gt;&lt;D xsi:type="xsd:double"&gt;541.918523&lt;/D&gt;&lt;D xsi:type="xsd:double"&gt;539.660312&lt;/D&gt;&lt;D xsi:type="xsd:double"&gt;527.977247&lt;/D&gt;&lt;D xsi:type="xsd:double"&gt;515.966516&lt;/D&gt;&lt;D xsi:type="xsd:double"&gt;512.503072&lt;/D&gt;&lt;D xsi:type="xsd:double"&gt;502.701216&lt;/D&gt;&lt;D xsi:type="xsd:double"&gt;485.292208&lt;/D&gt;&lt;D xsi:type="xsd:double"&gt;488.314172&lt;/D&gt;&lt;D xsi:type="xsd:double"&gt;488.147936&lt;/D&gt;&lt;D xsi:type="xsd:double"&gt;493.46747&lt;/D&gt;&lt;D xsi:type="xsd:double"&gt;476.158559&lt;/D&gt;&lt;D xsi:type="xsd:double"&gt;475.080462&lt;/D&gt;&lt;D xsi:type="xsd:double"&gt;499.303823&lt;/D&gt;&lt;D xsi:type="xsd:double"&gt;505.836576&lt;/D&gt;&lt;D xsi:type="xsd:double"&gt;505.424834&lt;/D&gt;&lt;D xsi:type="xsd:double"&gt;502.739867&lt;/D&gt;&lt;D xsi:type="xsd:double"&gt;510.142781&lt;/D&gt;&lt;D xsi:type="xsd:double"&gt;502.508944&lt;/D&gt;&lt;D xsi:type="xsd:double"&gt;521.39824&lt;/D&gt;&lt;D xsi:type="xsd:double"&gt;516.326003&lt;/D&gt;&lt;D xsi:type="xsd:double"&gt;520.873516&lt;/D&gt;&lt;D xsi:type="xsd:double"&gt;554.307939&lt;/D&gt;&lt;D xsi:type="xsd:double"&gt;542.692861&lt;/D&gt;&lt;D xsi:type="xsd:double"&gt;553.541824&lt;/D&gt;&lt;D xsi:type="xsd:double"&gt;561.380791&lt;/D&gt;&lt;D xsi:type="xsd:double"&gt;564.806981&lt;/D&gt;&lt;D xsi:type="xsd:double"&gt;557.526492&lt;/D&gt;&lt;D xsi:type="xsd:double"&gt;536.568751&lt;/D&gt;&lt;D xsi:type="xsd:double"&gt;535.968006&lt;/D&gt;&lt;D xsi:type="xsd:double"&gt;525.347303&lt;/D&gt;&lt;D xsi:type="xsd:double"&gt;517.137057&lt;/D&gt;&lt;D xsi:type="xsd:double"&gt;529.5321&lt;/D&gt;&lt;D xsi:type="xsd:double"&gt;532.177431&lt;/D&gt;&lt;D xsi:type="xsd:double"&gt;533.111538&lt;/D&gt;&lt;D xsi:type="xsd:double"&gt;518.928845&lt;/D&gt;&lt;D xsi:type="xsd:double"&gt;515.878889&lt;/D&gt;&lt;D xsi:type="xsd:double"&gt;507.289259&lt;/D&gt;&lt;D xsi:type="xsd:double"&gt;514.36241&lt;/D&gt;&lt;D xsi:type="xsd:double"&gt;515.164113&lt;/D&gt;&lt;D xsi:type="xsd:double"&gt;517.536342&lt;/D&gt;&lt;D xsi:type="xsd:double"&gt;537.836725&lt;/D&gt;&lt;D xsi:type="xsd:double"&gt;526.642306&lt;/D&gt;&lt;D xsi:type="xsd:double"&gt;542.848352&lt;/D&gt;&lt;D xsi:type="xsd:double"&gt;550.893835&lt;/D&gt;&lt;D xsi:type="xsd:double"&gt;553.221355&lt;/D&gt;&lt;D xsi:type="xsd:double"&gt;571.248886&lt;/D&gt;&lt;D xsi:type="xsd:double"&gt;578.399632&lt;/D&gt;&lt;D xsi:type="xsd:double"&gt;595.207296&lt;/D&gt;&lt;D xsi:type="xsd:double"&gt;607.395184&lt;/D&gt;&lt;D xsi:type="xsd:double"&gt;598.94027&lt;/D&gt;&lt;D xsi:type="xsd:double"&gt;580.957123&lt;/D&gt;&lt;D xsi:type="xsd:double"&gt;567.042121&lt;/D&gt;&lt;D xsi:type="xsd:double"&gt;565.778725&lt;/D&gt;&lt;D xsi:type="xsd:double"&gt;557.470881&lt;/D&gt;&lt;D xsi:type="xsd:double"&gt;551.57808&lt;/D&gt;&lt;D xsi:type="xsd:double"&gt;553.683914&lt;/D&gt;&lt;D xsi:type="xsd:double"&gt;555.816999&lt;/D&gt;&lt;D xsi:type="xsd:double"&gt;567.339028&lt;/D&gt;&lt;D xsi:type="xsd:double"&gt;582.057732&lt;/D&gt;&lt;D xsi:type="xsd:double"&gt;590.296092&lt;/D&gt;&lt;D xsi:type="xsd:double"&gt;586.1454&lt;/D&gt;&lt;D xsi:type="xsd:double"&gt;571.853173&lt;/D&gt;&lt;D xsi:type="xsd:double"&gt;562.670338&lt;/D&gt;&lt;D xsi:type="xsd:double"&gt;551.712429&lt;/D&gt;&lt;D xsi:type="xsd:double"&gt;568.888031&lt;/D&gt;&lt;D xsi:type="xsd:double"&gt;562.442284&lt;/D&gt;&lt;D xsi:type="xsd:double"&gt;537.549286&lt;/D&gt;&lt;D xsi:type="xsd:double"&gt;537.085175&lt;/D&gt;&lt;D xsi:type="xsd:double"&gt;497.510743&lt;/D&gt;&lt;D xsi:type="xsd:double"&gt;501.76599&lt;/D&gt;&lt;D xsi:type="xsd:double"&gt;503.380146&lt;/D&gt;&lt;D xsi:type="xsd:double"&gt;501.224973&lt;/D&gt;&lt;D xsi:type="xsd:double"&gt;513.391053&lt;/D&gt;&lt;D xsi:type="xsd:double"&gt;526.97212&lt;/D&gt;&lt;D xsi:type="xsd:double"&gt;513.264781&lt;/D&gt;&lt;D xsi:type="xsd:double"&gt;500.374796&lt;/D&gt;&lt;D xsi:type="xsd:double"&gt;485.520617&lt;/D&gt;&lt;D xsi:type="xsd:double"&gt;467.634729&lt;/D&gt;&lt;D xsi:type="xsd:double"&gt;464.310655&lt;/D&gt;&lt;D xsi:type="xsd:double"&gt;489.589503&lt;/D&gt;&lt;D xsi:type="xsd:double"&gt;500.481786&lt;/D&gt;&lt;D xsi:type="xsd:double"&gt;520.094994&lt;/D&gt;&lt;D xsi:type="xsd:double"&gt;530.280199&lt;/D&gt;&lt;D xsi:type="xsd:double"&gt;524.120186&lt;/D&gt;&lt;D xsi:type="xsd:double"&gt;533.485833&lt;/D&gt;&lt;D xsi:type="xsd:double"&gt;555.623897&lt;/D&gt;&lt;D xsi:type="xsd:double"&gt;583.018032&lt;/D&gt;&lt;D xsi:type="xsd:double"&gt;564.762945&lt;/D&gt;&lt;D xsi:type="xsd:double"&gt;557.661144&lt;/D&gt;&lt;D xsi:type="xsd:double"&gt;600.179092&lt;/D&gt;&lt;D xsi:type="xsd:double"&gt;603.142013&lt;/D&gt;&lt;D xsi:type="xsd:double"&gt;584.360387&lt;/D&gt;&lt;D xsi:type="xsd:double"&gt;570.521254&lt;/D&gt;&lt;D xsi:type="xsd:double"&gt;561.335315&lt;/D&gt;&lt;D xsi:type="xsd:double"&gt;507.547349&lt;/D&gt;&lt;D xsi:type="xsd:double"&gt;484.926685&lt;/D&gt;&lt;D xsi:type="xsd:double"&gt;454.340172&lt;/D&gt;&lt;D xsi:type="xsd:double"&gt;473.392621&lt;/D&gt;&lt;D xsi:type="xsd:double"&gt;514.291475&lt;/D&gt;&lt;D xsi:type="xsd:double"&gt;534.667871&lt;/D&gt;&lt;D xsi:type="xsd:double"&gt;580.199751&lt;/D&gt;&lt;D xsi:type="xsd:double"&gt;590.59163&lt;/D&gt;&lt;D xsi:type="xsd:double"&gt;567.920457&lt;/D&gt;&lt;D xsi:type="xsd:double"&gt;576.501174&lt;/D&gt;&lt;D xsi:type="xsd:double"&gt;623.297286&lt;/D&gt;&lt;D xsi:type="xsd:double"&gt;673.749387&lt;/D&gt;&lt;D xsi:type="xsd:double"&gt;635.662526&lt;/D&gt;&lt;D xsi:type="xsd:double"&gt;591.901229&lt;/D&gt;&lt;D xsi:type="xsd:double"&gt;618.901755&lt;/D&gt;&lt;D xsi:type="xsd:double"&gt;605.840558&lt;/D&gt;&lt;D xsi:type="xsd:double"&gt;659.088924&lt;/D&gt;&lt;D xsi:type="xsd:double"&gt;671.179414&lt;/D&gt;&lt;D xsi:type="xsd:double"&gt;741.725723&lt;/D&gt;&lt;D xsi:type="xsd:double"&gt;759.4978&lt;/D&gt;&lt;D xsi:type="xsd:double"&gt;786.174439&lt;/D&gt;&lt;D xsi:type="xsd:double"&gt;786.924149&lt;/D&gt;&lt;D xsi:type="xsd:double"&gt;775.057096&lt;/D&gt;&lt;D xsi:type="xsd:double"&gt;823.668669&lt;/D&gt;&lt;D xsi:type="xsd:double"&gt;838.288593&lt;/D&gt;&lt;D xsi:type="xsd:double"&gt;831.304572&lt;/D&gt;&lt;D xsi:type="xsd:double"&gt;830.322101&lt;/D&gt;&lt;D xsi:type="xsd:double"&gt;854.475342&lt;/D&gt;&lt;D xsi:type="xsd:double"&gt;845.562659&lt;/D&gt;&lt;D xsi:type="xsd:double"&gt;767.837813&lt;/D&gt;&lt;D xsi:type="xsd:double"&gt;768.918821&lt;/D&gt;&lt;D xsi:type="xsd:double"&gt;784.608321&lt;/D&gt;&lt;D xsi:type="xsd:double"&gt;825.348098&lt;/D&gt;&lt;D xsi:type="xsd:double"&gt;855.472046&lt;/D&gt;&lt;D xsi:type="xsd:double"&gt;839.812435&lt;/D&gt;&lt;D xsi:type="xsd:double"&gt;858.937584&lt;/D&gt;&lt;D xsi:type="xsd:double"&gt;868.583202&lt;/D&gt;&lt;D xsi:type="xsd:double"&gt;902.504888&lt;/D&gt;&lt;D xsi:type="xsd:double"&gt;873.679793&lt;/D&gt;&lt;D xsi:type="xsd:double"&gt;893.271213&lt;/D&gt;&lt;D xsi:type="xsd:double"&gt;911.957968&lt;/D&gt;&lt;D xsi:type="xsd:double"&gt;928.599477&lt;/D&gt;&lt;D xsi:type="xsd:double"&gt;956.253169&lt;/D&gt;&lt;D xsi:type="xsd:double"&gt;956.958566&lt;/D&gt;&lt;D xsi:type="xsd:double"&gt;953.742192&lt;/D&gt;&lt;D xsi:type="xsd:double"&gt;938.49972&lt;/D&gt;&lt;D xsi:type="xsd:double"&gt;950.246738&lt;/D&gt;&lt;D xsi:type="xsd:double"&gt;956.218709&lt;/D&gt;&lt;D xsi:type="xsd:double"&gt;957.144266&lt;/D&gt;&lt;D xsi:type="xsd:double"&gt;961.473522&lt;/D&gt;&lt;D xsi:type="xsd:double"&gt;942.877226&lt;/D&gt;&lt;D xsi:type="xsd:double"&gt;960.071646&lt;/D&gt;&lt;D xsi:type="xsd:double"&gt;971.893885&lt;/D&gt;&lt;D xsi:type="xsd:double"&gt;983.944402&lt;/D&gt;&lt;D xsi:type="xsd:double"&gt;973.878773&lt;/D&gt;&lt;D xsi:type="xsd:double"&gt;982.515071&lt;/D&gt;&lt;D xsi:type="xsd:double"&gt;990.594554&lt;/D&gt;&lt;D xsi:type="xsd:double"&gt;990.023591&lt;/D&gt;&lt;D xsi:type="xsd:double"&gt;1008.138098&lt;/D&gt;&lt;D xsi:type="xsd:double"&gt;1012.179836&lt;/D&gt;&lt;D xsi:type="xsd:double"&gt;999.498849&lt;/D&gt;&lt;D xsi:type="xsd:double"&gt;1008.337967&lt;/D&gt;&lt;D xsi:type="xsd:double"&gt;1029.808265&lt;/D&gt;&lt;D xsi:type="xsd:double"&gt;1041.856372&lt;/D&gt;&lt;D xsi:type="xsd:double"&gt;1038.961003&lt;/D&gt;&lt;D xsi:type="xsd:double"&gt;1015.793627&lt;/D&gt;&lt;D xsi:type="xsd:double"&gt;1024.403377&lt;/D&gt;&lt;D xsi:type="xsd:double"&gt;1024.519634&lt;/D&gt;&lt;D xsi:type="xsd:double"&gt;1042.771237&lt;/D&gt;&lt;D xsi:type="xsd:double"&gt;1049.920341&lt;/D&gt;&lt;D xsi:type="xsd:double"&gt;1035.641506&lt;/D&gt;&lt;D xsi:type="xsd:double"&gt;1041.49635&lt;/D&gt;&lt;D xsi:type="xsd:double"&gt;1022.158611&lt;/D&gt;&lt;D xsi:type="xsd:double"&gt;1031.395418&lt;/D&gt;&lt;D xsi:type="xsd:double"&gt;1015.89599&lt;/D&gt;&lt;D xsi:type="xsd:double"&gt;1016.169173&lt;/D&gt;&lt;D xsi:type="xsd:double"&gt;1043.040371&lt;/D&gt;&lt;D xsi:type="xsd:double"&gt;1042.997556&lt;/D&gt;&lt;D xsi:type="xsd:double"&gt;1036.527249&lt;/D&gt;&lt;D xsi:type="xsd:double"&gt;1036.970673&lt;/D&gt;&lt;D xsi:type="xsd:double"&gt;1022.605777&lt;/D&gt;&lt;D xsi:type="xsd:double"&gt;1038.288779&lt;/D&gt;&lt;D xsi:type="xsd:double"&gt;1033.483269&lt;/D&gt;&lt;D xsi:type="xsd:double"&gt;1057.153571&lt;/D&gt;&lt;D xsi:type="xsd:double"&gt;1068.746303&lt;/D&gt;&lt;D xsi:type="xsd:double"&gt;1087.118872&lt;/D&gt;&lt;D xsi:type="xsd:double"&gt;1084.79336&lt;/D&gt;&lt;D xsi:type="xsd:double"&gt;1099.712107&lt;/D&gt;&lt;D xsi:type="xsd:double"&gt;1106.209244&lt;/D&gt;&lt;D xsi:type="xsd:double"&gt;1091.557543&lt;/D&gt;&lt;D xsi:type="xsd:double"&gt;1099.542893&lt;/D&gt;&lt;D xsi:type="xsd:double"&gt;1110.32279&lt;/D&gt;&lt;D xsi:type="xsd:double"&gt;1126.598701&lt;/D&gt;&lt;D xsi:type="xsd:double"&gt;1138.632836&lt;/D&gt;&lt;D xsi:type="xsd:double"&gt;1143.716148&lt;/D&gt;&lt;D xsi:type="xsd:double"&gt;1132.820299&lt;/D&gt;&lt;D xsi:type="xsd:double"&gt;1119.870157&lt;/D&gt;&lt;D xsi:type="xsd:double"&gt;1123.041516&lt;/D&gt;&lt;D xsi:type="xsd:double"&gt;1131.275093&lt;/D&gt;&lt;D xsi:type="xsd:double"&gt;1137.926813&lt;/D&gt;&lt;D xsi:type="xsd:double"&gt;1167.385418&lt;/D&gt;&lt;D xsi:type="xsd:double"&gt;1182.677596&lt;/D&gt;&lt;D xsi:type="xsd:double"&gt;1184.285528&lt;/D&gt;&lt;D xsi:type="xsd:double"&gt;1173.30058&lt;/D&gt;&lt;D xsi:type="xsd:double"&gt;1190.47789&lt;/D&gt;&lt;D xsi:type="xsd:double"&gt;1207.586791&lt;/D&gt;&lt;D xsi:type="xsd:double"&gt;1209.869872&lt;/D&gt;&lt;D xsi:type="xsd:double"&gt;1201.691636&lt;/D&gt;&lt;D xsi:type="xsd:double"&gt;1195.298115&lt;/D&gt;&lt;D xsi:type="xsd:double"&gt;1191.821034&lt;/D&gt;&lt;D xsi:type="xsd:double"&gt;1207.790435&lt;/D&gt;&lt;D xsi:type="xsd:double"&gt;1221.780744&lt;/D&gt;&lt;D xsi:type="xsd:double"&gt;1232.940271&lt;/D&gt;&lt;D xsi:type="xsd:double"&gt;1233.498641&lt;/D&gt;&lt;D xsi:type="xsd:double"&gt;1249.554792&lt;/D&gt;&lt;D xsi:type="xsd:double"&gt;1240.140131&lt;/D&gt;&lt;D xsi:type="xsd:double"&gt;1221.230098&lt;/D&gt;&lt;D xsi:type="xsd:double"&gt;1207.414222&lt;/D&gt;&lt;D xsi:type="xsd:double"&gt;1205.421813&lt;/D&gt;&lt;D xsi:type="xsd:double"&gt;1193.9413&lt;/D&gt;&lt;D xsi:type="xsd:double"&gt;1188.445859&lt;/D&gt;&lt;D xsi:type="xsd:double"&gt;1196.274255&lt;/D&gt;&lt;D xsi:type="xsd:double"&gt;1205.860826&lt;/D&gt;&lt;D xsi:type="xsd:double"&gt;1215.258891&lt;/D&gt;&lt;D xsi:type="xsd:double"&gt;1209.634894&lt;/D&gt;&lt;D xsi:type="xsd:double"&gt;1207.293586&lt;/D&gt;&lt;D xsi:type="xsd:double"&gt;1192.663067&lt;/D&gt;&lt;D xsi:type="xsd:double"&gt;1191.365065&lt;/D&gt;&lt;D xsi:type="xsd:double"&gt;1180.003637&lt;/D&gt;&lt;D xsi:type="xsd:double"&gt;1194.214404&lt;/D&gt;&lt;D xsi:type="xsd:double"&gt;1188.841737&lt;/D&gt;&lt;D xsi:type="xsd:double"&gt;1186.983771&lt;/D&gt;&lt;D xsi:type="xsd:double"&gt;1191.940041&lt;/D&gt;&lt;D xsi:type="xsd:double"&gt;1189.578882&lt;/D&gt;&lt;D xsi:type="xsd:double"&gt;1186.835938&lt;/D&gt;&lt;D xsi:type="xsd:double"&gt;1175.690387&lt;/D&gt;&lt;D xsi:type="xsd:double"&gt;1174.098482&lt;/D&gt;&lt;D xsi:type="xsd:double"&gt;1164.832745&lt;/D&gt;&lt;D xsi:type="xsd:double"&gt;1150.669281&lt;/D&gt;&lt;D xsi:type="xsd:double"&gt;1145.107702&lt;/D&gt;&lt;D xsi:type="xsd:double"&gt;1160.19669&lt;/D&gt;&lt;D xsi:type="xsd:double"&gt;1158.621316&lt;/D&gt;&lt;D xsi:type="xsd:double"&gt;1150.206232&lt;/D&gt;&lt;D xsi:type="xsd:double"&gt;1153.401164&lt;/D&gt;&lt;D xsi:type="xsd:double"&gt;1160.466946&lt;/D&gt;&lt;D xsi:type="xsd:double"&gt;1145.053682&lt;/D&gt;&lt;D xsi:type="xsd:double"&gt;1142.738856&lt;/D&gt;&lt;D xsi:type="xsd:double"&gt;1137.528431&lt;/D&gt;&lt;D xsi:type="xsd:double"&gt;1113.6145&lt;/D&gt;&lt;D xsi:type="xsd:double"&gt;1104.430144&lt;/D&gt;&lt;D xsi:type="xsd:double"&gt;1112.606616&lt;/D&gt;&lt;D xsi:type="xsd:double"&gt;1106.50733&lt;/D&gt;&lt;D xsi:type="xsd:double"&gt;1107.445279&lt;/D&gt;&lt;D xsi:type="xsd:double"&gt;1104.346332&lt;/D&gt;&lt;D xsi:type="xsd:double"&gt;1072.589167&lt;/D&gt;&lt;D xsi:type="xsd:double"&gt;1045.79349&lt;/D&gt;&lt;D xsi:type="xsd:double"&gt;1065.792536&lt;/D&gt;&lt;D xsi:type="xsd:double"&gt;1065.023159&lt;/D&gt;&lt;D xsi:type="xsd:double"&gt;1044.4886&lt;/D&gt;&lt;D xsi:type="xsd:double"&gt;1092.390714&lt;/D&gt;&lt;D xsi:type="xsd:double"&gt;1099.670851&lt;/D&gt;&lt;D xsi:type="xsd:double"&gt;1131.002944&lt;/D&gt;&lt;D xsi:type="xsd:double"&gt;1118.2465&lt;/D&gt;&lt;D xsi:type="xsd:double"&gt;1093.785517&lt;/D&gt;&lt;D xsi:type="xsd:double"&gt;1117.34833&lt;/D&gt;&lt;D xsi:type="xsd:double"&gt;1144.122496&lt;/D&gt;&lt;D xsi:type="xsd:double"&gt;1142.008311&lt;/D&gt;&lt;D xsi:type="xsd:double"&gt;1136.038465&lt;/D&gt;&lt;D xsi:type="xsd:double"&gt;1144.712078&lt;/D&gt;&lt;D xsi:type="xsd:double"&gt;1167.497475&lt;/D&gt;&lt;D xsi:type="xsd:double"&gt;1191.878682&lt;/D&gt;&lt;D xsi:type="xsd:double"&gt;1190.727744&lt;/D&gt;&lt;D xsi:type="xsd:double"&gt;1172.140689&lt;/D&gt;&lt;D xsi:type="xsd:double"&gt;1161.301674&lt;/D&gt;&lt;D xsi:type="xsd:double"&gt;1150.145401&lt;/D&gt;&lt;D xsi:type="xsd:double"&gt;1154.399521&lt;/D&gt;&lt;D xsi:type="xsd:double"&gt;1139.372846&lt;/D&gt;&lt;D xsi:type="xsd:double"&gt;1153.563935&lt;/D&gt;&lt;D xsi:type="xsd:double"&gt;1133.660422&lt;/D&gt;&lt;D xsi:type="xsd:double"&gt;1135.632866&lt;/D&gt;&lt;D xsi:type="xsd:double"&gt;1111.356889&lt;/D&gt;&lt;D xsi:type="xsd:double"&gt;1101.106976&lt;/D&gt;&lt;D xsi:type="xsd:double"&gt;1084.009292&lt;/D&gt;&lt;D xsi:type="xsd:double"&gt;1095.213712&lt;/D&gt;&lt;D xsi:type="xsd:double"&gt;1095.345864&lt;/D&gt;&lt;D xsi:type="xsd:double"&gt;1104.702311&lt;/D&gt;&lt;D xsi:type="xsd:double"&gt;1127.607229&lt;/D&gt;&lt;D xsi:type="xsd:double"&gt;1142.315805&lt;/D&gt;&lt;D xsi:type="xsd:double"&gt;1119.845803&lt;/D&gt;&lt;D xsi:type="xsd:double"&gt;1088.569848&lt;/D&gt;&lt;D xsi:type="xsd:double"&gt;1091.202161&lt;/D&gt;&lt;D xsi:type="xsd:double"&gt;1102.665097&lt;/D&gt;&lt;D xsi:type="xsd:double"&gt;1087.555532&lt;/D&gt;&lt;D xsi:type="xsd:double"&gt;1110.982382&lt;/D&gt;&lt;D xsi:type="xsd:double"&gt;1083.187227&lt;/D&gt;&lt;D xsi:type="xsd:double"&gt;1055.030895&lt;/D&gt;&lt;D xsi:type="xsd:double"&gt;1040.920361&lt;/D&gt;&lt;D xsi:type="xsd:double"&gt;1136.096127&lt;/D&gt;&lt;D xsi:type="xsd:double"&gt;1140.599468&lt;/D&gt;&lt;D xsi:type="xsd:double"&gt;1147.307968&lt;/D&gt;&lt;D xsi:type="xsd:double"&gt;1195.991447&lt;/D&gt;&lt;D xsi:type="xsd:double"&gt;1217.832149&lt;/D&gt;&lt;D xsi:type="xsd:double"&gt;1213.531859&lt;/D&gt;&lt;D xsi:type="xsd:double"&gt;1221.120694&lt;/D&gt;&lt;D xsi:type="xsd:double"&gt;1226.834338&lt;/D&gt;&lt;D xsi:type="xsd:double"&gt;1220.141079&lt;/D&gt;&lt;D xsi:type="xsd:double"&gt;1207.307358&lt;/D&gt;&lt;D xsi:type="xsd:double"&gt;1224.864746&lt;/D&gt;&lt;D xsi:type="xsd:double"&gt;1227.338538&lt;/D&gt;&lt;D xsi:type="xsd:double"&gt;1235.064291&lt;/D&gt;&lt;D xsi:type="xsd:double"&gt;1245.422356&lt;/D&gt;&lt;D xsi:type="xsd:double"&gt;1246.900915&lt;/D&gt;&lt;D xsi:type="xsd:double"&gt;1248.349618&lt;/D&gt;&lt;D xsi:type="xsd:double"&gt;1243.491721&lt;/D&gt;&lt;D xsi:type="xsd:double"&gt;1237.509392&lt;/D&gt;&lt;D xsi:type="xsd:double"&gt;1215.821657&lt;/D&gt;&lt;D xsi:type="xsd:double"&gt;1195.83072&lt;/D&gt;&lt;D xsi:type="xsd:double"&gt;1196.859975&lt;/D&gt;&lt;D xsi:type="xsd:double"&gt;1189.327694&lt;/D&gt;&lt;D xsi:type="xsd:double"&gt;1183.761937&lt;/D&gt;&lt;D xsi:type="xsd:double"&gt;1224.481987&lt;/D&gt;&lt;D xsi:type="xsd:double"&gt;1242.12756&lt;/D&gt;&lt;D xsi:type="xsd:double"&gt;1271.947727&lt;/D&gt;&lt;D xsi:type="xsd:double"&gt;1279.003828&lt;/D&gt;&lt;D xsi:type="xsd:double"&gt;1276.726489&lt;/D&gt;&lt;D xsi:type="xsd:double"&gt;1282.559978&lt;/D&gt;&lt;D xsi:type="xsd:double"&gt;1280.348332&lt;/D&gt;&lt;D xsi:type="xsd:double"&gt;1269.267627&lt;/D&gt;&lt;D xsi:type="xsd:double"&gt;1246.593096&lt;/D&gt;&lt;D xsi:type="xsd:double"&gt;1242.975241&lt;/D&gt;&lt;D xsi:type="xsd:double"&gt;1241.869309&lt;/D&gt;&lt;D xsi:type="xsd:double"&gt;1226.633931&lt;/D&gt;&lt;D xsi:type="xsd:double"&gt;1203.495876&lt;/D&gt;&lt;D xsi:type="xsd:double"&gt;1187.823438&lt;/D&gt;&lt;D xsi:type="xsd:double"&gt;1200.766767&lt;/D&gt;&lt;D xsi:type="xsd:double"&gt;1185.949083&lt;/D&gt;&lt;D xsi:type="xsd:double"&gt;1188.341314&lt;/D&gt;&lt;D xsi:type="xsd:double"&gt;1228.366523&lt;/D&gt;&lt;D xsi:type="xsd:double"&gt;1226.882194&lt;/D&gt;&lt;D xsi:type="xsd:double"&gt;1245.602596&lt;/D&gt;&lt;D xsi:type="xsd:double"&gt;1264.533576&lt;/D&gt;&lt;D xsi:type="xsd:double"&gt;1279.634067&lt;/D&gt;&lt;D xsi:type="xsd:double"&gt;1240.117744&lt;/D&gt;&lt;D xsi:type="xsd:double"&gt;1231.780399&lt;/D&gt;&lt;D xsi:type="xsd:double"&gt;1277.710955&lt;/D&gt;&lt;D xsi:type="xsd:double"&gt;1281.952005&lt;/D&gt;&lt;D xsi:type="xsd:double"&gt;1303.032031&lt;/D&gt;&lt;D xsi:type="xsd:double"&gt;1304.517339&lt;/D&gt;&lt;D xsi:type="xsd:double"&gt;1285.969123&lt;/D&gt;&lt;D xsi:type="xsd:double"&gt;1309.969674&lt;/D&gt;&lt;D xsi:type="xsd:double"&gt;1327.707134&lt;/D&gt;&lt;D xsi:type="xsd:double"&gt;1337.447993&lt;/D&gt;&lt;D xsi:type="xsd:double"&gt;1331.79079&lt;/D&gt;&lt;D xsi:type="xsd:double"&gt;1338.304762&lt;/D&gt;&lt;D xsi:type="xsd:double"&gt;1311.343548&lt;/D&gt;&lt;D xsi:type="xsd:double"&gt;1283.824011&lt;/D&gt;&lt;D xsi:type="xsd:double"&gt;1265.157227&lt;/D&gt;&lt;D xsi:type="xsd:double"&gt;1268.524466&lt;/D&gt;&lt;D xsi:type="xsd:double"&gt;1234.120226&lt;/D&gt;&lt;D xsi:type="xsd:double"&gt;1263.091518&lt;/D&gt;&lt;D xsi:type="xsd:double"&gt;1278.899781&lt;/D&gt;&lt;D xsi:type="xsd:double"&gt;1279.69677&lt;/D&gt;&lt;D xsi:type="xsd:double"&gt;1274.449793&lt;/D&gt;&lt;D xsi:type="xsd:double"&gt;1290.288397&lt;/D&gt;&lt;D xsi:type="xsd:double"&gt;1276.322925&lt;/D&gt;&lt;D xsi:type="xsd:double"&gt;1289.287037&lt;/D&gt;&lt;D xsi:type="xsd:double"&gt;1271.264886&lt;/D&gt;&lt;D xsi:type="xsd:double"&gt;1260.341522&lt;/D&gt;&lt;D xsi:type="xsd:double"&gt;1250.007307&lt;/D&gt;&lt;D xsi:type="xsd:double"&gt;1245.865093&lt;/D&gt;&lt;D xsi:type="xsd:double"&gt;1225.890302&lt;/D&gt;&lt;D xsi:type="xsd:double"&gt;1236.639727&lt;/D&gt;&lt;D xsi:type="xsd:double"&gt;1244.05719&lt;/D&gt;&lt;D xsi:type="xsd:double"&gt;1217.880912&lt;/D&gt;&lt;D xsi:type="xsd:double"&gt;1204.739755&lt;/D&gt;&lt;D xsi:type="xsd:double"&gt;1202.730202&lt;/D&gt;&lt;D xsi:type="xsd:double"&gt;1181.257222&lt;/D&gt;&lt;D xsi:type="xsd:double"&gt;1169.929524&lt;/D&gt;&lt;D xsi:type="xsd:double"&gt;1174.546223&lt;/D&gt;&lt;D xsi:type="xsd:double"&gt;1160.978806&lt;/D&gt;&lt;D xsi:type="xsd:double"&gt;1153.51739&lt;/D&gt;&lt;D xsi:type="xsd:double"&gt;1145.490704&lt;/D&gt;&lt;D xsi:type="xsd:double"&gt;1107.853891&lt;/D&gt;&lt;D xsi:type="xsd:double"&gt;1098.477079&lt;/D&gt;&lt;D xsi:type="xsd:double"&gt;1107.591914&lt;/D&gt;&lt;D xsi:type="xsd:double"&gt;1101.205577&lt;/D&gt;&lt;D xsi:type="xsd:double"&gt;1089.598729&lt;/D&gt;&lt;D xsi:type="xsd:double"&gt;1087.784088&lt;/D&gt;&lt;D xsi:type="xsd:double"&gt;1075.257582&lt;/D&gt;&lt;D xsi:type="xsd:double"&gt;1088.343421&lt;/D&gt;&lt;D xsi:type="xsd:double"&gt;1094.041446&lt;/D&gt;&lt;D xsi:type="xsd:double"&gt;1085.290774&lt;/D&gt;&lt;D xsi:type="xsd:double"&gt;1091.051889&lt;/D&gt;&lt;D xsi:type="xsd:double"&gt;1086.825322&lt;/D&gt;&lt;D xsi:type="xsd:double"&gt;1061.522695&lt;/D&gt;&lt;D xsi:type="xsd:double"&gt;1047.796535&lt;/D&gt;&lt;D xsi:type="xsd:double"&gt;1050.253165&lt;/D&gt;&lt;D xsi:type="xsd:double"&gt;1059.196743&lt;/D&gt;&lt;D xsi:type="xsd:double"&gt;1039.63896&lt;/D&gt;&lt;D xsi:type="xsd:double"&gt;1035.130376&lt;/D&gt;&lt;D xsi:type="xsd:double"&gt;1017.276255&lt;/D&gt;&lt;D xsi:type="xsd:double"&gt;991.733455&lt;/D&gt;&lt;D xsi:type="xsd:double"&gt;993.552935&lt;/D&gt;&lt;D xsi:type="xsd:double"&gt;957.825687&lt;/D&gt;&lt;D xsi:type="xsd:double"&gt;956.725083&lt;/D&gt;&lt;D xsi:type="xsd:double"&gt;1013.865237&lt;/D&gt;&lt;D xsi:type="xsd:double"&gt;1038.822316&lt;/D&gt;&lt;D xsi:type="xsd:double"&gt;1053.989001&lt;/D&gt;&lt;D xsi:type="xsd:double"&gt;1043.425187&lt;/D&gt;&lt;D xsi:type="xsd:double"&gt;1079.211653&lt;/D&gt;&lt;D xsi:type="xsd:double"&gt;1093.292608&lt;/D&gt;&lt;D xsi:type="xsd:double"&gt;1063.26946&lt;/D&gt;&lt;D xsi:type="xsd:double"&gt;1058.567151&lt;/D&gt;&lt;D xsi:type="xsd:double"&gt;1080.180211&lt;/D&gt;&lt;D xsi:type="xsd:double"&gt;1080.74514&lt;/D&gt;&lt;D xsi:type="xsd:double"&gt;1074.495711&lt;/D&gt;&lt;D xsi:type="xsd:double"&gt;1112.613824&lt;/D&gt;&lt;D xsi:type="xsd:double"&gt;1094.428904&lt;/D&gt;&lt;D xsi:type="xsd:double"&gt;1085.171418&lt;/D&gt;&lt;D xsi:type="xsd:double"&gt;1121.21638&lt;/D&gt;&lt;D xsi:type="xsd:double"&gt;1147.42451&lt;/D&gt;&lt;D xsi:type="xsd:double"&gt;1156.519518&lt;/D&gt;&lt;D xsi:type="xsd:double"&gt;1162.966793&lt;/D&gt;&lt;D xsi:type="xsd:double"&gt;1150.874573&lt;/D&gt;&lt;D xsi:type="xsd:double"&gt;1143.948025&lt;/D&gt;&lt;D xsi:type="xsd:double"&gt;1132.043663&lt;/D&gt;&lt;D xsi:type="xsd:double"&gt;1139.950782&lt;/D&gt;&lt;D xsi:type="xsd:double"&gt;1140.13481&lt;/D&gt;&lt;D xsi:type="xsd:double"&gt;1145.956124&lt;/D&gt;&lt;D xsi:type="xsd:double"&gt;1130.004888&lt;/D&gt;&lt;D xsi:type="xsd:double"&gt;1113.609264&lt;/D&gt;&lt;D xsi:type="xsd:double"&gt;1116.129556&lt;/D&gt;&lt;D xsi:type="xsd:double"&gt;1119.146339&lt;/D&gt;&lt;D xsi:type="xsd:double"&gt;1105.830177&lt;/D&gt;&lt;D xsi:type="xsd:double"&gt;1097.163507&lt;/D&gt;&lt;D xsi:type="xsd:double"&gt;1088.782413&lt;/D&gt;&lt;D xsi:type="xsd:double"&gt;1072.739664&lt;/D&gt;&lt;D xsi:type="xsd:double"&gt;1059.543882&lt;/D&gt;&lt;D xsi:type="xsd:double"&gt;1056.23895&lt;/D&gt;&lt;D xsi:type="xsd:double"&gt;1044.852527&lt;/D&gt;&lt;D xsi:type="xsd:double"&gt;1050.955396&lt;/D&gt;&lt;D xsi:type="xsd:double"&gt;1057.171594&lt;/D&gt;&lt;D xsi:type="xsd:double"&gt;1064.069902&lt;/D&gt;&lt;D xsi:type="xsd:double"&gt;1066.843164&lt;/D&gt;&lt;D xsi:type="xsd:double"&gt;1064.132165&lt;/D&gt;&lt;D xsi:type="xsd:double"&gt;1061.638423&lt;/D&gt;&lt;D xsi:type="xsd:double"&gt;1061.643976&lt;/D&gt;&lt;D xsi:type="xsd:double"&gt;1049.208996&lt;/D&gt;&lt;D xsi:type="xsd:double"&gt;1036.284685&lt;/D&gt;&lt;D xsi:type="xsd:double"&gt;1015.116993&lt;/D&gt;&lt;D xsi:type="xsd:double"&gt;1013.989193&lt;/D&gt;&lt;D xsi:type="xsd:double"&gt;1014.100583&lt;/D&gt;&lt;D xsi:type="xsd:double"&gt;1006.715883&lt;/D&gt;&lt;D xsi:type="xsd:double"&gt;1019.494762&lt;/D&gt;&lt;D xsi:type="xsd:double"&gt;1023.885776&lt;/D&gt;&lt;D xsi:type="xsd:double"&gt;1035.402869&lt;/D&gt;&lt;D xsi:type="xsd:double"&gt;1034.307982&lt;/D&gt;&lt;D xsi:type="xsd:double"&gt;1031.368981&lt;/D&gt;&lt;D xsi:type="xsd:double"&gt;1014.641244&lt;/D&gt;&lt;D xsi:type="xsd:double"&gt;999.177839&lt;/D&gt;&lt;D xsi:type="xsd:double"&gt;1006.004234&lt;/D&gt;&lt;D xsi:type="xsd:double"&gt;1004.729604&lt;/D&gt;&lt;D xsi:type="xsd:double"&gt;1003.257073&lt;/D&gt;&lt;D xsi:type="xsd:double"&gt;1015.813393&lt;/D&gt;&lt;D xsi:type="xsd:double"&gt;1017.289246&lt;/D&gt;&lt;D xsi:type="xsd:double"&gt;1013.916685&lt;/D&gt;&lt;D xsi:type="xsd:double"&gt;1005.563586&lt;/D&gt;&lt;D xsi:type="xsd:double"&gt;1003.021213&lt;/D&gt;&lt;D xsi:type="xsd:double"&gt;1003.761762&lt;/D&gt;&lt;D xsi:type="xsd:double"&gt;992.383302&lt;/D&gt;&lt;D xsi:type="xsd:double"&gt;997.873359&lt;/D&gt;&lt;D xsi:type="xsd:double"&gt;990.698543&lt;/D&gt;&lt;D xsi:type="xsd:double"&gt;993.76133&lt;/D&gt;&lt;D xsi:type="xsd:double"&gt;998.630912&lt;/D&gt;&lt;D xsi:type="xsd:double"&gt;993.005517&lt;/D&gt;&lt;D xsi:type="xsd:double"&gt;999.400324&lt;/D&gt;&lt;D xsi:type="xsd:double"&gt;995.150261&lt;/D&gt;&lt;D xsi:type="xsd:double"&gt;986.361075&lt;/D&gt;&lt;D xsi:type="xsd:double"&gt;974.985441&lt;/D&gt;&lt;D xsi:type="xsd:double"&gt;970.072763&lt;/D&gt;&lt;D xsi:type="xsd:double"&gt;970.856257&lt;/D&gt;&lt;D xsi:type="xsd:double"&gt;975.667639&lt;/D&gt;&lt;D xsi:type="xsd:double"&gt;983.366881&lt;/D&gt;&lt;D xsi:type="xsd:double"&gt;982.581866&lt;/D&gt;&lt;D xsi:type="xsd:double"&gt;980.025897&lt;/D&gt;&lt;D xsi:type="xsd:double"&gt;980.720111&lt;/D&gt;&lt;D xsi:type="xsd:double"&gt;979.435194&lt;/D&gt;&lt;D xsi:type="xsd:double"&gt;964.193374&lt;/D&gt;&lt;D xsi:type="xsd:double"&gt;975.544157&lt;/D&gt;&lt;D xsi:type="xsd:double"&gt;978.298434&lt;/D&gt;&lt;D xsi:type="xsd:double"&gt;980.53632&lt;/D&gt;&lt;D xsi:type="xsd:double"&gt;968.851782&lt;/D&gt;&lt;D xsi:type="xsd:double"&gt;963.201144&lt;/D&gt;&lt;D xsi:type="xsd:double"&gt;963.487635&lt;/D&gt;&lt;D xsi:type="xsd:double"&gt;960.193019&lt;/D&gt;&lt;D xsi:type="xsd:double"&gt;956.764961&lt;/D&gt;&lt;D xsi:type="xsd:double"&gt;950.157937&lt;/D&gt;&lt;D xsi:type="xsd:double"&gt;947.31&lt;/D&gt;&lt;D xsi:type="xsd:double"&gt;936.976221&lt;/D&gt;&lt;D xsi:type="xsd:double"&gt;927.998474&lt;/D&gt;&lt;D xsi:type="xsd:double"&gt;928.903234&lt;/D&gt;&lt;D xsi:type="xsd:double"&gt;924.539801&lt;/D&gt;&lt;D xsi:type="xsd:double"&gt;913.64441&lt;/D&gt;&lt;D xsi:type="xsd:double"&gt;921.970171&lt;/D&gt;&lt;D xsi:type="xsd:double"&gt;925.285104&lt;/D&gt;&lt;D xsi:type="xsd:double"&gt;923.377969&lt;/D&gt;&lt;D xsi:type="xsd:double"&gt;921.597698&lt;/D&gt;&lt;D xsi:type="xsd:double"&gt;909.223927&lt;/D&gt;&lt;D xsi:type="xsd:double"&gt;898.406645&lt;/D&gt;&lt;D xsi:type="xsd:double"&gt;893.741748&lt;/D&gt;&lt;D xsi:type="xsd:double"&gt;882.875442&lt;/D&gt;&lt;D xsi:type="xsd:double"&gt;883.820151&lt;/D&gt;&lt;D xsi:type="xsd:double"&gt;872.263337&lt;/D&gt;&lt;D xsi:type="xsd:double"&gt;888.880341&lt;/D&gt;&lt;D xsi:type="xsd:double"&gt;895.373345&lt;/D&gt;&lt;D xsi:type="xsd:double"&gt;889.332972&lt;/D&gt;&lt;D xsi:type="xsd:double"&gt;882.693379&lt;/D&gt;&lt;D xsi:type="xsd:double"&gt;866.253333&lt;/D&gt;&lt;D xsi:type="xsd:double"&gt;864.707509&lt;/D&gt;&lt;D xsi:type="xsd:double"&gt;844.183582&lt;/D&gt;&lt;D xsi:type="xsd:double"&gt;877.60105&lt;/D&gt;&lt;D xsi:type="xsd:double"&gt;882.151538&lt;/D&gt;&lt;D xsi:type="xsd:double"&gt;895.542327&lt;/D&gt;&lt;D xsi:type="xsd:double"&gt;911.531549&lt;/D&gt;&lt;D xsi:type="xsd:double"&gt;940.412255&lt;/D&gt;&lt;D xsi:type="xsd:double"&gt;940.238448&lt;/D&gt;&lt;D xsi:type="xsd:double"&gt;943.884729&lt;/D&gt;&lt;D xsi:type="xsd:double"&gt;937.593105&lt;/D&gt;&lt;D xsi:type="xsd:double"&gt;936.432506&lt;/D&gt;&lt;D xsi:type="xsd:double"&gt;937.10577&lt;/D&gt;&lt;D xsi:type="xsd:double"&gt;935.20857&lt;/D&gt;&lt;D xsi:type="xsd:double"&gt;928.434871&lt;/D&gt;&lt;D xsi:type="xsd:double"&gt;915.241303&lt;/D&gt;&lt;D xsi:type="xsd:double"&gt;911.84059&lt;/D&gt;&lt;D xsi:type="xsd:double"&gt;924.159005&lt;/D&gt;&lt;D xsi:type="xsd:double"&gt;924.929329&lt;/D&gt;&lt;D xsi:type="xsd:double"&gt;928.595148&lt;/D&gt;&lt;D xsi:type="xsd:double"&gt;928.654857&lt;/D&gt;&lt;D xsi:type="xsd:double"&gt;922.038775&lt;/D&gt;&lt;D xsi:type="xsd:double"&gt;919.615633&lt;/D&gt;&lt;D xsi:type="xsd:double"&gt;912.678206&lt;/D&gt;&lt;D xsi:type="xsd:double"&gt;901.477258&lt;/D&gt;&lt;D xsi:type="xsd:double"&gt;899.422882&lt;/D&gt;&lt;D xsi:type="xsd:double"&gt;894.711454&lt;/D&gt;&lt;D xsi:type="xsd:double"&gt;901.986819&lt;/D&gt;&lt;D xsi:type="xsd:double"&gt;912.776964&lt;/D&gt;&lt;D xsi:type="xsd:double"&gt;915.877978&lt;/D&gt;&lt;D xsi:type="xsd:double"&gt;905.806303&lt;/D&gt;&lt;D xsi:type="xsd:double"&gt;903.697661&lt;/D&gt;&lt;D xsi:type="xsd:double"&gt;896.775552&lt;/D&gt;&lt;D xsi:type="xsd:double"&gt;896.849061&lt;/D&gt;&lt;D xsi:type="xsd:double"&gt;893.705682&lt;/D&gt;&lt;D xsi:type="xsd:double"&gt;895.054368&lt;/D&gt;&lt;D xsi:type="xsd:double"&gt;884.52876&lt;/D&gt;&lt;D xsi:type="xsd:double"&gt;873.862048&lt;/D&gt;&lt;D xsi:type="xsd:double"&gt;867.130465&lt;/D&gt;&lt;D xsi:type="xsd:double"&gt;877.586669&lt;/D&gt;&lt;D xsi:type="xsd:double"&gt;888.974117&lt;/D&gt;&lt;D xsi:type="xsd:double"&gt;893.963389&lt;/D&gt;&lt;D xsi:type="xsd:double"&gt;906.707414&lt;/D&gt;&lt;D xsi:type="xsd:double"&gt;920.77334&lt;/D&gt;&lt;D xsi:type="xsd:double"&gt;912.648379&lt;/D&gt;&lt;D xsi:type="xsd:double"&gt;910.185746&lt;/D&gt;&lt;D xsi:type="xsd:double"&gt;905.326195&lt;/D&gt;&lt;D xsi:type="xsd:double"&gt;893.418027&lt;/D&gt;&lt;D xsi:type="xsd:double"&gt;892.954892&lt;/D&gt;&lt;D xsi:type="xsd:double"&gt;892.76846&lt;/D&gt;&lt;D xsi:type="xsd:double"&gt;892.431172&lt;/D&gt;&lt;D xsi:type="xsd:double"&gt;881.43122&lt;/D&gt;&lt;D xsi:type="xsd:double"&gt;895.313979&lt;/D&gt;&lt;D xsi:type="xsd:double"&gt;891.643806&lt;/D&gt;&lt;D xsi:type="xsd:double"&gt;886.752655&lt;/D&gt;&lt;D xsi:type="xsd:double"&gt;876.019132&lt;/D&gt;&lt;D xsi:type="xsd:double"&gt;875.414645&lt;/D&gt;&lt;D xsi:type="xsd:double"&gt;881.674729&lt;/D&gt;&lt;D xsi:type="xsd:double"&gt;885.44085&lt;/D&gt;&lt;D xsi:type="xsd:double"&gt;891.414988&lt;/D&gt;&lt;D xsi:type="xsd:double"&gt;891.279313&lt;/D&gt;&lt;D xsi:type="xsd:double"&gt;888.378948&lt;/D&gt;&lt;D xsi:type="xsd:double"&gt;879.307775&lt;/D&gt;&lt;D xsi:type="xsd:double"&gt;875.707737&lt;/D&gt;&lt;D xsi:type="xsd:double"&gt;874.079805&lt;/D&gt;&lt;D xsi:type="xsd:double"&gt;866.526385&lt;/D&gt;&lt;D xsi:type="xsd:double"&gt;853.025438&lt;/D&gt;&lt;D xsi:type="xsd:double"&gt;863.126908&lt;/D&gt;&lt;D xsi:type="xsd:double"&gt;862.970731&lt;/D&gt;&lt;D xsi:type="xsd:double"&gt;859.929362&lt;/D&gt;&lt;D xsi:type="xsd:double"&gt;850.758987&lt;/D&gt;&lt;D xsi:type="xsd:double"&gt;844.103649&lt;/D&gt;&lt;D xsi:type="xsd:double"&gt;843.761755&lt;/D&gt;&lt;D xsi:type="xsd:double"&gt;851.165349&lt;/D&gt;&lt;D xsi:type="xsd:double"&gt;848.24272&lt;/D&gt;&lt;D xsi:type="xsd:double"&gt;847.904742&lt;/D&gt;&lt;D xsi:type="xsd:double"&gt;840.776518&lt;/D&gt;&lt;D xsi:type="xsd:double"&gt;842.69551&lt;/D&gt;&lt;D xsi:type="xsd:double"&gt;842.098428&lt;/D&gt;&lt;D xsi:type="xsd:double"&gt;835.99037&lt;/D&gt;&lt;D xsi:type="xsd:double"&gt;838.024598&lt;/D&gt;&lt;D xsi:type="xsd:double"&gt;831.61447&lt;/D&gt;&lt;D xsi:type="xsd:double"&gt;826.906077&lt;/D&gt;&lt;D xsi:type="xsd:double"&gt;821.248677&lt;/D&gt;&lt;D xsi:type="xsd:double"&gt;822.11644&lt;/D&gt;&lt;D xsi:type="xsd:double"&gt;814.438166&lt;/D&gt;&lt;D xsi:type="xsd:double"&gt;806.164404&lt;/D&gt;&lt;D xsi:type="xsd:double"&gt;814.834075&lt;/D&gt;&lt;D xsi:type="xsd:double"&gt;816.601497&lt;/D&gt;&lt;D xsi:type="xsd:double"&gt;811.652247&lt;/D&gt;&lt;D xsi:type="xsd:double"&gt;807.235914&lt;/D&gt;&lt;D xsi:type="xsd:double"&gt;804.156796&lt;/D&gt;&lt;D xsi:type="xsd:double"&gt;807.130342&lt;/D&gt;&lt;D xsi:type="xsd:double"&gt;807.479834&lt;/D&gt;&lt;D xsi:type="xsd:double"&gt;806.005127&lt;/D&gt;&lt;D xsi:type="xsd:double"&gt;803.095083&lt;/D&gt;&lt;D xsi:type="xsd:double"&gt;808.574863&lt;/D&gt;&lt;D xsi:type="xsd:double"&gt;803.665097&lt;/D&gt;&lt;D xsi:type="xsd:double"&gt;790.49436&lt;/D&gt;&lt;D xsi:type="xsd:double"&gt;785.830757&lt;/D&gt;&lt;D xsi:type="xsd:double"&gt;786.226617&lt;/D&gt;&lt;D xsi:type="xsd:double"&gt;782.429373&lt;/D&gt;&lt;D xsi:type="xsd:double"&gt;783.790127&lt;/D&gt;&lt;D xsi:type="xsd:double"&gt;784.865946&lt;/D&gt;&lt;D xsi:type="xsd:double"&gt;774.380267&lt;/D&gt;&lt;D xsi:type="xsd:double"&gt;775.753281&lt;/D&gt;&lt;D xsi:type="xsd:double"&gt;781.088822&lt;/D&gt;&lt;D xsi:type="xsd:double"&gt;778.160855&lt;/D&gt;&lt;D xsi:type="xsd:double"&gt;780.552505&lt;/D&gt;&lt;D xsi:type="xsd:double"&gt;776.01428&lt;/D&gt;&lt;D xsi:type="xsd:double"&gt;768.100676&lt;/D&gt;&lt;D xsi:type="xsd:double"&gt;762.837927&lt;/D&gt;&lt;D xsi:type="xsd:double"&gt;764.86143&lt;/D&gt;&lt;D xsi:type="xsd:double"&gt;774.47886&lt;/D&gt;&lt;D xsi:type="xsd:double"&gt;777.826948&lt;/D&gt;&lt;D xsi:type="xsd:double"&gt;781.697721&lt;/D&gt;&lt;D xsi:type="xsd:double"&gt;782.26854&lt;/D&gt;&lt;D xsi:type="xsd:double"&gt;771.509342&lt;/D&gt;&lt;D xsi:type="xsd:double"&gt;769.12692&lt;/D&gt;&lt;D xsi:type="xsd:double"&gt;767.253222&lt;/D&gt;&lt;D xsi:type="xsd:double"&gt;759.731016&lt;/D&gt;&lt;D xsi:type="xsd:double"&gt;754.718176&lt;/D&gt;&lt;D xsi:type="xsd:double"&gt;770.11019&lt;/D&gt;&lt;D xsi:type="xsd:double"&gt;770.730568&lt;/D&gt;&lt;D xsi:type="xsd:double"&gt;780.716704&lt;/D&gt;&lt;D xsi:type="xsd:double"&gt;789.344748&lt;/D&gt;&lt;D xsi:type="xsd:double"&gt;778.5654&lt;/D&gt;&lt;D xsi:type="xsd:double"&gt;773.123544&lt;/D&gt;&lt;D xsi:type="xsd:double"&gt;776.861241&lt;/D&gt;&lt;D xsi:type="xsd:double"&gt;771.034535&lt;/D&gt;&lt;D xsi:type="xsd:double"&gt;765.625414&lt;/D&gt;&lt;D xsi:type="xsd:double"&gt;766.000306&lt;/D&gt;&lt;D xsi:type="xsd:double"&gt;764.879065&lt;/D&gt;&lt;D xsi:type="xsd:double"&gt;769.945014&lt;/D&gt;&lt;D xsi:type="xsd:double"&gt;776.541959&lt;/D&gt;&lt;D xsi:type="xsd:double"&gt;771.996741&lt;/D&gt;&lt;D xsi:type="xsd:double"&gt;777.217712&lt;/D&gt;&lt;D xsi:type="xsd:double"&gt;783.474679&lt;/D&gt;&lt;D xsi:type="xsd:double"&gt;780.406714&lt;/D&gt;&lt;D xsi:type="xsd:double"&gt;769.298327&lt;/D&gt;&lt;D xsi:type="xsd:double"&gt;766.584823&lt;/D&gt;&lt;D xsi:type="xsd:double"&gt;768.472705&lt;/D&gt;&lt;D xsi:type="xsd:double"&gt;767.981851&lt;/D&gt;&lt;D xsi:type="xsd:double"&gt;772.143236&lt;/D&gt;&lt;D xsi:type="xsd:double"&gt;764.786733&lt;/D&gt;&lt;D xsi:type="xsd:double"&gt;760.828563&lt;/D&gt;&lt;D xsi:type="xsd:double"&gt;763.397159&lt;/D&gt;&lt;D xsi:type="xsd:double"&gt;756.687905&lt;/D&gt;&lt;D xsi:type="xsd:double"&gt;756.115018&lt;/D&gt;&lt;D xsi:type="xsd:double"&gt;748.659187&lt;/D&gt;&lt;D xsi:type="xsd:double"&gt;755.836306&lt;/D&gt;&lt;D xsi:type="xsd:double"&gt;755.401279&lt;/D&gt;&lt;D xsi:type="xsd:double"&gt;755.891747&lt;/D&gt;&lt;D xsi:type="xsd:double"&gt;740.469231&lt;/D&gt;&lt;D xsi:type="xsd:double"&gt;739.40748&lt;/D&gt;&lt;D xsi:type="xsd:double"&gt;731.339815&lt;/D&gt;&lt;D xsi:type="xsd:double"&gt;729.881857&lt;/D&gt;&lt;D xsi:type="xsd:double"&gt;734.988169&lt;/D&gt;&lt;D xsi:type="xsd:double"&gt;722.119914&lt;/D&gt;&lt;D xsi:type="xsd:double"&gt;711.649901&lt;/D&gt;&lt;D xsi:type="xsd:double"&gt;710.327764&lt;/D&gt;&lt;D xsi:type="xsd:double"&gt;722.673631&lt;/D&gt;&lt;D xsi:type="xsd:double"&gt;734.561211&lt;/D&gt;&lt;D xsi:type="xsd:double"&gt;752.704015&lt;/D&gt;&lt;D xsi:type="xsd:double"&gt;752.79615&lt;/D&gt;&lt;D xsi:type="xsd:double"&gt;755.981959&lt;/D&gt;&lt;D xsi:type="xsd:double"&gt;751.512904&lt;/D&gt;&lt;D xsi:type="xsd:double"&gt;749.567521&lt;/D&gt;&lt;D xsi:type="xsd:double"&gt;745.806543&lt;/D&gt;&lt;D xsi:type="xsd:double"&gt;759.053263&lt;/D&gt;&lt;D xsi:type="xsd:double"&gt;747.539438&lt;/D&gt;&lt;D xsi:type="xsd:double"&gt;723.519864&lt;/D&gt;&lt;D xsi:type="xsd:double"&gt;708.369496&lt;/D&gt;&lt;D xsi:type="xsd:double"&gt;706.504996&lt;/D&gt;&lt;D xsi:type="xsd:double"&gt;699.846604&lt;/D&gt;&lt;D xsi:type="xsd:double"&gt;699.757198&lt;/D&gt;&lt;D xsi:type="xsd:double"&gt;702.816215&lt;/D&gt;&lt;D xsi:type="xsd:double"&gt;698.412084&lt;/D&gt;&lt;D xsi:type="xsd:double"&gt;692.958783&lt;/D&gt;&lt;D xsi:type="xsd:double"&gt;701.938486&lt;/D&gt;&lt;D xsi:type="xsd:double"&gt;706.74755&lt;/D&gt;&lt;D xsi:type="xsd:double"&gt;688.873283&lt;/D&gt;&lt;D xsi:type="xsd:double"&gt;673.300208&lt;/D&gt;&lt;D xsi:type="xsd:double"&gt;665.27173&lt;/D&gt;&lt;D xsi:type="xsd:double"&gt;695.10042&lt;/D&gt;&lt;D xsi:type="xsd:double"&gt;706.102444&lt;/D&gt;&lt;D xsi:type="xsd:double"&gt;697.328412&lt;/D&gt;&lt;D xsi:type="xsd:double"&gt;726.300423&lt;/D&gt;&lt;D xsi:type="xsd:double"&gt;743.982036&lt;/D&gt;&lt;D xsi:type="xsd:double"&gt;759.536554&lt;/D&gt;&lt;D xsi:type="xsd:double"&gt;767.111336&lt;/D&gt;&lt;D xsi:type="xsd:double"&gt;751.866931&lt;/D&gt;&lt;D xsi:type="xsd:double"&gt;750.995526&lt;/D&gt;&lt;D xsi:type="xsd:double"&gt;757.503244&lt;/D&gt;&lt;D xsi:type="xsd:double"&gt;769.698887&lt;/D&gt;&lt;D xsi:type="xsd:double"&gt;751.031058&lt;/D&gt;&lt;D xsi:type="xsd:double"&gt;748.688601&lt;/D&gt;&lt;D xsi:type="xsd:double"&gt;763.235324&lt;/D&gt;&lt;D xsi:type="xsd:double"&gt;750.009514&lt;/D&gt;&lt;D xsi:type="xsd:double"&gt;786.47137&lt;/D&gt;&lt;D xsi:type="xsd:double"&gt;791.697556&lt;/D&gt;&lt;D xsi:type="xsd:double"&gt;816.153435&lt;/D&gt;&lt;D xsi:type="xsd:double"&gt;817.374915&lt;/D&gt;&lt;D xsi:type="xsd:double"&gt;820.107999&lt;/D&gt;&lt;D xsi:type="xsd:double"&gt;856.949892&lt;/D&gt;&lt;D xsi:type="xsd:double"&gt;873.287628&lt;/D&gt;&lt;D xsi:type="xsd:double"&gt;879.342959&lt;/D&gt;&lt;D xsi:type="xsd:double"&gt;881.23937&lt;/D&gt;&lt;D xsi:type="xsd:double"&gt;881.513491&lt;/D&gt;&lt;D xsi:type="xsd:double"&gt;870.378294&lt;/D&gt;&lt;D xsi:type="xsd:double"&gt;864.627429&lt;/D&gt;&lt;D xsi:type="xsd:double"&gt;860.23693&lt;/D&gt;&lt;D xsi:type="xsd:double"&gt;856.803168&lt;/D&gt;&lt;D xsi:type="xsd:double"&gt;845.022497&lt;/D&gt;&lt;D xsi:type="xsd:double"&gt;841.580232&lt;/D&gt;&lt;D xsi:type="xsd:double"&gt;839.48164&lt;/D&gt;&lt;D xsi:type="xsd:double"&gt;844.855829&lt;/D&gt;&lt;D xsi:type="xsd:double"&gt;836.397936&lt;/D&gt;&lt;D xsi:type="xsd:double"&gt;840.732064&lt;/D&gt;&lt;D xsi:type="xsd:double"&gt;843.596565&lt;/D&gt;&lt;D xsi:type="xsd:double"&gt;839.728802&lt;/D&gt;&lt;D xsi:type="xsd:double"&gt;838.242508&lt;/D&gt;&lt;D xsi:type="xsd:double"&gt;827.786841&lt;/D&gt;&lt;D xsi:type="xsd:double"&gt;816.37099&lt;/D&gt;&lt;D xsi:type="xsd:double"&gt;803.624255&lt;/D&gt;&lt;D xsi:type="xsd:double"&gt;803.920959&lt;/D&gt;&lt;D xsi:type="xsd:double"&gt;807.730031&lt;/D&gt;&lt;D xsi:type="xsd:double"&gt;810.844576&lt;/D&gt;&lt;D xsi:type="xsd:double"&gt;814.058969&lt;/D&gt;&lt;D xsi:type="xsd:double"&gt;817.21201&lt;/D&gt;&lt;D xsi:type="xsd:double"&gt;812.054964&lt;/D&gt;&lt;D xsi:type="xsd:double"&gt;808.464433&lt;/D&gt;&lt;D xsi:type="xsd:double"&gt;801.690304&lt;/D&gt;&lt;D xsi:type="xsd:double"&gt;787.802428&lt;/D&gt;&lt;D xsi:type="xsd:double"&gt;783.827817&lt;/D&gt;&lt;D xsi:type="xsd:double"&gt;772.320252&lt;/D&gt;&lt;D xsi:type="xsd:double"&gt;771.456515&lt;/D&gt;&lt;D xsi:type="xsd:double"&gt;777.990226&lt;/D&gt;&lt;D xsi:type="xsd:double"&gt;774.136091&lt;/D&gt;&lt;D xsi:type="xsd:double"&gt;772.573567&lt;/D&gt;&lt;D xsi:type="xsd:double"&gt;770.529468&lt;/D&gt;&lt;D xsi:type="xsd:double"</t>
        </r>
      </text>
    </comment>
    <comment ref="A50" authorId="0" shapeId="0">
      <text>
        <r>
          <rPr>
            <b/>
            <sz val="9"/>
            <color indexed="81"/>
            <rFont val="Tahoma"/>
            <family val="2"/>
          </rPr>
          <t>&gt;776.367954&lt;/D&gt;&lt;D xsi:type="xsd:double"&gt;784.613657&lt;/D&gt;&lt;D xsi:type="xsd:double"&gt;782.38722&lt;/D&gt;&lt;D xsi:type="xsd:double"&gt;778.652394&lt;/D&gt;&lt;D xsi:type="xsd:double"&gt;773.781386&lt;/D&gt;&lt;D xsi:type="xsd:double"&gt;763.588121&lt;/D&gt;&lt;D xsi:type="xsd:double"&gt;762.189898&lt;/D&gt;&lt;D xsi:type="xsd:double"&gt;752.449355&lt;/D&gt;&lt;D xsi:type="xsd:double"&gt;749.96862&lt;/D&gt;&lt;D xsi:type="xsd:double"&gt;749.472759&lt;/D&gt;&lt;D xsi:type="xsd:double"&gt;758.38315&lt;/D&gt;&lt;D xsi:type="xsd:double"&gt;781.973508&lt;/D&gt;&lt;D xsi:type="xsd:double"&gt;784.846422&lt;/D&gt;&lt;D xsi:type="xsd:double"&gt;791.85093&lt;/D&gt;&lt;D xsi:type="xsd:double"&gt;787.225294&lt;/D&gt;&lt;D xsi:type="xsd:double"&gt;782.106198&lt;/D&gt;&lt;D xsi:type="xsd:double"&gt;790.31752&lt;/D&gt;&lt;D xsi:type="xsd:double"&gt;786.060023&lt;/D&gt;&lt;D xsi:type="xsd:double"&gt;784.883947&lt;/D&gt;&lt;D xsi:type="xsd:double"&gt;779.07209&lt;/D&gt;&lt;D xsi:type="xsd:double"&gt;782.50731&lt;/D&gt;&lt;D xsi:type="xsd:double"&gt;778.561986&lt;/D&gt;&lt;D xsi:type="xsd:double"&gt;768.462304&lt;/D&gt;&lt;D xsi:type="xsd:double"&gt;762.250833&lt;/D&gt;&lt;D xsi:type="xsd:double"&gt;761.935553&lt;/D&gt;&lt;D xsi:type="xsd:double"&gt;760.639874&lt;/D&gt;&lt;D xsi:type="xsd:double"&gt;771.207406&lt;/D&gt;&lt;D xsi:type="xsd:double"&gt;768.862784&lt;/D&gt;&lt;D xsi:type="xsd:double"&gt;761.176378&lt;/D&gt;&lt;D xsi:type="xsd:double"&gt;773.408969&lt;/D&gt;&lt;D xsi:type="xsd:double"&gt;779.61124&lt;/D&gt;&lt;D xsi:type="xsd:double"&gt;767.591856&lt;/D&gt;&lt;D xsi:type="xsd:double"&gt;778.76068&lt;/D&gt;&lt;D xsi:type="xsd:double"&gt;786.119195&lt;/D&gt;&lt;D xsi:type="xsd:double"&gt;783.771474&lt;/D&gt;&lt;D xsi:type="xsd:double"&gt;778.3454&lt;/D&gt;&lt;D xsi:type="xsd:double"&gt;779.374049&lt;/D&gt;&lt;D xsi:type="xsd:double"&gt;772.456112&lt;/D&gt;&lt;D xsi:type="xsd:double"&gt;769.912287&lt;/D&gt;&lt;D xsi:type="xsd:double"&gt;762.14385&lt;/D&gt;&lt;D xsi:type="xsd:double"&gt;752.093968&lt;/D&gt;&lt;D xsi:type="xsd:double"&gt;754.218146&lt;/D&gt;&lt;D xsi:type="xsd:double"&gt;753.53518&lt;/D&gt;&lt;D xsi:type="xsd:double"&gt;738.698311&lt;/D&gt;&lt;D xsi:type="xsd:double"&gt;751.472977&lt;/D&gt;&lt;D xsi:type="xsd:double"&gt;756.752267&lt;/D&gt;&lt;D xsi:type="xsd:double"&gt;757.376026&lt;/D&gt;&lt;D xsi:type="xsd:double"&gt;753.237589&lt;/D&gt;&lt;D xsi:type="xsd:double"&gt;748.979109&lt;/D&gt;&lt;D xsi:type="xsd:double"&gt;751.993643&lt;/D&gt;&lt;D xsi:type="xsd:double"&gt;744.627448&lt;/D&gt;&lt;D xsi:type="xsd:double"&gt;737.874723&lt;/D&gt;&lt;D xsi:type="xsd:double"&gt;734.936326&lt;/D&gt;&lt;D xsi:type="xsd:double"&gt;721.133909&lt;/D&gt;&lt;D xsi:type="xsd:double"&gt;706.48329&lt;/D&gt;&lt;D xsi:type="xsd:double"&gt;707.682471&lt;/D&gt;&lt;D xsi:type="xsd:double"&gt;701.81401&lt;/D&gt;&lt;D xsi:type="xsd:double"&gt;705.773328&lt;/D&gt;&lt;D xsi:type="xsd:double"&gt;703.31905&lt;/D&gt;&lt;D xsi:type="xsd:double"&gt;700.084541&lt;/D&gt;&lt;D xsi:type="xsd:double"&gt;699.039869&lt;/D&gt;&lt;D xsi:type="xsd:double"&gt;693.496591&lt;/D&gt;&lt;D xsi:type="xsd:double"&gt;693.915003&lt;/D&gt;&lt;D xsi:type="xsd:double"&gt;689.639767&lt;/D&gt;&lt;D xsi:type="xsd:double"&gt;690.18822&lt;/D&gt;&lt;D xsi:type="xsd:double"&gt;692.131396&lt;/D&gt;&lt;D xsi:type="xsd:double"&gt;691.382155&lt;/D&gt;&lt;D xsi:type="xsd:double"&gt;688.559963&lt;/D&gt;&lt;D xsi:type="xsd:double"&gt;683.734417&lt;/D&gt;&lt;D xsi:type="xsd:double"&gt;684.810235&lt;/D&gt;&lt;D xsi:type="xsd:double"&gt;689.08859&lt;/D&gt;&lt;D xsi:type="xsd:double"&gt;687.520102&lt;/D&gt;&lt;D xsi:type="xsd:double"&gt;682.62526&lt;/D&gt;&lt;D xsi:type="xsd:double"&gt;679.095246&lt;/D&gt;&lt;D xsi:type="xsd:double"&gt;672.355926&lt;/D&gt;&lt;D xsi:type="xsd:double"&gt;667.994232&lt;/D&gt;&lt;D xsi:type="xsd:double"&gt;665.583184&lt;/D&gt;&lt;D xsi:type="xsd:double"&gt;668.243259&lt;/D&gt;&lt;D xsi:type="xsd:double"&gt;667.162012&lt;/D&gt;&lt;D xsi:type="xsd:double"&gt;663.98825&lt;/D&gt;&lt;D xsi:type="xsd:double"&gt;653.118949&lt;/D&gt;&lt;D xsi:type="xsd:double"&gt;658.810615&lt;/D&gt;&lt;D xsi:type="xsd:double"&gt;657.738774&lt;/D&gt;&lt;D xsi:type="xsd:double"&gt;654.864388&lt;/D&gt;&lt;D xsi:type="xsd:double"&gt;648.706502&lt;/D&gt;&lt;D xsi:type="xsd:double"&gt;645.461123&lt;/D&gt;&lt;D xsi:type="xsd:double"&gt;647.822535&lt;/D&gt;&lt;D xsi:type="xsd:double"&gt;646.64448&lt;/D&gt;&lt;D xsi:type="xsd:double"&gt;641.587334&lt;/D&gt;&lt;D xsi:type="xsd:double"&gt;640.540497&lt;/D&gt;&lt;D xsi:type="xsd:double"&gt;635.830718&lt;/D&gt;&lt;D xsi:type="xsd:double"&gt;636.936439&lt;/D&gt;&lt;D xsi:type="xsd:double"&gt;637.376155&lt;/D&gt;&lt;D xsi:type="xsd:double"&gt;639.354516&lt;/D&gt;&lt;D xsi:type="xsd:double"&gt;634.645152&lt;/D&gt;&lt;D xsi:type="xsd:double"&gt;626.60397&lt;/D&gt;&lt;D xsi:type="xsd:double"&gt;617.411884&lt;/D&gt;&lt;D xsi:type="xsd:double"&gt;605.694729&lt;/D&gt;&lt;D xsi:type="xsd:double"&gt;608.015052&lt;/D&gt;&lt;D xsi:type="xsd:double"&gt;615.586514&lt;/D&gt;&lt;D xsi:type="xsd:double"&gt;612.859655&lt;/D&gt;&lt;D xsi:type="xsd:double"&gt;612.860536&lt;/D&gt;&lt;D xsi:type="xsd:double"&gt;607.829503&lt;/D&gt;&lt;D xsi:type="xsd:double"&gt;605.667907&lt;/D&gt;&lt;D xsi:type="xsd:double"&gt;603.733906&lt;/D&gt;&lt;D xsi:type="xsd:double"&gt;616.355854&lt;/D&gt;&lt;D xsi:type="xsd:double"&gt;621.435455&lt;/D&gt;&lt;D xsi:type="xsd:double"&gt;618.355177&lt;/D&gt;&lt;D xsi:type="xsd:double"&gt;622.372879&lt;/D&gt;&lt;D xsi:type="xsd:double"&gt;636.778959&lt;/D&gt;&lt;D xsi:type="xsd:double"&gt;646.352725&lt;/D&gt;&lt;D xsi:type="xsd:double"&gt;642.574078&lt;/D&gt;&lt;D xsi:type="xsd:double"&gt;637.895862&lt;/D&gt;&lt;D xsi:type="xsd:double"&gt;637.239822&lt;/D&gt;&lt;D xsi:type="xsd:double"&gt;652.809043&lt;/D&gt;&lt;D xsi:type="xsd:double"&gt;663.752601&lt;/D&gt;&lt;D xsi:type="xsd:double"&gt;661.512746&lt;/D&gt;&lt;D xsi:type="xsd:double"&gt;661.317928&lt;/D&gt;&lt;D xsi:type="xsd:double"&gt;655.737255&lt;/D&gt;&lt;D xsi:type="xsd:double"&gt;650.422295&lt;/D&gt;&lt;D xsi:type="xsd:double"&gt;647.893026&lt;/D&gt;&lt;D xsi:type="xsd:double"&gt;645.351369&lt;/D&gt;&lt;D xsi:type="xsd:double"&gt;640.727043&lt;/D&gt;&lt;D xsi:type="xsd:double"&gt;645.642129&lt;/D&gt;&lt;D xsi:type="xsd:double"&gt;650.732391&lt;/D&gt;&lt;D xsi:type="xsd:double"&gt;647.172692&lt;/D&gt;&lt;D xsi:type="xsd:double"&gt;642.726005&lt;/D&gt;&lt;D xsi:type="xsd:double"&gt;640.20812&lt;/D&gt;&lt;D xsi:type="xsd:double"&gt;637.864633&lt;/D&gt;&lt;D xsi:type="xsd:double"&gt;635.549949&lt;/D&gt;&lt;D xsi:type="xsd:double"&gt;633.516727&lt;/D&gt;&lt;D xsi:type="xsd:double"&gt;635.826378&lt;/D&gt;&lt;D xsi:type="xsd:double"&gt;633.591717&lt;/D&gt;&lt;D xsi:type="xsd:double"&gt;629.601546&lt;/D&gt;&lt;D xsi:type="xsd:double"&gt;628.166648&lt;/D&gt;&lt;D xsi:type="xsd:double"&gt;626.466603&lt;/D&gt;&lt;D xsi:type="xsd:double"&gt;623.996586&lt;/D&gt;&lt;D xsi:type="xsd:double"&gt;616.830987&lt;/D&gt;&lt;D xsi:type="xsd:double"&gt;606.22993&lt;/D&gt;&lt;D xsi:type="xsd:double"&gt;600.447444&lt;/D&gt;&lt;D xsi:type="xsd:double"&gt;599.367816&lt;/D&gt;&lt;D xsi:type="xsd:double"&gt;604.757829&lt;/D&gt;&lt;D xsi:type="xsd:double"&gt;605.419002&lt;/D&gt;&lt;D xsi:type="xsd:double"&gt;604.269062&lt;/D&gt;&lt;D xsi:type="xsd:double"&gt;609.622957&lt;/D&gt;&lt;D xsi:type="xsd:double"&gt;612.430807&lt;/D&gt;&lt;D xsi:type="xsd:double"&gt;604.181685&lt;/D&gt;&lt;D xsi:type="xsd:double"&gt;608.15443&lt;/D&gt;&lt;D xsi:type="xsd:double"&gt;615.826901&lt;/D&gt;&lt;D xsi:type="xsd:double"&gt;617.841916&lt;/D&gt;&lt;D xsi:type="xsd:double"&gt;620.927503&lt;/D&gt;&lt;D xsi:type="xsd:double"&gt;621.303957&lt;/D&gt;&lt;D xsi:type="xsd:double"&gt;623.489272&lt;/D&gt;&lt;D xsi:type="xsd:double"&gt;622.597023&lt;/D&gt;&lt;D xsi:type="xsd:double"&gt;616.953116&lt;/D&gt;&lt;D xsi:type="xsd:double"&gt;615.762131&lt;/D&gt;&lt;D xsi:type="xsd:double"&gt;615.7141&lt;/D&gt;&lt;D xsi:type="xsd:double"&gt;618.679953&lt;/D&gt;&lt;D xsi:type="xsd:double"&gt;618.272837&lt;/D&gt;&lt;D xsi:type="xsd:double"&gt;614.640562&lt;/D&gt;&lt;D xsi:type="xsd:double"&gt;607.060435&lt;/D&gt;&lt;D xsi:type="xsd:double"&gt;602.563653&lt;/D&gt;&lt;D xsi:type="xsd:double"&gt;600.386092&lt;/D&gt;&lt;D xsi:type="xsd:double"&gt;594.090605&lt;/D&gt;&lt;D xsi:type="xsd:double"&gt;591.282408&lt;/D&gt;&lt;D xsi:type="xsd:double"&gt;595.77277&lt;/D&gt;&lt;D xsi:type="xsd:double"&gt;596.12213&lt;/D&gt;&lt;D xsi:type="xsd:double"&gt;593.232699&lt;/D&gt;&lt;D xsi:type="xsd:double"&gt;589.178165&lt;/D&gt;&lt;D xsi:type="xsd:double"&gt;586.413727&lt;/D&gt;&lt;D xsi:type="xsd:double"&gt;583.928548&lt;/D&gt;&lt;D xsi:type="xsd:double"&gt;582.832906&lt;/D&gt;&lt;D xsi:type="xsd:double"&gt;587.529916&lt;/D&gt;&lt;D xsi:type="xsd:double"&gt;583.423514&lt;/D&gt;&lt;D xsi:type="xsd:double"&gt;582.213954&lt;/D&gt;&lt;D xsi:type="xsd:double"&gt;574.183284&lt;/D&gt;&lt;D xsi:type="xsd:double"&gt;564.086812&lt;/D&gt;&lt;D xsi:type="xsd:double"&gt;562.601103&lt;/D&gt;&lt;D xsi:type="xsd:double"&gt;565.498104&lt;/D&gt;&lt;D xsi:type="xsd:double"&gt;563.165654&lt;/D&gt;&lt;D xsi:type="xsd:double"&gt;568.164538&lt;/D&gt;&lt;D xsi:type="xsd:double"&gt;565.167694&lt;/D&gt;&lt;D xsi:type="xsd:double"&gt;565.446687&lt;/D&gt;&lt;D xsi:type="xsd:double"&gt;566.910876&lt;/D&gt;&lt;D xsi:type="xsd:double"&gt;565.967726&lt;/D&gt;&lt;D xsi:type="xsd:double"&gt;567.25207&lt;/D&gt;&lt;D xsi:type="xsd:double"&gt;570.312242&lt;/D&gt;&lt;D xsi:type="xsd:double"&gt;572.219493&lt;/D&gt;&lt;D xsi:type="xsd:double"&gt;567.363204&lt;/D&gt;&lt;D xsi:type="xsd:double"&gt;569.290253&lt;/D&gt;&lt;D xsi:type="xsd:double"&gt;569.958489&lt;/D&gt;&lt;D xsi:type="xsd:double"&gt;565.071338&lt;/D&gt;&lt;D xsi:type="xsd:double"&gt;562.581644&lt;/D&gt;&lt;D xsi:type="xsd:double"&gt;558.153428&lt;/D&gt;&lt;D xsi:type="xsd:double"&gt;556.728104&lt;/D&gt;&lt;D xsi:type="xsd:double"&gt;556.155611&lt;/D&gt;&lt;D xsi:type="xsd:double"&gt;552.48394&lt;/D&gt;&lt;D xsi:type="xsd:double"&gt;555.566333&lt;/D&gt;&lt;D xsi:type="xsd:double"&gt;553.755254&lt;/D&gt;&lt;D xsi:type="xsd:double"&gt;555.160352&lt;/D&gt;&lt;D xsi:type="xsd:double"&gt;555.78763&lt;/D&gt;&lt;D xsi:type="xsd:double"&gt;551.39722&lt;/D&gt;&lt;D xsi:type="xsd:double"&gt;546.585205&lt;/D&gt;&lt;D xsi:type="xsd:double"&gt;548.154875&lt;/D&gt;&lt;D xsi:type="xsd:double"&gt;550.502676&lt;/D&gt;&lt;D xsi:type="xsd:double"&gt;544.146231&lt;/D&gt;&lt;D xsi:type="xsd:double"&gt;543.305824&lt;/D&gt;&lt;D xsi:type="xsd:double"&gt;544.942111&lt;/D&gt;&lt;D xsi:type="xsd:double"&gt;542.906067&lt;/D&gt;&lt;D xsi:type="xsd:double"&gt;544.379106&lt;/D&gt;&lt;D xsi:type="xsd:double"&gt;545.813934&lt;/D&gt;&lt;D xsi:type="xsd:double"&gt;540.525394&lt;/D&gt;&lt;D xsi:type="xsd:double"&gt;535.791108&lt;/D&gt;&lt;D xsi:type="xsd:double"&gt;536.587212&lt;/D&gt;&lt;D xsi:type="xsd:double"&gt;537.301015&lt;/D&gt;&lt;D xsi:type="xsd:double"&gt;540.036408&lt;/D&gt;&lt;D xsi:type="xsd:double"&gt;543.330366&lt;/D&gt;&lt;D xsi:type="xsd:double"&gt;547.232283&lt;/D&gt;&lt;D xsi:type="xsd:double"&gt;550.207708&lt;/D&gt;&lt;D xsi:type="xsd:double"&gt;550.78339&lt;/D&gt;&lt;D xsi:type="xsd:double"&gt;548.018456&lt;/D&gt;&lt;D xsi:type="xsd:double"&gt;542.894187&lt;/D&gt;&lt;D xsi:type="xsd:double"&gt;533.933916&lt;/D&gt;&lt;D xsi:type="xsd:double"&gt;533.614825&lt;/D&gt;&lt;D xsi:type="xsd:double"&gt;531.989693&lt;/D&gt;&lt;D xsi:type="xsd:double"&gt;531.229749&lt;/D&gt;&lt;D xsi:type="xsd:double"&gt;537.571048&lt;/D&gt;&lt;D xsi:type="xsd:double"&gt;542.183936&lt;/D&gt;&lt;D xsi:type="xsd:double"&gt;540.305319&lt;/D&gt;&lt;D xsi:type="xsd:double"&gt;537.617815&lt;/D&gt;&lt;D xsi:type="xsd:double"&gt;535.583096&lt;/D&gt;&lt;D xsi:type="xsd:double"&gt;534.110588&lt;/D&gt;&lt;D xsi:type="xsd:double"&gt;533.069598&lt;/D&gt;&lt;D xsi:type="xsd:double"&gt;526.393506&lt;/D&gt;&lt;D xsi:type="xsd:double"&gt;535.994426&lt;/D&gt;&lt;D xsi:type="xsd:double"&gt;543.548783&lt;/D&gt;&lt;D xsi:type="xsd:double"&gt;554.582582&lt;/D&gt;&lt;D xsi:type="xsd:double"&gt;552.827862&lt;/D&gt;&lt;D xsi:type="xsd:double"&gt;554.104693&lt;/D&gt;&lt;D xsi:type="xsd:double"&gt;555.440789&lt;/D&gt;&lt;D xsi:type="xsd:double"&gt;555.655711&lt;/D&gt;&lt;D xsi:type="xsd:double"&gt;553.587185&lt;/D&gt;&lt;D xsi:type="xsd:double"&gt;551.00432&lt;/D&gt;&lt;D xsi:type="xsd:double"&gt;550.391132&lt;/D&gt;&lt;D xsi:type="xsd:double"&gt;555.862892&lt;/D&gt;&lt;D xsi:type="xsd:double"&gt;548.689389&lt;/D&gt;&lt;D xsi:type="xsd:double"&gt;540.132285&lt;/D&gt;&lt;D xsi:type="xsd:double"&gt;538.625303&lt;/D&gt;&lt;D xsi:type="xsd:double"&gt;545.376418&lt;/D&gt;&lt;D xsi:type="xsd:double"&gt;546.139962&lt;/D&gt;&lt;D xsi:type="xsd:double"&gt;547.414717&lt;/D&gt;&lt;D xsi:type="xsd:double"&gt;557.275786&lt;/D&gt;&lt;D xsi:type="xsd:double"&gt;559.809354&lt;/D&gt;&lt;D xsi:type="xsd:double"&gt;564.026482&lt;/D&gt;&lt;D xsi:type="xsd:double"&gt;564.084718&lt;/D&gt;&lt;D xsi:type="xsd:double"&gt;565.970664&lt;/D&gt;&lt;D xsi:type="xsd:double"&gt;567.434405&lt;/D&gt;&lt;D xsi:type="xsd:double"&gt;577.285283&lt;/D&gt;&lt;D xsi:type="xsd:double"&gt;585.030998&lt;/D&gt;&lt;D xsi:type="xsd:double"&gt;581.787121&lt;/D&gt;&lt;D xsi:type="xsd:double"&gt;587.369566&lt;/D&gt;&lt;D xsi:type="xsd:double"&gt;586.906872&lt;/D&gt;&lt;D xsi:type="xsd:double"&gt;587.475338&lt;/D&gt;&lt;D xsi:type="xsd:double"&gt;585.258692&lt;/D&gt;&lt;D xsi:type="xsd:double"&gt;582.030665&lt;/D&gt;&lt;D xsi:type="xsd:double"&gt;580.371707&lt;/D&gt;&lt;D xsi:type="xsd:double"&gt;586.899573&lt;/D&gt;&lt;D xsi:type="xsd:double"&gt;588.681423&lt;/D&gt;&lt;D xsi:type="xsd:double"&gt;581.728822&lt;/D&gt;&lt;D xsi:type="xsd:double"&gt;577.446565&lt;/D&gt;&lt;D xsi:type="xsd:double"&gt;571.265823&lt;/D&gt;&lt;D xsi:type="xsd:double"&gt;571.838685&lt;/D&gt;&lt;D xsi:type="xsd:double"&gt;566.623033&lt;/D&gt;&lt;D xsi:type="xsd:double"&gt;563.984648&lt;/D&gt;&lt;D xsi:type="xsd:double"&gt;562.492453&lt;/D&gt;&lt;D xsi:type="xsd:double"&gt;562.755479&lt;/D&gt;&lt;D xsi:type="xsd:double"&gt;561.076449&lt;/D&gt;&lt;D xsi:type="xsd:double"&gt;553.838743&lt;/D&gt;&lt;D xsi:type="xsd:double"&gt;551.482802&lt;/D&gt;&lt;D xsi:type="xsd:double"&gt;551.930959&lt;/D&gt;&lt;D xsi:type="xsd:double"&gt;549.414599&lt;/D&gt;&lt;D xsi:type="xsd:double"&gt;551.267301&lt;/D&gt;&lt;D xsi:type="xsd:double"&gt;549.464366&lt;/D&gt;&lt;D xsi:type="xsd:double"&gt;546.201011&lt;/D&gt;&lt;D xsi:type="xsd:double"&gt;543.429682&lt;/D&gt;&lt;D xsi:type="xsd:double"&gt;541.823931&lt;/D&gt;&lt;D xsi:type="xsd:double"&gt;542.281917&lt;/D&gt;&lt;D xsi:type="xsd:double"&gt;535.705979&lt;/D&gt;&lt;D xsi:type="xsd:double"&gt;533.858211&lt;/D&gt;&lt;D xsi:type="xsd:double"&gt;532.793958&lt;/D&gt;&lt;D xsi:type="xsd:double"&gt;527.84886&lt;/D&gt;&lt;D xsi:type="xsd:double"&gt;527.310621&lt;/D&gt;&lt;D xsi:type="xsd:double"&gt;525.491365&lt;/D&gt;&lt;D xsi:type="xsd:double"&gt;524.316247&lt;/D&gt;&lt;D xsi:type="xsd:double"&gt;529.180964&lt;/D&gt;&lt;D xsi:type="xsd:double"&gt;528.227222&lt;/D&gt;&lt;D xsi:type="xsd:double"&gt;528.157576&lt;/D&gt;&lt;D xsi:type="xsd:double"&gt;524.999547&lt;/D&gt;&lt;D xsi:type="xsd:double"&gt;522.254119&lt;/D&gt;&lt;D xsi:type="xsd:double"&gt;521.765828&lt;/D&gt;&lt;D xsi:type="xsd:double"&gt;519.857741&lt;/D&gt;&lt;D xsi:type="xsd:double"&gt;518.960044&lt;/D&gt;&lt;D xsi:type="xsd:double"&gt;518.250403&lt;/D&gt;&lt;D xsi:type="xsd:double"&gt;525.201048&lt;/D&gt;&lt;D xsi:type="xsd:double"&gt;532.893725&lt;/D&gt;&lt;D xsi:type="xsd:double"&gt;542.219091&lt;/D&gt;&lt;D xsi:type="xsd:double"&gt;542.174491&lt;/D&gt;&lt;D xsi:type="xsd:double"&gt;538.835993&lt;/D&gt;&lt;D xsi:type="xsd:double"&gt;536.367086&lt;/D&gt;&lt;D xsi:type="xsd:double"&gt;534.402774&lt;/D&gt;&lt;D xsi:type="xsd:double"&gt;532.809532&lt;/D&gt;&lt;D xsi:type="xsd:double"&gt;530.144842&lt;/D&gt;&lt;D xsi:type="xsd:double"&gt;527.91402&lt;/D&gt;&lt;D xsi:type="xsd:double"&gt;527.490319&lt;/D&gt;&lt;D xsi:type="xsd:double"&gt;524.934719&lt;/D&gt;&lt;D xsi:type="xsd:double"&gt;520.914267&lt;/D&gt;&lt;D xsi:type="xsd:double"&gt;521.480726&lt;/D&gt;&lt;D xsi:type="xsd:double"&gt;519.149012&lt;/D&gt;&lt;D xsi:type="xsd:double"&gt;512.601198&lt;/D&gt;&lt;D xsi:type="xsd:double"&gt;507.481496&lt;/D&gt;&lt;D xsi:type="xsd:double"&gt;503.92365&lt;/D&gt;&lt;D xsi:type="xsd:double"&gt;507.138635&lt;/D&gt;&lt;D xsi:type="xsd:double"&gt;511.067947&lt;/D&gt;&lt;D xsi:type="xsd:double"&gt;518.39186&lt;/D&gt;&lt;D xsi:type="xsd:double"&gt;521.68901&lt;/D&gt;&lt;D xsi:type="xsd:double"&gt;520.82305&lt;/D&gt;&lt;D xsi:type="xsd:double"&gt;521.537763&lt;/D&gt;&lt;D xsi:type="xsd:double"&gt;518.54741&lt;/D&gt;&lt;D xsi:type="xsd:double"&gt;517.950194&lt;/D&gt;&lt;D xsi:type="xsd:double"&gt;515.04284&lt;/D&gt;&lt;D xsi:type="xsd:double"&gt;511.701362&lt;/D&gt;&lt;D xsi:type="xsd:double"&gt;508.499059&lt;/D&gt;&lt;D xsi:type="xsd:double"&gt;504.48668&lt;/D&gt;&lt;D xsi:type="xsd:double"&gt;501.372673&lt;/D&gt;&lt;D xsi:type="xsd:double"&gt;505.803546&lt;/D&gt;&lt;D xsi:type="xsd:double"&gt;508.643902&lt;/D&gt;&lt;D xsi:type="xsd:double"&gt;508.046679&lt;/D&gt;&lt;D xsi:type="xsd:double"&gt;500.328052&lt;/D&gt;&lt;D xsi:type="xsd:double"&gt;501.625149&lt;/D&gt;&lt;D xsi:type="xsd:double"&gt;497.775839&lt;/D&gt;&lt;D xsi:type="xsd:double"&gt;492.516069&lt;/D&gt;&lt;D xsi:type="xsd:double"&gt;491.812743&lt;/D&gt;&lt;D xsi:type="xsd:double"&gt;489.252101&lt;/D&gt;&lt;D xsi:type="xsd:double"&gt;487.813683&lt;/D&gt;&lt;D xsi:type="xsd:double"&gt;490.345276&lt;/D&gt;&lt;D xsi:type="xsd:double"&gt;486.642338&lt;/D&gt;&lt;D xsi:type="xsd:double"&gt;485.762262&lt;/D&gt;&lt;D xsi:type="xsd:double"&gt;479.002146&lt;/D&gt;&lt;D xsi:type="xsd:double"&gt;475.870849&lt;/D&gt;&lt;D xsi:type="xsd:double"&gt;474.271212&lt;/D&gt;&lt;D xsi:type="xsd:double"&gt;472.46423&lt;/D&gt;&lt;D xsi:type="xsd:double"&gt;469.741775&lt;/D&gt;&lt;D xsi:type="xsd:double"&gt;465.981109&lt;/D&gt;&lt;D xsi:type="xsd:double"&gt;464.379772&lt;/D&gt;&lt;D xsi:type="xsd:double"&gt;468.146696&lt;/D&gt;&lt;D xsi:type="xsd:double"&gt;465.963191&lt;/D&gt;&lt;D xsi:type="xsd:double"&gt;463.375942&lt;/D&gt;&lt;D xsi:type="xsd:double"&gt;469.461259&lt;/D&gt;&lt;D xsi:type="xsd:double"&gt;467.226919&lt;/D&gt;&lt;D xsi:type="xsd:double"&gt;466.445442&lt;/D&gt;&lt;D xsi:type="xsd:double"&gt;464.582048&lt;/D&gt;&lt;D xsi:type="xsd:double"&gt;467.620221&lt;/D&gt;&lt;D xsi:type="xsd:double"&gt;471.917803&lt;/D&gt;&lt;D xsi:type="xsd:double"&gt;480.078927&lt;/D&gt;&lt;D xsi:type="xsd:double"&gt;481.69852&lt;/D&gt;&lt;D xsi:type="xsd:double"&gt;481.492952&lt;/D&gt;&lt;D xsi:type="xsd:double"&gt;480.403794&lt;/D&gt;&lt;D xsi:type="xsd:double"&gt;480.259379&lt;/D&gt;&lt;D xsi:type="xsd:double"&gt;480.403124&lt;/D&gt;&lt;D xsi:type="xsd:double"&gt;470.54595&lt;/D&gt;&lt;D xsi:type="xsd:double"&gt;464.151045&lt;/D&gt;&lt;D xsi:type="xsd:double"&gt;461.743873&lt;/D&gt;&lt;D xsi:type="xsd:double"&gt;460.499855&lt;/D&gt;&lt;D xsi:type="xsd:double"&gt;459.085468&lt;/D&gt;&lt;D xsi:type="xsd:double"&gt;461.28914&lt;/D&gt;&lt;D xsi:type="xsd:double"&gt;462.07373&lt;/D&gt;&lt;D xsi:type="xsd:double"&gt;462.681887&lt;/D&gt;&lt;D xsi:type="xsd:double"&gt;466.56926&lt;/D&gt;&lt;D xsi:type="xsd:double"&gt;463.508826&lt;/D&gt;&lt;D xsi:type="xsd:double"&gt;460.68192&lt;/D&gt;&lt;D xsi:type="xsd:double"&gt;460.174271&lt;/D&gt;&lt;D xsi:type="xsd:double"&gt;455.992897&lt;/D&gt;&lt;D xsi:type="xsd:double"&gt;457.674324&lt;/D&gt;&lt;D xsi:type="xsd:double"&gt;454.317261&lt;/D&gt;&lt;D xsi:type="xsd:double"&gt;450.561389&lt;/D&gt;&lt;D xsi:type="xsd:double"&gt;446.395655&lt;/D&gt;&lt;D xsi:type="xsd:double"&gt;445.633693&lt;/D&gt;&lt;D xsi:type="xsd:double"&gt;444.943925&lt;/D&gt;&lt;D xsi:type="xsd:double"&gt;442.458812&lt;/D&gt;&lt;D xsi:type="xsd:double"&gt;445.470461&lt;/D&gt;&lt;D xsi:type="xsd:double"&gt;443.389741&lt;/D&gt;&lt;D xsi:type="xsd:double"&gt;439.746434&lt;/D&gt;&lt;D xsi:type="xsd:double"&gt;438.83927&lt;/D&gt;&lt;D xsi:type="xsd:double"&gt;438.121108&lt;/D&gt;&lt;D xsi:type="xsd:double"&gt;437.586558&lt;/D&gt;&lt;D xsi:type="xsd:double"&gt;433.899544&lt;/D&gt;&lt;D xsi:type="xsd:double"&gt;431.945779&lt;/D&gt;&lt;D xsi:type="xsd:double"&gt;431.599898&lt;/D&gt;&lt;D xsi:type="xsd:double"&gt;432.196613&lt;/D&gt;&lt;D xsi:type="xsd:double"&gt;432.053829&lt;/D&gt;&lt;D xsi:type="xsd:double"&gt;425.830762&lt;/D&gt;&lt;D xsi:type="xsd:double"&gt;424.022526&lt;/D&gt;&lt;D xsi:type="xsd:double"&gt;422.150968&lt;/D&gt;&lt;D xsi:type="xsd:double"&gt;421.793006&lt;/D&gt;&lt;D xsi:type="xsd:double"&gt;420.596303&lt;/D&gt;&lt;D xsi:type="xsd:double"&gt;419.249667&lt;/D&gt;&lt;D xsi:type="xsd:double"&gt;423.126841&lt;/D&gt;&lt;D xsi:type="xsd:double"&gt;422.4702&lt;/D&gt;&lt;D xsi:type="xsd:double"&gt;421.278104&lt;/D&gt;&lt;D xsi:type="xsd:double"&gt;423.862131&lt;/D&gt;&lt;D xsi:type="xsd:double"&gt;420.641491&lt;/D&gt;&lt;D xsi:type="xsd:double"&gt;421.823116&lt;/D&gt;&lt;D xsi:type="xsd:double"&gt;420.896253&lt;/D&gt;&lt;D xsi:type="xsd:double"&gt;423.140287&lt;/D&gt;&lt;D xsi:type="xsd:double"&gt;419.030529&lt;/D&gt;&lt;D xsi:type="xsd:double"&gt;419.903269&lt;/D&gt;&lt;D xsi:type="xsd:double"&gt;419.806066&lt;/D&gt;&lt;D xsi:type="xsd:double"&gt;418.514361&lt;/D&gt;&lt;D xsi:type="xsd:double"&gt;421.411622&lt;/D&gt;&lt;D xsi:type="xsd:double"&gt;423.743019&lt;/D&gt;&lt;D xsi:type="xsd:double"&gt;428.099258&lt;/D&gt;&lt;D xsi:type="xsd:double"&gt;426.460246&lt;/D&gt;&lt;D xsi:type="xsd:double"&gt;430.444289&lt;/D&gt;&lt;D xsi:type="xsd:double"&gt;428.575952&lt;/D&gt;&lt;D xsi:type="xsd:double"&gt;424.756699&lt;/D&gt;&lt;D xsi:type="xsd:double"&gt;426.382793&lt;/D&gt;&lt;D xsi:type="xsd:double"&gt;430.342585&lt;/D&gt;&lt;D xsi:type="xsd:double"&gt;430.013251&lt;/D&gt;&lt;D xsi:type="xsd:double"&gt;429.251462&lt;/D&gt;&lt;D xsi:type="xsd:double"&gt;427.048063&lt;/D&gt;&lt;D xsi:type="xsd:double"&gt;431.923778&lt;/D&gt;&lt;D xsi:type="xsd:double"&gt;429.341103&lt;/D&gt;&lt;D xsi:type="xsd:double"&gt;429.97164&lt;/D&gt;&lt;D xsi:type="xsd:double"&gt;433.105186&lt;/D&gt;&lt;D xsi:type="xsd:double"&gt;432.199623&lt;/D&gt;&lt;D xsi:type="xsd:double"&gt;428.147994&lt;/D&gt;&lt;D xsi:type="xsd:double"&gt;428.736567&lt;/D&gt;&lt;D xsi:type="xsd:double"&gt;431.173958&lt;/D&gt;&lt;D xsi:type="xsd:double"&gt;427.766832&lt;/D&gt;&lt;D xsi:type="xsd:double"&gt;420.258647&lt;/D&gt;&lt;D xsi:type="xsd:double"&gt;417.534768&lt;/D&gt;&lt;D xsi:type="xsd:double"&gt;419.281449&lt;/D&gt;&lt;D xsi:type="xsd:double"&gt;417.141621&lt;/D&gt;&lt;D xsi:type="xsd:double"&gt;418.712922&lt;/D&gt;&lt;D xsi:type="xsd:double"&gt;414.906593&lt;/D&gt;&lt;D xsi:type="xsd:double"&gt;415.050232&lt;/D&gt;&lt;D xsi:type="xsd:double"&gt;412.171591&lt;/D&gt;&lt;D xsi:type="xsd:double"&gt;426.68651&lt;/D&gt;&lt;D xsi:type="xsd:double"&gt;430.326719&lt;/D&gt;&lt;D xsi:type="xsd:double"&gt;434.546579&lt;/D&gt;&lt;D xsi:type="xsd:double"&gt;434.712186&lt;/D&gt;&lt;D xsi:type="xsd:double"&gt;422.333979&lt;/D&gt;&lt;D xsi:type="xsd:double"&gt;420.201418&lt;/D&gt;&lt;D xsi:type="xsd:double"&gt;430.029341&lt;/D&gt;&lt;D xsi:type="xsd:double"&gt;431.658991&lt;/D&gt;&lt;D xsi:type="xsd:double"&gt;434.125943&lt;/D&gt;&lt;D xsi:type="xsd:double"&gt;433.10625&lt;/D&gt;&lt;D xsi:type="xsd:double"&gt;426.191166&lt;/D&gt;&lt;D xsi:type="xsd:double"&gt;422.508603&lt;/D&gt;&lt;D xsi:type="xsd:double"&gt;423.201757&lt;/D&gt;&lt;D xsi:type="xsd:double"&gt;419.410501&lt;/D&gt;&lt;D xsi:type="xsd:double"&gt;414.242927&lt;/D&gt;&lt;D xsi:type="xsd:double"&gt;419.496759&lt;/D&gt;&lt;D xsi:type="xsd:double"&gt;402.820696&lt;/D&gt;&lt;D xsi:type="xsd:double"&gt;395.930528&lt;/D&gt;&lt;D xsi:type="xsd:double"&gt;409.143783&lt;/D&gt;&lt;D xsi:type="xsd:double"&gt;416.956556&lt;/D&gt;&lt;D xsi:type="xsd:double"&gt;421.858744&lt;/D&gt;&lt;D xsi:type="xsd:double"&gt;415.854392&lt;/D&gt;&lt;D xsi:type="xsd:double"&gt;412.973945&lt;/D&gt;&lt;D xsi:type="xsd:double"&gt;433.521036&lt;/D&gt;&lt;D xsi:type="xsd:double"&gt;438.800091&lt;/D&gt;&lt;D xsi:type="xsd:double"&gt;446.129773&lt;/D&gt;&lt;D xsi:type="xsd:double"&gt;447.487613&lt;/D&gt;&lt;D xsi:type="xsd:double"&gt;440.67872&lt;/D&gt;&lt;D xsi:type="xsd:double"&gt;441.298512&lt;/D&gt;&lt;D xsi:type="xsd:double"&gt;449.87827&lt;/D&gt;&lt;D xsi:type="xsd:double"&gt;463.162664&lt;/D&gt;&lt;D xsi:type="xsd:double"&gt;471.365935&lt;/D&gt;&lt;D xsi:type="xsd:double"&gt;474.382948&lt;/D&gt;&lt;D xsi:type="xsd:double"&gt;478.22548&lt;/D&gt;&lt;D xsi:type="xsd:double"&gt;472.808114&lt;/D&gt;&lt;D xsi:type="xsd:double"&gt;476.897736&lt;/D&gt;&lt;D xsi:type="xsd:double"&gt;482.159478&lt;/D&gt;&lt;D xsi:type="xsd:double"&gt;481.576627&lt;/D&gt;&lt;D xsi:type="xsd:double"&gt;482.354694&lt;/D&gt;&lt;D xsi:type="xsd:double"&gt;483.498506&lt;/D&gt;&lt;D xsi:type="xsd:double"&gt;487.403396&lt;/D&gt;&lt;D xsi:type="xsd:double"&gt;494.436695&lt;/D&gt;&lt;D xsi:type="xsd:double"&gt;497.25649&lt;/D&gt;&lt;D xsi:type="xsd:double"&gt;495.863425&lt;/D&gt;&lt;D xsi:type="xsd:double"&gt;494.831628&lt;/D&gt;&lt;D xsi:type="xsd:double"&gt;493.089651&lt;/D&gt;&lt;D xsi:type="xsd:double"&gt;490.441334&lt;/D&gt;&lt;D xsi:type="xsd:double"&gt;487.01716&lt;/D&gt;&lt;D xsi:type="xsd:double"&gt;485.343736&lt;/D&gt;&lt;D xsi:type="xsd:double"&gt;482.062352&lt;/D&gt;&lt;D xsi:type="xsd:double"&gt;476.437495&lt;/D&gt;&lt;D xsi:type="xsd:double"&gt;472.99649899999997&lt;/D&gt;&lt;D xsi:type="xsd:double"&gt;466.626795&lt;/D&gt;&lt;D xsi:type="xsd:double"&gt;463.313726&lt;/D&gt;&lt;D xsi:type="xsd:double"&gt;465.20819&lt;/D&gt;&lt;D xsi:type="xsd:double"&gt;465.31911&lt;/D&gt;&lt;D xsi:type="xsd:double"&gt;468.365893&lt;/D&gt;&lt;D xsi:type="xsd:double"&gt;476.806485&lt;/D&gt;&lt;D xsi:type="xsd:double"&gt;474.6361&lt;/D&gt;&lt;D xsi:type="xsd:double"&gt;470.019367&lt;/D&gt;&lt;D xsi:type="xsd:double"&gt;464.573743&lt;/D&gt;&lt;D xsi:type="xsd:double"&gt;464.248866&lt;/D&gt;&lt;D xsi:type="xsd:double"&gt;466.799957&lt;/D&gt;&lt;D xsi:type="xsd:double"&gt;469.344162&lt;/D&gt;&lt;D xsi:type="xsd:double"&gt;476.339143&lt;/D&gt;&lt;D xsi:type="xsd:double"&gt;485.246861&lt;/D&gt;&lt;D xsi:type="xsd:double"&gt;486.31145&lt;/D&gt;&lt;D xsi:type="xsd:double"&gt;488.306121&lt;/D&gt;&lt;D xsi:type="xsd:double"&gt;485.447172&lt;/D&gt;&lt;D xsi:type="xsd:double"&gt;482.406522&lt;/D&gt;&lt;D xsi:type="xsd:double"&gt;488.370592&lt;/D&gt;&lt;D xsi:type="xsd:double"&gt;485.280718&lt;/D&gt;&lt;D xsi:type="xsd:double"&gt;477.73243&lt;/D&gt;&lt;D xsi:type="xsd:double"&gt;472.603351&lt;/D&gt;&lt;D xsi:type="xsd:double"&gt;470.958111&lt;/D&gt;&lt;D xsi:type="xsd:double"&gt;470.440969&lt;/D&gt;&lt;D xsi:type="xsd:double"&gt;473.384385&lt;/D&gt;&lt;D xsi:type="xsd:double"&gt;475.479038&lt;/D&gt;&lt;D xsi:type="xsd:double"&gt;478.537273&lt;/D&gt;&lt;D xsi:type="xsd:double"&gt;483.193037&lt;/D&gt;&lt;D xsi:type="xsd:double"&gt;483.689163&lt;/D&gt;&lt;D xsi:type="xsd:double"&gt;480.050282&lt;/D&gt;&lt;D xsi:type="xsd:double"&gt;477.166853&lt;/D&gt;&lt;D xsi:type="xsd:double"&gt;472.084581&lt;/D&gt;&lt;D xsi:type="xsd:double"&gt;468.946294&lt;/D&gt;&lt;D xsi:type="xsd:double"&gt;467.950576&lt;/D&gt;&lt;D xsi:type="xsd:double"&gt;459.980636&lt;/D&gt;&lt;D xsi:type="xsd:double"&gt;453.635309&lt;/D&gt;&lt;D xsi:type="xsd:double"&gt;455.681367&lt;/D&gt;&lt;D xsi:type="xsd:double"&gt;457.276538&lt;/D&gt;&lt;D xsi:type="xsd:double"&gt;456.759933&lt;/D&gt;&lt;D xsi:type="xsd:double"&gt;457.191197&lt;/D&gt;&lt;D xsi:type="xsd:double"&gt;459.228525&lt;/D&gt;&lt;D xsi:type="xsd:double"&gt;468.840523&lt;/D&gt;&lt;D xsi:type="xsd:double"&gt;471.43497&lt;/D&gt;&lt;D xsi:type="xsd:double"&gt;469.76832&lt;/D&gt;&lt;D xsi:type="xsd:double"&gt;467.89698&lt;/D&gt;&lt;D xsi:type="xsd:double"&gt;465.635395&lt;/D&gt;&lt;D xsi:type="xsd:double"&gt;465.469067&lt;/D&gt;&lt;D xsi:type="xsd:double"&gt;467.073051&lt;/D&gt;&lt;D xsi:type="xsd:double"&gt;459.110835&lt;/D&gt;&lt;D xsi:type="xsd:double"&gt;458.75123&lt;/D&gt;&lt;D xsi:type="xsd:double"&gt;464.128535&lt;/D&gt;&lt;D xsi:type="xsd:double"&gt;467.660105&lt;/D&gt;&lt;D xsi:type="xsd:double"&gt;467.356967&lt;/D&gt;&lt;D xsi:type="xsd:double"&gt;468.068454&lt;/D&gt;&lt;D xsi:type="xsd:double"&gt;461.859329&lt;/D&gt;&lt;D xsi:type="xsd:double"&gt;459.844445&lt;/D&gt;&lt;D xsi:type="xsd:double"&gt;460.946782&lt;/D&gt;&lt;D xsi:type="xsd:double"&gt;462.289667&lt;/D&gt;&lt;D xsi:type="xsd:double"&gt;450.698299&lt;/D&gt;&lt;D xsi:type="xsd:double"&gt;442.778084&lt;/D&gt;&lt;D xsi:type="xsd:double"&gt;441.627479&lt;/D&gt;&lt;D xsi:type="xsd:double"&gt;436.29587&lt;/D&gt;&lt;D xsi:type="xsd:double"&gt;433.35844&lt;/D&gt;&lt;D xsi:type="xsd:double"&gt;432.374416&lt;/D&gt;&lt;D xsi:type="xsd:double"&gt;430.638501&lt;/D&gt;&lt;D xsi:type="xsd:double"&gt;430.573615&lt;/D&gt;&lt;D xsi:type="xsd:double"&gt;427.758806&lt;/D&gt;&lt;D xsi:type="xsd:double"&gt;425.77598&lt;/D&gt;&lt;D xsi:type="xsd:double"&gt;421.969171&lt;/D&gt;&lt;D xsi:type="xsd:double"&gt;425.648377&lt;/D&gt;&lt;D xsi:type="xsd:double"&gt;429.604758&lt;/D&gt;&lt;D xsi:type="xsd:double"&gt;426.368809&lt;/D&gt;&lt;D xsi:type="xsd:double"&gt;423.506898&lt;/D&gt;&lt;D xsi:type="xsd:double"&gt;421.771711&lt;/D&gt;&lt;D xsi:type="xsd:double"&gt;423.099765&lt;/D&gt;&lt;D xsi:type="xsd:double"&gt;418.73413&lt;/D&gt;&lt;D xsi:type="xsd:double"&gt;419.682408&lt;/D&gt;&lt;D xsi:type="xsd:double"&gt;421.194127&lt;/D&gt;&lt;D xsi:type="xsd:double"&gt;423.651228&lt;/D&gt;&lt;D xsi:type="xsd:double"&gt;422.683732&lt;/D&gt;&lt;D xsi:type="xsd:double"&gt;421.290587&lt;/D&gt;&lt;D xsi:type="xsd:double"&gt;413.325281&lt;/D&gt;&lt;D xsi:type="xsd:double"&gt;408.897675&lt;/D&gt;&lt;D xsi:type="xsd:double"&gt;405.497529&lt;/D&gt;&lt;D xsi:type="xsd:double"&gt;401.040136&lt;/D&gt;&lt;D xsi:type="xsd:double"&gt;403.723428&lt;/D&gt;&lt;D xsi:type="xsd:double"&gt;401.150193&lt;/D&gt;&lt;D xsi:type="xsd:double"&gt;404.273156&lt;/D&gt;&lt;D xsi:type="xsd:double"&gt;410.770946&lt;/D&gt;&lt;D xsi:type="xsd:double"&gt;410.303411&lt;/D&gt;&lt;D xsi:type="xsd:double"&gt;417.674629&lt;/D&gt;&lt;D xsi:type="xsd:double"&gt;417.597062&lt;/D&gt;&lt;D xsi:type="xsd:double"&gt;412.508416&lt;/D&gt;&lt;D xsi:type="xsd:double"&gt;409.641693&lt;/D&gt;&lt;D xsi:type="xsd:double"&gt;414.109153&lt;/D&gt;&lt;D xsi:type="xsd:double"&gt;416.473663&lt;/D&gt;&lt;D xsi:type="xsd:double"&gt;413.770868&lt;/D&gt;&lt;D xsi:type="xsd:double"&gt;417.576566&lt;/D&gt;&lt;D xsi:type="xsd:double"&gt;417.478527&lt;/D&gt;&lt;D xsi:type="xsd:double"&gt;415.489671&lt;/D&gt;&lt;D xsi:type="xsd:double"&gt;409.114632&lt;/D&gt;&lt;D xsi:type="xsd:double"&gt;409.889614&lt;/D&gt;&lt;D xsi:type="xsd:double"&gt;408.791277&lt;/D&gt;&lt;D xsi:type="xsd:double"&gt;407.075092&lt;/D&gt;&lt;D xsi:type="xsd:double"&gt;400.967336&lt;/D&gt;&lt;D xsi:type="xsd:double"&gt;400.682155&lt;/D&gt;&lt;D xsi:type="xsd:double"&gt;400.731615&lt;/D&gt;&lt;D xsi:type="xsd:double"&gt;408.934962&lt;/D&gt;&lt;D xsi:type="xsd:double"&gt;410.051682&lt;/D&gt;&lt;D xsi:type="xsd:double"&gt;411.10029&lt;/D&gt;&lt;D xsi:type="xsd:double"&gt;409.651253&lt;/D&gt;&lt;D xsi:type="xsd:double"&gt;411.61158&lt;/D&gt;&lt;D xsi:type="xsd:double"&gt;407.807182&lt;/D&gt;&lt;D xsi:type="xsd:double"&gt;408.723202&lt;/D&gt;&lt;D xsi:type="xsd:double"&gt;410.49434&lt;/D&gt;&lt;D xsi:type="xsd:double"&gt;407.879143&lt;/D&gt;&lt;D xsi:type="xsd:double"&gt;403.685745&lt;/D&gt;&lt;D xsi:type="xsd:double"&gt;398.572014&lt;/D&gt;&lt;D xsi:type="xsd:double"&gt;395.939453&lt;/D&gt;&lt;D xsi:type="xsd:double"&gt;393.782258&lt;/D&gt;&lt;D xsi:type="xsd:double"&gt;390.324343&lt;/D&gt;&lt;D xsi:type="xsd:double"&gt;387.049295&lt;/D&gt;&lt;D xsi:type="xsd:double"&gt;381.669707&lt;/D&gt;&lt;D xsi:type="xsd:double"&gt;377.633905&lt;/D&gt;&lt;D xsi:type="xsd:double"&gt;377.000394&lt;/D&gt;&lt;D xsi:type="xsd:double"&gt;376.657487&lt;/D&gt;&lt;D xsi:type="xsd:double"&gt;379.630855&lt;/D&gt;&lt;D xsi:type="xsd:double"&gt;383.300685&lt;/D&gt;&lt;D xsi:type="xsd:double"&gt;380.456204&lt;/D&gt;&lt;D xsi:type="xsd:double"&gt;378.857408&lt;/D&gt;&lt;D xsi:type="xsd:double"&gt;382.827158&lt;/D&gt;&lt;D xsi:type="xsd:double"&gt;384.305981&lt;/D&gt;&lt;D xsi:type="xsd:double"&gt;384.771901&lt;/D&gt;&lt;D xsi:type="xsd:double"&gt;383.677946&lt;/D&gt;&lt;D xsi:type="xsd:double"&gt;380.489024&lt;/D&gt;&lt;D xsi:type="xsd:double"&gt;383.965652&lt;/D&gt;&lt;D xsi:type="xsd:double"&gt;384.029181&lt;/D&gt;&lt;D xsi:type="xsd:double"&gt;383.47758&lt;/D&gt;&lt;D xsi:type="xsd:double"&gt;384.80544&lt;/D&gt;&lt;D xsi:type="xsd:double"&gt;386.102637&lt;/D&gt;&lt;D xsi:type="xsd:double"&gt;384.734323&lt;/D&gt;&lt;D xsi:type="xsd:double"&gt;382.798632&lt;/D&gt;&lt;D xsi:type="xsd:double"&gt;381.615692&lt;/D&gt;&lt;D xsi:type="xsd:double"&gt;378.697153&lt;/D&gt;&lt;D xsi:type="xsd:double"&gt;375.518425&lt;/D&gt;&lt;D xsi:type="xsd:double"&gt;371.555799&lt;/D&gt;&lt;D xsi:type="xsd:double"&gt;371.084741&lt;/D&gt;&lt;D xsi:type="xsd:double"&gt;369.318096&lt;/D&gt;&lt;D xsi:type="xsd:double"&gt;371.342954&lt;/D&gt;&lt;D xsi:type="xsd:double"&gt;372.849002&lt;/D&gt;&lt;D xsi:type="xsd:double"&gt;371.424936&lt;/D&gt;&lt;D xsi:type="xsd:double"&gt;366.433191&lt;/D&gt;&lt;D xsi:type="xsd:double"&gt;365.883502&lt;/D&gt;&lt;D xsi:type="xsd:double"&gt;364.585586&lt;/D&gt;&lt;D xsi:type="xsd:double"&gt;362.175314&lt;/D&gt;&lt;D xsi:type="xsd:double"&gt;360.92295&lt;/D&gt;&lt;D xsi:type="xsd:double"&gt;357.538109&lt;/D&gt;&lt;D xsi:type="xsd:double"&gt;352.777624&lt;/D&gt;&lt;D xsi:type="xsd:double"&gt;352.333788&lt;/D&gt;&lt;D xsi:type="xsd:double"&gt;349.610668&lt;/D&gt;&lt;D xsi:type="xsd:double"&gt;349.722377&lt;/D&gt;&lt;D xsi:type="xsd:double"&gt;347.051246&lt;/D&gt;&lt;D xsi:type="xsd:double"&gt;350.147588&lt;/D&gt;&lt;D xsi:type="xsd:double"&gt;351.953398&lt;/D&gt;&lt;D xsi:type="xsd:double"&gt;353.232252&lt;/D&gt;&lt;D xsi:type="xsd:double"&gt;352.624149&lt;/D&gt;&lt;D xsi:type="xsd:double"&gt;351.260248&lt;/D&gt;&lt;D xsi:type="xsd:double"&gt;353.353093&lt;/D&gt;&lt;D xsi:type="xsd:double"&gt;354.457608&lt;/D&gt;&lt;D xsi:type="xsd:double"&gt;350.411363&lt;/D&gt;&lt;D xsi:type="xsd:double"&gt;347.597712&lt;/D&gt;&lt;D xsi:type="xsd:double"&gt;344.192461&lt;/D&gt;&lt;D xsi:type="xsd:double"&gt;344.918635&lt;/D&gt;&lt;D xsi:type="xsd:double"&gt;343.653895&lt;/D&gt;&lt;D xsi:type="xsd:double"&gt;344.541562&lt;/D&gt;&lt;D xsi:type="xsd:double"&gt;346.220281&lt;/D&gt;&lt;D xsi:type="xsd:double"&gt;350.353235&lt;/D&gt;&lt;D xsi:type="xsd:double"&gt;352.008626&lt;/D&gt;&lt;D xsi:type="xsd:double"&gt;353.432258&lt;/D&gt;&lt;D xsi:type="xsd:double"&gt;346.4231&lt;/D&gt;&lt;D xsi:type="xsd:double"&gt;346.816018&lt;/D&gt;&lt;D xsi:type="xsd:double"&gt;349.707935&lt;/D&gt;&lt;D xsi:type="xsd:double"&gt;351.530253&lt;/D&gt;&lt;D xsi:type="xsd:double"&gt;349.762791&lt;/D&gt;&lt;D xsi:type="xsd:double"&gt;343.229205&lt;/D&gt;&lt;D xsi:type="xsd:double"&gt;341.331255&lt;/D&gt;&lt;D xsi:type="xsd:double"&gt;336.745386&lt;/D&gt;&lt;D xsi:type="xsd:double"&gt;332.684155&lt;/D&gt;&lt;D xsi:type="xsd:double"&gt;333.574543&lt;/D&gt;&lt;D xsi:type="xsd:double"&gt;332.521168&lt;/D&gt;&lt;D xsi:type="xsd:double"&gt;332.687126&lt;/D&gt;&lt;D xsi:type="xsd:double"&gt;329.67516&lt;/D&gt;&lt;D xsi:type="xsd:double"&gt;331.639991&lt;/D&gt;&lt;D xsi:type="xsd:double"&gt;336.277225&lt;/D&gt;&lt;D xsi:type="xsd:double"&gt;337.297635&lt;/D&gt;&lt;D xsi:type="xsd:double"&gt;335.5904&lt;/D&gt;&lt;D xsi:type="xsd:double"&gt;337.563451&lt;/D&gt;&lt;D xsi:type="xsd:double"&gt;331.685718&lt;/D&gt;&lt;D xsi:type="xsd:double"&gt;330.159336&lt;/D&gt;&lt;D xsi:type="xsd:double"&gt;328.978796&lt;/D&gt;&lt;D xsi:type="xsd:double"&gt;325.35395&lt;/D&gt;&lt;D xsi:type="xsd:double"&gt;325.053451&lt;/D&gt;&lt;D xsi:type="xsd:double"&gt;325.733898&lt;/D&gt;&lt;D xsi:type="xsd:double"&gt;324.474999&lt;/D&gt;&lt;D xsi:type="xsd:double"&gt;322.708157&lt;/D&gt;&lt;D xsi:type="xsd:double"&gt;319.851201&lt;/D&gt;&lt;D xsi:type="xsd:double"&gt;318.194074&lt;/D&gt;&lt;D xsi:type="xsd:double"&gt;319.467897&lt;/D&gt;&lt;D xsi:type="xsd:double"&gt;315.435593&lt;/D&gt;&lt;D xsi:type="xsd:double"&gt;314.840654&lt;/D&gt;&lt;D xsi:type="xsd:double"&gt;312.899479&lt;/D&gt;&lt;D xsi:type="xsd:double"&gt;309.11242&lt;/D&gt;&lt;D xsi:type="xsd:double"&gt;307.083539&lt;/D&gt;&lt;D xsi:type="xsd:double"&gt;302.122504&lt;/D&gt;&lt;D xsi:type="xsd:double"&gt;300.254516&lt;/D&gt;&lt;D xsi:type="xsd:double"&gt;299.839136&lt;/D&gt;&lt;D xsi:type="xsd:double"&gt;300.502609&lt;/D&gt;&lt;D xsi:type="xsd:double"&gt;303.015903&lt;/D&gt;&lt;D xsi:type="xsd:double"&gt;305.225543&lt;/D&gt;&lt;D xsi:type="xsd:double"&gt;304.99875&lt;/D&gt;&lt;D xsi:type="xsd:double"&gt;305.67551&lt;/D&gt;&lt;D xsi:type="xsd:double"&gt;305.897717&lt;/D&gt;&lt;D xsi:type="xsd:double"&gt;302.458955&lt;/D&gt;&lt;D xsi:type="xsd:double"&gt;300.210517&lt;/D&gt;&lt;D xsi:type="xsd:double"&gt;302.191348&lt;/D&gt;&lt;D xsi:type="xsd:double"&gt;299.376879&lt;/D&gt;&lt;D xsi:type="xsd:double"&gt;299.463752&lt;/D&gt;&lt;D xsi:type="xsd:double"&gt;296.707177&lt;/D&gt;&lt;D xsi:type="xsd:double"&gt;295.287107&lt;/D&gt;&lt;D xsi:type="xsd:double"&gt;295.165903&lt;/D&gt;&lt;D xsi:type="xsd:double"&gt;294.09683&lt;/D&gt;&lt;D xsi:type="xsd:double"&gt;287.674&lt;/D&gt;&lt;D xsi:type="xsd:double"&gt;285.768&lt;/D&gt;&lt;D xsi:type="xsd:double"&gt;290.03&lt;/D&gt;&lt;D xsi:type="xsd:double"&gt;294.128&lt;/D&gt;&lt;D xsi:type="xsd:double"&gt;293.879&lt;/D&gt;&lt;D xsi:type="xsd:double"&gt;297.375&lt;/D&gt;&lt;D xsi:type="xsd:double"&gt;294.459&lt;/D&gt;&lt;D xsi:type="xsd:double"&gt;294.288&lt;/D&gt;&lt;D xsi:type="xsd:double"&gt;290.737&lt;/D&gt;&lt;D xsi:type="xsd:double"&gt;286.319&lt;/D&gt;&lt;D xsi:type="xsd:double"&gt;284.702&lt;/D&gt;&lt;D xsi:type="xsd:double"&gt;283.683&lt;/D&gt;&lt;D xsi:type="xsd:double"&gt;283.489&lt;/D&gt;&lt;D xsi:type="xsd:double"&gt;285.742&lt;/D&gt;&lt;D xsi:type="xsd:double"&gt;287.198&lt;/D&gt;&lt;D xsi:type="xsd:double"&gt;281.023&lt;/D&gt;&lt;D xsi:type="xsd:double"&gt;277.748&lt;/D&gt;&lt;D xsi:type="xsd:double"&gt;276.152&lt;/D&gt;&lt;D xsi:type="xsd:double"&gt;273.664&lt;/D&gt;&lt;D xsi:type="xsd:double"&gt;272.267&lt;/D&gt;&lt;D xsi:type="xsd:double"&gt;277.317&lt;/D&gt;&lt;D xsi:type="xsd:double"&gt;277.431&lt;/D&gt;&lt;D xsi:type="xsd:double"&gt;278.743&lt;/D&gt;&lt;D xsi:type="xsd:double"&gt;277.982&lt;/D&gt;&lt;D xsi:type="xsd:double"&gt;279.256&lt;/D&gt;&lt;D xsi:type="xsd:double"&gt;282.186&lt;/D&gt;&lt;D xsi:type="xsd:double"&gt;281.074&lt;/D&gt;&lt;D xsi:type="xsd:double"&gt;276.807&lt;/D&gt;&lt;D xsi:type="xsd:double"&gt;276.833&lt;/D&gt;&lt;D xsi:type="xsd:double"&gt;269.877&lt;/D&gt;&lt;D xsi:type="xsd:double"&gt;275.254&lt;/D&gt;&lt;D xsi:type="xsd:double"&gt;272.291&lt;/D&gt;&lt;D xsi:type="xsd:double"&gt;269.711&lt;/D&gt;&lt;D xsi:type="xsd:double"&gt;269.705&lt;/D&gt;&lt;D xsi:type="xsd:double"&gt;271.687&lt;/D&gt;&lt;D xsi:type="xsd:double"&gt;274.432&lt;/D&gt;&lt;D xsi:type="xsd:double"&gt;276.207&lt;/D&gt;&lt;D xsi:type="xsd:double"&gt;278.235&lt;/D&gt;&lt;D xsi:type="xsd:double"&gt;281.54&lt;/D&gt;&lt;D xsi:type="xsd:double"&gt;284.657&lt;/D&gt;&lt;D xsi:type="xsd:double"&gt;281.288&lt;/D&gt;&lt;D xsi:type="xsd:double"&gt;281.61&lt;/D&gt;&lt;D xsi:type="xsd:double"&gt;281.673&lt;/D&gt;&lt;D xsi:type="xsd:double"&gt;282.383&lt;/D&gt;&lt;D xsi:type="xsd:double"&gt;287.919&lt;/D&gt;&lt;D xsi:type="xsd:double"&gt;286.748&lt;/D&gt;&lt;D xsi:type="xsd:double"&gt;285.973&lt;/D&gt;&lt;D xsi:type="xsd:double"&gt;285.384&lt;/D&gt;&lt;D xsi:type="xsd:double"&gt;286.815&lt;/D&gt;&lt;D xsi:type="xsd:double"&gt;279.254&lt;/D&gt;&lt;D xsi:type="xsd:double"&gt;279.386&lt;/D&gt;&lt;D xsi:type="xsd:double"&gt;283.765&lt;/D&gt;&lt;D xsi:type="xsd:double"&gt;282.632&lt;/D&gt;&lt;D xsi:type="xsd:double"&gt;282.158&lt;/D&gt;&lt;D xsi:type="xsd:double"&gt;284.593&lt;/D&gt;&lt;D xsi:type="xsd:double"&gt;287.806&lt;/D&gt;&lt;D xsi:type="xsd:double"&gt;291.477&lt;/D&gt;&lt;D xsi:type="xsd:double"&gt;291.572&lt;/D&gt;&lt;D xsi:type="xsd:double"&gt;291.885&lt;/D&gt;&lt;D xsi:type="xsd:double"&gt;290.438&lt;/D&gt;&lt;D xsi:type="xsd:double"&gt;289.848&lt;/D&gt;&lt;D xsi:type="xsd:double"&gt;289.055&lt;/D&gt;&lt;D xsi:type="xsd:double"&gt;290.179&lt;/D&gt;&lt;D xsi:type="xsd:double"&gt;288.792&lt;/D&gt;&lt;D xsi:type="xsd:double"&gt;293.897&lt;/D&gt;&lt;D xsi:type="xsd:double"&gt;297.756&lt;/D&gt;&lt;D xsi:type="xsd:double"&gt;296.079&lt;/D&gt;&lt;D xsi:type="xsd:double"&gt;298.358&lt;/D&gt;&lt;D xsi:type="xsd:double"&gt;301.958&lt;/D&gt;&lt;D xsi:type="xsd:double"&gt;305.99&lt;/D&gt;&lt;D xsi:type="xsd:double"&gt;308.006&lt;/D&gt;&lt;D xsi:type="xsd:double"&gt;307.62&lt;/D&gt;&lt;D xsi:type="xsd:double"&gt;307.107&lt;/D&gt;&lt;D xsi:type="xsd:double"&gt;302.857&lt;/D&gt;&lt;D xsi:type="xsd:double"&gt;301.397&lt;/D&gt;&lt;D xsi:type="xsd:double"&gt;302.092&lt;/D&gt;&lt;D xsi:type="xsd:double"&gt;301.382&lt;/D&gt;&lt;D xsi:type="xsd:double"&gt;303.363&lt;/D&gt;&lt;D xsi:type="xsd:double"&gt;299.981&lt;/D&gt;&lt;D xsi:type="xsd:double"&gt;294.085&lt;/D&gt;&lt;D xsi:type="xsd:double"&gt;292.09&lt;/D&gt;&lt;D xsi:type="xsd:double"&gt;291.951&lt;/D&gt;&lt;D xsi:type="xsd:double"&gt;295.985&lt;/D&gt;&lt;D xsi:type="xsd:double"&gt;297.394&lt;/D&gt;&lt;D xsi:type="xsd:double"&gt;297.132&lt;/D&gt;&lt;D xsi:type="xsd:double"&gt;299.242&lt;/D&gt;&lt;D xsi:type="xsd:double"&gt;301.892&lt;/D&gt;&lt;D xsi:type="xsd:double"&gt;300.034&lt;/D&gt;&lt;D xsi:type="xsd:double"&gt;299.441&lt;/D&gt;&lt;D xsi:type="xsd:double"&gt;299.801&lt;/D&gt;&lt;D xsi:type="xsd:double"&gt;297.386&lt;/D&gt;&lt;D xsi:type="xsd:double"&gt;298.578&lt;/D&gt;&lt;D xsi:type="xsd:double"&gt;298.991&lt;/D&gt;&lt;D xsi:type="xsd:double"&gt;297.04&lt;/D&gt;&lt;D xsi:type="xsd:double"&gt;297.605&lt;/D&gt;&lt;D xsi:type="xsd:double"&gt;299.925&lt;/D&gt;&lt;D xsi:type="xsd:double"&gt;299.281&lt;/D&gt;&lt;D xsi:type="xsd:double"&gt;300.195&lt;/D&gt;&lt;D xsi:type="xsd:double"&gt;300.277&lt;/D&gt;&lt;D xsi:type="xsd:double"&gt;304.858&lt;/D&gt;&lt;D xsi:type="xsd:double"&gt;304.42&lt;/D&gt;&lt;D xsi:type="xsd:double"&gt;302.358&lt;/D&gt;&lt;D xsi:type="xsd:double"&gt;298.341&lt;/D&gt;&lt;D xsi:type="xsd:double"&gt;297.277&lt;/D&gt;&lt;D xsi:type="xsd:double"&gt;299.417&lt;/D&gt;&lt;D xsi:type="xsd:double"&gt;297.334&lt;/D&gt;&lt;D xsi:type="xsd:double"&gt;295.52&lt;/D&gt;&lt;D xsi:type="xsd:double"&gt;291.417&lt;/D&gt;&lt;D xsi:type="xsd:double"&gt;291.477&lt;/D&gt;&lt;D xsi:type="xsd:double"&gt;293.634&lt;/D&gt;&lt;D xsi:type="xsd:double"&gt;292.441&lt;/D&gt;&lt;D xsi:type="xsd:double"&gt;287.241&lt;/D&gt;&lt;D xsi:type="xsd:double"&gt;286.432&lt;/D&gt;&lt;D xsi:type="xsd:double"&gt;287.151&lt;/D&gt;&lt;D xsi:type="xsd:double"&gt;288.798&lt;/D&gt;&lt;D xsi:type="xsd:double"&gt;292.75&lt;/D&gt;&lt;D xsi:type="xsd:double"&gt;292.229&lt;/D&gt;&lt;D xsi:type="xsd:double"&gt;290.023&lt;/D&gt;&lt;D xsi:type="xsd:double"&gt;286.53&lt;/D&gt;&lt;D xsi:type="xsd:double"&gt;287.652&lt;/D&gt;&lt;D xsi:type="xsd:double"&gt;282.091&lt;/D&gt;&lt;D xsi:type="xsd:double"&gt;283.161&lt;/D&gt;&lt;D xsi:type="xsd:double</t>
        </r>
      </text>
    </comment>
    <comment ref="A51" authorId="0" shapeId="0">
      <text>
        <r>
          <rPr>
            <b/>
            <sz val="9"/>
            <color indexed="81"/>
            <rFont val="Tahoma"/>
            <family val="2"/>
          </rPr>
          <t>"&gt;279.371&lt;/D&gt;&lt;D xsi:type="xsd:double"&gt;280.267&lt;/D&gt;&lt;D xsi:type="xsd:double"&gt;283.57&lt;/D&gt;&lt;D xsi:type="xsd:double"&gt;279.99&lt;/D&gt;&lt;D xsi:type="xsd:double"&gt;279.912&lt;/D&gt;&lt;D xsi:type="xsd:double"&gt;280.033&lt;/D&gt;&lt;D xsi:type="xsd:double"&gt;274.085&lt;/D&gt;&lt;D xsi:type="xsd:double"&gt;276.102&lt;/D&gt;&lt;D xsi:type="xsd:double"&gt;276.852&lt;/D&gt;&lt;D xsi:type="xsd:double"&gt;271.949&lt;/D&gt;&lt;D xsi:type="xsd:double"&gt;267.57&lt;/D&gt;&lt;D xsi:type="xsd:double"&gt;265.253&lt;/D&gt;&lt;D xsi:type="xsd:double"&gt;258.397&lt;/D&gt;&lt;D xsi:type="xsd:double"&gt;255.981&lt;/D&gt;&lt;D xsi:type="xsd:double"&gt;254.793&lt;/D&gt;&lt;D xsi:type="xsd:double"&gt;259.361&lt;/D&gt;&lt;D xsi:type="xsd:double"&gt;263.042&lt;/D&gt;&lt;D xsi:type="xsd:double"&gt;262.677&lt;/D&gt;&lt;D xsi:type="xsd:double"&gt;269.624&lt;/D&gt;&lt;D xsi:type="xsd:double"&gt;268.709&lt;/D&gt;&lt;D xsi:type="xsd:double"&gt;269.59&lt;/D&gt;&lt;D xsi:type="xsd:double"&gt;269.004&lt;/D&gt;&lt;D xsi:type="xsd:double"&gt;266.106&lt;/D&gt;&lt;D xsi:type="xsd:double"&gt;270.7&lt;/D&gt;&lt;D xsi:type="xsd:double"&gt;272.243&lt;/D&gt;&lt;D xsi:type="xsd:double"&gt;269.672&lt;/D&gt;&lt;D xsi:type="xsd:double"&gt;272.254&lt;/D&gt;&lt;D xsi:type="xsd:double"&gt;274.734&lt;/D&gt;&lt;D xsi:type="xsd:double"&gt;281.265&lt;/D&gt;&lt;D xsi:type="xsd:double"&gt;282.225&lt;/D&gt;&lt;D xsi:type="xsd:double"&gt;284.609&lt;/D&gt;&lt;D xsi:type="xsd:double"&gt;291.523&lt;/D&gt;&lt;D xsi:type="xsd:double"&gt;286.953&lt;/D&gt;&lt;D xsi:type="xsd:double"&gt;292.517&lt;/D&gt;&lt;D xsi:type="xsd:double"&gt;297.7&lt;/D&gt;&lt;D xsi:type="xsd:double"&gt;297.637&lt;/D&gt;&lt;D xsi:type="xsd:double"&gt;295.222&lt;/D&gt;&lt;D xsi:type="xsd:double"&gt;290.367&lt;/D&gt;&lt;D xsi:type="xsd:double"&gt;289.1&lt;/D&gt;&lt;D xsi:type="xsd:double"&gt;289.557&lt;/D&gt;&lt;D xsi:type="xsd:double"&gt;291.335&lt;/D&gt;&lt;D xsi:type="xsd:double"&gt;293.718&lt;/D&gt;&lt;D xsi:type="xsd:double"&gt;298.886&lt;/D&gt;&lt;D xsi:type="xsd:double"&gt;296.452&lt;/D&gt;&lt;D xsi:type="xsd:double"&gt;297.98&lt;/D&gt;&lt;D xsi:type="xsd:double"&gt;301.276&lt;/D&gt;&lt;D xsi:type="xsd:double"&gt;300.976&lt;/D&gt;&lt;D xsi:type="xsd:double"&gt;301.536&lt;/D&gt;&lt;D xsi:type="xsd:double"&gt;303.033&lt;/D&gt;&lt;D xsi:type="xsd:double"&gt;302.34&lt;/D&gt;&lt;D xsi:type="xsd:double"&gt;300.664&lt;/D&gt;&lt;D xsi:type="xsd:double"&gt;298.589&lt;/D&gt;&lt;D xsi:type="xsd:double"&gt;298.195&lt;/D&gt;&lt;D xsi:type="xsd:double"&gt;296.459&lt;/D&gt;&lt;D xsi:type="xsd:double"&gt;294.775&lt;/D&gt;&lt;D xsi:type="xsd:double"&gt;292.194&lt;/D&gt;&lt;D xsi:type="xsd:double"&gt;292.031&lt;/D&gt;&lt;D xsi:type="xsd:double"&gt;292.806&lt;/D&gt;&lt;D xsi:type="xsd:double"&gt;291.464&lt;/D&gt;&lt;D xsi:type="xsd:double"&gt;287.549&lt;/D&gt;&lt;D xsi:type="xsd:double"&gt;280.98&lt;/D&gt;&lt;D xsi:type="xsd:double"&gt;282.569&lt;/D&gt;&lt;D xsi:type="xsd:double"&gt;293.249&lt;/D&gt;&lt;D xsi:type="xsd:double"&gt;293.465&lt;/D&gt;&lt;D xsi:type="xsd:double"&gt;294.623&lt;/D&gt;&lt;D xsi:type="xsd:double"&gt;298.179&lt;/D&gt;&lt;D xsi:type="xsd:double"&gt;293.444&lt;/D&gt;&lt;D xsi:type="xsd:double"&gt;292.319&lt;/D&gt;&lt;D xsi:type="xsd:double"&gt;302.157&lt;/D&gt;&lt;D xsi:type="xsd:double"&gt;302.076&lt;/D&gt;&lt;D xsi:type="xsd:double"&gt;310.283&lt;/D&gt;&lt;D xsi:type="xsd:double"&gt;310.717&lt;/D&gt;&lt;D xsi:type="xsd:double"&gt;321.25&lt;/D&gt;&lt;D xsi:type="xsd:double"&gt;326.078&lt;/D&gt;&lt;D xsi:type="xsd:double"&gt;324.736&lt;/D&gt;&lt;D xsi:type="xsd:double"&gt;323.519&lt;/D&gt;&lt;D xsi:type="xsd:double"&gt;326.021&lt;/D&gt;&lt;D xsi:type="xsd:double"&gt;328.119&lt;/D&gt;&lt;D xsi:type="xsd:double"&gt;321.349&lt;/D&gt;&lt;D xsi:type="xsd:double"&gt;327.677&lt;/D&gt;&lt;D xsi:type="xsd:double"&gt;331.223&lt;/D&gt;&lt;D xsi:type="xsd:double"&gt;328.118&lt;/D&gt;&lt;D xsi:type="xsd:double"&gt;326.206&lt;/D&gt;&lt;D xsi:type="xsd:double"&gt;316.561&lt;/D&gt;&lt;D xsi:type="xsd:double"&gt;316.87&lt;/D&gt;&lt;D xsi:type="xsd:double"&gt;318.637&lt;/D&gt;&lt;D xsi:type="xsd:double"&gt;319.752&lt;/D&gt;&lt;D xsi:type="xsd:double"&gt;313.65&lt;/D&gt;&lt;D xsi:type="xsd:double"&gt;309.442&lt;/D&gt;&lt;D xsi:type="xsd:double"&gt;320.681&lt;/D&gt;&lt;D xsi:type="xsd:double"&gt;321.539&lt;/D&gt;&lt;D xsi:type="xsd:double"&gt;324.113&lt;/D&gt;&lt;D xsi:type="xsd:double"&gt;326.269&lt;/D&gt;&lt;D xsi:type="xsd:double"&gt;328.733&lt;/D&gt;&lt;D xsi:type="xsd:double"&gt;336.077&lt;/D&gt;&lt;D xsi:type="xsd:double"&gt;335.14&lt;/D&gt;&lt;D xsi:type="xsd:double"&gt;336.236&lt;/D&gt;&lt;D xsi:type="xsd:double"&gt;339.677&lt;/D&gt;&lt;D xsi:type="xsd:double"&gt;339.517&lt;/D&gt;&lt;D xsi:type="xsd:double"&gt;341.489&lt;/D&gt;&lt;D xsi:type="xsd:double"&gt;342.932&lt;/D&gt;&lt;D xsi:type="xsd:double"&gt;340.307&lt;/D&gt;&lt;D xsi:type="xsd:double"&gt;345.057&lt;/D&gt;&lt;D xsi:type="xsd:double"&gt;346.494&lt;/D&gt;&lt;D xsi:type="xsd:double"&gt;348.174&lt;/D&gt;&lt;D xsi:type="xsd:double"&gt;348.063&lt;/D&gt;&lt;D xsi:type="xsd:double"&gt;346.28&lt;/D&gt;&lt;D xsi:type="xsd:double"&gt;351.027&lt;/D&gt;&lt;D xsi:type="xsd:double"&gt;353.158&lt;/D&gt;&lt;D xsi:type="xsd:double"&gt;355.143&lt;/D&gt;&lt;D xsi:type="xsd:double"&gt;356.517&lt;/D&gt;&lt;D xsi:type="xsd:double"&gt;353.145&lt;/D&gt;&lt;D xsi:type="xsd:double"&gt;355.827&lt;/D&gt;&lt;D xsi:type="xsd:double"&gt;353.247&lt;/D&gt;&lt;D xsi:type="xsd:double"&gt;357.991&lt;/D&gt;&lt;D xsi:type="xsd:double"&gt;360.733&lt;/D&gt;&lt;D xsi:type="xsd:double"&gt;357.137&lt;/D&gt;&lt;D xsi:type="xsd:double"&gt;356.51&lt;/D&gt;&lt;D xsi:type="xsd:double"&gt;352.47&lt;/D&gt;&lt;D xsi:type="xsd:double"&gt;349.25&lt;/D&gt;&lt;D xsi:type="xsd:double"&gt;349.252&lt;/D&gt;&lt;D xsi:type="xsd:double"&gt;351.955&lt;/D&gt;&lt;D xsi:type="xsd:double"&gt;354.139&lt;/D&gt;&lt;D xsi:type="xsd:double"&gt;349.533&lt;/D&gt;&lt;D xsi:type="xsd:double"&gt;349.226&lt;/D&gt;&lt;D xsi:type="xsd:double"&gt;354.061&lt;/D&gt;&lt;D xsi:type="xsd:double"&gt;352.962&lt;/D&gt;&lt;D xsi:type="xsd:double"&gt;352.755&lt;/D&gt;&lt;D xsi:type="xsd:double"&gt;352.838&lt;/D&gt;&lt;D xsi:type="xsd:double"&gt;353.165&lt;/D&gt;&lt;D xsi:type="xsd:double"&gt;358.172&lt;/D&gt;&lt;D xsi:type="xsd:double"&gt;358.32&lt;/D&gt;&lt;D xsi:type="xsd:double"&gt;363.579&lt;/D&gt;&lt;D xsi:type="xsd:double"&gt;363.83&lt;/D&gt;&lt;D xsi:type="xsd:double"&gt;363.582&lt;/D&gt;&lt;D xsi:type="xsd:double"&gt;363.424&lt;/D&gt;&lt;D xsi:type="xsd:double"&gt;364.077&lt;/D&gt;&lt;D xsi:type="xsd:double"&gt;363.983&lt;/D&gt;&lt;D xsi:type="xsd:double"&gt;357.174&lt;/D&gt;&lt;D xsi:type="xsd:double"&gt;354.546&lt;/D&gt;&lt;D xsi:type="xsd:double"&gt;352.306&lt;/D&gt;&lt;D xsi:type="xsd:double"&gt;350.849&lt;/D&gt;&lt;D xsi:type="xsd:double"&gt;350.397&lt;/D&gt;&lt;D xsi:type="xsd:double"&gt;350.518&lt;/D&gt;&lt;D xsi:type="xsd:double"&gt;351.756&lt;/D&gt;&lt;D xsi:type="xsd:double"&gt;354.581&lt;/D&gt;&lt;D xsi:type="xsd:double"&gt;352.54&lt;/D&gt;&lt;D xsi:type="xsd:double"&gt;353.282&lt;/D&gt;&lt;D xsi:type="xsd:double"&gt;353.631&lt;/D&gt;&lt;D xsi:type="xsd:double"&gt;350.273&lt;/D&gt;&lt;D xsi:type="xsd:double"&gt;351.461&lt;/D&gt;&lt;D xsi:type="xsd:double"&gt;350.749&lt;/D&gt;&lt;D xsi:type="xsd:double"&gt;348.715&lt;/D&gt;&lt;D xsi:type="xsd:double"&gt;348.121&lt;/D&gt;&lt;D xsi:type="xsd:double"&gt;351.306&lt;/D&gt;&lt;D xsi:type="xsd:double"&gt;350.01&lt;/D&gt;&lt;D xsi:type="xsd:double"&gt;350.547&lt;/D&gt;&lt;D xsi:type="xsd:double"&gt;349.968&lt;/D&gt;&lt;D xsi:type="xsd:double"&gt;348.655&lt;/D&gt;&lt;D xsi:type="xsd:double"&gt;346.701&lt;/D&gt;&lt;D xsi:type="xsd:double"&gt;347.603&lt;/D&gt;&lt;D xsi:type="xsd:double"&gt;347.585&lt;/D&gt;&lt;D xsi:type="xsd:double"&gt;348.653&lt;/D&gt;&lt;D xsi:type="xsd:double"&gt;348.523&lt;/D&gt;&lt;D xsi:type="xsd:double"&gt;346.705&lt;/D&gt;&lt;D xsi:type="xsd:double"&gt;346.858&lt;/D&gt;&lt;D xsi:type="xsd:double"&gt;347.84&lt;/D&gt;&lt;D xsi:type="xsd:double"&gt;346.274&lt;/D&gt;&lt;D xsi:type="xsd:double"&gt;344.46&lt;/D&gt;&lt;D xsi:type="xsd:double"&gt;336.704&lt;/D&gt;&lt;D xsi:type="xsd:double"&gt;332.765&lt;/D&gt;&lt;D xsi:type="xsd:double"&gt;335.038&lt;/D&gt;&lt;D xsi:type="xsd:double"&gt;329.117&lt;/D&gt;&lt;D xsi:type="xsd:double"&gt;327.577&lt;/D&gt;&lt;D xsi:type="xsd:double"&gt;326.823&lt;/D&gt;&lt;D xsi:type="xsd:double"&gt;327.044&lt;/D&gt;&lt;D xsi:type="xsd:double"&gt;327.175&lt;/D&gt;&lt;D xsi:type="xsd:double"&gt;330.811&lt;/D&gt;&lt;D xsi:type="xsd:double"&gt;334.42&lt;/D&gt;&lt;D xsi:type="xsd:double"&gt;334.747&lt;/D&gt;&lt;D xsi:type="xsd:double"&gt;327.757&lt;/D&gt;&lt;D xsi:type="xsd:double"&gt;325.626&lt;/D&gt;&lt;D xsi:type="xsd:double"&gt;324.316&lt;/D&gt;&lt;D xsi:type="xsd:double"&gt;324.851&lt;/D&gt;&lt;D xsi:type="xsd:double"&gt;324.166&lt;/D&gt;&lt;D xsi:type="xsd:double"&gt;327.388&lt;/D&gt;&lt;D xsi:type="xsd:double"&gt;325.781&lt;/D&gt;&lt;D xsi:type="xsd:double"&gt;325.438&lt;/D&gt;&lt;D xsi:type="xsd:double"&gt;327.031&lt;/D&gt;&lt;D xsi:type="xsd:double"&gt;327.746&lt;/D&gt;&lt;D xsi:type="xsd:double"&gt;323.102&lt;/D&gt;&lt;D xsi:type="xsd:double"&gt;327.764&lt;/D&gt;&lt;D xsi:type="xsd:double"&gt;329.623&lt;/D&gt;&lt;D xsi:type="xsd:double"&gt;328.449&lt;/D&gt;&lt;D xsi:type="xsd:double"&gt;326.326&lt;/D&gt;&lt;D xsi:type="xsd:double"&gt;324.949&lt;/D&gt;&lt;D xsi:type="xsd:double"&gt;322.244&lt;/D&gt;&lt;D xsi:type="xsd:double"&gt;320.604&lt;/D&gt;&lt;D xsi:type="xsd:double"&gt;321.008&lt;/D&gt;&lt;D xsi:type="xsd:double"&gt;318.862&lt;/D&gt;&lt;D xsi:type="xsd:double"&gt;322.353&lt;/D&gt;&lt;D xsi:type="xsd:double"&gt;325.554&lt;/D&gt;&lt;D xsi:type="xsd:double"&gt;325.83&lt;/D&gt;&lt;D xsi:type="xsd:double"&gt;328.148&lt;/D&gt;&lt;D xsi:type="xsd:double"&gt;333.176&lt;/D&gt;&lt;D xsi:type="xsd:double"&gt;333.194&lt;/D&gt;&lt;D xsi:type="xsd:double"&gt;335.574&lt;/D&gt;&lt;D xsi:type="xsd:double"&gt;332.53&lt;/D&gt;&lt;D xsi:type="xsd:double"&gt;326.082&lt;/D&gt;&lt;D xsi:type="xsd:double"&gt;321.936&lt;/D&gt;&lt;D xsi:type="xsd:double"&gt;317.4&lt;/D&gt;&lt;D xsi:type="xsd:double"&gt;315.22&lt;/D&gt;&lt;D xsi:type="xsd:double"&gt;311.751&lt;/D&gt;&lt;D xsi:type="xsd:double"&gt;309.492&lt;/D&gt;&lt;D xsi:type="xsd:double"&gt;307.121&lt;/D&gt;&lt;D xsi:type="xsd:double"&gt;305.377&lt;/D&gt;&lt;D xsi:type="xsd:double"&gt;308.237&lt;/D&gt;&lt;D xsi:type="xsd:double"&gt;308.065&lt;/D&gt;&lt;D xsi:type="xsd:double"&gt;308.505&lt;/D&gt;&lt;D xsi:type="xsd:double"&gt;308.818&lt;/D&gt;&lt;D xsi:type="xsd:double"&gt;309.005&lt;/D&gt;&lt;D xsi:type="xsd:double"&gt;310.695&lt;/D&gt;&lt;D xsi:type="xsd:double"&gt;315.965&lt;/D&gt;&lt;D xsi:type="xsd:double"&gt;312.157&lt;/D&gt;&lt;D xsi:type="xsd:double"&gt;313.842&lt;/D&gt;&lt;D xsi:type="xsd:double"&gt;317.151&lt;/D&gt;&lt;D xsi:type="xsd:double"&gt;315.256&lt;/D&gt;&lt;D xsi:type="xsd:double"&gt;310.42&lt;/D&gt;&lt;D xsi:type="xsd:double"&gt;301.563&lt;/D&gt;&lt;D xsi:type="xsd:double"&gt;298.391&lt;/D&gt;&lt;D xsi:type="xsd:double"&gt;294.426&lt;/D&gt;&lt;D xsi:type="xsd:double"&gt;293.078&lt;/D&gt;&lt;D xsi:type="xsd:double"&gt;295.131&lt;/D&gt;&lt;D xsi:type="xsd:double"&gt;301.796&lt;/D&gt;&lt;D xsi:type="xsd:double"&gt;303.02&lt;/D&gt;&lt;D xsi:type="xsd:double"&gt;297.73&lt;/D&gt;&lt;D xsi:type="xsd:double"&gt;292.881&lt;/D&gt;&lt;D xsi:type="xsd:double"&gt;292.778&lt;/D&gt;&lt;D xsi:type="xsd:double"&gt;296.605&lt;/D&gt;&lt;D xsi:type="xsd:double"&gt;291.642&lt;/D&gt;&lt;D xsi:type="xsd:double"&gt;291.448&lt;/D&gt;&lt;D xsi:type="xsd:double"&gt;287.814&lt;/D&gt;&lt;D xsi:type="xsd:double"&gt;283.288&lt;/D&gt;&lt;D xsi:type="xsd:double"&gt;279.63&lt;/D&gt;&lt;D xsi:type="xsd:double"&gt;279.981&lt;/D&gt;&lt;D xsi:type="xsd:double"&gt;278.852&lt;/D&gt;&lt;D xsi:type="xsd:double"&gt;275.302&lt;/D&gt;&lt;D xsi:type="xsd:double"&gt;275.793&lt;/D&gt;&lt;D xsi:type="xsd:double"&gt;274.963&lt;/D&gt;&lt;D xsi:type="xsd:double"&gt;269.958&lt;/D&gt;&lt;D xsi:type="xsd:double"&gt;268.105&lt;/D&gt;&lt;D xsi:type="xsd:double"&gt;266.861&lt;/D&gt;&lt;D xsi:type="xsd:double"&gt;265.63&lt;/D&gt;&lt;D xsi:type="xsd:double"&gt;270.751&lt;/D&gt;&lt;D xsi:type="xsd:double"&gt;271.528&lt;/D&gt;&lt;D xsi:type="xsd:double"&gt;270.15&lt;/D&gt;&lt;D xsi:type="xsd:double"&gt;270.25&lt;/D&gt;&lt;D xsi:type="xsd:double"&gt;266.973&lt;/D&gt;&lt;D xsi:type="xsd:double"&gt;265.113&lt;/D&gt;&lt;D xsi:type="xsd:double"&gt;264.009&lt;/D&gt;&lt;D xsi:type="xsd:double"&gt;263.366&lt;/D&gt;&lt;D xsi:type="xsd:double"&gt;266.358&lt;/D&gt;&lt;D xsi:type="xsd:double"&gt;264.25&lt;/D&gt;&lt;D xsi:type="xsd:double"&gt;261.74&lt;/D&gt;&lt;D xsi:type="xsd:double"&gt;262.862&lt;/D&gt;&lt;D xsi:type="xsd:double"&gt;264.197&lt;/D&gt;&lt;D xsi:type="xsd:double"&gt;257.169&lt;/D&gt;&lt;D xsi:type="xsd:double"&gt;254.209&lt;/D&gt;&lt;D xsi:type="xsd:double"&gt;249.872&lt;/D&gt;&lt;D xsi:type="xsd:double"&gt;252.793&lt;/D&gt;&lt;D xsi:type="xsd:double"&gt;251.933&lt;/D&gt;&lt;D xsi:type="xsd:double"&gt;247.053&lt;/D&gt;&lt;D xsi:type="xsd:double"&gt;248.334&lt;/D&gt;&lt;D xsi:type="xsd:double"&gt;250.293&lt;/D&gt;&lt;D xsi:type="xsd:double"&gt;251.395&lt;/D&gt;&lt;D xsi:type="xsd:double"&gt;247.52&lt;/D&gt;&lt;D xsi:type="xsd:double"&gt;247.488&lt;/D&gt;&lt;D xsi:type="xsd:double"&gt;247.278&lt;/D&gt;&lt;D xsi:type="xsd:double"&gt;248.39&lt;/D&gt;&lt;D xsi:type="xsd:double"&gt;245.643&lt;/D&gt;&lt;D xsi:type="xsd:double"&gt;252.362&lt;/D&gt;&lt;D xsi:type="xsd:double"&gt;259.712&lt;/D&gt;&lt;D xsi:type="xsd:double"&gt;257.864&lt;/D&gt;&lt;D xsi:type="xsd:double"&gt;256.591&lt;/D&gt;&lt;D xsi:type="xsd:double"&gt;287.608&lt;/D&gt;&lt;D xsi:type="xsd:double"&gt;290.157&lt;/D&gt;&lt;D xsi:type="xsd:double"&gt;291.19&lt;/D&gt;&lt;D xsi:type="xsd:double"&gt;294.989&lt;/D&gt;&lt;D xsi:type="xsd:double"&gt;297.057&lt;/D&gt;&lt;D xsi:type="xsd:double"&gt;298.169&lt;/D&gt;&lt;D xsi:type="xsd:double"&gt;300.105&lt;/D&gt;&lt;D xsi:type="xsd:double"&gt;301.875&lt;/D&gt;&lt;D xsi:type="xsd:double"&gt;301.352&lt;/D&gt;&lt;D xsi:type="xsd:double"&gt;302.377&lt;/D&gt;&lt;D xsi:type="xsd:double"&gt;298.744&lt;/D&gt;&lt;D xsi:type="xsd:double"&gt;298.252&lt;/D&gt;&lt;D xsi:type="xsd:double"&gt;298.569&lt;/D&gt;&lt;D xsi:type="xsd:double"&gt;297.648&lt;/D&gt;&lt;D xsi:type="xsd:double"&gt;297.401&lt;/D&gt;&lt;D xsi:type="xsd:double"&gt;300.45&lt;/D&gt;&lt;D xsi:type="xsd:double"&gt;304.972&lt;/D&gt;&lt;D xsi:type="xsd:double"&gt;305.687&lt;/D&gt;&lt;D xsi:type="xsd:double"&gt;305.934&lt;/D&gt;&lt;D xsi:type="xsd:double"&gt;302.853&lt;/D&gt;&lt;D xsi:type="xsd:double"&gt;301.688&lt;/D&gt;&lt;D xsi:type="xsd:double"&gt;300.502&lt;/D&gt;&lt;D xsi:type="xsd:double"&gt;303.181&lt;/D&gt;&lt;D xsi:type="xsd:double"&gt;302.823&lt;/D&gt;&lt;D xsi:type="xsd:double"&gt;304.745&lt;/D&gt;&lt;D xsi:type="xsd:double"&gt;306.891&lt;/D&gt;&lt;D xsi:type="xsd:double"&gt;306.947&lt;/D&gt;&lt;D xsi:type="xsd:double"&gt;303.432&lt;/D&gt;&lt;D xsi:type="xsd:double"&gt;301.666&lt;/D&gt;&lt;D xsi:type="xsd:double"&gt;300.771&lt;/D&gt;&lt;D xsi:type="xsd:double"&gt;299.953&lt;/D&gt;&lt;D xsi:type="xsd:double"&gt;298.643&lt;/D&gt;&lt;D xsi:type="xsd:double"&gt;295.722&lt;/D&gt;&lt;D xsi:type="xsd:double"&gt;295.563&lt;/D&gt;&lt;D xsi:type="xsd:double"&gt;297.554&lt;/D&gt;&lt;D xsi:type="xsd:double"&gt;297.687&lt;/D&gt;&lt;D xsi:type="xsd:double"&gt;297.982&lt;/D&gt;&lt;D xsi:type="xsd:double"&gt;297.384&lt;/D&gt;&lt;D xsi:type="xsd:double"&gt;299.225&lt;/D&gt;&lt;D xsi:type="xsd:double"&gt;299.156&lt;/D&gt;&lt;D xsi:type="xsd:double"&gt;301.843&lt;/D&gt;&lt;D xsi:type="xsd:double"&gt;303.527&lt;/D&gt;&lt;D xsi:type="xsd:double"&gt;300.91&lt;/D&gt;&lt;D xsi:type="xsd:double"&gt;307.197&lt;/D&gt;&lt;D xsi:type="xsd:double"&gt;309.328&lt;/D&gt;&lt;D xsi:type="xsd:double"&gt;311.423&lt;/D&gt;&lt;D xsi:type="xsd:double"&gt;316.429&lt;/D&gt;&lt;D xsi:type="xsd:double"&gt;320.845&lt;/D&gt;&lt;D xsi:type="xsd:double"&gt;323.543&lt;/D&gt;&lt;D xsi:type="xsd:double"&gt;322.888&lt;/D&gt;&lt;D xsi:type="xsd:double"&gt;319.267&lt;/D&gt;&lt;D xsi:type="xsd:double"&gt;321.249&lt;/D&gt;&lt;D xsi:type="xsd:double"&gt;320.88&lt;/D&gt;&lt;D xsi:type="xsd:double"&gt;322.277&lt;/D&gt;&lt;D xsi:type="xsd:double"&gt;322.633&lt;/D&gt;&lt;D xsi:type="xsd:double"&gt;321.897&lt;/D&gt;&lt;D xsi:type="xsd:double"&gt;319.307&lt;/D&gt;&lt;D xsi:type="xsd:double"&gt;320.418&lt;/D&gt;&lt;D xsi:type="xsd:double"&gt;320.522&lt;/D&gt;&lt;D xsi:type="xsd:double"&gt;326.987&lt;/D&gt;&lt;D xsi:type="xsd:double"&gt;329.13&lt;/D&gt;&lt;D xsi:type="xsd:double"&gt;331.01&lt;/D&gt;&lt;D xsi:type="xsd:double"&gt;331.566&lt;/D&gt;&lt;D xsi:type="xsd:double"&gt;332.669&lt;/D&gt;&lt;D xsi:type="xsd:double"&gt;334.637&lt;/D&gt;&lt;D xsi:type="xsd:double"&gt;331.379&lt;/D&gt;&lt;D xsi:type="xsd:double"&gt;330.711&lt;/D&gt;&lt;D xsi:type="xsd:double"&gt;329.204&lt;/D&gt;&lt;D xsi:type="xsd:double"&gt;330.479&lt;/D&gt;&lt;D xsi:type="xsd:double"&gt;329.437&lt;/D&gt;&lt;D xsi:type="xsd:double"&gt;330.545&lt;/D&gt;&lt;D xsi:type="xsd:double"&gt;331.162&lt;/D&gt;&lt;D xsi:type="xsd:double"&gt;334.582&lt;/D&gt;&lt;D xsi:type="xsd:double"&gt;335.556&lt;/D&gt;&lt;D xsi:type="xsd:double"&gt;337.122&lt;/D&gt;&lt;D xsi:type="xsd:double"&gt;338.316&lt;/D&gt;&lt;D xsi:type="xsd:double"&gt;337.03&lt;/D&gt;&lt;D xsi:type="xsd:double"&gt;335.397&lt;/D&gt;&lt;D xsi:type="xsd:double"&gt;333.504&lt;/D&gt;&lt;D xsi:type="xsd:double"&gt;332.056&lt;/D&gt;&lt;D xsi:type="xsd:double"&gt;323.189&lt;/D&gt;&lt;D xsi:type="xsd:double"&gt;321.62&lt;/D&gt;&lt;D xsi:type="xsd:double"&gt;323.235&lt;/D&gt;&lt;D xsi:type="xsd:double"&gt;326.969&lt;/D&gt;&lt;D xsi:type="xsd:double"&gt;328.152&lt;/D&gt;&lt;D xsi:type="xsd:double"&gt;328.331&lt;/D&gt;&lt;D xsi:type="xsd:double"&gt;328.558&lt;/D&gt;&lt;D xsi:type="xsd:double"&gt;330.063&lt;/D&gt;&lt;D xsi:type="xsd:double"&gt;329.549&lt;/D&gt;&lt;D xsi:type="xsd:double"&gt;331.431&lt;/D&gt;&lt;D xsi:type="xsd:double"&gt;331.063&lt;/D&gt;&lt;D xsi:type="xsd:double"&gt;327.663&lt;/D&gt;&lt;D xsi:type="xsd:double"&gt;327.709&lt;/D&gt;&lt;D xsi:type="xsd:double"&gt;323.727&lt;/D&gt;&lt;D xsi:type="xsd:double"&gt;322.327&lt;/D&gt;&lt;D xsi:type="xsd:double"&gt;318.983&lt;/D&gt;&lt;D xsi:type="xsd:double"&gt;317.98&lt;/D&gt;&lt;D xsi:type="xsd:double"&gt;317.567&lt;/D&gt;&lt;D xsi:type="xsd:double"&gt;319.111&lt;/D&gt;&lt;D xsi:type="xsd:double"&gt;324.229&lt;/D&gt;&lt;D xsi:type="xsd:double"&gt;319.491&lt;/D&gt;&lt;D xsi:type="xsd:double"&gt;310.018&lt;/D&gt;&lt;D xsi:type="xsd:double"&gt;310.323&lt;/D&gt;&lt;D xsi:type="xsd:double"&gt;312.451&lt;/D&gt;&lt;D xsi:type="xsd:double"&gt;310.717&lt;/D&gt;&lt;D xsi:type="xsd:double"&gt;306.427&lt;/D&gt;&lt;D xsi:type="xsd:double"&gt;303.396&lt;/D&gt;&lt;D xsi:type="xsd:double"&gt;304.976&lt;/D&gt;&lt;D xsi:type="xsd:double"&gt;302.06&lt;/D&gt;&lt;D xsi:type="xsd:double"&gt;297.011&lt;/D&gt;&lt;D xsi:type="xsd:double"&gt;300.852&lt;/D&gt;&lt;D xsi:type="xsd:double"&gt;308.075&lt;/D&gt;&lt;D xsi:type="xsd:double"&gt;313.138&lt;/D&gt;&lt;D xsi:type="xsd:double"&gt;313.616&lt;/D&gt;&lt;D xsi:type="xsd:double"&gt;319.332&lt;/D&gt;&lt;D xsi:type="xsd:double"&gt;321.878&lt;/D&gt;&lt;D xsi:type="xsd:double"&gt;322.399&lt;/D&gt;&lt;D xsi:type="xsd:double"&gt;317.194&lt;/D&gt;&lt;D xsi:type="xsd:double"&gt;314.998&lt;/D&gt;&lt;D xsi:type="xsd:double"&gt;322.223&lt;/D&gt;&lt;D xsi:type="xsd:double"&gt;322.48&lt;/D&gt;&lt;D xsi:type="xsd:double"&gt;323.248&lt;/D&gt;&lt;D xsi:type="xsd:double"&gt;326.441&lt;/D&gt;&lt;D xsi:type="xsd:double"&gt;328.959&lt;/D&gt;&lt;D xsi:type="xsd:double"&gt;328.622&lt;/D&gt;&lt;D xsi:type="xsd:double"&gt;332.023&lt;/D&gt;&lt;D xsi:type="xsd:double"&gt;335.083&lt;/D&gt;&lt;D xsi:type="xsd:double"&gt;346.433&lt;/D&gt;&lt;D xsi:type="xsd:double"&gt;350.59&lt;/D&gt;&lt;D xsi:type="xsd:double"&gt;349.526&lt;/D&gt;&lt;D xsi:type="xsd:double"&gt;348.58&lt;/D&gt;&lt;D xsi:type="xsd:double"&gt;345.752&lt;/D&gt;&lt;D xsi:type="xsd:double"&gt;344.009&lt;/D&gt;&lt;D xsi:type="xsd:double"&gt;347.337&lt;/D&gt;&lt;D xsi:type="xsd:double"&gt;349.024&lt;/D&gt;&lt;D xsi:type="xsd:double"&gt;350.099&lt;/D&gt;&lt;D xsi:type="xsd:double"&gt;351.238&lt;/D&gt;&lt;D xsi:type="xsd:double"&gt;348.087&lt;/D&gt;&lt;D xsi:type="xsd:double"&gt;350.421&lt;/D&gt;&lt;D xsi:type="xsd:double"&gt;357.031&lt;/D&gt;&lt;D xsi:type="xsd:double"&gt;366.334&lt;/D&gt;&lt;D xsi:type="xsd:double"&gt;369.208&lt;/D&gt;&lt;D xsi:type="xsd:double"&gt;372.708&lt;/D&gt;&lt;D xsi:type="xsd:double"&gt;369.065&lt;/D&gt;&lt;D xsi:type="xsd:double"&gt;370.428&lt;/D&gt;&lt;D xsi:type="xsd:double"&gt;368.648&lt;/D&gt;&lt;D xsi:type="xsd:double"&gt;368.177&lt;/D&gt;&lt;D xsi:type="xsd:double"&gt;367.763&lt;/D&gt;&lt;D xsi:type="xsd:double"&gt;365.506&lt;/D&gt;&lt;D xsi:type="xsd:double"&gt;371.498&lt;/D&gt;&lt;D xsi:type="xsd:double"&gt;370.331&lt;/D&gt;&lt;D xsi:type="xsd:double"&gt;376.729&lt;/D&gt;&lt;D xsi:type="xsd:double"&gt;377.639&lt;/D&gt;&lt;D xsi:type="xsd:double"&gt;379.022&lt;/D&gt;&lt;D xsi:type="xsd:double"&gt;373.274&lt;/D&gt;&lt;D xsi:type="xsd:double"&gt;369.826&lt;/D&gt;&lt;D xsi:type="xsd:double"&gt;370.789&lt;/D&gt;&lt;D xsi:type="xsd:double"&gt;372.197&lt;/D&gt;&lt;D xsi:type="xsd:double"&gt;371.816&lt;/D&gt;&lt;D xsi:type="xsd:double"&gt;372.287&lt;/D&gt;&lt;D xsi:type="xsd:double"&gt;370.359&lt;/D&gt;&lt;D xsi:type="xsd:double"&gt;370.484&lt;/D&gt;&lt;D xsi:type="xsd:double"&gt;365.015&lt;/D&gt;&lt;D xsi:type="xsd:double"&gt;360.192&lt;/D&gt;&lt;D xsi:type="xsd:double"&gt;356.386&lt;/D&gt;&lt;D xsi:type="xsd:double"&gt;353.228&lt;/D&gt;&lt;D xsi:type="xsd:double"&gt;350.26&lt;/D&gt;&lt;D xsi:type="xsd:double"&gt;349.458&lt;/D&gt;&lt;D xsi:type="xsd:double"&gt;351.867&lt;/D&gt;&lt;D xsi:type="xsd:double"&gt;348.118&lt;/D&gt;&lt;D xsi:type="xsd:double"&gt;348.557&lt;/D&gt;&lt;D xsi:type="xsd:double"&gt;347.233&lt;/D&gt;&lt;D xsi:type="xsd:double"&gt;335.524&lt;/D&gt;&lt;D xsi:type="xsd:double"&gt;333.346&lt;/D&gt;&lt;D xsi:type="xsd:double"&gt;333.793&lt;/D&gt;&lt;D xsi:type="xsd:double"&gt;333.272&lt;/D&gt;&lt;D xsi:type="xsd:double"&gt;329.994&lt;/D&gt;&lt;D xsi:type="xsd:double"&gt;329.253&lt;/D&gt;&lt;D xsi:type="xsd:double"&gt;330.808&lt;/D&gt;&lt;D xsi:type="xsd:double"&gt;328.502&lt;/D&gt;&lt;D xsi:type="xsd:double"&gt;332.52&lt;/D&gt;&lt;D xsi:type="xsd:double"&gt;339.987&lt;/D&gt;&lt;D xsi:type="xsd:double"&gt;342.182&lt;/D&gt;&lt;D xsi:type="xsd:double"&gt;340.919&lt;/D&gt;&lt;D xsi:type="xsd:double"&gt;346.894&lt;/D&gt;&lt;D xsi:type="xsd:double"&gt;349.464&lt;/D&gt;&lt;D xsi:type="xsd:double"&gt;349.031&lt;/D&gt;&lt;D xsi:type="xsd:double"&gt;351.644&lt;/D&gt;&lt;D xsi:type="xsd:double"&gt;348.235&lt;/D&gt;&lt;D xsi:type="xsd:double"&gt;342.541&lt;/D&gt;&lt;D xsi:type="xsd:double"&gt;343.639&lt;/D&gt;&lt;D xsi:type="xsd:double"&gt;338.077&lt;/D&gt;&lt;D xsi:type="xsd:double"&gt;328.09&lt;/D&gt;&lt;D xsi:type="xsd:double"&gt;329.308&lt;/D&gt;&lt;D xsi:type="xsd:double"&gt;326.356&lt;/D&gt;&lt;D xsi:type="xsd:double"&gt;332.622&lt;/D&gt;&lt;D xsi:type="xsd:double"&gt;336.644&lt;/D&gt;&lt;D xsi:type="xsd:double"&gt;343.23&lt;/D&gt;&lt;D xsi:type="xsd:double"&gt;338.896&lt;/D&gt;&lt;D xsi:type="xsd:double"&gt;338.764&lt;/D&gt;&lt;D xsi:type="xsd:double"&gt;346.741&lt;/D&gt;&lt;D xsi:type="xsd:double"&gt;346.487&lt;/D&gt;&lt;D xsi:type="xsd:double"&gt;353.965&lt;/D&gt;&lt;D xsi:type="xsd:double"&gt;355.897&lt;/D&gt;&lt;D xsi:type="xsd:double"&gt;360.146&lt;/D&gt;&lt;D xsi:type="xsd:double"&gt;359.67&lt;/D&gt;&lt;D xsi:type="xsd:double"&gt;353.952&lt;/D&gt;&lt;D xsi:type="xsd:double"&gt;365.18&lt;/D&gt;&lt;D xsi:type="xsd:double"&gt;367.108&lt;/D&gt;&lt;D xsi:type="xsd:double"&gt;370.661&lt;/D&gt;&lt;D xsi:type="xsd:double"&gt;372.385&lt;/D&gt;&lt;D xsi:type="xsd:double"&gt;370.148&lt;/D&gt;&lt;D xsi:type="xsd:double"&gt;369.449&lt;/D&gt;&lt;D xsi:type="xsd:double"&gt;367.457&lt;/D&gt;&lt;D xsi:type="xsd:double"&gt;363.263&lt;/D&gt;&lt;D xsi:type="xsd:double"&gt;357.847&lt;/D&gt;&lt;D xsi:type="xsd:double"&gt;354.291&lt;/D&gt;&lt;D xsi:type="xsd:double"&gt;357.061&lt;/D&gt;&lt;D xsi:type="xsd:double"&gt;355.091&lt;/D&gt;&lt;D xsi:type="xsd:double"&gt;356.637&lt;/D&gt;&lt;D xsi:type="xsd:double"&gt;359.64&lt;/D&gt;&lt;D xsi:type="xsd:double"&gt;355.935&lt;/D&gt;&lt;D xsi:type="xsd:double"&gt;358.513&lt;/D&gt;&lt;D xsi:type="xsd:double"&gt;350.914&lt;/D&gt;&lt;D xsi:type="xsd:double"&gt;346.356&lt;/D&gt;&lt;D xsi:type="xsd:double"&gt;353.031&lt;/D&gt;&lt;D xsi:type="xsd:double"&gt;358.603&lt;/D&gt;&lt;D xsi:type="xsd:double"&gt;355.184&lt;/D&gt;&lt;D xsi:type="xsd:double"&gt;358.274&lt;/D&gt;&lt;D xsi:type="xsd:double"&gt;365.165&lt;/D&gt;&lt;D xsi:type="xsd:double"&gt;374.481&lt;/D&gt;&lt;D xsi:type="xsd:double"&gt;376.498&lt;/D&gt;&lt;D xsi:type="xsd:double"&gt;383.286&lt;/D&gt;&lt;D xsi:type="xsd:double"&gt;382.637&lt;/D&gt;&lt;D xsi:type="xsd:double"&gt;380.762&lt;/D&gt;&lt;D xsi:type="xsd:double"&gt;381.391&lt;/D&gt;&lt;D xsi:type="xsd:double"&gt;380.938&lt;/D&gt;&lt;D xsi:type="xsd:double"&gt;386.031&lt;/D&gt;&lt;D xsi:type="xsd:double"&gt;385.666&lt;/D&gt;&lt;D xsi:type="xsd:double"&gt;385.768&lt;/D&gt;&lt;D xsi:type="xsd:double"&gt;385.838&lt;/D&gt;&lt;D xsi:type="xsd:double"&gt;386.618&lt;/D&gt;&lt;D xsi:type="xsd:double"&gt;377.62&lt;/D&gt;&lt;D xsi:type="xsd:double"&gt;387.781&lt;/D&gt;&lt;D xsi:type="xsd:double"&gt;392.506&lt;/D&gt;&lt;D xsi:type="xsd:double"&gt;387.914&lt;/D&gt;&lt;D xsi:type="xsd:double"&gt;390.598&lt;/D&gt;&lt;D xsi:type="xsd:double"&gt;405.853&lt;/D&gt;&lt;D xsi:type="xsd:double"&gt;410.135&lt;/D&gt;&lt;D xsi:type="xsd:double"&gt;411.807&lt;/D&gt;&lt;D xsi:type="xsd:double"&gt;411.149&lt;/D&gt;&lt;D xsi:type="xsd:double"&gt;414.468&lt;/D&gt;&lt;D xsi:type="xsd:double"&gt;419.293&lt;/D&gt;&lt;D xsi:type="xsd:double"&gt;420.766&lt;/D&gt;&lt;D xsi:type="xsd:double"&gt;424.641&lt;/D&gt;&lt;D xsi:type="xsd:double"&gt;426.933&lt;/D&gt;&lt;D xsi:type="xsd:double"&gt;423.721&lt;/D&gt;&lt;D xsi:type="xsd:double"&gt;423.56&lt;/D&gt;&lt;D xsi:type="xsd:double"&gt;423.657&lt;/D&gt;&lt;D xsi:type="xsd:double"&gt;426.307&lt;/D&gt;&lt;D xsi:type="xsd:double"&gt;425.298&lt;/D&gt;&lt;D xsi:type="xsd:double"&gt;426.785&lt;/D&gt;&lt;D xsi:type="xsd:double"&gt;426.978&lt;/D&gt;&lt;D xsi:type="xsd:double"&gt;427.563&lt;/D&gt;&lt;D xsi:type="xsd:double"&gt;429.812&lt;/D&gt;&lt;D xsi:type="xsd:double"&gt;428.299&lt;/D&gt;&lt;D xsi:type="xsd:double"&gt;429.852&lt;/D&gt;&lt;D xsi:type="xsd:double"&gt;433.711&lt;/D&gt;&lt;D xsi:type="xsd:double"&gt;432.701&lt;/D&gt;&lt;D xsi:type="xsd:double"&gt;428.734&lt;/D&gt;&lt;D xsi:type="xsd:double"&gt;428.141&lt;/D&gt;&lt;D xsi:type="xsd:double"&gt;425.764&lt;/D&gt;&lt;D xsi:type="xsd:double"&gt;425.415&lt;/D&gt;&lt;D xsi:type="xsd:double"&gt;423.078&lt;/D&gt;&lt;D xsi:type="xsd:double"&gt;419.546&lt;/D&gt;&lt;D xsi:type="xsd:double"&gt;419.861&lt;/D&gt;&lt;D xsi:type="xsd:double"&gt;423.503&lt;/D&gt;&lt;D xsi:type="xsd:double"&gt;422.51&lt;/D&gt;&lt;D xsi:type="xsd:double"&gt;424.446&lt;/D&gt;&lt;D xsi:type="xsd:double"&gt;424.126&lt;/D&gt;&lt;D xsi:type="xsd:double"&gt;422.082&lt;/D&gt;&lt;D xsi:type="xsd:double"&gt;421.13&lt;/D&gt;&lt;D xsi:type="xsd:double"&gt;428.652&lt;/D&gt;&lt;D xsi:type="xsd:double"&gt;432.013&lt;/D&gt;&lt;D xsi:type="xsd:double"&gt;432.351&lt;/D&gt;&lt;D xsi:type="xsd:double"&gt;433.895&lt;/D&gt;&lt;D xsi:type="xsd:double"&gt;442.434&lt;/D&gt;&lt;D xsi:type="xsd:double"&gt;442.336&lt;/D&gt;&lt;D xsi:type="xsd:double"&gt;444.212&lt;/D&gt;&lt;D xsi:type="xsd:double"&gt;450.604&lt;/D&gt;&lt;D xsi:type="xsd:double"&gt;455.923&lt;/D&gt;&lt;D xsi:type="xsd:double"&gt;454.949&lt;/D&gt;&lt;D xsi:type="xsd:double"&gt;453.22&lt;/D&gt;&lt;D xsi:type="xsd:double"&gt;453.551&lt;/D&gt;&lt;D xsi:type="xsd:double"&gt;450.323&lt;/D&gt;&lt;D xsi:type="xsd:double"&gt;454.732&lt;/D&gt;&lt;D xsi:type="xsd:double"&gt;451.701&lt;/D&gt;&lt;D xsi:type="xsd:double"&gt;450.384&lt;/D&gt;&lt;D xsi:type="xsd:double"&gt;452.704&lt;/D&gt;&lt;D xsi:type="xsd:double"&gt;449.762&lt;/D&gt;&lt;D xsi:type="xsd:double"&gt;445.518&lt;/D&gt;&lt;D xsi:type="xsd:double"&gt;441.532&lt;/D&gt;&lt;D xsi:type="xsd:double"&gt;445.091&lt;/D&gt;&lt;D xsi:type="xsd:double"&gt;441.956&lt;/D&gt;&lt;D xsi:type="xsd:double"&gt;438.817&lt;/D&gt;&lt;D xsi:type="xsd:double"&gt;439.087&lt;/D&gt;&lt;D xsi:type="xsd:double"&gt;443.427&lt;/D&gt;&lt;D xsi:type="xsd:double"&gt;445.524&lt;/D&gt;&lt;D xsi:type="xsd:double"&gt;445.321&lt;/D&gt;&lt;D xsi:type="xsd:double"&gt;443.585&lt;/D&gt;&lt;D xsi:type="xsd:double"&gt;443.931&lt;/D&gt;&lt;D xsi:type="xsd:double"&gt;445.276&lt;/D&gt;&lt;D xsi:type="xsd:double"&gt;450.624&lt;/D&gt;&lt;D xsi:type="xsd:double"&gt;448.59&lt;/D&gt;&lt;D xsi:type="xsd:double"&gt;451.764&lt;/D&gt;&lt;D xsi:type="xsd:double"&gt;453.116&lt;/D&gt;&lt;D xsi:type="xsd:double"&gt;448.167&lt;/D&gt;&lt;D xsi:type="xsd:double"&gt;449.345&lt;/D&gt;&lt;D xsi:type="xsd:double"&gt;449.101&lt;/D&gt;&lt;D xsi:type="xsd:double"&gt;452.121&lt;/D&gt;&lt;D xsi:type="xsd:double"&gt;448.699&lt;/D&gt;&lt;D xsi:type="xsd:double"&gt;435.541&lt;/D&gt;&lt;D xsi:type="xsd:double"&gt;431.703&lt;/D&gt;&lt;D xsi:type="xsd:double"&gt;424.953&lt;/D&gt;&lt;D xsi:type="xsd:double"&gt;410.212&lt;/D&gt;&lt;D xsi:type="xsd:double"&gt;411.153&lt;/D&gt;&lt;D xsi:type="xsd:double"&gt;407.839&lt;/D&gt;&lt;D xsi:type="xsd:double"&gt;407.701&lt;/D&gt;&lt;D xsi:type="xsd:double"&gt;413.817&lt;/D&gt;&lt;D xsi:type="xsd:double"&gt;425.342&lt;/D&gt;&lt;D xsi:type="xsd:double"&gt;432.062&lt;/D&gt;&lt;D xsi:type="xsd:double"&gt;437.315&lt;/D&gt;&lt;D xsi:type="xsd:double"&gt;442.238&lt;/D&gt;&lt;D xsi:type="xsd:double"&gt;435.011&lt;/D&gt;&lt;D xsi:type="xsd:double"&gt;431.914&lt;/D&gt;&lt;D xsi:type="xsd:double"&gt;431.462&lt;/D&gt;&lt;D xsi:type="xsd:double"&gt;435.205&lt;/D&gt;&lt;D xsi:type="xsd:double"&gt;440.629&lt;/D&gt;&lt;D xsi:type="xsd:double"&gt;441.43&lt;/D&gt;&lt;D xsi:type="xsd:double"&gt;446.251&lt;/D&gt;&lt;D xsi:type="xsd:double"&gt;443.451&lt;/D&gt;&lt;D xsi:type="xsd:double"&gt;443.669&lt;/D&gt;&lt;D xsi:type="xsd:double"&gt;451.621&lt;/D&gt;&lt;D xsi:type="xsd:double"&gt;451.288&lt;/D&gt;&lt;D xsi:type="xsd:double"&gt;451.359&lt;/D&gt;&lt;D xsi:type="xsd:double"&gt;445.066&lt;/D&gt;&lt;D xsi:type="xsd:double"&gt;447.484&lt;/D&gt;&lt;D xsi:type="xsd:double"&gt;448.403&lt;/D&gt;&lt;D xsi:type="xsd:double"&gt;442.429&lt;/D&gt;&lt;D xsi:type="xsd:double"&gt;449.168&lt;/D&gt;&lt;D xsi:type="xsd:double"&gt;446.35&lt;/D&gt;&lt;D xsi:type="xsd:double"&gt;449.617&lt;/D&gt;&lt;D xsi:type="xsd:double"&gt;437.967&lt;/D&gt;&lt;D xsi:type="xsd:double"&gt;464.265&lt;/D&gt;&lt;D xsi:type="xsd:double"&gt;479.393&lt;/D&gt;&lt;D xsi:type="xsd:double"&gt;490.298&lt;/D&gt;&lt;D xsi:type="xsd:double"&gt;496.939&lt;/D&gt;&lt;D xsi:type="xsd:double"&gt;504.766&lt;/D&gt;&lt;D xsi:type="xsd:double"&gt;500.303&lt;/D&gt;&lt;D xsi:type="xsd:double"&gt;489.723&lt;/D&gt;&lt;D xsi:type="xsd:double"&gt;484.907&lt;/D&gt;&lt;D xsi:type="xsd:double"&gt;487.465&lt;/D&gt;&lt;D xsi:type="xsd:double"&gt;494.816&lt;/D&gt;&lt;D xsi:type="xsd:double"&gt;499.404&lt;/D&gt;&lt;D xsi:type="xsd:double"&gt;502.588&lt;/D&gt;&lt;D xsi:type="xsd:double"&gt;513.097&lt;/D&gt;&lt;D xsi:type="xsd:double"&gt;515.103&lt;/D&gt;&lt;D xsi:type="xsd:double"&gt;519.322&lt;/D&gt;&lt;D xsi:type="xsd:double"&gt;514.125&lt;/D&gt;&lt;D xsi:type="xsd:double"&gt;508.114&lt;/D&gt;&lt;D xsi:type="xsd:double"&gt;501.956&lt;/D&gt;&lt;D xsi:type="xsd:double"&gt;500.972&lt;/D&gt;&lt;D xsi:type="xsd:double"&gt;495.575&lt;/D&gt;&lt;D xsi:type="xsd:double"&gt;499.905&lt;/D&gt;&lt;D xsi:type="xsd:double"&gt;496.299&lt;/D&gt;&lt;D xsi:type="xsd:double"&gt;494.383&lt;/D&gt;&lt;D xsi:type="xsd:double"&gt;498.175&lt;/D&gt;&lt;D xsi:type="xsd:double"&gt;500.727&lt;/D&gt;&lt;D xsi:type="xsd:double"&gt;518.632&lt;/D&gt;&lt;D xsi:type="xsd:double"&gt;520.207&lt;/D&gt;&lt;D xsi:type="xsd:double"&gt;519.123&lt;/D&gt;&lt;D xsi:type="xsd:double"&gt;516.727&lt;/D&gt;&lt;D xsi:type="xsd:double"&gt;517.217&lt;/D&gt;&lt;D xsi:type="xsd:double"&gt;516.309&lt;/D&gt;&lt;D xsi:type="xsd:double"&gt;517.069&lt;/D&gt;&lt;D xsi:type="xsd:double"&gt;509.58&lt;/D&gt;&lt;D xsi:type="xsd:double"&gt;497.741&lt;/D&gt;&lt;D xsi:type="xsd:double"&gt;497.235&lt;/D&gt;&lt;D xsi:type="xsd:double"&gt;505.516&lt;/D&gt;&lt;D xsi:type="xsd:double"&gt;510.306&lt;/D&gt;&lt;D xsi:type="xsd:double"&gt;509.722&lt;/D&gt;&lt;D xsi:type="xsd:double"&gt;506.772&lt;/D&gt;&lt;D xsi:type="xsd:double"&gt;518.601&lt;/D&gt;&lt;D xsi:type="xsd:double"&gt;523.208&lt;/D&gt;&lt;D xsi:type="xsd:double"&gt;518.963&lt;/D&gt;&lt;D xsi:type="xsd:double"&gt;518.886&lt;/D&gt;&lt;D xsi:type="xsd:double"&gt;520.616&lt;/D&gt;&lt;D xsi:type="xsd:double"&gt;529.45&lt;/D&gt;&lt;D xsi:type="xsd:double"&gt;530.987&lt;/D&gt;&lt;D xsi:type="xsd:double"&gt;528.274&lt;/D&gt;&lt;D xsi:type="xsd:double"&gt;525.594&lt;/D&gt;&lt;D xsi:type="xsd:double"&gt;521.868&lt;/D&gt;&lt;D xsi:type="xsd:double"&gt;515.427&lt;/D&gt;&lt;D xsi:type="xsd:double"&gt;509.63&lt;/D&gt;&lt;D xsi:type="xsd:double"&gt;499.459&lt;/D&gt;&lt;D xsi:type="xsd:double"&gt;495.364&lt;/D&gt;&lt;D xsi:type="xsd:double"&gt;491.393&lt;/D&gt;&lt;/FQL&gt;&lt;FQL&gt;&lt;Q&gt;891800^JULIAN(FG_PRICE(2/27/2026,1/31/2000,,USD).DATES)&lt;/Q&gt;&lt;R&gt;6559&lt;/R&gt;&lt;C&gt;1&lt;/C&gt;&lt;D xsi:type="xsd:long"&gt;46080&lt;/D&gt;&lt;D xsi:type="xsd:long"&gt;46079&lt;/D&gt;&lt;D xsi:type="xsd:long"&gt;46078&lt;/D&gt;&lt;D xsi:type="xsd:long"&gt;46077&lt;/D&gt;&lt;D xsi:type="xsd:long"&gt;46076&lt;/D&gt;&lt;D xsi:type="xsd:long"&gt;46073&lt;/D&gt;&lt;D xsi:type="xsd:long"&gt;46072&lt;/D&gt;&lt;D xsi:type="xsd:long"&gt;46071&lt;/D&gt;&lt;D xsi:type="xsd:long"&gt;46070&lt;/D&gt;&lt;D xsi:type="xsd:long"&gt;46066&lt;/D&gt;&lt;D xsi:type="xsd:long"&gt;46065&lt;/D&gt;&lt;D xsi:type="xsd:long"&gt;46064&lt;/D&gt;&lt;D xsi:type="xsd:long"&gt;46063&lt;/D&gt;&lt;D xsi:type="xsd:long"&gt;46062&lt;/D&gt;&lt;D xsi:type="xsd:long"&gt;46059&lt;/D&gt;&lt;D xsi:type="xsd:long"&gt;46058&lt;/D&gt;&lt;D xsi:type="xsd:long"&gt;46057&lt;/D&gt;&lt;D xsi:type="xsd:long"&gt;46056&lt;/D&gt;&lt;D xsi:type="xsd:long"&gt;46055&lt;/D&gt;&lt;D xsi:type="xsd:long"&gt;46052&lt;/D&gt;&lt;D xsi:type="xsd:long"&gt;46051&lt;/D&gt;&lt;D xsi:type="xsd:long"&gt;46050&lt;/D&gt;&lt;D xsi:type="xsd:long"&gt;46049&lt;/D&gt;&lt;D xsi:type="xsd:long"&gt;46048&lt;/D&gt;&lt;D xsi:type="xsd:long"&gt;46045&lt;/D&gt;&lt;D xsi:type="xsd:long"&gt;46044&lt;/D&gt;&lt;D xsi:type="xsd:long"&gt;46043&lt;/D&gt;&lt;D xsi:type="xsd:long"&gt;46042&lt;/D&gt;&lt;D xsi:type="xsd:long"&gt;46038&lt;/D&gt;&lt;D xsi:type="xsd:long"&gt;46037&lt;/D&gt;&lt;D xsi:type="xsd:long"&gt;46036&lt;/D&gt;&lt;D xsi:type="xsd:long"&gt;46035&lt;/D&gt;&lt;D xsi:type="xsd:long"&gt;46034&lt;/D&gt;&lt;D xsi:type="xsd:long"&gt;46031&lt;/D&gt;&lt;D xsi:type="xsd:long"&gt;46030&lt;/D&gt;&lt;D xsi:type="xsd:long"&gt;46029&lt;/D&gt;&lt;D xsi:type="xsd:long"&gt;46028&lt;/D&gt;&lt;D xsi:type="xsd:long"&gt;46027&lt;/D&gt;&lt;D xsi:type="xsd:long"&gt;46024&lt;/D&gt;&lt;D xsi:type="xsd:long"&gt;46022&lt;/D&gt;&lt;D xsi:type="xsd:long"&gt;46021&lt;/D&gt;&lt;D xsi:type="xsd:long"&gt;46020&lt;/D&gt;&lt;D xsi:type="xsd:long"&gt;46017&lt;/D&gt;&lt;D xsi:type="xsd:long"&gt;46015&lt;/D&gt;&lt;D xsi:type="xsd:long"&gt;46014&lt;/D&gt;&lt;D xsi:type="xsd:long"&gt;46013&lt;/D&gt;&lt;D xsi:type="xsd:long"&gt;46010&lt;/D&gt;&lt;D xsi:type="xsd:long"&gt;46009&lt;/D&gt;&lt;D xsi:type="xsd:long"&gt;46008&lt;/D&gt;&lt;D xsi:type="xsd:long"&gt;46007&lt;/D&gt;&lt;D xsi:type="xsd:long"&gt;46006&lt;/D&gt;&lt;D xsi:type="xsd:long"&gt;46003&lt;/D&gt;&lt;D xsi:type="xsd:long"&gt;46002&lt;/D&gt;&lt;D xsi:type="xsd:long"&gt;46001&lt;/D&gt;&lt;D xsi:type="xsd:long"&gt;46000&lt;/D&gt;&lt;D xsi:type="xsd:long"&gt;45999&lt;/D&gt;&lt;D xsi:type="xsd:long"&gt;45996&lt;/D&gt;&lt;D xsi:type="xsd:long"&gt;45995&lt;/D&gt;&lt;D xsi:type="xsd:long"&gt;45994&lt;/D&gt;&lt;D xsi:type="xsd:long"&gt;45993&lt;/D&gt;&lt;D xsi:type="xsd:long"&gt;45992&lt;/D&gt;&lt;D xsi:type="xsd:long"&gt;45989&lt;/D&gt;&lt;D xsi:type="xsd:long"&gt;45987&lt;/D&gt;&lt;D xsi:type="xsd:long"&gt;45986&lt;/D&gt;&lt;D xsi:type="xsd:long"&gt;45985&lt;/D&gt;&lt;D xsi:type="xsd:long"&gt;45982&lt;/D&gt;&lt;D xsi:type="xsd:long"&gt;45981&lt;/D&gt;&lt;D xsi:type="xsd:long"&gt;45980&lt;/D&gt;&lt;D xsi:type="xsd:long"&gt;45979&lt;/D&gt;&lt;D xsi:type="xsd:long"&gt;45978&lt;/D&gt;&lt;D xsi:type="xsd:long"&gt;45975&lt;/D&gt;&lt;D xsi:type="xsd:long"&gt;45974&lt;/D&gt;&lt;D xsi:type="xsd:long"&gt;45973&lt;/D&gt;&lt;D xsi:type="xsd:long"&gt;45972&lt;/D&gt;&lt;D xsi:type="xsd:long"&gt;45971&lt;/D&gt;&lt;D xsi:type="xsd:long"&gt;45968&lt;/D&gt;&lt;D xsi:type="xsd:long"&gt;45967&lt;/D&gt;&lt;D xsi:type="xsd:long"&gt;45966&lt;/D&gt;&lt;D xsi:type="xsd:long"&gt;45965&lt;/D&gt;&lt;D xsi:type="xsd:long"&gt;45964&lt;/D&gt;&lt;D xsi:type="xsd:long"&gt;45961&lt;/D&gt;&lt;D xsi:type="xsd:long"&gt;45960&lt;/D&gt;&lt;D xsi:type="xsd:long"&gt;45959&lt;/D&gt;&lt;D xsi:type="xsd:long"&gt;45958&lt;/D&gt;&lt;D xsi:type="xsd:long"&gt;45957&lt;/D&gt;&lt;D xsi:type="xsd:long"&gt;45954&lt;/D&gt;&lt;D xsi:type="xsd:long"&gt;45953&lt;/D&gt;&lt;D xsi:type="xsd:long"&gt;45952&lt;/D&gt;&lt;D xsi:type="xsd:long"&gt;45951&lt;/D&gt;&lt;D xsi:type="xsd:long"&gt;45950&lt;/D&gt;&lt;D xsi:type="xsd:long"&gt;45947&lt;/D&gt;&lt;D xsi:type="xsd:long"&gt;45946&lt;/D&gt;&lt;D xsi:type="xsd:long"&gt;45945&lt;/D&gt;&lt;D xsi:type="xsd:long"&gt;45944&lt;/D&gt;&lt;D xsi:type="xsd:long"&gt;45943&lt;/D&gt;&lt;D xsi:type="xsd:long"&gt;45940&lt;/D&gt;&lt;D xsi:type="xsd:long"&gt;45939&lt;/D&gt;&lt;D xsi:type="xsd:long"&gt;45938&lt;/D&gt;&lt;D xsi:type="xsd:long"&gt;45937&lt;/D&gt;&lt;D xsi:type="xsd:long"&gt;45936&lt;/D&gt;&lt;D xsi:type="xsd:long"&gt;45933&lt;/D&gt;&lt;D xsi:type="xsd:long"&gt;45932&lt;/D&gt;&lt;D xsi:type="xsd:long"&gt;45931&lt;/D&gt;&lt;D xsi:type="xsd:long"&gt;45930&lt;/D&gt;&lt;D xsi:type="xsd:long"&gt;45929&lt;/D&gt;&lt;D xsi:type="xsd:long"&gt;45926&lt;/D&gt;&lt;D xsi:type="xsd:long"&gt;45925&lt;/D&gt;&lt;D xsi:type="xsd:long"&gt;45924&lt;/D&gt;&lt;D xsi:type="xsd:long"&gt;45923&lt;/D&gt;&lt;D xsi:type="xsd:long"&gt;45922&lt;/D&gt;&lt;D xsi:type="xsd:long"&gt;45919&lt;/D&gt;&lt;D xsi:type="xsd:long"&gt;45918&lt;/D&gt;&lt;D xsi:type="xsd:long"&gt;45917&lt;/D&gt;&lt;D xsi:type="xsd:long"&gt;45916&lt;/D&gt;&lt;D xsi:type="xsd:long"&gt;45915&lt;/D&gt;&lt;D xsi:type="xsd:long"&gt;45912&lt;/D&gt;&lt;D xsi:type="xsd:long"&gt;45911&lt;/D&gt;&lt;D xsi:type="xsd:long"&gt;45910&lt;/D&gt;&lt;D xsi:type="xsd:long"&gt;45909&lt;/D&gt;&lt;D xsi:type="xsd:long"&gt;45908&lt;/D&gt;&lt;D xsi:type="xsd:long"&gt;45905&lt;/D&gt;&lt;D xsi:type="xsd:long"&gt;45904&lt;/D&gt;&lt;D xsi:type="xsd:long"&gt;45903&lt;/D&gt;&lt;D xsi:type="xsd:long"&gt;45902&lt;/D&gt;&lt;D xsi:type="xsd:long"&gt;45898&lt;/D&gt;&lt;D xsi:type="xsd:long"&gt;45897&lt;/D&gt;&lt;D xsi:type="xsd:long"&gt;45896&lt;/D&gt;&lt;D xsi:type="xsd:long"&gt;45895&lt;/D&gt;&lt;D xsi:type="xsd:long"&gt;45894&lt;/D&gt;&lt;D xsi:type="xsd:long"&gt;45891&lt;/D&gt;&lt;D xsi:type="xsd:long"&gt;45890&lt;/D&gt;&lt;D xsi:type="xsd:long"&gt;45889&lt;/D&gt;&lt;D xsi:type="xsd:long"&gt;45888&lt;/D&gt;&lt;D xsi:type="xsd:long"&gt;45887&lt;/D&gt;&lt;D xsi:type="xsd:long"&gt;45884&lt;/D&gt;&lt;D xsi:type="xsd:long"&gt;45883&lt;/D&gt;&lt;D xsi:type="xsd:long"&gt;45882&lt;/D&gt;&lt;D xsi:type="xsd:long"&gt;45881&lt;/D&gt;&lt;D xsi:type="xsd:long"&gt;45880&lt;/D&gt;&lt;D xsi:type="xsd:long"&gt;45877&lt;/D&gt;&lt;D xsi:type="xsd:long"&gt;45876&lt;/D&gt;&lt;D xsi:type="xsd:long"&gt;45875&lt;/D&gt;&lt;D xsi:type="xsd:long"&gt;45874&lt;/D&gt;&lt;D xsi:type="xsd:long"&gt;45873&lt;/D&gt;&lt;D xsi:type="xsd:long"&gt;45870&lt;/D&gt;&lt;D xsi:type="xsd:long"&gt;45869&lt;/D&gt;&lt;D xsi:type="xsd:long"&gt;45868&lt;/D&gt;&lt;D xsi:type="xsd:long"&gt;45867&lt;/D&gt;&lt;D xsi:type="xsd:long"&gt;45866&lt;/D&gt;&lt;D xsi:type="xsd:long"&gt;45863&lt;/D&gt;&lt;D xsi:type="xsd:long"&gt;45862&lt;/D&gt;&lt;D xsi:type="xsd:long"&gt;45861&lt;/D&gt;&lt;D xsi:type="xsd:long"&gt;45860&lt;/D&gt;&lt;D xsi:type="xsd:long"&gt;45859&lt;/D&gt;&lt;D xsi:type="xsd:long"&gt;45856&lt;/D&gt;&lt;D xsi:type="xsd:long"&gt;45855&lt;/D&gt;&lt;D xsi:type="xsd:long"&gt;45854&lt;/D&gt;&lt;D xsi:type="xsd:long"&gt;45853&lt;/D&gt;&lt;D xsi:type="xsd:long"&gt;45852&lt;/D&gt;&lt;D xsi:type="xsd:long"&gt;45849&lt;/D&gt;&lt;D xsi:type="xsd:long"&gt;45848&lt;/D&gt;&lt;D xsi:type="xsd:long"&gt;45847&lt;/D&gt;&lt;D xsi:type="xsd:long"&gt;45846&lt;/D&gt;&lt;D xsi:type="xsd:long"&gt;45845&lt;/D&gt;&lt;D xsi:type="xsd:long"&gt;45841&lt;/D&gt;&lt;D xsi:type="xsd:long"&gt;45840&lt;/D&gt;&lt;D xsi:type="xsd:long"&gt;45839&lt;/D&gt;&lt;D xsi:type="xsd:long"&gt;45838&lt;/D&gt;&lt;D xsi:type="xsd:long"&gt;45835&lt;/D&gt;&lt;D xsi:type="xsd:long"&gt;45834&lt;/D&gt;&lt;D xsi:type="xsd:long"&gt;45833&lt;/D&gt;&lt;D xsi:type="xsd:long"&gt;45832&lt;/D&gt;&lt;D xsi:type="xsd:long"&gt;45831&lt;/D&gt;&lt;D xsi:type="xsd:long"&gt;45828&lt;/D&gt;&lt;D xsi:type="xsd:long"&gt;45826&lt;/D&gt;&lt;D xsi:type="xsd:long"&gt;45825&lt;/D&gt;&lt;D xsi:type="xsd:long"&gt;45824&lt;/D&gt;&lt;D xsi:type="xsd:long"&gt;45821&lt;/D&gt;&lt;D xsi:type="xsd:long"&gt;45820&lt;/D&gt;&lt;D xsi:type="xsd:long"&gt;45819&lt;/D&gt;&lt;D xsi:type="xsd:long"&gt;45818&lt;/D&gt;&lt;D xsi:type="xsd:long"&gt;45817&lt;/D&gt;&lt;D xsi:type="xsd:long"&gt;45814&lt;/D&gt;&lt;D xsi:type="xsd:long"&gt;45813&lt;/D&gt;&lt;D xsi:type="xsd:long"&gt;45812&lt;/D&gt;&lt;D xsi:type="xsd:long"&gt;45811&lt;/D&gt;&lt;D xsi:type="xsd:long"&gt;45810&lt;/D&gt;&lt;D xsi:type="xsd:long"&gt;45807&lt;/D&gt;&lt;D xsi:type="xsd:long"&gt;45806&lt;/D&gt;&lt;D xsi:type="xsd:long"&gt;45805&lt;/D&gt;&lt;D xsi:type="xsd:long"&gt;45804&lt;/D&gt;&lt;D xsi:type="xsd:long"&gt;45800&lt;/D&gt;&lt;D xsi:type="xsd:long"&gt;45799&lt;/D&gt;&lt;D xsi:type="xsd:long"&gt;45798&lt;/D&gt;&lt;D xsi:type="xsd:long"&gt;45797&lt;/D&gt;&lt;D xsi:type="xsd:long"&gt;45796&lt;/D&gt;&lt;D xsi:type="xsd:long"&gt;45793&lt;/D&gt;&lt;D xsi:type="xsd:long"&gt;45792&lt;/D&gt;&lt;D xsi:type="xsd:long"&gt;45791&lt;/D&gt;&lt;D xsi:type="xsd:long"&gt;45790&lt;/D&gt;&lt;D xsi:type="xsd:long"&gt;45789&lt;/D&gt;&lt;D xsi:type="xsd:long"&gt;45786&lt;/D&gt;&lt;D xsi:type="xsd:long"&gt;45785&lt;/D&gt;&lt;D xsi:type="xsd:long"&gt;45784&lt;/D&gt;&lt;D xsi:type="xsd:long"&gt;45783&lt;/D&gt;&lt;D xsi:type="xsd:long"&gt;45782&lt;/D&gt;&lt;D xsi:type="xsd:long"&gt;45779&lt;/D&gt;&lt;D xsi:type="xsd:long"&gt;45778&lt;/D&gt;&lt;D xsi:type="xsd:long"&gt;45777&lt;/D&gt;&lt;D xsi:type="xsd:long"&gt;45776&lt;/D&gt;&lt;D xsi:type="xsd:long"&gt;45775&lt;/D&gt;&lt;D xsi:type="xsd:long"&gt;45772&lt;/D&gt;&lt;D xsi:type="xsd:long"&gt;45771&lt;/D&gt;&lt;D xsi:type="xsd:long"&gt;45770&lt;/D&gt;&lt;D xsi:type="xsd:long"&gt;45769&lt;/D&gt;&lt;D xsi:type="xsd:long"&gt;45768&lt;/D&gt;&lt;D xsi:type="xsd:long"&gt;45764&lt;/D&gt;&lt;D xsi:type="xsd:long"&gt;45763&lt;/D&gt;&lt;D xsi:type="xsd:long"&gt;45762&lt;/D&gt;&lt;D xsi:type="xsd:long"&gt;45761&lt;/D&gt;&lt;D xsi:type="xsd:long"&gt;45758&lt;/D&gt;&lt;D xsi:type="xsd:long"&gt;45757&lt;/D&gt;&lt;D xsi:type="xsd:long"&gt;45756&lt;/D&gt;&lt;D xsi:type="xsd:long"&gt;45755&lt;/D&gt;&lt;D xsi:type="xsd:long"&gt;45754&lt;/D&gt;&lt;D xsi:type="xsd:long"&gt;45751&lt;/D&gt;&lt;D xsi:type="xsd:long"&gt;45750&lt;/D&gt;&lt;D xsi:type="xsd:long"&gt;45749&lt;/D&gt;&lt;D xsi:type="xsd:long"&gt;45748&lt;/D&gt;&lt;D xsi:type="xsd:long"&gt;45747&lt;/D&gt;&lt;D xsi:type="xsd:long"&gt;45744&lt;/D&gt;&lt;D xsi:type="xsd:long"&gt;45743&lt;/D&gt;&lt;D xsi:type="xsd:long"&gt;45742&lt;/D&gt;&lt;D xsi:type="xsd:long"&gt;45741&lt;/D&gt;&lt;D xsi:type="xsd:long"&gt;45740&lt;/D&gt;&lt;D xsi:type="xsd:long"&gt;45737&lt;/D&gt;&lt;D xsi:type="xsd:long"&gt;45736&lt;/D&gt;&lt;D xsi:type="xsd:long"&gt;45735&lt;/D&gt;&lt;D xsi:type="xsd:long"&gt;45734&lt;/D&gt;&lt;D xsi:type="xsd:long"&gt;45733&lt;/D&gt;&lt;D xsi:type="xsd:long"&gt;45730&lt;/D&gt;&lt;D xsi:type="xsd:long"&gt;45729&lt;/D&gt;&lt;D xsi:type="xsd:long"&gt;45728&lt;/D&gt;&lt;D xsi:type="xsd:long"&gt;45727&lt;/D&gt;&lt;D xsi:type="xsd:long"&gt;45726&lt;/D&gt;&lt;D xsi:type="xsd:long"&gt;45723&lt;/D&gt;&lt;D xsi:type="xsd:long"&gt;4</t>
        </r>
      </text>
    </comment>
    <comment ref="A52" authorId="0" shapeId="0">
      <text>
        <r>
          <rPr>
            <b/>
            <sz val="9"/>
            <color indexed="81"/>
            <rFont val="Tahoma"/>
            <family val="2"/>
          </rPr>
          <t>5722&lt;/D&gt;&lt;D xsi:type="xsd:long"&gt;45721&lt;/D&gt;&lt;D xsi:type="xsd:long"&gt;45720&lt;/D&gt;&lt;D xsi:type="xsd:long"&gt;45719&lt;/D&gt;&lt;D xsi:type="xsd:long"&gt;45716&lt;/D&gt;&lt;D xsi:type="xsd:long"&gt;45715&lt;/D&gt;&lt;D xsi:type="xsd:long"&gt;45714&lt;/D&gt;&lt;D xsi:type="xsd:long"&gt;45713&lt;/D&gt;&lt;D xsi:type="xsd:long"&gt;45712&lt;/D&gt;&lt;D xsi:type="xsd:long"&gt;45709&lt;/D&gt;&lt;D xsi:type="xsd:long"&gt;45708&lt;/D&gt;&lt;D xsi:type="xsd:long"&gt;45707&lt;/D&gt;&lt;D xsi:type="xsd:long"&gt;45706&lt;/D&gt;&lt;D xsi:type="xsd:long"&gt;45702&lt;/D&gt;&lt;D xsi:type="xsd:long"&gt;45701&lt;/D&gt;&lt;D xsi:type="xsd:long"&gt;45700&lt;/D&gt;&lt;D xsi:type="xsd:long"&gt;45699&lt;/D&gt;&lt;D xsi:type="xsd:long"&gt;45698&lt;/D&gt;&lt;D xsi:type="xsd:long"&gt;45695&lt;/D&gt;&lt;D xsi:type="xsd:long"&gt;45694&lt;/D&gt;&lt;D xsi:type="xsd:long"&gt;45693&lt;/D&gt;&lt;D xsi:type="xsd:long"&gt;45692&lt;/D&gt;&lt;D xsi:type="xsd:long"&gt;45691&lt;/D&gt;&lt;D xsi:type="xsd:long"&gt;45688&lt;/D&gt;&lt;D xsi:type="xsd:long"&gt;45687&lt;/D&gt;&lt;D xsi:type="xsd:long"&gt;45686&lt;/D&gt;&lt;D xsi:type="xsd:long"&gt;45685&lt;/D&gt;&lt;D xsi:type="xsd:long"&gt;45684&lt;/D&gt;&lt;D xsi:type="xsd:long"&gt;45681&lt;/D&gt;&lt;D xsi:type="xsd:long"&gt;45680&lt;/D&gt;&lt;D xsi:type="xsd:long"&gt;45679&lt;/D&gt;&lt;D xsi:type="xsd:long"&gt;45678&lt;/D&gt;&lt;D xsi:type="xsd:long"&gt;45674&lt;/D&gt;&lt;D xsi:type="xsd:long"&gt;45673&lt;/D&gt;&lt;D xsi:type="xsd:long"&gt;45672&lt;/D&gt;&lt;D xsi:type="xsd:long"&gt;45671&lt;/D&gt;&lt;D xsi:type="xsd:long"&gt;45670&lt;/D&gt;&lt;D xsi:type="xsd:long"&gt;45667&lt;/D&gt;&lt;D xsi:type="xsd:long"&gt;45665&lt;/D&gt;&lt;D xsi:type="xsd:long"&gt;45664&lt;/D&gt;&lt;D xsi:type="xsd:long"&gt;45663&lt;/D&gt;&lt;D xsi:type="xsd:long"&gt;45660&lt;/D&gt;&lt;D xsi:type="xsd:long"&gt;45659&lt;/D&gt;&lt;D xsi:type="xsd:long"&gt;45657&lt;/D&gt;&lt;D xsi:type="xsd:long"&gt;45656&lt;/D&gt;&lt;D xsi:type="xsd:long"&gt;45653&lt;/D&gt;&lt;D xsi:type="xsd:long"&gt;45652&lt;/D&gt;&lt;D xsi:type="xsd:long"&gt;45650&lt;/D&gt;&lt;D xsi:type="xsd:long"&gt;45649&lt;/D&gt;&lt;D xsi:type="xsd:long"&gt;45646&lt;/D&gt;&lt;D xsi:type="xsd:long"&gt;45645&lt;/D&gt;&lt;D xsi:type="xsd:long"&gt;45644&lt;/D&gt;&lt;D xsi:type="xsd:long"&gt;45643&lt;/D&gt;&lt;D xsi:type="xsd:long"&gt;45642&lt;/D&gt;&lt;D xsi:type="xsd:long"&gt;45639&lt;/D&gt;&lt;D xsi:type="xsd:long"&gt;45638&lt;/D&gt;&lt;D xsi:type="xsd:long"&gt;45637&lt;/D&gt;&lt;D xsi:type="xsd:long"&gt;45636&lt;/D&gt;&lt;D xsi:type="xsd:long"&gt;45635&lt;/D&gt;&lt;D xsi:type="xsd:long"&gt;45632&lt;/D&gt;&lt;D xsi:type="xsd:long"&gt;45631&lt;/D&gt;&lt;D xsi:type="xsd:long"&gt;45630&lt;/D&gt;&lt;D xsi:type="xsd:long"&gt;45629&lt;/D&gt;&lt;D xsi:type="xsd:long"&gt;45628&lt;/D&gt;&lt;D xsi:type="xsd:long"&gt;45625&lt;/D&gt;&lt;D xsi:type="xsd:long"&gt;45623&lt;/D&gt;&lt;D xsi:type="xsd:long"&gt;45622&lt;/D&gt;&lt;D xsi:type="xsd:long"&gt;45621&lt;/D&gt;&lt;D xsi:type="xsd:long"&gt;45618&lt;/D&gt;&lt;D xsi:type="xsd:long"&gt;45617&lt;/D&gt;&lt;D xsi:type="xsd:long"&gt;45616&lt;/D&gt;&lt;D xsi:type="xsd:long"&gt;45615&lt;/D&gt;&lt;D xsi:type="xsd:long"&gt;45614&lt;/D&gt;&lt;D xsi:type="xsd:long"&gt;45611&lt;/D&gt;&lt;D xsi:type="xsd:long"&gt;45610&lt;/D&gt;&lt;D xsi:type="xsd:long"&gt;45609&lt;/D&gt;&lt;D xsi:type="xsd:long"&gt;45608&lt;/D&gt;&lt;D xsi:type="xsd:long"&gt;45607&lt;/D&gt;&lt;D xsi:type="xsd:long"&gt;45604&lt;/D&gt;&lt;D xsi:type="xsd:long"&gt;45603&lt;/D&gt;&lt;D xsi:type="xsd:long"&gt;45602&lt;/D&gt;&lt;D xsi:type="xsd:long"&gt;45601&lt;/D&gt;&lt;D xsi:type="xsd:long"&gt;45600&lt;/D&gt;&lt;D xsi:type="xsd:long"&gt;45597&lt;/D&gt;&lt;D xsi:type="xsd:long"&gt;45596&lt;/D&gt;&lt;D xsi:type="xsd:long"&gt;45595&lt;/D&gt;&lt;D xsi:type="xsd:long"&gt;45594&lt;/D&gt;&lt;D xsi:type="xsd:long"&gt;45593&lt;/D&gt;&lt;D xsi:type="xsd:long"&gt;45590&lt;/D&gt;&lt;D xsi:type="xsd:long"&gt;45589&lt;/D&gt;&lt;D xsi:type="xsd:long"&gt;45588&lt;/D&gt;&lt;D xsi:type="xsd:long"&gt;45587&lt;/D&gt;&lt;D xsi:type="xsd:long"&gt;45586&lt;/D&gt;&lt;D xsi:type="xsd:long"&gt;45583&lt;/D&gt;&lt;D xsi:type="xsd:long"&gt;45582&lt;/D&gt;&lt;D xsi:type="xsd:long"&gt;45581&lt;/D&gt;&lt;D xsi:type="xsd:long"&gt;45580&lt;/D&gt;&lt;D xsi:type="xsd:long"&gt;45579&lt;/D&gt;&lt;D xsi:type="xsd:long"&gt;45576&lt;/D&gt;&lt;D xsi:type="xsd:long"&gt;45575&lt;/D&gt;&lt;D xsi:type="xsd:long"&gt;45574&lt;/D&gt;&lt;D xsi:type="xsd:long"&gt;45573&lt;/D&gt;&lt;D xsi:type="xsd:long"&gt;45572&lt;/D&gt;&lt;D xsi:type="xsd:long"&gt;45569&lt;/D&gt;&lt;D xsi:type="xsd:long"&gt;45568&lt;/D&gt;&lt;D xsi:type="xsd:long"&gt;45567&lt;/D&gt;&lt;D xsi:type="xsd:long"&gt;45566&lt;/D&gt;&lt;D xsi:type="xsd:long"&gt;45565&lt;/D&gt;&lt;D xsi:type="xsd:long"&gt;45562&lt;/D&gt;&lt;D xsi:type="xsd:long"&gt;45561&lt;/D&gt;&lt;D xsi:type="xsd:long"&gt;45560&lt;/D&gt;&lt;D xsi:type="xsd:long"&gt;45559&lt;/D&gt;&lt;D xsi:type="xsd:long"&gt;45558&lt;/D&gt;&lt;D xsi:type="xsd:long"&gt;45555&lt;/D&gt;&lt;D xsi:type="xsd:long"&gt;45554&lt;/D&gt;&lt;D xsi:type="xsd:long"&gt;45553&lt;/D&gt;&lt;D xsi:type="xsd:long"&gt;45552&lt;/D&gt;&lt;D xsi:type="xsd:long"&gt;45551&lt;/D&gt;&lt;D xsi:type="xsd:long"&gt;45548&lt;/D&gt;&lt;D xsi:type="xsd:long"&gt;45547&lt;/D&gt;&lt;D xsi:type="xsd:long"&gt;45546&lt;/D&gt;&lt;D xsi:type="xsd:long"&gt;45545&lt;/D&gt;&lt;D xsi:type="xsd:long"&gt;45544&lt;/D&gt;&lt;D xsi:type="xsd:long"&gt;45541&lt;/D&gt;&lt;D xsi:type="xsd:long"&gt;45540&lt;/D&gt;&lt;D xsi:type="xsd:long"&gt;45539&lt;/D&gt;&lt;D xsi:type="xsd:long"&gt;45538&lt;/D&gt;&lt;D xsi:type="xsd:long"&gt;45534&lt;/D&gt;&lt;D xsi:type="xsd:long"&gt;45533&lt;/D&gt;&lt;D xsi:type="xsd:long"&gt;45532&lt;/D&gt;&lt;D xsi:type="xsd:long"&gt;45531&lt;/D&gt;&lt;D xsi:type="xsd:long"&gt;45530&lt;/D&gt;&lt;D xsi:type="xsd:long"&gt;45527&lt;/D&gt;&lt;D xsi:type="xsd:long"&gt;45526&lt;/D&gt;&lt;D xsi:type="xsd:long"&gt;45525&lt;/D&gt;&lt;D xsi:type="xsd:long"&gt;45524&lt;/D&gt;&lt;D xsi:type="xsd:long"&gt;45523&lt;/D&gt;&lt;D xsi:type="xsd:long"&gt;45520&lt;/D&gt;&lt;D xsi:type="xsd:long"&gt;45519&lt;/D&gt;&lt;D xsi:type="xsd:long"&gt;45518&lt;/D&gt;&lt;D xsi:type="xsd:long"&gt;45517&lt;/D&gt;&lt;D xsi:type="xsd:long"&gt;45516&lt;/D&gt;&lt;D xsi:type="xsd:long"&gt;45513&lt;/D&gt;&lt;D xsi:type="xsd:long"&gt;45512&lt;/D&gt;&lt;D xsi:type="xsd:long"&gt;45511&lt;/D&gt;&lt;D xsi:type="xsd:long"&gt;45510&lt;/D&gt;&lt;D xsi:type="xsd:long"&gt;45509&lt;/D&gt;&lt;D xsi:type="xsd:long"&gt;45506&lt;/D&gt;&lt;D xsi:type="xsd:long"&gt;45505&lt;/D&gt;&lt;D xsi:type="xsd:long"&gt;45504&lt;/D&gt;&lt;D xsi:type="xsd:long"&gt;45503&lt;/D&gt;&lt;D xsi:type="xsd:long"&gt;45502&lt;/D&gt;&lt;D xsi:type="xsd:long"&gt;45499&lt;/D&gt;&lt;D xsi:type="xsd:long"&gt;45498&lt;/D&gt;&lt;D xsi:type="xsd:long"&gt;45497&lt;/D&gt;&lt;D xsi:type="xsd:long"&gt;45496&lt;/D&gt;&lt;D xsi:type="xsd:long"&gt;45495&lt;/D&gt;&lt;D xsi:type="xsd:long"&gt;45492&lt;/D&gt;&lt;D xsi:type="xsd:long"&gt;45491&lt;/D&gt;&lt;D xsi:type="xsd:long"&gt;45490&lt;/D&gt;&lt;D xsi:type="xsd:long"&gt;45489&lt;/D&gt;&lt;D xsi:type="xsd:long"&gt;45488&lt;/D&gt;&lt;D xsi:type="xsd:long"&gt;45485&lt;/D&gt;&lt;D xsi:type="xsd:long"&gt;45484&lt;/D&gt;&lt;D xsi:type="xsd:long"&gt;45483&lt;/D&gt;&lt;D xsi:type="xsd:long"&gt;45482&lt;/D&gt;&lt;D xsi:type="xsd:long"&gt;45481&lt;/D&gt;&lt;D xsi:type="xsd:long"&gt;45478&lt;/D&gt;&lt;D xsi:type="xsd:long"&gt;45476&lt;/D&gt;&lt;D xsi:type="xsd:long"&gt;45475&lt;/D&gt;&lt;D xsi:type="xsd:long"&gt;45474&lt;/D&gt;&lt;D xsi:type="xsd:long"&gt;45471&lt;/D&gt;&lt;D xsi:type="xsd:long"&gt;45470&lt;/D&gt;&lt;D xsi:type="xsd:long"&gt;45469&lt;/D&gt;&lt;D xsi:type="xsd:long"&gt;45468&lt;/D&gt;&lt;D xsi:type="xsd:long"&gt;45467&lt;/D&gt;&lt;D xsi:type="xsd:long"&gt;45464&lt;/D&gt;&lt;D xsi:type="xsd:long"&gt;45463&lt;/D&gt;&lt;D xsi:type="xsd:long"&gt;45461&lt;/D&gt;&lt;D xsi:type="xsd:long"&gt;45460&lt;/D&gt;&lt;D xsi:type="xsd:long"&gt;45457&lt;/D&gt;&lt;D xsi:type="xsd:long"&gt;45456&lt;/D&gt;&lt;D xsi:type="xsd:long"&gt;45455&lt;/D&gt;&lt;D xsi:type="xsd:long"&gt;45454&lt;/D&gt;&lt;D xsi:type="xsd:long"&gt;45453&lt;/D&gt;&lt;D xsi:type="xsd:long"&gt;45450&lt;/D&gt;&lt;D xsi:type="xsd:long"&gt;45449&lt;/D&gt;&lt;D xsi:type="xsd:long"&gt;45448&lt;/D&gt;&lt;D xsi:type="xsd:long"&gt;45447&lt;/D&gt;&lt;D xsi:type="xsd:long"&gt;45446&lt;/D&gt;&lt;D xsi:type="xsd:long"&gt;45443&lt;/D&gt;&lt;D xsi:type="xsd:long"&gt;45442&lt;/D&gt;&lt;D xsi:type="xsd:long"&gt;45441&lt;/D&gt;&lt;D xsi:type="xsd:long"&gt;45440&lt;/D&gt;&lt;D xsi:type="xsd:long"&gt;45436&lt;/D&gt;&lt;D xsi:type="xsd:long"&gt;45435&lt;/D&gt;&lt;D xsi:type="xsd:long"&gt;45434&lt;/D&gt;&lt;D xsi:type="xsd:long"&gt;45433&lt;/D&gt;&lt;D xsi:type="xsd:long"&gt;45432&lt;/D&gt;&lt;D xsi:type="xsd:long"&gt;45429&lt;/D&gt;&lt;D xsi:type="xsd:long"&gt;45428&lt;/D&gt;&lt;D xsi:type="xsd:long"&gt;45427&lt;/D&gt;&lt;D xsi:type="xsd:long"&gt;45426&lt;/D&gt;&lt;D xsi:type="xsd:long"&gt;45425&lt;/D&gt;&lt;D xsi:type="xsd:long"&gt;45422&lt;/D&gt;&lt;D xsi:type="xsd:long"&gt;45421&lt;/D&gt;&lt;D xsi:type="xsd:long"&gt;45420&lt;/D&gt;&lt;D xsi:type="xsd:long"&gt;45419&lt;/D&gt;&lt;D xsi:type="xsd:long"&gt;45418&lt;/D&gt;&lt;D xsi:type="xsd:long"&gt;45415&lt;/D&gt;&lt;D xsi:type="xsd:long"&gt;45414&lt;/D&gt;&lt;D xsi:type="xsd:long"&gt;45413&lt;/D&gt;&lt;D xsi:type="xsd:long"&gt;45412&lt;/D&gt;&lt;D xsi:type="xsd:long"&gt;45411&lt;/D&gt;&lt;D xsi:type="xsd:long"&gt;45408&lt;/D&gt;&lt;D xsi:type="xsd:long"&gt;45407&lt;/D&gt;&lt;D xsi:type="xsd:long"&gt;45406&lt;/D&gt;&lt;D xsi:type="xsd:long"&gt;45405&lt;/D&gt;&lt;D xsi:type="xsd:long"&gt;45404&lt;/D&gt;&lt;D xsi:type="xsd:long"&gt;45401&lt;/D&gt;&lt;D xsi:type="xsd:long"&gt;45400&lt;/D&gt;&lt;D xsi:type="xsd:long"&gt;45399&lt;/D&gt;&lt;D xsi:type="xsd:long"&gt;45398&lt;/D&gt;&lt;D xsi:type="xsd:long"&gt;45397&lt;/D&gt;&lt;D xsi:type="xsd:long"&gt;45394&lt;/D&gt;&lt;D xsi:type="xsd:long"&gt;45393&lt;/D&gt;&lt;D xsi:type="xsd:long"&gt;45392&lt;/D&gt;&lt;D xsi:type="xsd:long"&gt;45391&lt;/D&gt;&lt;D xsi:type="xsd:long"&gt;45390&lt;/D&gt;&lt;D xsi:type="xsd:long"&gt;45387&lt;/D&gt;&lt;D xsi:type="xsd:long"&gt;45386&lt;/D&gt;&lt;D xsi:type="xsd:long"&gt;45385&lt;/D&gt;&lt;D xsi:type="xsd:long"&gt;45384&lt;/D&gt;&lt;D xsi:type="xsd:long"&gt;45383&lt;/D&gt;&lt;D xsi:type="xsd:long"&gt;45379&lt;/D&gt;&lt;D xsi:type="xsd:long"&gt;45378&lt;/D&gt;&lt;D xsi:type="xsd:long"&gt;45377&lt;/D&gt;&lt;D xsi:type="xsd:long"&gt;45376&lt;/D&gt;&lt;D xsi:type="xsd:long"&gt;45373&lt;/D&gt;&lt;D xsi:type="xsd:long"&gt;45372&lt;/D&gt;&lt;D xsi:type="xsd:long"&gt;45371&lt;/D&gt;&lt;D xsi:type="xsd:long"&gt;45370&lt;/D&gt;&lt;D xsi:type="xsd:long"&gt;45369&lt;/D&gt;&lt;D xsi:type="xsd:long"&gt;45366&lt;/D&gt;&lt;D xsi:type="xsd:long"&gt;45365&lt;/D&gt;&lt;D xsi:type="xsd:long"&gt;45364&lt;/D&gt;&lt;D xsi:type="xsd:long"&gt;45363&lt;/D&gt;&lt;D xsi:type="xsd:long"&gt;45362&lt;/D&gt;&lt;D xsi:type="xsd:long"&gt;45359&lt;/D&gt;&lt;D xsi:type="xsd:long"&gt;45358&lt;/D&gt;&lt;D xsi:type="xsd:long"&gt;45357&lt;/D&gt;&lt;D xsi:type="xsd:long"&gt;45356&lt;/D&gt;&lt;D xsi:type="xsd:long"&gt;45355&lt;/D&gt;&lt;D xsi:type="xsd:long"&gt;45352&lt;/D&gt;&lt;D xsi:type="xsd:long"&gt;45351&lt;/D&gt;&lt;D xsi:type="xsd:long"&gt;45350&lt;/D&gt;&lt;D xsi:type="xsd:long"&gt;45349&lt;/D&gt;&lt;D xsi:type="xsd:long"&gt;45348&lt;/D&gt;&lt;D xsi:type="xsd:long"&gt;45345&lt;/D&gt;&lt;D xsi:type="xsd:long"&gt;45344&lt;/D&gt;&lt;D xsi:type="xsd:long"&gt;45343&lt;/D&gt;&lt;D xsi:type="xsd:long"&gt;45342&lt;/D&gt;&lt;D xsi:type="xsd:long"&gt;45338&lt;/D&gt;&lt;D xsi:type="xsd:long"&gt;45337&lt;/D&gt;&lt;D xsi:type="xsd:long"&gt;45336&lt;/D&gt;&lt;D xsi:type="xsd:long"&gt;45335&lt;/D&gt;&lt;D xsi:type="xsd:long"&gt;45334&lt;/D&gt;&lt;D xsi:type="xsd:long"&gt;45331&lt;/D&gt;&lt;D xsi:type="xsd:long"&gt;45330&lt;/D&gt;&lt;D xsi:type="xsd:long"&gt;45329&lt;/D&gt;&lt;D xsi:type="xsd:long"&gt;45328&lt;/D&gt;&lt;D xsi:type="xsd:long"&gt;45327&lt;/D&gt;&lt;D xsi:type="xsd:long"&gt;45324&lt;/D&gt;&lt;D xsi:type="xsd:long"&gt;45323&lt;/D&gt;&lt;D xsi:type="xsd:long"&gt;45322&lt;/D&gt;&lt;D xsi:type="xsd:long"&gt;45321&lt;/D&gt;&lt;D xsi:type="xsd:long"&gt;45320&lt;/D&gt;&lt;D xsi:type="xsd:long"&gt;45317&lt;/D&gt;&lt;D xsi:type="xsd:long"&gt;45316&lt;/D&gt;&lt;D xsi:type="xsd:long"&gt;45315&lt;/D&gt;&lt;D xsi:type="xsd:long"&gt;45314&lt;/D&gt;&lt;D xsi:type="xsd:long"&gt;45313&lt;/D&gt;&lt;D xsi:type="xsd:long"&gt;45310&lt;/D&gt;&lt;D xsi:type="xsd:long"&gt;45309&lt;/D&gt;&lt;D xsi:type="xsd:long"&gt;45308&lt;/D&gt;&lt;D xsi:type="xsd:long"&gt;45307&lt;/D&gt;&lt;D xsi:type="xsd:long"&gt;45303&lt;/D&gt;&lt;D xsi:type="xsd:long"&gt;45302&lt;/D&gt;&lt;D xsi:type="xsd:long"&gt;45301&lt;/D&gt;&lt;D xsi:type="xsd:long"&gt;45300&lt;/D&gt;&lt;D xsi:type="xsd:long"&gt;45299&lt;/D&gt;&lt;D xsi:type="xsd:long"&gt;45296&lt;/D&gt;&lt;D xsi:type="xsd:long"&gt;45295&lt;/D&gt;&lt;D xsi:type="xsd:long"&gt;45294&lt;/D&gt;&lt;D xsi:type="xsd:long"&gt;45293&lt;/D&gt;&lt;D xsi:type="xsd:long"&gt;45289&lt;/D&gt;&lt;D xsi:type="xsd:long"&gt;45288&lt;/D&gt;&lt;D xsi:type="xsd:long"&gt;45287&lt;/D&gt;&lt;D xsi:type="xsd:long"&gt;45286&lt;/D&gt;&lt;D xsi:type="xsd:long"&gt;45282&lt;/D&gt;&lt;D xsi:type="xsd:long"&gt;45281&lt;/D&gt;&lt;D xsi:type="xsd:long"&gt;45280&lt;/D&gt;&lt;D xsi:type="xsd:long"&gt;45279&lt;/D&gt;&lt;D xsi:type="xsd:long"&gt;45278&lt;/D&gt;&lt;D xsi:type="xsd:long"&gt;45275&lt;/D&gt;&lt;D xsi:type="xsd:long"&gt;45274&lt;/D&gt;&lt;D xsi:type="xsd:long"&gt;45273&lt;/D&gt;&lt;D xsi:type="xsd:long"&gt;45272&lt;/D&gt;&lt;D xsi:type="xsd:long"&gt;45271&lt;/D&gt;&lt;D xsi:type="xsd:long"&gt;45268&lt;/D&gt;&lt;D xsi:type="xsd:long"&gt;45267&lt;/D&gt;&lt;D xsi:type="xsd:long"&gt;45266&lt;/D&gt;&lt;D xsi:type="xsd:long"&gt;45265&lt;/D&gt;&lt;D xsi:type="xsd:long"&gt;45264&lt;/D&gt;&lt;D xsi:type="xsd:long"&gt;45261&lt;/D&gt;&lt;D xsi:type="xsd:long"&gt;45260&lt;/D&gt;&lt;D xsi:type="xsd:long"&gt;45259&lt;/D&gt;&lt;D xsi:type="xsd:long"&gt;45258&lt;/D&gt;&lt;D xsi:type="xsd:long"&gt;45257&lt;/D&gt;&lt;D xsi:type="xsd:long"&gt;45254&lt;/D&gt;&lt;D xsi:type="xsd:long"&gt;45252&lt;/D&gt;&lt;D xsi:type="xsd:long"&gt;45251&lt;/D&gt;&lt;D xsi:type="xsd:long"&gt;45250&lt;/D&gt;&lt;D xsi:type="xsd:long"&gt;45247&lt;/D&gt;&lt;D xsi:type="xsd:long"&gt;45246&lt;/D&gt;&lt;D xsi:type="xsd:long"&gt;45245&lt;/D&gt;&lt;D xsi:type="xsd:long"&gt;45244&lt;/D&gt;&lt;D xsi:type="xsd:long"&gt;45243&lt;/D&gt;&lt;D xsi:type="xsd:long"&gt;45240&lt;/D&gt;&lt;D xsi:type="xsd:long"&gt;45239&lt;/D&gt;&lt;D xsi:type="xsd:long"&gt;45238&lt;/D&gt;&lt;D xsi:type="xsd:long"&gt;45237&lt;/D&gt;&lt;D xsi:type="xsd:long"&gt;45236&lt;/D&gt;&lt;D xsi:type="xsd:long"&gt;45233&lt;/D&gt;&lt;D xsi:type="xsd:long"&gt;45232&lt;/D&gt;&lt;D xsi:type="xsd:long"&gt;45231&lt;/D&gt;&lt;D xsi:type="xsd:long"&gt;45230&lt;/D&gt;&lt;D xsi:type="xsd:long"&gt;45229&lt;/D&gt;&lt;D xsi:type="xsd:long"&gt;45226&lt;/D&gt;&lt;D xsi:type="xsd:long"&gt;45225&lt;/D&gt;&lt;D xsi:type="xsd:long"&gt;45224&lt;/D&gt;&lt;D xsi:type="xsd:long"&gt;45223&lt;/D&gt;&lt;D xsi:type="xsd:long"&gt;45222&lt;/D&gt;&lt;D xsi:type="xsd:long"&gt;45219&lt;/D&gt;&lt;D xsi:type="xsd:long"&gt;45218&lt;/D&gt;&lt;D xsi:type="xsd:long"&gt;45217&lt;/D&gt;&lt;D xsi:type="xsd:long"&gt;45216&lt;/D&gt;&lt;D xsi:type="xsd:long"&gt;45215&lt;/D&gt;&lt;D xsi:type="xsd:long"&gt;45212&lt;/D&gt;&lt;D xsi:type="xsd:long"&gt;45211&lt;/D&gt;&lt;D xsi:type="xsd:long"&gt;45210&lt;/D&gt;&lt;D xsi:type="xsd:long"&gt;45209&lt;/D&gt;&lt;D xsi:type="xsd:long"&gt;45208&lt;/D&gt;&lt;D xsi:type="xsd:long"&gt;45205&lt;/D&gt;&lt;D xsi:type="xsd:long"&gt;45204&lt;/D&gt;&lt;D xsi:type="xsd:long"&gt;45203&lt;/D&gt;&lt;D xsi:type="xsd:long"&gt;45202&lt;/D&gt;&lt;D xsi:type="xsd:long"&gt;45201&lt;/D&gt;&lt;D xsi:type="xsd:long"&gt;45198&lt;/D&gt;&lt;D xsi:type="xsd:long"&gt;45197&lt;/D&gt;&lt;D xsi:type="xsd:long"&gt;45196&lt;/D&gt;&lt;D xsi:type="xsd:long"&gt;45195&lt;/D&gt;&lt;D xsi:type="xsd:long"&gt;45194&lt;/D&gt;&lt;D xsi:type="xsd:long"&gt;45191&lt;/D&gt;&lt;D xsi:type="xsd:long"&gt;45190&lt;/D&gt;&lt;D xsi:type="xsd:long"&gt;45189&lt;/D&gt;&lt;D xsi:type="xsd:long"&gt;45188&lt;/D&gt;&lt;D xsi:type="xsd:long"&gt;45187&lt;/D&gt;&lt;D xsi:type="xsd:long"&gt;45184&lt;/D&gt;&lt;D xsi:type="xsd:long"&gt;45183&lt;/D&gt;&lt;D xsi:type="xsd:long"&gt;45182&lt;/D&gt;&lt;D xsi:type="xsd:long"&gt;45181&lt;/D&gt;&lt;D xsi:type="xsd:long"&gt;45180&lt;/D&gt;&lt;D xsi:type="xsd:long"&gt;45177&lt;/D&gt;&lt;D xsi:type="xsd:long"&gt;45176&lt;/D&gt;&lt;D xsi:type="xsd:long"&gt;45175&lt;/D&gt;&lt;D xsi:type="xsd:long"&gt;45174&lt;/D&gt;&lt;D xsi:type="xsd:long"&gt;45170&lt;/D&gt;&lt;D xsi:type="xsd:long"&gt;45169&lt;/D&gt;&lt;D xsi:type="xsd:long"&gt;45168&lt;/D&gt;&lt;D xsi:type="xsd:long"&gt;45167&lt;/D&gt;&lt;D xsi:type="xsd:long"&gt;45166&lt;/D&gt;&lt;D xsi:type="xsd:long"&gt;45163&lt;/D&gt;&lt;D xsi:type="xsd:long"&gt;45162&lt;/D&gt;&lt;D xsi:type="xsd:long"&gt;45161&lt;/D&gt;&lt;D xsi:type="xsd:long"&gt;45160&lt;/D&gt;&lt;D xsi:type="xsd:long"&gt;45159&lt;/D&gt;&lt;D xsi:type="xsd:long"&gt;45156&lt;/D&gt;&lt;D xsi:type="xsd:long"&gt;45155&lt;/D&gt;&lt;D xsi:type="xsd:long"&gt;45154&lt;/D&gt;&lt;D xsi:type="xsd:long"&gt;45153&lt;/D&gt;&lt;D xsi:type="xsd:long"&gt;45152&lt;/D&gt;&lt;D xsi:type="xsd:long"&gt;45149&lt;/D&gt;&lt;D xsi:type="xsd:long"&gt;45148&lt;/D&gt;&lt;D xsi:type="xsd:long"&gt;45147&lt;/D&gt;&lt;D xsi:type="xsd:long"&gt;45146&lt;/D&gt;&lt;D xsi:type="xsd:long"&gt;45145&lt;/D&gt;&lt;D xsi:type="xsd:long"&gt;45142&lt;/D&gt;&lt;D xsi:type="xsd:long"&gt;45141&lt;/D&gt;&lt;D xsi:type="xsd:long"&gt;45140&lt;/D&gt;&lt;D xsi:type="xsd:long"&gt;45139&lt;/D&gt;&lt;D xsi:type="xsd:long"&gt;45138&lt;/D&gt;&lt;D xsi:type="xsd:long"&gt;45135&lt;/D&gt;&lt;D xsi:type="xsd:long"&gt;45134&lt;/D&gt;&lt;D xsi:type="xsd:long"&gt;45133&lt;/D&gt;&lt;D xsi:type="xsd:long"&gt;45132&lt;/D&gt;&lt;D xsi:type="xsd:long"&gt;45131&lt;/D&gt;&lt;D xsi:type="xsd:long"&gt;45128&lt;/D&gt;&lt;D xsi:type="xsd:long"&gt;45127&lt;/D&gt;&lt;D xsi:type="xsd:long"&gt;45126&lt;/D&gt;&lt;D xsi:type="xsd:long"&gt;45125&lt;/D&gt;&lt;D xsi:type="xsd:long"&gt;45124&lt;/D&gt;&lt;D xsi:type="xsd:long"&gt;45121&lt;/D&gt;&lt;D xsi:type="xsd:long"&gt;45120&lt;/D&gt;&lt;D xsi:type="xsd:long"&gt;45119&lt;/D&gt;&lt;D xsi:type="xsd:long"&gt;45118&lt;/D&gt;&lt;D xsi:type="xsd:long"&gt;45117&lt;/D&gt;&lt;D xsi:type="xsd:long"&gt;45114&lt;/D&gt;&lt;D xsi:type="xsd:long"&gt;45113&lt;/D&gt;&lt;D xsi:type="xsd:long"&gt;45112&lt;/D&gt;&lt;D xsi:type="xsd:long"&gt;45110&lt;/D&gt;&lt;D xsi:type="xsd:long"&gt;45107&lt;/D&gt;&lt;D xsi:type="xsd:long"&gt;45106&lt;/D&gt;&lt;D xsi:type="xsd:long"&gt;45105&lt;/D&gt;&lt;D xsi:type="xsd:long"&gt;45104&lt;/D&gt;&lt;D xsi:type="xsd:long"&gt;45103&lt;/D&gt;&lt;D xsi:type="xsd:long"&gt;45100&lt;/D&gt;&lt;D xsi:type="xsd:long"&gt;45099&lt;/D&gt;&lt;D xsi:type="xsd:long"&gt;45098&lt;/D&gt;&lt;D xsi:type="xsd:long"&gt;45097&lt;/D&gt;&lt;D xsi:type="xsd:long"&gt;45093&lt;/D&gt;&lt;D xsi:type="xsd:long"&gt;45092&lt;/D&gt;&lt;D xsi:type="xsd:long"&gt;45091&lt;/D&gt;&lt;D xsi:type="xsd:long"&gt;45090&lt;/D&gt;&lt;D xsi:type="xsd:long"&gt;45089&lt;/D&gt;&lt;D xsi:type="xsd:long"&gt;45086&lt;/D&gt;&lt;D xsi:type="xsd:long"&gt;45085&lt;/D&gt;&lt;D xsi:type="xsd:long"&gt;45084&lt;/D&gt;&lt;D xsi:type="xsd:long"&gt;45083&lt;/D&gt;&lt;D xsi:type="xsd:long"&gt;45082&lt;/D&gt;&lt;D xsi:type="xsd:long"&gt;45079&lt;/D&gt;&lt;D xsi:type="xsd:long"&gt;45078&lt;/D&gt;&lt;D xsi:type="xsd:long"&gt;45077&lt;/D&gt;&lt;D xsi:type="xsd:long"&gt;45076&lt;/D&gt;&lt;D xsi:type="xsd:long"&gt;45072&lt;/D&gt;&lt;D xsi:type="xsd:long"&gt;45071&lt;/D&gt;&lt;D xsi:type="xsd:long"&gt;45070&lt;/D&gt;&lt;D xsi:type="xsd:long"&gt;45069&lt;/D&gt;&lt;D xsi:type="xsd:long"&gt;45068&lt;/D&gt;&lt;D xsi:type="xsd:long"&gt;45065&lt;/D&gt;&lt;D xsi:type="xsd:long"&gt;45064&lt;/D&gt;&lt;D xsi:type="xsd:long"&gt;45063&lt;/D&gt;&lt;D xsi:type="xsd:long"&gt;45062&lt;/D&gt;&lt;D xsi:type="xsd:long"&gt;45061&lt;/D&gt;&lt;D xsi:type="xsd:long"&gt;45058&lt;/D&gt;&lt;D xsi:type="xsd:long"&gt;45057&lt;/D&gt;&lt;D xsi:type="xsd:long"&gt;45056&lt;/D&gt;&lt;D xsi:type="xsd:long"&gt;45055&lt;/D&gt;&lt;D xsi:type="xsd:long"&gt;45054&lt;/D&gt;&lt;D xsi:type="xsd:long"&gt;45051&lt;/D&gt;&lt;D xsi:type="xsd:long"&gt;45050&lt;/D&gt;&lt;D xsi:type="xsd:long"&gt;45049&lt;/D&gt;&lt;D xsi:type="xsd:long"&gt;45048&lt;/D&gt;&lt;D xsi:type="xsd:long"&gt;45047&lt;/D&gt;&lt;D xsi:type="xsd:long"&gt;45044&lt;/D&gt;&lt;D xsi:type="xsd:long"&gt;45043&lt;/D&gt;&lt;D xsi:type="xsd:long"&gt;45042&lt;/D&gt;&lt;D xsi:type="xsd:long"&gt;45041&lt;/D&gt;&lt;D xsi:type="xsd:long"&gt;45040&lt;/D&gt;&lt;D xsi:type="xsd:long"&gt;45037&lt;/D&gt;&lt;D xsi:type="xsd:long"&gt;45036&lt;/D&gt;&lt;D xsi:type="xsd:long"&gt;45035&lt;/D&gt;&lt;D xsi:type="xsd:long"&gt;45034&lt;/D&gt;&lt;D xsi:type="xsd:long"&gt;45033&lt;/D&gt;&lt;D xsi:type="xsd:long"&gt;45030&lt;/D&gt;&lt;D xsi:type="xsd:long"&gt;45029&lt;/D&gt;&lt;D xsi:type="xsd:long"&gt;45028&lt;/D&gt;&lt;D xsi:type="xsd:long"&gt;45027&lt;/D&gt;&lt;D xsi:type="xsd:long"&gt;45026&lt;/D&gt;&lt;D xsi:type="xsd:long"&gt;45022&lt;/D&gt;&lt;D xsi:type="xsd:long"&gt;45021&lt;/D&gt;&lt;D xsi:type="xsd:long"&gt;45020&lt;/D&gt;&lt;D xsi:type="xsd:long"&gt;45019&lt;/D&gt;&lt;D xsi:type="xsd:long"&gt;45016&lt;/D&gt;&lt;D xsi:type="xsd:long"&gt;45015&lt;/D&gt;&lt;D xsi:type="xsd:long"&gt;45014&lt;/D&gt;&lt;D xsi:type="xsd:long"&gt;45013&lt;/D&gt;&lt;D xsi:type="xsd:long"&gt;45012&lt;/D&gt;&lt;D xsi:type="xsd:long"&gt;45009&lt;/D&gt;&lt;D xsi:type="xsd:long"&gt;45008&lt;/D&gt;&lt;D xsi:type="xsd:long"&gt;45007&lt;/D&gt;&lt;D xsi:type="xsd:long"&gt;45006&lt;/D&gt;&lt;D xsi:type="xsd:long"&gt;45005&lt;/D&gt;&lt;D xsi:type="xsd:long"&gt;45002&lt;/D&gt;&lt;D xsi:type="xsd:long"&gt;45001&lt;/D&gt;&lt;D xsi:type="xsd:long"&gt;45000&lt;/D&gt;&lt;D xsi:type="xsd:long"&gt;44999&lt;/D&gt;&lt;D xsi:type="xsd:long"&gt;44998&lt;/D&gt;&lt;D xsi:type="xsd:long"&gt;44995&lt;/D&gt;&lt;D xsi:type="xsd:long"&gt;44994&lt;/D&gt;&lt;D xsi:type="xsd:long"&gt;44993&lt;/D&gt;&lt;D xsi:type="xsd:long"&gt;44992&lt;/D&gt;&lt;D xsi:type="xsd:long"&gt;44991&lt;/D&gt;&lt;D xsi:type="xsd:long"&gt;44988&lt;/D&gt;&lt;D xsi:type="xsd:long"&gt;44987&lt;/D&gt;&lt;D xsi:type="xsd:long"&gt;44986&lt;/D&gt;&lt;D xsi:type="xsd:long"&gt;44985&lt;/D&gt;&lt;D xsi:type="xsd:long"&gt;44984&lt;/D&gt;&lt;D xsi:type="xsd:long"&gt;44981&lt;/D&gt;&lt;D xsi:type="xsd:long"&gt;44980&lt;/D&gt;&lt;D xsi:type="xsd:long"&gt;44979&lt;/D&gt;&lt;D xsi:type="xsd:long"&gt;44978&lt;/D&gt;&lt;D xsi:type="xsd:long"&gt;44974&lt;/D&gt;&lt;D xsi:type="xsd:long"&gt;44973&lt;/D&gt;&lt;D xsi:type="xsd:long"&gt;44972&lt;/D&gt;&lt;D xsi:type="xsd:long"&gt;44971&lt;/D&gt;&lt;D xsi:type="xsd:long"&gt;44970&lt;/D&gt;&lt;D xsi:type="xsd:long"&gt;44967&lt;/D&gt;&lt;D xsi:type="xsd:long"&gt;44966&lt;/D&gt;&lt;D xsi:type="xsd:long"&gt;44965&lt;/D&gt;&lt;D xsi:type="xsd:long"&gt;44964&lt;/D&gt;&lt;D xsi:type="xsd:long"&gt;44963&lt;/D&gt;&lt;D xsi:type="xsd:long"&gt;44960&lt;/D&gt;&lt;D xsi:type="xsd:long"&gt;44959&lt;/D&gt;&lt;D xsi:type="xsd:long"&gt;44958&lt;/D&gt;&lt;D xsi:type="xsd:long"&gt;44957&lt;/D&gt;&lt;D xsi:type="xsd:long"&gt;44956&lt;/D&gt;&lt;D xsi:type="xsd:long"&gt;44953&lt;/D&gt;&lt;D xsi:type="xsd:long"&gt;44952&lt;/D&gt;&lt;D xsi:type="xsd:long"&gt;44951&lt;/D&gt;&lt;D xsi:type="xsd:long"&gt;44950&lt;/D&gt;&lt;D xsi:type="xsd:long"&gt;44949&lt;/D&gt;&lt;D xsi:type="xsd:long"&gt;44946&lt;/D&gt;&lt;D xsi:type="xsd:long"&gt;44945&lt;/D&gt;&lt;D xsi:type="xsd:long"&gt;44944&lt;/D&gt;&lt;D xsi:type="xsd:long"&gt;44943&lt;/D&gt;&lt;D xsi:type="xsd:long"&gt;44939&lt;/D&gt;&lt;D xsi:type="xsd:long"&gt;44938&lt;/D&gt;&lt;D xsi:type="xsd:long"&gt;44937&lt;/D&gt;&lt;D xsi:type="xsd:long"&gt;44936&lt;/D&gt;&lt;D xsi:type="xsd:long"&gt;44935&lt;/D&gt;&lt;D xsi:type="xsd:long"&gt;44932&lt;/D&gt;&lt;D xsi:type="xsd:long"&gt;44931&lt;/D&gt;&lt;D xsi:type="xsd:long"&gt;44930&lt;/D&gt;&lt;D xsi:type="xsd:long"&gt;44929&lt;/D&gt;&lt;D xsi:type="xsd:long"&gt;44925&lt;/D&gt;&lt;D xsi:type="xsd:long"&gt;44924&lt;/D&gt;&lt;D xsi:type="xsd:long"&gt;44923&lt;/D&gt;&lt;D xsi:type="xsd:long"&gt;44922&lt;/D&gt;&lt;D xsi:type="xsd:long"&gt;44918&lt;/D&gt;&lt;D xsi:type="xsd:long"&gt;44917&lt;/D&gt;&lt;D xsi:type="xsd:long"&gt;44916&lt;/D&gt;&lt;D xsi:type="xsd:long"&gt;44915&lt;/D&gt;&lt;D xsi:type="xsd:long"&gt;44914&lt;/D&gt;&lt;D xsi:type="xsd:long"&gt;44911&lt;/D&gt;&lt;D xsi:type="xsd:long"&gt;44910&lt;/D&gt;&lt;D xsi:type="xsd:long"&gt;44909&lt;/D&gt;&lt;D xsi:type="xsd:long"&gt;44908&lt;/D&gt;&lt;D xsi:type="xsd:long"&gt;44907&lt;/D&gt;&lt;D xsi:type="xsd:long"&gt;44904&lt;/D&gt;&lt;D xsi:type="xsd:long"&gt;44903&lt;/D&gt;&lt;D xsi:type="xsd:long"&gt;44902&lt;/D&gt;&lt;D xsi:type="xsd:long"&gt;44901&lt;/D&gt;&lt;D xsi:type="xsd:long"&gt;44900&lt;/D&gt;&lt;D xsi:type="xsd:long"&gt;44897&lt;/D&gt;&lt;D xsi:type="xsd:long"&gt;44896&lt;/D&gt;&lt;D xsi:type="xsd:long"&gt;44895&lt;/D&gt;&lt;D xsi:type="xsd:long"&gt;44894&lt;/D&gt;&lt;D xsi:type="xsd:long"&gt;44893&lt;/D&gt;&lt;D xsi:type="xsd:long"&gt;44890&lt;/D&gt;&lt;D xsi:type="xsd:long"&gt;44888&lt;/D&gt;&lt;D xsi:type="xsd:long"&gt;44887&lt;/D&gt;&lt;D xsi:type="xsd:long"&gt;44886&lt;/D&gt;&lt;D xsi:type="xsd:long"&gt;44883&lt;/D&gt;&lt;D xsi:type="xsd:long"&gt;44882&lt;/D&gt;&lt;D xsi:type="xsd:long"&gt;44881&lt;/D&gt;&lt;D xsi:type="xsd:long"&gt;44880&lt;/D&gt;&lt;D xsi:type="xsd:long"&gt;44879&lt;/D&gt;&lt;D xsi:type="xsd:long"&gt;44876&lt;/D&gt;&lt;D xsi:type="xsd:long"&gt;44875&lt;/D&gt;&lt;D xsi:type="xsd:long"&gt;44874&lt;/D&gt;&lt;D xsi:type="xsd:long"&gt;44873&lt;/D&gt;&lt;D xsi:type="xsd:long"&gt;44872&lt;/D&gt;&lt;D xsi:type="xsd:long"&gt;44869&lt;/D&gt;&lt;D xsi:type="xsd:long"&gt;44868&lt;/D&gt;&lt;D xsi:type="xsd:long"&gt;44867&lt;/D&gt;&lt;D xsi:type="xsd:long"&gt;44866&lt;/D&gt;&lt;D xsi:type="xsd:long"&gt;44865&lt;/D&gt;&lt;D xsi:type="xsd:long"&gt;44862&lt;/D&gt;&lt;D xsi:type="xsd:long"&gt;44861&lt;/D&gt;&lt;D xsi:type="xsd:long"&gt;44860&lt;/D&gt;&lt;D xsi:type="xsd:long"&gt;44859&lt;/D&gt;&lt;D xsi:type="xsd:long"&gt;44858&lt;/D&gt;&lt;D xsi:type="xsd:long"&gt;44855&lt;/D&gt;&lt;D xsi:type="xsd:long"&gt;44854&lt;/D&gt;&lt;D xsi:type="xsd:long"&gt;44853&lt;/D&gt;&lt;D xsi:type="xsd:long"&gt;44852&lt;/D&gt;&lt;D xsi:type="xsd:long"&gt;44851&lt;/D&gt;&lt;D xsi:type="xsd:long"&gt;44848&lt;/D&gt;&lt;D xsi:type="xsd:long"&gt;44847&lt;/D&gt;&lt;D xsi:type="xsd:long"&gt;44846&lt;/D&gt;&lt;D xsi:type="xsd:long"&gt;44845&lt;/D&gt;&lt;D xsi:type="xsd:long"&gt;44844&lt;/D&gt;&lt;D xsi:type="xsd:long"&gt;44841&lt;/D&gt;&lt;D xsi:type="xsd:long"&gt;44840&lt;/D&gt;&lt;D xsi:type="xsd:long"&gt;44839&lt;/D&gt;&lt;D xsi:type="xsd:long"&gt;44838&lt;/D&gt;&lt;D xsi:type="xsd:long"&gt;44837&lt;/D&gt;&lt;D xsi:type="xsd:long"&gt;44834&lt;/D&gt;&lt;D xsi:type="xsd:long"&gt;44833&lt;/D&gt;&lt;D xsi:type="xsd:long"&gt;44832&lt;/D&gt;&lt;D xsi:type="xsd:long"&gt;44831&lt;/D&gt;&lt;D xsi:type="xsd:long"&gt;44830&lt;/D&gt;&lt;D xsi:type="xsd:long"&gt;44827&lt;/D&gt;&lt;D xsi:type="xsd:long"&gt;44826&lt;/D&gt;&lt;D xsi:type="xsd:long"&gt;44825&lt;/D&gt;&lt;D xsi:type="xsd:long"&gt;44824&lt;/D&gt;&lt;D xsi:type="xsd:long"&gt;44823&lt;/D&gt;&lt;D xsi:type="xsd:long"&gt;44820&lt;/D&gt;&lt;D xsi:type="xsd:long"&gt;44819&lt;/D&gt;&lt;D xsi:type="xsd:long"&gt;44818&lt;/D&gt;&lt;D xsi:type="xsd:long"&gt;44817&lt;/D&gt;&lt;D xsi:type="xsd:long"&gt;44816&lt;/D&gt;&lt;D xsi:type="xsd:long"&gt;44813&lt;/D&gt;&lt;D xsi:type="xsd:long"&gt;44812&lt;/D&gt;&lt;D xsi:type="xsd:long"&gt;44811&lt;/D&gt;&lt;D xsi:type="xsd:long"&gt;44810&lt;/D&gt;&lt;D xsi:type="xsd:long"&gt;44806&lt;/D&gt;&lt;D xsi:type="xsd:long"&gt;44805&lt;/D&gt;&lt;D xsi:type="xsd:long"&gt;44804&lt;/D&gt;&lt;D xsi:type="xsd:long"&gt;44803&lt;/D&gt;&lt;D xsi:type="xsd:long"&gt;44802&lt;/D&gt;&lt;D xsi:type="xsd:long"&gt;44799&lt;/D&gt;&lt;D xsi:type="xsd:long"&gt;44798&lt;/D&gt;&lt;D xsi:type="xsd:long"&gt;44797&lt;/D&gt;&lt;D xsi:type="xsd:long"&gt;44796&lt;/D&gt;&lt;D xsi:type="xsd:long"&gt;44795&lt;/D&gt;&lt;D xsi:type="xsd:long"&gt;44792&lt;/D&gt;&lt;D xsi:type="xsd:long"&gt;44791&lt;/D&gt;&lt;D xsi:type="xsd:long"&gt;44790&lt;/D&gt;&lt;D xsi:type="xsd:long"&gt;44789&lt;/D&gt;&lt;D xsi:type="xsd:long"&gt;44788&lt;/D&gt;&lt;D xsi:type="xsd:long"&gt;44785&lt;/D&gt;&lt;D xsi:type="xsd:long"&gt;44784&lt;/D&gt;&lt;D xsi:type="xsd:long"&gt;44783&lt;/D&gt;&lt;D xsi:type="xsd:long"&gt;44782&lt;/D&gt;&lt;D xsi:type="xsd:long"&gt;44781&lt;/D&gt;&lt;D xsi:type="xsd:long"&gt;44778&lt;/D&gt;&lt;D xsi:type="xsd:long"&gt;44777&lt;/D&gt;&lt;D xsi:type="xsd:long"&gt;44776&lt;/D&gt;&lt;D xsi:type="xsd:long"&gt;44775&lt;/D&gt;&lt;D xsi:type="xsd:long"&gt;44774&lt;/D&gt;&lt;D xsi:type="xsd:long"&gt;44771&lt;/D&gt;&lt;D xsi:type="xsd:long"&gt;44770&lt;/D&gt;&lt;D xsi:type="xsd:long"&gt;44769&lt;/D&gt;&lt;D xsi:type="xsd:long"&gt;44768&lt;/D&gt;&lt;D xsi:type="xsd:long"&gt;44767&lt;/D&gt;&lt;D xsi:type="xsd:long"&gt;44764&lt;/D&gt;&lt;D xsi:type="xsd:long"&gt;44763&lt;/D&gt;&lt;D xsi:type="xsd:long"&gt;44762&lt;/D&gt;&lt;D xsi:type="xsd:long"&gt;44761&lt;/D&gt;&lt;D xsi:type="xsd:long"&gt;44760&lt;/D&gt;&lt;D xsi:type="xsd:long"&gt;44757&lt;/D&gt;&lt;D xsi:type="xsd:long"&gt;44756&lt;/D&gt;&lt;D xsi:type="xsd:long"&gt;44755&lt;/D&gt;&lt;D xsi:type="xsd:long"&gt;44754&lt;/D&gt;&lt;D xsi:type="xsd:long"&gt;44753&lt;/D&gt;&lt;D xsi:type="xsd:long"&gt;44750&lt;/D&gt;&lt;D xsi:type="xsd:long"&gt;44749&lt;/D&gt;&lt;D xsi:type="xsd:long"&gt;44748&lt;/D&gt;&lt;D xsi:type="xsd:long"&gt;44747&lt;/D&gt;&lt;D xsi:type="xsd:long"&gt;44743&lt;/D&gt;&lt;D xsi:type="xsd:long"&gt;44742&lt;/D&gt;&lt;D xsi:type="xsd:long"&gt;44741&lt;/D&gt;&lt;D xsi:type="xsd:long"&gt;44740&lt;/D&gt;&lt;D xsi:type="xsd:long"&gt;44739&lt;/D&gt;&lt;D xsi:type="xsd:long"&gt;44736&lt;/D&gt;&lt;D xsi:type="xsd:long"&gt;44735&lt;/D&gt;&lt;D xsi:type="xsd:long"&gt;44734&lt;/D&gt;&lt;D xsi:type="xsd:long"&gt;44733&lt;/D&gt;&lt;D xsi:type="xsd:long"&gt;44729&lt;/D&gt;&lt;D xsi:type="xsd:long"&gt;44728&lt;/D&gt;&lt;D xsi:type="xsd:long"&gt;44727&lt;/D&gt;&lt;D xsi:type="xsd:long"&gt;44726&lt;/D&gt;&lt;D xsi:type="xsd:long"&gt;44725&lt;/D&gt;&lt;D xsi:type="xsd:long"&gt;44722&lt;/D&gt;&lt;D xsi:type="xsd:long"&gt;44721&lt;/D&gt;&lt;D xsi:type="xsd:long"&gt;44720&lt;/D&gt;&lt;D xsi:type="xsd:long"&gt;44719&lt;/D&gt;&lt;D xsi:type="xsd:long"&gt;44718&lt;/D&gt;&lt;D xsi:type="xsd:long"&gt;44715&lt;/D&gt;&lt;D xsi:type="xsd:long"&gt;44714&lt;/D&gt;&lt;D xsi:type="xsd:long"&gt;44713&lt;/D&gt;&lt;D xsi:type="xsd:long"&gt;44712&lt;/D&gt;&lt;D xsi:type="xsd:long"&gt;44708&lt;/D&gt;&lt;D xsi:type="xsd:long"&gt;44707&lt;/D&gt;&lt;D xsi:type="xsd:long"&gt;44706&lt;/D&gt;&lt;D xsi:type="xsd:long"&gt;44705&lt;/D&gt;&lt;D xsi:type="xsd:long"&gt;44704&lt;/D&gt;&lt;D xsi:type="xsd:long"&gt;44701&lt;/D&gt;&lt;D xsi:type="xsd:long"&gt;44700&lt;/D&gt;&lt;D xsi:type="xsd:long"&gt;44699&lt;/D&gt;&lt;D xsi:type="xsd:long"&gt;44698&lt;/D&gt;&lt;D xsi:type="xsd:long"&gt;44697&lt;/D&gt;&lt;D xsi:type="xsd:long"&gt;44694&lt;/D&gt;&lt;D xsi:type="xsd:long"&gt;44693&lt;/D&gt;&lt;D xsi:type="xsd:long"&gt;44692&lt;/D&gt;&lt;D xsi:type="xsd:long"&gt;44691&lt;/D&gt;&lt;D xsi:type="xsd:long"&gt;44690&lt;/D&gt;&lt;D xsi:type="xsd:long"&gt;44687&lt;/D&gt;&lt;D xsi:type="xsd:long"&gt;44686&lt;/D&gt;&lt;D xsi:type="xsd:long"&gt;44685&lt;/D&gt;&lt;D xsi:type="xsd:long"&gt;44684&lt;/D&gt;&lt;D xsi:type="xsd:long"&gt;44683&lt;/D&gt;&lt;D xsi:type="xsd:long"&gt;44680&lt;/D&gt;&lt;D xsi:type="xsd:long"&gt;44679&lt;/D&gt;&lt;D xsi:type="xsd:long"&gt;44678&lt;/D&gt;&lt;D xsi:type="xsd:long"&gt;44677&lt;/D&gt;&lt;D xsi:type="xsd:long"&gt;44676&lt;/D&gt;&lt;D xsi:type="xsd:long"&gt;44673&lt;/D&gt;&lt;D xsi:type="xsd:long"&gt;44672&lt;/D&gt;&lt;D xsi:type="xsd:long"&gt;44671&lt;/D&gt;&lt;D xsi:type="xsd:long"&gt;44670&lt;/D&gt;&lt;D xsi:type="xsd:long"&gt;44669&lt;/D&gt;&lt;D xsi:type="xsd:long"&gt;44665&lt;/D&gt;&lt;D xsi:type="xsd:long"&gt;44664&lt;/D&gt;&lt;D xsi:type="xsd:long"&gt;44663&lt;/D&gt;&lt;D xsi:type="xsd:long"&gt;44662&lt;/D&gt;&lt;D xsi:type="xsd:long"&gt;44659&lt;/D&gt;&lt;D xsi:type="xsd:long"&gt;44658&lt;/D&gt;&lt;D xsi:type="xsd:long"&gt;44657&lt;/D&gt;&lt;D xsi:type="xsd:long"&gt;44656&lt;/D&gt;&lt;D xsi:type="xsd:long"&gt;44655&lt;/D&gt;&lt;D xsi:type="xsd:long"&gt;44652&lt;/D&gt;&lt;D xsi:type="xsd:long"&gt;44651&lt;/D&gt;&lt;D xsi:type="xsd:long"&gt;44650&lt;/D&gt;&lt;D xsi:type="xsd:long"&gt;44649&lt;/D&gt;&lt;D xsi:type="xsd:long"&gt;44648&lt;/D&gt;&lt;D xsi:type="xsd:long"&gt;44645&lt;/D&gt;&lt;D xsi:type="xsd:long"&gt;44644&lt;/D&gt;&lt;D xsi:type="xsd:long"&gt;44643&lt;/D&gt;&lt;D xsi:type="xsd:long"&gt;44642&lt;/D&gt;&lt;D xsi:type="xsd:long"&gt;44641&lt;/D&gt;&lt;D xsi:type="xsd:long"&gt;44638&lt;/D&gt;&lt;D xsi:type="xsd:long"&gt;44637&lt;/D&gt;&lt;D xsi:type="xsd:long"&gt;44636&lt;/D&gt;&lt;D xsi:type="xsd:long"&gt;44635&lt;/D&gt;&lt;D xsi:type="xsd:long"&gt;44634&lt;/D&gt;&lt;D xsi:type="xsd:long"&gt;44631&lt;/D&gt;&lt;D xsi:type="xsd:long"&gt;44630&lt;/D&gt;&lt;D xsi:type="xsd:long"&gt;44629&lt;/D&gt;&lt;D xsi:type="xsd:long"&gt;44628&lt;/D&gt;&lt;D xsi:type="xsd:long"&gt;44627&lt;/D&gt;&lt;D xsi:type="xsd:long"&gt;44624&lt;/D&gt;&lt;D xsi:type="xsd:long"&gt;44623&lt;/D&gt;&lt;D xsi:type="xsd:long"&gt;44622&lt;/D&gt;&lt;D xsi:type="xsd:long"&gt;44621&lt;/D&gt;&lt;D xsi:type="xsd:long"&gt;44620&lt;/D&gt;&lt;D xsi:type="xsd:long"&gt;44617&lt;/D&gt;&lt;D xsi:type="xsd:long"&gt;44616&lt;/D&gt;&lt;D xsi:type="xsd:long"&gt;44615&lt;/D&gt;&lt;D xsi:type="xsd:long"&gt;44614&lt;/D&gt;&lt;D xsi:type="xsd:long"&gt;44610&lt;/D&gt;&lt;D xsi:type="xsd:long"&gt;44609&lt;/D&gt;&lt;D xsi:type="xsd:long"&gt;44608&lt;/D&gt;&lt;D xsi:type="xsd:long"&gt;44607&lt;/D&gt;&lt;D xsi:type="xsd:long"&gt;44606&lt;/D&gt;&lt;D xsi:type="xsd:long"&gt;44603&lt;/D&gt;&lt;D xsi:type="xsd:long"&gt;44602&lt;/D&gt;&lt;D xsi:type="xsd:long"&gt;44601&lt;/D&gt;&lt;D xsi:type="xsd:long"&gt;44600&lt;/D&gt;&lt;D xsi:type="xsd:long"&gt;44599&lt;/D&gt;&lt;D xsi:type="xsd:long"&gt;44596&lt;/D&gt;&lt;D xsi:type="xsd:long"&gt;44595&lt;/D&gt;&lt;D xsi:type="xsd:long"&gt;44594&lt;/D&gt;&lt;D xsi:type="xsd:long"&gt;44593&lt;/D&gt;&lt;D xsi:type="xsd:long"&gt;44592&lt;/D&gt;&lt;D xsi:type="xsd:long"&gt;44589&lt;/D&gt;&lt;D xsi:type="xsd:long"&gt;44588&lt;/D&gt;&lt;D xsi:type="xsd:long"&gt;44587&lt;/D&gt;&lt;D xsi:type="xsd:long"&gt;44586&lt;/D&gt;&lt;D xsi:type="xsd:long"&gt;44585&lt;/D&gt;&lt;D xsi:type="xsd:long"&gt;44582&lt;/D&gt;&lt;D xsi:type="xsd:long"&gt;44581&lt;/D&gt;&lt;D xsi:type="xsd:long"&gt;44580&lt;/D&gt;&lt;D xsi:type="xsd:long"&gt;44579&lt;/D&gt;&lt;D xsi:type="xsd:long"&gt;44575&lt;/D&gt;&lt;D xsi:type="xsd:long"&gt;44574&lt;/D&gt;&lt;D xsi:type="xsd:long"&gt;44573&lt;/D&gt;&lt;D xsi:type="xsd:long"&gt;44572&lt;/D&gt;&lt;D xsi:type="xsd:long"&gt;44571&lt;/D&gt;&lt;D xsi:type="xsd:long"&gt;44568&lt;/D&gt;&lt;D xsi:type="xsd:long"&gt;44567&lt;/D&gt;&lt;D xsi:type="xsd:long"&gt;44566&lt;/D&gt;&lt;D xsi:type="xsd:long"&gt;44565&lt;/D&gt;&lt;D xsi:type="xsd:long"&gt;44564&lt;/D&gt;&lt;D xsi:type="xsd:long"&gt;44561&lt;/D&gt;&lt;D xsi:type="xsd:long"&gt;44560&lt;/D&gt;&lt;D xsi:type="xsd:long"&gt;44559&lt;/D&gt;&lt;D xsi:type="xsd:long"&gt;44558&lt;/D&gt;&lt;D xsi:type="xsd:long"&gt;44557&lt;/D&gt;&lt;D xsi:type="xsd:long"&gt;44553&lt;/D&gt;&lt;D xsi:type="xsd:long"&gt;44552&lt;/D&gt;&lt;D xsi:type="xsd:long"&gt;44551&lt;/D&gt;&lt;D xsi:type="xsd:long"&gt;44550&lt;/D&gt;&lt;D xsi:type="xsd:long"&gt;44547&lt;/D&gt;&lt;D xsi:type="xsd:long"&gt;44546&lt;/D&gt;&lt;D xsi:type="xsd:long"&gt;44545&lt;/D&gt;&lt;D xsi:type="xsd:long"&gt;44544&lt;/D&gt;&lt;D xsi:type="xsd:long"&gt;44543&lt;/D&gt;&lt;D xsi:type="xsd:long"&gt;44540&lt;/D&gt;&lt;D xsi:type="xsd:long"&gt;44539&lt;/D&gt;&lt;D xsi:type="xsd:long"&gt;44538&lt;/D&gt;&lt;D xsi:type="xsd:long"&gt;44537&lt;/D&gt;&lt;D xsi:type="xsd:long"&gt;44536&lt;/D&gt;&lt;D xsi:type="xsd:long"&gt;44533&lt;/D&gt;&lt;D xsi:type="xsd:long"&gt;44532&lt;/D&gt;&lt;D xsi:type="xsd:long"&gt;44531&lt;/D&gt;&lt;D xsi:type="xsd:long"&gt;44530&lt;/D&gt;&lt;D xsi:type="xsd:long"&gt;44529&lt;/D&gt;&lt;D xsi:type="xsd:long"&gt;44526&lt;/D&gt;&lt;D xsi:type="xsd:long"&gt;44524&lt;/D&gt;&lt;D xsi:type="xsd:long"&gt;44523&lt;/D&gt;&lt;D xsi:type="xsd:long"&gt;44522&lt;/D&gt;&lt;D xsi:type="xsd:long"&gt;44519&lt;/D&gt;&lt;D xsi:type="xsd:long"&gt;44518&lt;/D&gt;&lt;D xsi:type="xsd:long"&gt;44517&lt;/D&gt;&lt;D xsi:type="xsd:long"&gt;44516&lt;/D&gt;&lt;D xsi:type="xsd:long"&gt;44515&lt;/D&gt;&lt;D xsi:type="xsd:long"&gt;44512&lt;/D&gt;&lt;D xsi:type="xsd:long"&gt;44511&lt;/D&gt;&lt;D xsi:type="xsd:long"&gt;44510&lt;/D&gt;&lt;D xsi:type="xsd:long"&gt;44509&lt;/D&gt;&lt;D xsi:type="xsd:long"&gt;44508&lt;/D&gt;&lt;D xsi:type="xsd:long"&gt;44505&lt;/D&gt;&lt;D xsi:type="xsd:long"&gt;44504&lt;/D&gt;&lt;D xsi:type="xsd:long"&gt;44503&lt;/D&gt;&lt;D xsi:type="xsd:long"&gt;44502&lt;/D&gt;&lt;D xsi:type="xsd:long"&gt;44501&lt;/D&gt;&lt;D xsi:type="xsd:long"&gt;44498&lt;/D&gt;&lt;D xsi:type="xsd:long"&gt;44497&lt;/D&gt;&lt;D xsi:type="xsd:long"&gt;44496&lt;/D&gt;&lt;D xsi:type="xsd:long"&gt;44495&lt;/D&gt;&lt;D xsi:type="xsd:long"&gt;44494&lt;/D&gt;&lt;D xsi:type="xsd:long"&gt;44491&lt;/D&gt;&lt;D xsi:type="xsd:long"&gt;44490&lt;/D&gt;&lt;D xsi:type="xsd:long"&gt;44489&lt;/D&gt;&lt;D xsi:type="xsd:long"&gt;44488&lt;/D&gt;&lt;D xsi:type="xsd:long"&gt;44487&lt;/D&gt;&lt;D xsi:type="xsd:long"&gt;44484&lt;/D&gt;&lt;D xsi:type="xsd:long"&gt;44483&lt;/D&gt;&lt;D xsi:type="xsd:long"&gt;44482&lt;/D&gt;&lt;D xsi:type="xsd:long"&gt;44481&lt;/D&gt;&lt;D xsi:type="xsd:long"&gt;44480&lt;/D&gt;&lt;D xsi:type="xsd:long"&gt;44477&lt;/D&gt;&lt;D xsi:type="xsd:long"&gt;44476&lt;/D&gt;&lt;D xsi:type="xsd:long"&gt;44475&lt;/D&gt;&lt;D xsi:type="xsd:long"&gt;44474&lt;/D&gt;&lt;D xsi:type="xsd:long"&gt;44473&lt;/D&gt;&lt;D xsi:type="xsd:long"&gt;44470&lt;/D&gt;&lt;D xsi:type="xsd:long"&gt;44469&lt;/D&gt;&lt;D xsi:type="xsd:long"&gt;44468&lt;/D&gt;&lt;D xsi:type="xsd:long"&gt;44467&lt;/D&gt;&lt;D xsi:type="xsd:long"&gt;44466&lt;/D&gt;&lt;D xsi:type="xsd:long"&gt;44463&lt;/D&gt;&lt;D xsi:type="xsd:long"&gt;44462&lt;/D&gt;&lt;D xsi:type="xsd:long"&gt;44461&lt;/D&gt;&lt;D xsi:type="xsd:long"&gt;44460&lt;/D&gt;&lt;D xsi:type="xsd:long"&gt;44459&lt;/D&gt;&lt;D xsi:type="xsd:long"&gt;44456&lt;/D&gt;&lt;D xsi:type="xsd:long"&gt;44455&lt;/D&gt;&lt;D xsi:type="xsd:long"&gt;44454&lt;/D&gt;&lt;D xsi:type="xsd:long"&gt;44453&lt;/D&gt;&lt;D xsi:type="xsd:long"&gt;44452&lt;/D&gt;&lt;D xsi:type="xsd:long"&gt;44449&lt;/D&gt;&lt;D xsi:type="xsd:long"&gt;44448&lt;/D&gt;&lt;D xsi:type="xsd:long"&gt;44447&lt;/D&gt;&lt;D xsi:type="xsd:long"&gt;44446&lt;/D&gt;&lt;D xsi:type="xsd:long"&gt;44442&lt;/D&gt;&lt;D xsi:type="xsd:long"&gt;44441&lt;/D&gt;&lt;D xsi:type="xsd:long"&gt;44440&lt;/D&gt;&lt;D xsi:type="xsd:long"&gt;44439&lt;/D&gt;&lt;D xsi:type="xsd:long"&gt;44438&lt;/D&gt;&lt;D xsi:type="xsd:long"&gt;44435&lt;/D&gt;&lt;D xsi:type="xsd:long"&gt;44434&lt;/D&gt;&lt;D xsi:type="xsd:long"&gt;44433&lt;/D&gt;&lt;D xsi:type="xsd:long"&gt;44432&lt;/D&gt;&lt;D xsi:type="xsd:long"&gt;44431&lt;/D&gt;&lt;D xsi:type="xsd:long"&gt;44428&lt;/D&gt;&lt;D xsi:type="xsd:long"&gt;44427&lt;/D&gt;&lt;D xsi:type="xsd:long"&gt;44426&lt;/D&gt;&lt;D xsi:type="xsd:long"&gt;44425&lt;/D&gt;&lt;D xsi:type="xsd:long"&gt;44424&lt;/D&gt;&lt;D xsi:type="xsd:long"&gt;44421&lt;/D&gt;&lt;D xsi:type="xsd:long"&gt;44420&lt;/D&gt;&lt;D xsi:type="xsd:long"&gt;44419&lt;/D&gt;&lt;D xsi:type="xsd:long"&gt;44418&lt;/D&gt;&lt;D xsi:type="xsd:long"&gt;44417&lt;/D&gt;&lt;D xsi:type="xsd:long"&gt;44414&lt;/D&gt;&lt;D xsi:type="xsd:long"&gt;44413&lt;/D&gt;&lt;D xsi:type="xsd:long"&gt;44412&lt;/D&gt;&lt;D xsi:type="xsd:long"&gt;44411&lt;/D&gt;&lt;D xsi:type="xsd:long"&gt;44410&lt;/D&gt;&lt;D xsi:type="xsd:long"&gt;44407&lt;/D&gt;&lt;D xsi:type="xsd:long"&gt;44406&lt;/D&gt;&lt;D xsi:type="xsd:long"&gt;44405&lt;/D&gt;&lt;D xsi:type="xsd:long"&gt;44404&lt;/D&gt;&lt;D xsi:type="xsd:long"&gt;44403&lt;/D&gt;&lt;D xsi:type="xsd:long"&gt;44400&lt;/D&gt;&lt;D xsi:type="xsd:long"&gt;44399&lt;/D&gt;&lt;D xsi:type="xsd:long"&gt;44398&lt;/D&gt;&lt;D xsi:type="xsd:long"&gt;44397&lt;/D&gt;&lt;D xsi:type="xsd:long"&gt;44396&lt;/D&gt;&lt;D xsi:type="xsd:long"&gt;44393&lt;/D&gt;&lt;D xsi:type="xsd:long"&gt;44392&lt;/D&gt;&lt;D xsi:type="xsd:long"&gt;44391&lt;/D&gt;&lt;D xsi:type="xsd:long"&gt;44390&lt;/D&gt;&lt;D xsi:type="xsd:long"&gt;44389&lt;/D&gt;&lt;D xsi:type="xsd:long"&gt;44386&lt;/D&gt;&lt;D xsi:type="xsd:long"&gt;44385&lt;/D&gt;&lt;D xsi:type="xsd:long"&gt;44384&lt;/D&gt;&lt;D xsi:type="xsd:long"&gt;44383&lt;/D&gt;&lt;D xsi:type="xsd:long"&gt;44379&lt;/D&gt;&lt;D xsi:type="xsd:long"&gt;44378&lt;/D&gt;&lt;D xsi:type="xsd:long"&gt;44377&lt;/D&gt;&lt;D xsi:type="xsd:long"&gt;44376&lt;/D&gt;&lt;D xsi:type="xsd:long"&gt;44375&lt;/D&gt;&lt;D xsi:type="xsd:long"&gt;44372&lt;/D&gt;&lt;D xsi:type="xsd:long"&gt;44371&lt;/D&gt;&lt;D xsi:type="xsd:long"&gt;44370&lt;/D&gt;&lt;D xsi:type="xsd:long"&gt;44369&lt;/D&gt;&lt;D xsi:type="xsd:long"&gt;44368&lt;/D&gt;&lt;D xsi:type="xsd:long"&gt;44365&lt;/D&gt;&lt;D xsi:type="xsd:long"&gt;44364&lt;/D&gt;&lt;D xsi:type="xsd:long"&gt;44363&lt;/D&gt;&lt;D xsi:type="xsd:long"&gt;44362&lt;/D&gt;&lt;D xsi:type="xsd:long"&gt;44361&lt;/D&gt;&lt;D xsi:type="xsd:long"&gt;44358&lt;/D&gt;&lt;D xsi:type="xsd:long"&gt;44357&lt;/D&gt;&lt;D xsi:type="xsd:long"&gt;44356&lt;/D&gt;&lt;D xsi:type="xsd:long"&gt;44355&lt;/D&gt;&lt;D xsi:type="xsd:long"&gt;44354&lt;/D&gt;&lt;D xsi:type="xsd:long"&gt;44351&lt;/D&gt;&lt;D xsi:type="xsd:long"&gt;44350&lt;/D&gt;&lt;D xsi:type="xsd:long"&gt;44349&lt;/D&gt;&lt;D xsi:type="xsd:long"&gt;44348&lt;/D&gt;&lt;D xsi:type="xsd:long"&gt;44344&lt;/D&gt;&lt;D xsi:type="xsd:long"&gt;44343&lt;/D&gt;&lt;D xsi:type="xsd:long"&gt;44342&lt;/D&gt;&lt;D xsi:type="xsd:long"&gt;44341&lt;/D&gt;&lt;D xsi:type="xsd:long"&gt;44340&lt;/D&gt;&lt;D xsi:type="xsd:long"&gt;44337&lt;/D&gt;&lt;D xsi:type="xsd:long"&gt;44336&lt;/D&gt;&lt;D xsi:type="xsd:long"&gt;44335&lt;/D&gt;&lt;D xsi:type="xsd:long"&gt;44334&lt;/D&gt;&lt;D xsi:type="xsd:long"&gt;44333&lt;/D&gt;&lt;D xsi:type="xsd:long"&gt;44330&lt;/D&gt;&lt;D xsi:type="xsd:long"&gt;44329&lt;/D&gt;&lt;D xsi:type="xsd:long"&gt;44328&lt;/D&gt;&lt;D xsi:type="xsd:long"&gt;44327&lt;/D&gt;&lt;D xsi:type="xsd:long"&gt;44326&lt;/D&gt;&lt;D xsi:type="xsd:long"&gt;44323&lt;/D&gt;&lt;D xsi:type="xsd:long"&gt;44322&lt;/D&gt;&lt;D xsi:type="xsd:long"&gt;44321&lt;/D&gt;&lt;D xsi:type="xsd:long"&gt;44320&lt;/D&gt;&lt;D xsi:type="xsd:long"&gt;44319&lt;/D&gt;&lt;D xsi:type="xsd:long"&gt;44316&lt;/D&gt;&lt;D xsi:type="xsd:long"&gt;44315&lt;/D&gt;&lt;D xsi:type="xsd:long"&gt;44314&lt;/D&gt;&lt;D xsi:type="xsd:long"&gt;44313&lt;/D&gt;&lt;D xsi:type="xsd:long"&gt;44312&lt;/D&gt;&lt;D xsi:type="xsd:long"&gt;44309&lt;/D&gt;&lt;D xsi:type="xsd:long"&gt;44308&lt;/D&gt;&lt;D xsi:type="xsd:long"&gt;44307&lt;/D&gt;&lt;D xsi:type="xsd:long"&gt;44306&lt;/D&gt;&lt;D xsi:type="xsd:long"&gt;44305&lt;/D&gt;&lt;D xsi:type="xsd:long"&gt;44302&lt;/D&gt;&lt;D xsi:type="xsd:long"&gt;44301&lt;/D&gt;&lt;D xsi:type="xsd:long"&gt;44300&lt;/D&gt;&lt;D xsi:type="xsd:long"&gt;44299&lt;/D&gt;&lt;D xsi:type="xsd:long"&gt;44298&lt;/D&gt;&lt;D xsi:type="xsd:long"&gt;44295&lt;/D&gt;&lt;D xsi:type="xsd:long"&gt;44294&lt;/D&gt;&lt;D xsi:type="xsd:long"&gt;44293&lt;/D&gt;&lt;D xsi:type="xsd:long"&gt;44292&lt;/D&gt;&lt;D xsi:type="xsd:long"&gt;44291&lt;/D&gt;&lt;D xsi:type="xsd:long"&gt;44287&lt;/D&gt;&lt;D xsi:type="xsd:long"&gt;44286&lt;/D&gt;&lt;D xsi:type="xsd:long"&gt;44285&lt;/D&gt;&lt;D xsi:type="xsd:long"&gt;44284&lt;/D&gt;&lt;D xsi:type="xsd:long"&gt;44281&lt;/D&gt;&lt;D xsi:type="xsd:long"&gt;44280&lt;/D&gt;&lt;D xsi:type="xsd:long"&gt;44279&lt;/D&gt;&lt;D xsi:type="xsd:long"&gt;44278&lt;/D&gt;&lt;D xsi:type="xsd:long"&gt;44277&lt;/D&gt;&lt;D xsi:type="xsd:long"&gt;44274&lt;/D&gt;&lt;D xsi:type="xsd:long"&gt;44273&lt;/D&gt;&lt;D xsi:type="xsd:long"&gt;44272&lt;/D&gt;&lt;D xsi:type="xsd:long"&gt;44271&lt;/D&gt;&lt;D xsi:type="xsd:long"&gt;44270&lt;/D&gt;&lt;D xsi:type="xsd:long"&gt;44267&lt;/D&gt;&lt;D xsi:type="xsd:long"&gt;44266&lt;/D&gt;&lt;D xsi:type="xsd:long"&gt;44265&lt;/D&gt;&lt;D xsi:type="xsd:long"&gt;44264&lt;/D&gt;&lt;D xsi:type="xsd:long"&gt;44263&lt;/D&gt;&lt;D xsi:type="xsd:long"&gt;44260&lt;/D&gt;&lt;D xsi:type="xsd:long"&gt;44259&lt;/D&gt;&lt;D xsi:type="xsd:long"&gt;44258&lt;/D&gt;&lt;D xsi:type="xsd:long"&gt;44257&lt;/D&gt;&lt;D xsi:type="xsd:long"&gt;44256&lt;/D&gt;&lt;D xsi:type="xsd:long"&gt;44253&lt;/D&gt;&lt;D xsi:type="xsd:long"&gt;44252&lt;/D&gt;&lt;D xsi:type="xsd:long"&gt;44251&lt;/D&gt;&lt;D xsi:type="xsd:long"&gt;44250&lt;/D&gt;&lt;D xsi:type="xsd:long"&gt;44249&lt;/D&gt;&lt;D xsi:type="xsd:long"&gt;44246&lt;/D&gt;&lt;D xsi:type="xsd:long"&gt;44245&lt;/D&gt;&lt;D xsi:type="xsd:long"&gt;44244&lt;/D&gt;&lt;D xsi:type="xsd:long"&gt;44243&lt;/D&gt;&lt;D xsi:type="xsd:long"&gt;44239&lt;/D&gt;&lt;D xsi:type="xsd:long"&gt;44238&lt;/D&gt;&lt;D xsi:type="xsd:long"&gt;44237&lt;/D&gt;&lt;D xsi:type="xsd:long"&gt;44236&lt;/D&gt;&lt;D xsi:type="xsd:long"&gt;44235&lt;/D&gt;&lt;D xsi:type="xsd:long"</t>
        </r>
      </text>
    </comment>
    <comment ref="A53" authorId="0" shapeId="0">
      <text>
        <r>
          <rPr>
            <b/>
            <sz val="9"/>
            <color indexed="81"/>
            <rFont val="Tahoma"/>
            <family val="2"/>
          </rPr>
          <t>&gt;44232&lt;/D&gt;&lt;D xsi:type="xsd:long"&gt;44231&lt;/D&gt;&lt;D xsi:type="xsd:long"&gt;44230&lt;/D&gt;&lt;D xsi:type="xsd:long"&gt;44229&lt;/D&gt;&lt;D xsi:type="xsd:long"&gt;44228&lt;/D&gt;&lt;D xsi:type="xsd:long"&gt;44225&lt;/D&gt;&lt;D xsi:type="xsd:long"&gt;44224&lt;/D&gt;&lt;D xsi:type="xsd:long"&gt;44223&lt;/D&gt;&lt;D xsi:type="xsd:long"&gt;44222&lt;/D&gt;&lt;D xsi:type="xsd:long"&gt;44221&lt;/D&gt;&lt;D xsi:type="xsd:long"&gt;44218&lt;/D&gt;&lt;D xsi:type="xsd:long"&gt;44217&lt;/D&gt;&lt;D xsi:type="xsd:long"&gt;44216&lt;/D&gt;&lt;D xsi:type="xsd:long"&gt;44215&lt;/D&gt;&lt;D xsi:type="xsd:long"&gt;44211&lt;/D&gt;&lt;D xsi:type="xsd:long"&gt;44210&lt;/D&gt;&lt;D xsi:type="xsd:long"&gt;44209&lt;/D&gt;&lt;D xsi:type="xsd:long"&gt;44208&lt;/D&gt;&lt;D xsi:type="xsd:long"&gt;44207&lt;/D&gt;&lt;D xsi:type="xsd:long"&gt;44204&lt;/D&gt;&lt;D xsi:type="xsd:long"&gt;44203&lt;/D&gt;&lt;D xsi:type="xsd:long"&gt;44202&lt;/D&gt;&lt;D xsi:type="xsd:long"&gt;44201&lt;/D&gt;&lt;D xsi:type="xsd:long"&gt;44200&lt;/D&gt;&lt;D xsi:type="xsd:long"&gt;44196&lt;/D&gt;&lt;D xsi:type="xsd:long"&gt;44195&lt;/D&gt;&lt;D xsi:type="xsd:long"&gt;44194&lt;/D&gt;&lt;D xsi:type="xsd:long"&gt;44193&lt;/D&gt;&lt;D xsi:type="xsd:long"&gt;44189&lt;/D&gt;&lt;D xsi:type="xsd:long"&gt;44188&lt;/D&gt;&lt;D xsi:type="xsd:long"&gt;44187&lt;/D&gt;&lt;D xsi:type="xsd:long"&gt;44186&lt;/D&gt;&lt;D xsi:type="xsd:long"&gt;44183&lt;/D&gt;&lt;D xsi:type="xsd:long"&gt;44182&lt;/D&gt;&lt;D xsi:type="xsd:long"&gt;44181&lt;/D&gt;&lt;D xsi:type="xsd:long"&gt;44180&lt;/D&gt;&lt;D xsi:type="xsd:long"&gt;44179&lt;/D&gt;&lt;D xsi:type="xsd:long"&gt;44176&lt;/D&gt;&lt;D xsi:type="xsd:long"&gt;44175&lt;/D&gt;&lt;D xsi:type="xsd:long"&gt;44174&lt;/D&gt;&lt;D xsi:type="xsd:long"&gt;44173&lt;/D&gt;&lt;D xsi:type="xsd:long"&gt;44172&lt;/D&gt;&lt;D xsi:type="xsd:long"&gt;44169&lt;/D&gt;&lt;D xsi:type="xsd:long"&gt;44168&lt;/D&gt;&lt;D xsi:type="xsd:long"&gt;44167&lt;/D&gt;&lt;D xsi:type="xsd:long"&gt;44166&lt;/D&gt;&lt;D xsi:type="xsd:long"&gt;44165&lt;/D&gt;&lt;D xsi:type="xsd:long"&gt;44162&lt;/D&gt;&lt;D xsi:type="xsd:long"&gt;44160&lt;/D&gt;&lt;D xsi:type="xsd:long"&gt;44159&lt;/D&gt;&lt;D xsi:type="xsd:long"&gt;44158&lt;/D&gt;&lt;D xsi:type="xsd:long"&gt;44155&lt;/D&gt;&lt;D xsi:type="xsd:long"&gt;44154&lt;/D&gt;&lt;D xsi:type="xsd:long"&gt;44153&lt;/D&gt;&lt;D xsi:type="xsd:long"&gt;44152&lt;/D&gt;&lt;D xsi:type="xsd:long"&gt;44151&lt;/D&gt;&lt;D xsi:type="xsd:long"&gt;44148&lt;/D&gt;&lt;D xsi:type="xsd:long"&gt;44147&lt;/D&gt;&lt;D xsi:type="xsd:long"&gt;44146&lt;/D&gt;&lt;D xsi:type="xsd:long"&gt;44145&lt;/D&gt;&lt;D xsi:type="xsd:long"&gt;44144&lt;/D&gt;&lt;D xsi:type="xsd:long"&gt;44141&lt;/D&gt;&lt;D xsi:type="xsd:long"&gt;44140&lt;/D&gt;&lt;D xsi:type="xsd:long"&gt;44139&lt;/D&gt;&lt;D xsi:type="xsd:long"&gt;44138&lt;/D&gt;&lt;D xsi:type="xsd:long"&gt;44137&lt;/D&gt;&lt;D xsi:type="xsd:long"&gt;44134&lt;/D&gt;&lt;D xsi:type="xsd:long"&gt;44133&lt;/D&gt;&lt;D xsi:type="xsd:long"&gt;44132&lt;/D&gt;&lt;D xsi:type="xsd:long"&gt;44131&lt;/D&gt;&lt;D xsi:type="xsd:long"&gt;44130&lt;/D&gt;&lt;D xsi:type="xsd:long"&gt;44127&lt;/D&gt;&lt;D xsi:type="xsd:long"&gt;44126&lt;/D&gt;&lt;D xsi:type="xsd:long"&gt;44125&lt;/D&gt;&lt;D xsi:type="xsd:long"&gt;44124&lt;/D&gt;&lt;D xsi:type="xsd:long"&gt;44123&lt;/D&gt;&lt;D xsi:type="xsd:long"&gt;44120&lt;/D&gt;&lt;D xsi:type="xsd:long"&gt;44119&lt;/D&gt;&lt;D xsi:type="xsd:long"&gt;44118&lt;/D&gt;&lt;D xsi:type="xsd:long"&gt;44117&lt;/D&gt;&lt;D xsi:type="xsd:long"&gt;44116&lt;/D&gt;&lt;D xsi:type="xsd:long"&gt;44113&lt;/D&gt;&lt;D xsi:type="xsd:long"&gt;44112&lt;/D&gt;&lt;D xsi:type="xsd:long"&gt;44111&lt;/D&gt;&lt;D xsi:type="xsd:long"&gt;44110&lt;/D&gt;&lt;D xsi:type="xsd:long"&gt;44109&lt;/D&gt;&lt;D xsi:type="xsd:long"&gt;44106&lt;/D&gt;&lt;D xsi:type="xsd:long"&gt;44105&lt;/D&gt;&lt;D xsi:type="xsd:long"&gt;44104&lt;/D&gt;&lt;D xsi:type="xsd:long"&gt;44103&lt;/D&gt;&lt;D xsi:type="xsd:long"&gt;44102&lt;/D&gt;&lt;D xsi:type="xsd:long"&gt;44099&lt;/D&gt;&lt;D xsi:type="xsd:long"&gt;44098&lt;/D&gt;&lt;D xsi:type="xsd:long"&gt;44097&lt;/D&gt;&lt;D xsi:type="xsd:long"&gt;44096&lt;/D&gt;&lt;D xsi:type="xsd:long"&gt;44095&lt;/D&gt;&lt;D xsi:type="xsd:long"&gt;44092&lt;/D&gt;&lt;D xsi:type="xsd:long"&gt;44091&lt;/D&gt;&lt;D xsi:type="xsd:long"&gt;44090&lt;/D&gt;&lt;D xsi:type="xsd:long"&gt;44089&lt;/D&gt;&lt;D xsi:type="xsd:long"&gt;44088&lt;/D&gt;&lt;D xsi:type="xsd:long"&gt;44085&lt;/D&gt;&lt;D xsi:type="xsd:long"&gt;44084&lt;/D&gt;&lt;D xsi:type="xsd:long"&gt;44083&lt;/D&gt;&lt;D xsi:type="xsd:long"&gt;44082&lt;/D&gt;&lt;D xsi:type="xsd:long"&gt;44078&lt;/D&gt;&lt;D xsi:type="xsd:long"&gt;44077&lt;/D&gt;&lt;D xsi:type="xsd:long"&gt;44076&lt;/D&gt;&lt;D xsi:type="xsd:long"&gt;44075&lt;/D&gt;&lt;D xsi:type="xsd:long"&gt;44074&lt;/D&gt;&lt;D xsi:type="xsd:long"&gt;44071&lt;/D&gt;&lt;D xsi:type="xsd:long"&gt;44070&lt;/D&gt;&lt;D xsi:type="xsd:long"&gt;44069&lt;/D&gt;&lt;D xsi:type="xsd:long"&gt;44068&lt;/D&gt;&lt;D xsi:type="xsd:long"&gt;44067&lt;/D&gt;&lt;D xsi:type="xsd:long"&gt;44064&lt;/D&gt;&lt;D xsi:type="xsd:long"&gt;44063&lt;/D&gt;&lt;D xsi:type="xsd:long"&gt;44062&lt;/D&gt;&lt;D xsi:type="xsd:long"&gt;44061&lt;/D&gt;&lt;D xsi:type="xsd:long"&gt;44060&lt;/D&gt;&lt;D xsi:type="xsd:long"&gt;44057&lt;/D&gt;&lt;D xsi:type="xsd:long"&gt;44056&lt;/D&gt;&lt;D xsi:type="xsd:long"&gt;44055&lt;/D&gt;&lt;D xsi:type="xsd:long"&gt;44054&lt;/D&gt;&lt;D xsi:type="xsd:long"&gt;44053&lt;/D&gt;&lt;D xsi:type="xsd:long"&gt;44050&lt;/D&gt;&lt;D xsi:type="xsd:long"&gt;44049&lt;/D&gt;&lt;D xsi:type="xsd:long"&gt;44048&lt;/D&gt;&lt;D xsi:type="xsd:long"&gt;44047&lt;/D&gt;&lt;D xsi:type="xsd:long"&gt;44046&lt;/D&gt;&lt;D xsi:type="xsd:long"&gt;44043&lt;/D&gt;&lt;D xsi:type="xsd:long"&gt;44042&lt;/D&gt;&lt;D xsi:type="xsd:long"&gt;44041&lt;/D&gt;&lt;D xsi:type="xsd:long"&gt;44040&lt;/D&gt;&lt;D xsi:type="xsd:long"&gt;44039&lt;/D&gt;&lt;D xsi:type="xsd:long"&gt;44036&lt;/D&gt;&lt;D xsi:type="xsd:long"&gt;44035&lt;/D&gt;&lt;D xsi:type="xsd:long"&gt;44034&lt;/D&gt;&lt;D xsi:type="xsd:long"&gt;44033&lt;/D&gt;&lt;D xsi:type="xsd:long"&gt;44032&lt;/D&gt;&lt;D xsi:type="xsd:long"&gt;44029&lt;/D&gt;&lt;D xsi:type="xsd:long"&gt;44028&lt;/D&gt;&lt;D xsi:type="xsd:long"&gt;44027&lt;/D&gt;&lt;D xsi:type="xsd:long"&gt;44026&lt;/D&gt;&lt;D xsi:type="xsd:long"&gt;44025&lt;/D&gt;&lt;D xsi:type="xsd:long"&gt;44022&lt;/D&gt;&lt;D xsi:type="xsd:long"&gt;44021&lt;/D&gt;&lt;D xsi:type="xsd:long"&gt;44020&lt;/D&gt;&lt;D xsi:type="xsd:long"&gt;44019&lt;/D&gt;&lt;D xsi:type="xsd:long"&gt;44018&lt;/D&gt;&lt;D xsi:type="xsd:long"&gt;44014&lt;/D&gt;&lt;D xsi:type="xsd:long"&gt;44013&lt;/D&gt;&lt;D xsi:type="xsd:long"&gt;44012&lt;/D&gt;&lt;D xsi:type="xsd:long"&gt;44011&lt;/D&gt;&lt;D xsi:type="xsd:long"&gt;44008&lt;/D&gt;&lt;D xsi:type="xsd:long"&gt;44007&lt;/D&gt;&lt;D xsi:type="xsd:long"&gt;44006&lt;/D&gt;&lt;D xsi:type="xsd:long"&gt;44005&lt;/D&gt;&lt;D xsi:type="xsd:long"&gt;44004&lt;/D&gt;&lt;D xsi:type="xsd:long"&gt;44001&lt;/D&gt;&lt;D xsi:type="xsd:long"&gt;44000&lt;/D&gt;&lt;D xsi:type="xsd:long"&gt;43999&lt;/D&gt;&lt;D xsi:type="xsd:long"&gt;43998&lt;/D&gt;&lt;D xsi:type="xsd:long"&gt;43997&lt;/D&gt;&lt;D xsi:type="xsd:long"&gt;43994&lt;/D&gt;&lt;D xsi:type="xsd:long"&gt;43993&lt;/D&gt;&lt;D xsi:type="xsd:long"&gt;43992&lt;/D&gt;&lt;D xsi:type="xsd:long"&gt;43991&lt;/D&gt;&lt;D xsi:type="xsd:long"&gt;43990&lt;/D&gt;&lt;D xsi:type="xsd:long"&gt;43987&lt;/D&gt;&lt;D xsi:type="xsd:long"&gt;43986&lt;/D&gt;&lt;D xsi:type="xsd:long"&gt;43985&lt;/D&gt;&lt;D xsi:type="xsd:long"&gt;43984&lt;/D&gt;&lt;D xsi:type="xsd:long"&gt;43983&lt;/D&gt;&lt;D xsi:type="xsd:long"&gt;43980&lt;/D&gt;&lt;D xsi:type="xsd:long"&gt;43979&lt;/D&gt;&lt;D xsi:type="xsd:long"&gt;43978&lt;/D&gt;&lt;D xsi:type="xsd:long"&gt;43977&lt;/D&gt;&lt;D xsi:type="xsd:long"&gt;43973&lt;/D&gt;&lt;D xsi:type="xsd:long"&gt;43972&lt;/D&gt;&lt;D xsi:type="xsd:long"&gt;43971&lt;/D&gt;&lt;D xsi:type="xsd:long"&gt;43970&lt;/D&gt;&lt;D xsi:type="xsd:long"&gt;43969&lt;/D&gt;&lt;D xsi:type="xsd:long"&gt;43966&lt;/D&gt;&lt;D xsi:type="xsd:long"&gt;43965&lt;/D&gt;&lt;D xsi:type="xsd:long"&gt;43964&lt;/D&gt;&lt;D xsi:type="xsd:long"&gt;43963&lt;/D&gt;&lt;D xsi:type="xsd:long"&gt;43962&lt;/D&gt;&lt;D xsi:type="xsd:long"&gt;43959&lt;/D&gt;&lt;D xsi:type="xsd:long"&gt;43958&lt;/D&gt;&lt;D xsi:type="xsd:long"&gt;43957&lt;/D&gt;&lt;D xsi:type="xsd:long"&gt;43956&lt;/D&gt;&lt;D xsi:type="xsd:long"&gt;43955&lt;/D&gt;&lt;D xsi:type="xsd:long"&gt;43952&lt;/D&gt;&lt;D xsi:type="xsd:long"&gt;43951&lt;/D&gt;&lt;D xsi:type="xsd:long"&gt;43950&lt;/D&gt;&lt;D xsi:type="xsd:long"&gt;43949&lt;/D&gt;&lt;D xsi:type="xsd:long"&gt;43948&lt;/D&gt;&lt;D xsi:type="xsd:long"&gt;43945&lt;/D&gt;&lt;D xsi:type="xsd:long"&gt;43944&lt;/D&gt;&lt;D xsi:type="xsd:long"&gt;43943&lt;/D&gt;&lt;D xsi:type="xsd:long"&gt;43942&lt;/D&gt;&lt;D xsi:type="xsd:long"&gt;43941&lt;/D&gt;&lt;D xsi:type="xsd:long"&gt;43938&lt;/D&gt;&lt;D xsi:type="xsd:long"&gt;43937&lt;/D&gt;&lt;D xsi:type="xsd:long"&gt;43936&lt;/D&gt;&lt;D xsi:type="xsd:long"&gt;43935&lt;/D&gt;&lt;D xsi:type="xsd:long"&gt;43934&lt;/D&gt;&lt;D xsi:type="xsd:long"&gt;43930&lt;/D&gt;&lt;D xsi:type="xsd:long"&gt;43929&lt;/D&gt;&lt;D xsi:type="xsd:long"&gt;43928&lt;/D&gt;&lt;D xsi:type="xsd:long"&gt;43927&lt;/D&gt;&lt;D xsi:type="xsd:long"&gt;43924&lt;/D&gt;&lt;D xsi:type="xsd:long"&gt;43923&lt;/D&gt;&lt;D xsi:type="xsd:long"&gt;43922&lt;/D&gt;&lt;D xsi:type="xsd:long"&gt;43921&lt;/D&gt;&lt;D xsi:type="xsd:long"&gt;43920&lt;/D&gt;&lt;D xsi:type="xsd:long"&gt;43917&lt;/D&gt;&lt;D xsi:type="xsd:long"&gt;43916&lt;/D&gt;&lt;D xsi:type="xsd:long"&gt;43915&lt;/D&gt;&lt;D xsi:type="xsd:long"&gt;43914&lt;/D&gt;&lt;D xsi:type="xsd:long"&gt;43913&lt;/D&gt;&lt;D xsi:type="xsd:long"&gt;43910&lt;/D&gt;&lt;D xsi:type="xsd:long"&gt;43909&lt;/D&gt;&lt;D xsi:type="xsd:long"&gt;43908&lt;/D&gt;&lt;D xsi:type="xsd:long"&gt;43907&lt;/D&gt;&lt;D xsi:type="xsd:long"&gt;43906&lt;/D&gt;&lt;D xsi:type="xsd:long"&gt;43903&lt;/D&gt;&lt;D xsi:type="xsd:long"&gt;43902&lt;/D&gt;&lt;D xsi:type="xsd:long"&gt;43901&lt;/D&gt;&lt;D xsi:type="xsd:long"&gt;43900&lt;/D&gt;&lt;D xsi:type="xsd:long"&gt;43899&lt;/D&gt;&lt;D xsi:type="xsd:long"&gt;43896&lt;/D&gt;&lt;D xsi:type="xsd:long"&gt;43895&lt;/D&gt;&lt;D xsi:type="xsd:long"&gt;43894&lt;/D&gt;&lt;D xsi:type="xsd:long"&gt;43893&lt;/D&gt;&lt;D xsi:type="xsd:long"&gt;43892&lt;/D&gt;&lt;D xsi:type="xsd:long"&gt;43889&lt;/D&gt;&lt;D xsi:type="xsd:long"&gt;43888&lt;/D&gt;&lt;D xsi:type="xsd:long"&gt;43887&lt;/D&gt;&lt;D xsi:type="xsd:long"&gt;43886&lt;/D&gt;&lt;D xsi:type="xsd:long"&gt;43885&lt;/D&gt;&lt;D xsi:type="xsd:long"&gt;43882&lt;/D&gt;&lt;D xsi:type="xsd:long"&gt;43881&lt;/D&gt;&lt;D xsi:type="xsd:long"&gt;43880&lt;/D&gt;&lt;D xsi:type="xsd:long"&gt;43879&lt;/D&gt;&lt;D xsi:type="xsd:long"&gt;43875&lt;/D&gt;&lt;D xsi:type="xsd:long"&gt;43874&lt;/D&gt;&lt;D xsi:type="xsd:long"&gt;43873&lt;/D&gt;&lt;D xsi:type="xsd:long"&gt;43872&lt;/D&gt;&lt;D xsi:type="xsd:long"&gt;43871&lt;/D&gt;&lt;D xsi:type="xsd:long"&gt;43868&lt;/D&gt;&lt;D xsi:type="xsd:long"&gt;43867&lt;/D&gt;&lt;D xsi:type="xsd:long"&gt;43866&lt;/D&gt;&lt;D xsi:type="xsd:long"&gt;43865&lt;/D&gt;&lt;D xsi:type="xsd:long"&gt;43864&lt;/D&gt;&lt;D xsi:type="xsd:long"&gt;43861&lt;/D&gt;&lt;D xsi:type="xsd:long"&gt;43860&lt;/D&gt;&lt;D xsi:type="xsd:long"&gt;43859&lt;/D&gt;&lt;D xsi:type="xsd:long"&gt;43858&lt;/D&gt;&lt;D xsi:type="xsd:long"&gt;43857&lt;/D&gt;&lt;D xsi:type="xsd:long"&gt;43854&lt;/D&gt;&lt;D xsi:type="xsd:long"&gt;43853&lt;/D&gt;&lt;D xsi:type="xsd:long"&gt;43852&lt;/D&gt;&lt;D xsi:type="xsd:long"&gt;43851&lt;/D&gt;&lt;D xsi:type="xsd:long"&gt;43847&lt;/D&gt;&lt;D xsi:type="xsd:long"&gt;43846&lt;/D&gt;&lt;D xsi:type="xsd:long"&gt;43845&lt;/D&gt;&lt;D xsi:type="xsd:long"&gt;43844&lt;/D&gt;&lt;D xsi:type="xsd:long"&gt;43843&lt;/D&gt;&lt;D xsi:type="xsd:long"&gt;43840&lt;/D&gt;&lt;D xsi:type="xsd:long"&gt;43839&lt;/D&gt;&lt;D xsi:type="xsd:long"&gt;43838&lt;/D&gt;&lt;D xsi:type="xsd:long"&gt;43837&lt;/D&gt;&lt;D xsi:type="xsd:long"&gt;43836&lt;/D&gt;&lt;D xsi:type="xsd:long"&gt;43833&lt;/D&gt;&lt;D xsi:type="xsd:long"&gt;43832&lt;/D&gt;&lt;D xsi:type="xsd:long"&gt;43830&lt;/D&gt;&lt;D xsi:type="xsd:long"&gt;43829&lt;/D&gt;&lt;D xsi:type="xsd:long"&gt;43826&lt;/D&gt;&lt;D xsi:type="xsd:long"&gt;43825&lt;/D&gt;&lt;D xsi:type="xsd:long"&gt;43823&lt;/D&gt;&lt;D xsi:type="xsd:long"&gt;43822&lt;/D&gt;&lt;D xsi:type="xsd:long"&gt;43819&lt;/D&gt;&lt;D xsi:type="xsd:long"&gt;43818&lt;/D&gt;&lt;D xsi:type="xsd:long"&gt;43817&lt;/D&gt;&lt;D xsi:type="xsd:long"&gt;43816&lt;/D&gt;&lt;D xsi:type="xsd:long"&gt;43815&lt;/D&gt;&lt;D xsi:type="xsd:long"&gt;43812&lt;/D&gt;&lt;D xsi:type="xsd:long"&gt;43811&lt;/D&gt;&lt;D xsi:type="xsd:long"&gt;43810&lt;/D&gt;&lt;D xsi:type="xsd:long"&gt;43809&lt;/D&gt;&lt;D xsi:type="xsd:long"&gt;43808&lt;/D&gt;&lt;D xsi:type="xsd:long"&gt;43805&lt;/D&gt;&lt;D xsi:type="xsd:long"&gt;43804&lt;/D&gt;&lt;D xsi:type="xsd:long"&gt;43803&lt;/D&gt;&lt;D xsi:type="xsd:long"&gt;43802&lt;/D&gt;&lt;D xsi:type="xsd:long"&gt;43801&lt;/D&gt;&lt;D xsi:type="xsd:long"&gt;43798&lt;/D&gt;&lt;D xsi:type="xsd:long"&gt;43796&lt;/D&gt;&lt;D xsi:type="xsd:long"&gt;43795&lt;/D&gt;&lt;D xsi:type="xsd:long"&gt;43794&lt;/D&gt;&lt;D xsi:type="xsd:long"&gt;43791&lt;/D&gt;&lt;D xsi:type="xsd:long"&gt;43790&lt;/D&gt;&lt;D xsi:type="xsd:long"&gt;43789&lt;/D&gt;&lt;D xsi:type="xsd:long"&gt;43788&lt;/D&gt;&lt;D xsi:type="xsd:long"&gt;43787&lt;/D&gt;&lt;D xsi:type="xsd:long"&gt;43784&lt;/D&gt;&lt;D xsi:type="xsd:long"&gt;43783&lt;/D&gt;&lt;D xsi:type="xsd:long"&gt;43782&lt;/D&gt;&lt;D xsi:type="xsd:long"&gt;43781&lt;/D&gt;&lt;D xsi:type="xsd:long"&gt;43780&lt;/D&gt;&lt;D xsi:type="xsd:long"&gt;43777&lt;/D&gt;&lt;D xsi:type="xsd:long"&gt;43776&lt;/D&gt;&lt;D xsi:type="xsd:long"&gt;43775&lt;/D&gt;&lt;D xsi:type="xsd:long"&gt;43774&lt;/D&gt;&lt;D xsi:type="xsd:long"&gt;43773&lt;/D&gt;&lt;D xsi:type="xsd:long"&gt;43770&lt;/D&gt;&lt;D xsi:type="xsd:long"&gt;43769&lt;/D&gt;&lt;D xsi:type="xsd:long"&gt;43768&lt;/D&gt;&lt;D xsi:type="xsd:long"&gt;43767&lt;/D&gt;&lt;D xsi:type="xsd:long"&gt;43766&lt;/D&gt;&lt;D xsi:type="xsd:long"&gt;43763&lt;/D&gt;&lt;D xsi:type="xsd:long"&gt;43762&lt;/D&gt;&lt;D xsi:type="xsd:long"&gt;43761&lt;/D&gt;&lt;D xsi:type="xsd:long"&gt;43760&lt;/D&gt;&lt;D xsi:type="xsd:long"&gt;43759&lt;/D&gt;&lt;D xsi:type="xsd:long"&gt;43756&lt;/D&gt;&lt;D xsi:type="xsd:long"&gt;43755&lt;/D&gt;&lt;D xsi:type="xsd:long"&gt;43754&lt;/D&gt;&lt;D xsi:type="xsd:long"&gt;43753&lt;/D&gt;&lt;D xsi:type="xsd:long"&gt;43752&lt;/D&gt;&lt;D xsi:type="xsd:long"&gt;43749&lt;/D&gt;&lt;D xsi:type="xsd:long"&gt;43748&lt;/D&gt;&lt;D xsi:type="xsd:long"&gt;43747&lt;/D&gt;&lt;D xsi:type="xsd:long"&gt;43746&lt;/D&gt;&lt;D xsi:type="xsd:long"&gt;43745&lt;/D&gt;&lt;D xsi:type="xsd:long"&gt;43742&lt;/D&gt;&lt;D xsi:type="xsd:long"&gt;43741&lt;/D&gt;&lt;D xsi:type="xsd:long"&gt;43740&lt;/D&gt;&lt;D xsi:type="xsd:long"&gt;43739&lt;/D&gt;&lt;D xsi:type="xsd:long"&gt;43738&lt;/D&gt;&lt;D xsi:type="xsd:long"&gt;43735&lt;/D&gt;&lt;D xsi:type="xsd:long"&gt;43734&lt;/D&gt;&lt;D xsi:type="xsd:long"&gt;43733&lt;/D&gt;&lt;D xsi:type="xsd:long"&gt;43732&lt;/D&gt;&lt;D xsi:type="xsd:long"&gt;43731&lt;/D&gt;&lt;D xsi:type="xsd:long"&gt;43728&lt;/D&gt;&lt;D xsi:type="xsd:long"&gt;43727&lt;/D&gt;&lt;D xsi:type="xsd:long"&gt;43726&lt;/D&gt;&lt;D xsi:type="xsd:long"&gt;43725&lt;/D&gt;&lt;D xsi:type="xsd:long"&gt;43724&lt;/D&gt;&lt;D xsi:type="xsd:long"&gt;43721&lt;/D&gt;&lt;D xsi:type="xsd:long"&gt;43720&lt;/D&gt;&lt;D xsi:type="xsd:long"&gt;43719&lt;/D&gt;&lt;D xsi:type="xsd:long"&gt;43718&lt;/D&gt;&lt;D xsi:type="xsd:long"&gt;43717&lt;/D&gt;&lt;D xsi:type="xsd:long"&gt;43714&lt;/D&gt;&lt;D xsi:type="xsd:long"&gt;43713&lt;/D&gt;&lt;D xsi:type="xsd:long"&gt;43712&lt;/D&gt;&lt;D xsi:type="xsd:long"&gt;43711&lt;/D&gt;&lt;D xsi:type="xsd:long"&gt;43707&lt;/D&gt;&lt;D xsi:type="xsd:long"&gt;43706&lt;/D&gt;&lt;D xsi:type="xsd:long"&gt;43705&lt;/D&gt;&lt;D xsi:type="xsd:long"&gt;43704&lt;/D&gt;&lt;D xsi:type="xsd:long"&gt;43703&lt;/D&gt;&lt;D xsi:type="xsd:long"&gt;43700&lt;/D&gt;&lt;D xsi:type="xsd:long"&gt;43699&lt;/D&gt;&lt;D xsi:type="xsd:long"&gt;43698&lt;/D&gt;&lt;D xsi:type="xsd:long"&gt;43697&lt;/D&gt;&lt;D xsi:type="xsd:long"&gt;43696&lt;/D&gt;&lt;D xsi:type="xsd:long"&gt;43693&lt;/D&gt;&lt;D xsi:type="xsd:long"&gt;43692&lt;/D&gt;&lt;D xsi:type="xsd:long"&gt;43691&lt;/D&gt;&lt;D xsi:type="xsd:long"&gt;43690&lt;/D&gt;&lt;D xsi:type="xsd:long"&gt;43689&lt;/D&gt;&lt;D xsi:type="xsd:long"&gt;43686&lt;/D&gt;&lt;D xsi:type="xsd:long"&gt;43685&lt;/D&gt;&lt;D xsi:type="xsd:long"&gt;43684&lt;/D&gt;&lt;D xsi:type="xsd:long"&gt;43683&lt;/D&gt;&lt;D xsi:type="xsd:long"&gt;43682&lt;/D&gt;&lt;D xsi:type="xsd:long"&gt;43679&lt;/D&gt;&lt;D xsi:type="xsd:long"&gt;43678&lt;/D&gt;&lt;D xsi:type="xsd:long"&gt;43677&lt;/D&gt;&lt;D xsi:type="xsd:long"&gt;43676&lt;/D&gt;&lt;D xsi:type="xsd:long"&gt;43675&lt;/D&gt;&lt;D xsi:type="xsd:long"&gt;43672&lt;/D&gt;&lt;D xsi:type="xsd:long"&gt;43671&lt;/D&gt;&lt;D xsi:type="xsd:long"&gt;43670&lt;/D&gt;&lt;D xsi:type="xsd:long"&gt;43669&lt;/D&gt;&lt;D xsi:type="xsd:long"&gt;43668&lt;/D&gt;&lt;D xsi:type="xsd:long"&gt;43665&lt;/D&gt;&lt;D xsi:type="xsd:long"&gt;43664&lt;/D&gt;&lt;D xsi:type="xsd:long"&gt;43663&lt;/D&gt;&lt;D xsi:type="xsd:long"&gt;43662&lt;/D&gt;&lt;D xsi:type="xsd:long"&gt;43661&lt;/D&gt;&lt;D xsi:type="xsd:long"&gt;43658&lt;/D&gt;&lt;D xsi:type="xsd:long"&gt;43657&lt;/D&gt;&lt;D xsi:type="xsd:long"&gt;43656&lt;/D&gt;&lt;D xsi:type="xsd:long"&gt;43655&lt;/D&gt;&lt;D xsi:type="xsd:long"&gt;43654&lt;/D&gt;&lt;D xsi:type="xsd:long"&gt;43651&lt;/D&gt;&lt;D xsi:type="xsd:long"&gt;43649&lt;/D&gt;&lt;D xsi:type="xsd:long"&gt;43648&lt;/D&gt;&lt;D xsi:type="xsd:long"&gt;43647&lt;/D&gt;&lt;D xsi:type="xsd:long"&gt;43644&lt;/D&gt;&lt;D xsi:type="xsd:long"&gt;43643&lt;/D&gt;&lt;D xsi:type="xsd:long"&gt;43642&lt;/D&gt;&lt;D xsi:type="xsd:long"&gt;43641&lt;/D&gt;&lt;D xsi:type="xsd:long"&gt;43640&lt;/D&gt;&lt;D xsi:type="xsd:long"&gt;43637&lt;/D&gt;&lt;D xsi:type="xsd:long"&gt;43636&lt;/D&gt;&lt;D xsi:type="xsd:long"&gt;43635&lt;/D&gt;&lt;D xsi:type="xsd:long"&gt;43634&lt;/D&gt;&lt;D xsi:type="xsd:long"&gt;43633&lt;/D&gt;&lt;D xsi:type="xsd:long"&gt;43630&lt;/D&gt;&lt;D xsi:type="xsd:long"&gt;43629&lt;/D&gt;&lt;D xsi:type="xsd:long"&gt;43628&lt;/D&gt;&lt;D xsi:type="xsd:long"&gt;43627&lt;/D&gt;&lt;D xsi:type="xsd:long"&gt;43626&lt;/D&gt;&lt;D xsi:type="xsd:long"&gt;43623&lt;/D&gt;&lt;D xsi:type="xsd:long"&gt;43622&lt;/D&gt;&lt;D xsi:type="xsd:long"&gt;43621&lt;/D&gt;&lt;D xsi:type="xsd:long"&gt;43620&lt;/D&gt;&lt;D xsi:type="xsd:long"&gt;43619&lt;/D&gt;&lt;D xsi:type="xsd:long"&gt;43616&lt;/D&gt;&lt;D xsi:type="xsd:long"&gt;43615&lt;/D&gt;&lt;D xsi:type="xsd:long"&gt;43614&lt;/D&gt;&lt;D xsi:type="xsd:long"&gt;43613&lt;/D&gt;&lt;D xsi:type="xsd:long"&gt;43609&lt;/D&gt;&lt;D xsi:type="xsd:long"&gt;43608&lt;/D&gt;&lt;D xsi:type="xsd:long"&gt;43607&lt;/D&gt;&lt;D xsi:type="xsd:long"&gt;43606&lt;/D&gt;&lt;D xsi:type="xsd:long"&gt;43605&lt;/D&gt;&lt;D xsi:type="xsd:long"&gt;43602&lt;/D&gt;&lt;D xsi:type="xsd:long"&gt;43601&lt;/D&gt;&lt;D xsi:type="xsd:long"&gt;43600&lt;/D&gt;&lt;D xsi:type="xsd:long"&gt;43599&lt;/D&gt;&lt;D xsi:type="xsd:long"&gt;43598&lt;/D&gt;&lt;D xsi:type="xsd:long"&gt;43595&lt;/D&gt;&lt;D xsi:type="xsd:long"&gt;43594&lt;/D&gt;&lt;D xsi:type="xsd:long"&gt;43593&lt;/D&gt;&lt;D xsi:type="xsd:long"&gt;43592&lt;/D&gt;&lt;D xsi:type="xsd:long"&gt;43591&lt;/D&gt;&lt;D xsi:type="xsd:long"&gt;43588&lt;/D&gt;&lt;D xsi:type="xsd:long"&gt;43587&lt;/D&gt;&lt;D xsi:type="xsd:long"&gt;43586&lt;/D&gt;&lt;D xsi:type="xsd:long"&gt;43585&lt;/D&gt;&lt;D xsi:type="xsd:long"&gt;43584&lt;/D&gt;&lt;D xsi:type="xsd:long"&gt;43581&lt;/D&gt;&lt;D xsi:type="xsd:long"&gt;43580&lt;/D&gt;&lt;D xsi:type="xsd:long"&gt;43579&lt;/D&gt;&lt;D xsi:type="xsd:long"&gt;43578&lt;/D&gt;&lt;D xsi:type="xsd:long"&gt;43577&lt;/D&gt;&lt;D xsi:type="xsd:long"&gt;43573&lt;/D&gt;&lt;D xsi:type="xsd:long"&gt;43572&lt;/D&gt;&lt;D xsi:type="xsd:long"&gt;43571&lt;/D&gt;&lt;D xsi:type="xsd:long"&gt;43570&lt;/D&gt;&lt;D xsi:type="xsd:long"&gt;43567&lt;/D&gt;&lt;D xsi:type="xsd:long"&gt;43566&lt;/D&gt;&lt;D xsi:type="xsd:long"&gt;43565&lt;/D&gt;&lt;D xsi:type="xsd:long"&gt;43564&lt;/D&gt;&lt;D xsi:type="xsd:long"&gt;43563&lt;/D&gt;&lt;D xsi:type="xsd:long"&gt;43560&lt;/D&gt;&lt;D xsi:type="xsd:long"&gt;43559&lt;/D&gt;&lt;D xsi:type="xsd:long"&gt;43558&lt;/D&gt;&lt;D xsi:type="xsd:long"&gt;43557&lt;/D&gt;&lt;D xsi:type="xsd:long"&gt;43556&lt;/D&gt;&lt;D xsi:type="xsd:long"&gt;43553&lt;/D&gt;&lt;D xsi:type="xsd:long"&gt;43552&lt;/D&gt;&lt;D xsi:type="xsd:long"&gt;43551&lt;/D&gt;&lt;D xsi:type="xsd:long"&gt;43550&lt;/D&gt;&lt;D xsi:type="xsd:long"&gt;43549&lt;/D&gt;&lt;D xsi:type="xsd:long"&gt;43546&lt;/D&gt;&lt;D xsi:type="xsd:long"&gt;43545&lt;/D&gt;&lt;D xsi:type="xsd:long"&gt;43544&lt;/D&gt;&lt;D xsi:type="xsd:long"&gt;43543&lt;/D&gt;&lt;D xsi:type="xsd:long"&gt;43542&lt;/D&gt;&lt;D xsi:type="xsd:long"&gt;43539&lt;/D&gt;&lt;D xsi:type="xsd:long"&gt;43538&lt;/D&gt;&lt;D xsi:type="xsd:long"&gt;43537&lt;/D&gt;&lt;D xsi:type="xsd:long"&gt;43536&lt;/D&gt;&lt;D xsi:type="xsd:long"&gt;43535&lt;/D&gt;&lt;D xsi:type="xsd:long"&gt;43532&lt;/D&gt;&lt;D xsi:type="xsd:long"&gt;43531&lt;/D&gt;&lt;D xsi:type="xsd:long"&gt;43530&lt;/D&gt;&lt;D xsi:type="xsd:long"&gt;43529&lt;/D&gt;&lt;D xsi:type="xsd:long"&gt;43528&lt;/D&gt;&lt;D xsi:type="xsd:long"&gt;43525&lt;/D&gt;&lt;D xsi:type="xsd:long"&gt;43524&lt;/D&gt;&lt;D xsi:type="xsd:long"&gt;43523&lt;/D&gt;&lt;D xsi:type="xsd:long"&gt;43522&lt;/D&gt;&lt;D xsi:type="xsd:long"&gt;43521&lt;/D&gt;&lt;D xsi:type="xsd:long"&gt;43518&lt;/D&gt;&lt;D xsi:type="xsd:long"&gt;43517&lt;/D&gt;&lt;D xsi:type="xsd:long"&gt;43516&lt;/D&gt;&lt;D xsi:type="xsd:long"&gt;43515&lt;/D&gt;&lt;D xsi:type="xsd:long"&gt;43511&lt;/D&gt;&lt;D xsi:type="xsd:long"&gt;43510&lt;/D&gt;&lt;D xsi:type="xsd:long"&gt;43509&lt;/D&gt;&lt;D xsi:type="xsd:long"&gt;43508&lt;/D&gt;&lt;D xsi:type="xsd:long"&gt;43507&lt;/D&gt;&lt;D xsi:type="xsd:long"&gt;43504&lt;/D&gt;&lt;D xsi:type="xsd:long"&gt;43503&lt;/D&gt;&lt;D xsi:type="xsd:long"&gt;43502&lt;/D&gt;&lt;D xsi:type="xsd:long"&gt;43501&lt;/D&gt;&lt;D xsi:type="xsd:long"&gt;43500&lt;/D&gt;&lt;D xsi:type="xsd:long"&gt;43497&lt;/D&gt;&lt;D xsi:type="xsd:long"&gt;43496&lt;/D&gt;&lt;D xsi:type="xsd:long"&gt;43495&lt;/D&gt;&lt;D xsi:type="xsd:long"&gt;43494&lt;/D&gt;&lt;D xsi:type="xsd:long"&gt;43493&lt;/D&gt;&lt;D xsi:type="xsd:long"&gt;43490&lt;/D&gt;&lt;D xsi:type="xsd:long"&gt;43489&lt;/D&gt;&lt;D xsi:type="xsd:long"&gt;43488&lt;/D&gt;&lt;D xsi:type="xsd:long"&gt;43487&lt;/D&gt;&lt;D xsi:type="xsd:long"&gt;43483&lt;/D&gt;&lt;D xsi:type="xsd:long"&gt;43482&lt;/D&gt;&lt;D xsi:type="xsd:long"&gt;43481&lt;/D&gt;&lt;D xsi:type="xsd:long"&gt;43480&lt;/D&gt;&lt;D xsi:type="xsd:long"&gt;43479&lt;/D&gt;&lt;D xsi:type="xsd:long"&gt;43476&lt;/D&gt;&lt;D xsi:type="xsd:long"&gt;43475&lt;/D&gt;&lt;D xsi:type="xsd:long"&gt;43474&lt;/D&gt;&lt;D xsi:type="xsd:long"&gt;43473&lt;/D&gt;&lt;D xsi:type="xsd:long"&gt;43472&lt;/D&gt;&lt;D xsi:type="xsd:long"&gt;43469&lt;/D&gt;&lt;D xsi:type="xsd:long"&gt;43468&lt;/D&gt;&lt;D xsi:type="xsd:long"&gt;43467&lt;/D&gt;&lt;D xsi:type="xsd:long"&gt;43465&lt;/D&gt;&lt;D xsi:type="xsd:long"&gt;43462&lt;/D&gt;&lt;D xsi:type="xsd:long"&gt;43461&lt;/D&gt;&lt;D xsi:type="xsd:long"&gt;43460&lt;/D&gt;&lt;D xsi:type="xsd:long"&gt;43458&lt;/D&gt;&lt;D xsi:type="xsd:long"&gt;43455&lt;/D&gt;&lt;D xsi:type="xsd:long"&gt;43454&lt;/D&gt;&lt;D xsi:type="xsd:long"&gt;43453&lt;/D&gt;&lt;D xsi:type="xsd:long"&gt;43452&lt;/D&gt;&lt;D xsi:type="xsd:long"&gt;43451&lt;/D&gt;&lt;D xsi:type="xsd:long"&gt;43448&lt;/D&gt;&lt;D xsi:type="xsd:long"&gt;43447&lt;/D&gt;&lt;D xsi:type="xsd:long"&gt;43446&lt;/D&gt;&lt;D xsi:type="xsd:long"&gt;43445&lt;/D&gt;&lt;D xsi:type="xsd:long"&gt;43444&lt;/D&gt;&lt;D xsi:type="xsd:long"&gt;43441&lt;/D&gt;&lt;D xsi:type="xsd:long"&gt;43440&lt;/D&gt;&lt;D xsi:type="xsd:long"&gt;43438&lt;/D&gt;&lt;D xsi:type="xsd:long"&gt;43437&lt;/D&gt;&lt;D xsi:type="xsd:long"&gt;43434&lt;/D&gt;&lt;D xsi:type="xsd:long"&gt;43433&lt;/D&gt;&lt;D xsi:type="xsd:long"&gt;43432&lt;/D&gt;&lt;D xsi:type="xsd:long"&gt;43431&lt;/D&gt;&lt;D xsi:type="xsd:long"&gt;43430&lt;/D&gt;&lt;D xsi:type="xsd:long"&gt;43427&lt;/D&gt;&lt;D xsi:type="xsd:long"&gt;43425&lt;/D&gt;&lt;D xsi:type="xsd:long"&gt;43424&lt;/D&gt;&lt;D xsi:type="xsd:long"&gt;43423&lt;/D&gt;&lt;D xsi:type="xsd:long"&gt;43420&lt;/D&gt;&lt;D xsi:type="xsd:long"&gt;43419&lt;/D&gt;&lt;D xsi:type="xsd:long"&gt;43418&lt;/D&gt;&lt;D xsi:type="xsd:long"&gt;43417&lt;/D&gt;&lt;D xsi:type="xsd:long"&gt;43416&lt;/D&gt;&lt;D xsi:type="xsd:long"&gt;43413&lt;/D&gt;&lt;D xsi:type="xsd:long"&gt;43412&lt;/D&gt;&lt;D xsi:type="xsd:long"&gt;43411&lt;/D&gt;&lt;D xsi:type="xsd:long"&gt;43410&lt;/D&gt;&lt;D xsi:type="xsd:long"&gt;43409&lt;/D&gt;&lt;D xsi:type="xsd:long"&gt;43406&lt;/D&gt;&lt;D xsi:type="xsd:long"&gt;43405&lt;/D&gt;&lt;D xsi:type="xsd:long"&gt;43404&lt;/D&gt;&lt;D xsi:type="xsd:long"&gt;43403&lt;/D&gt;&lt;D xsi:type="xsd:long"&gt;43402&lt;/D&gt;&lt;D xsi:type="xsd:long"&gt;43399&lt;/D&gt;&lt;D xsi:type="xsd:long"&gt;43398&lt;/D&gt;&lt;D xsi:type="xsd:long"&gt;43397&lt;/D&gt;&lt;D xsi:type="xsd:long"&gt;43396&lt;/D&gt;&lt;D xsi:type="xsd:long"&gt;43395&lt;/D&gt;&lt;D xsi:type="xsd:long"&gt;43392&lt;/D&gt;&lt;D xsi:type="xsd:long"&gt;43391&lt;/D&gt;&lt;D xsi:type="xsd:long"&gt;43390&lt;/D&gt;&lt;D xsi:type="xsd:long"&gt;43389&lt;/D&gt;&lt;D xsi:type="xsd:long"&gt;43388&lt;/D&gt;&lt;D xsi:type="xsd:long"&gt;43385&lt;/D&gt;&lt;D xsi:type="xsd:long"&gt;43384&lt;/D&gt;&lt;D xsi:type="xsd:long"&gt;43383&lt;/D&gt;&lt;D xsi:type="xsd:long"&gt;43382&lt;/D&gt;&lt;D xsi:type="xsd:long"&gt;43381&lt;/D&gt;&lt;D xsi:type="xsd:long"&gt;43378&lt;/D&gt;&lt;D xsi:type="xsd:long"&gt;43377&lt;/D&gt;&lt;D xsi:type="xsd:long"&gt;43376&lt;/D&gt;&lt;D xsi:type="xsd:long"&gt;43375&lt;/D&gt;&lt;D xsi:type="xsd:long"&gt;43374&lt;/D&gt;&lt;D xsi:type="xsd:long"&gt;43371&lt;/D&gt;&lt;D xsi:type="xsd:long"&gt;43370&lt;/D&gt;&lt;D xsi:type="xsd:long"&gt;43369&lt;/D&gt;&lt;D xsi:type="xsd:long"&gt;43368&lt;/D&gt;&lt;D xsi:type="xsd:long"&gt;43367&lt;/D&gt;&lt;D xsi:type="xsd:long"&gt;43364&lt;/D&gt;&lt;D xsi:type="xsd:long"&gt;43363&lt;/D&gt;&lt;D xsi:type="xsd:long"&gt;43362&lt;/D&gt;&lt;D xsi:type="xsd:long"&gt;43361&lt;/D&gt;&lt;D xsi:type="xsd:long"&gt;43360&lt;/D&gt;&lt;D xsi:type="xsd:long"&gt;43357&lt;/D&gt;&lt;D xsi:type="xsd:long"&gt;43356&lt;/D&gt;&lt;D xsi:type="xsd:long"&gt;43355&lt;/D&gt;&lt;D xsi:type="xsd:long"&gt;43354&lt;/D&gt;&lt;D xsi:type="xsd:long"&gt;43353&lt;/D&gt;&lt;D xsi:type="xsd:long"&gt;43350&lt;/D&gt;&lt;D xsi:type="xsd:long"&gt;43349&lt;/D&gt;&lt;D xsi:type="xsd:long"&gt;43348&lt;/D&gt;&lt;D xsi:type="xsd:long"&gt;43347&lt;/D&gt;&lt;D xsi:type="xsd:long"&gt;43343&lt;/D&gt;&lt;D xsi:type="xsd:long"&gt;43342&lt;/D&gt;&lt;D xsi:type="xsd:long"&gt;43341&lt;/D&gt;&lt;D xsi:type="xsd:long"&gt;43340&lt;/D&gt;&lt;D xsi:type="xsd:long"&gt;43339&lt;/D&gt;&lt;D xsi:type="xsd:long"&gt;43336&lt;/D&gt;&lt;D xsi:type="xsd:long"&gt;43335&lt;/D&gt;&lt;D xsi:type="xsd:long"&gt;43334&lt;/D&gt;&lt;D xsi:type="xsd:long"&gt;43333&lt;/D&gt;&lt;D xsi:type="xsd:long"&gt;43332&lt;/D&gt;&lt;D xsi:type="xsd:long"&gt;43329&lt;/D&gt;&lt;D xsi:type="xsd:long"&gt;43328&lt;/D&gt;&lt;D xsi:type="xsd:long"&gt;43327&lt;/D&gt;&lt;D xsi:type="xsd:long"&gt;43326&lt;/D&gt;&lt;D xsi:type="xsd:long"&gt;43325&lt;/D&gt;&lt;D xsi:type="xsd:long"&gt;43322&lt;/D&gt;&lt;D xsi:type="xsd:long"&gt;43321&lt;/D&gt;&lt;D xsi:type="xsd:long"&gt;43320&lt;/D&gt;&lt;D xsi:type="xsd:long"&gt;43319&lt;/D&gt;&lt;D xsi:type="xsd:long"&gt;43318&lt;/D&gt;&lt;D xsi:type="xsd:long"&gt;43315&lt;/D&gt;&lt;D xsi:type="xsd:long"&gt;43314&lt;/D&gt;&lt;D xsi:type="xsd:long"&gt;43313&lt;/D&gt;&lt;D xsi:type="xsd:long"&gt;43312&lt;/D&gt;&lt;D xsi:type="xsd:long"&gt;43311&lt;/D&gt;&lt;D xsi:type="xsd:long"&gt;43308&lt;/D&gt;&lt;D xsi:type="xsd:long"&gt;43307&lt;/D&gt;&lt;D xsi:type="xsd:long"&gt;43306&lt;/D&gt;&lt;D xsi:type="xsd:long"&gt;43305&lt;/D&gt;&lt;D xsi:type="xsd:long"&gt;43304&lt;/D&gt;&lt;D xsi:type="xsd:long"&gt;43301&lt;/D&gt;&lt;D xsi:type="xsd:long"&gt;43300&lt;/D&gt;&lt;D xsi:type="xsd:long"&gt;43299&lt;/D&gt;&lt;D xsi:type="xsd:long"&gt;43298&lt;/D&gt;&lt;D xsi:type="xsd:long"&gt;43297&lt;/D&gt;&lt;D xsi:type="xsd:long"&gt;43294&lt;/D&gt;&lt;D xsi:type="xsd:long"&gt;43293&lt;/D&gt;&lt;D xsi:type="xsd:long"&gt;43292&lt;/D&gt;&lt;D xsi:type="xsd:long"&gt;43291&lt;/D&gt;&lt;D xsi:type="xsd:long"&gt;43290&lt;/D&gt;&lt;D xsi:type="xsd:long"&gt;43287&lt;/D&gt;&lt;D xsi:type="xsd:long"&gt;43286&lt;/D&gt;&lt;D xsi:type="xsd:long"&gt;43284&lt;/D&gt;&lt;D xsi:type="xsd:long"&gt;43283&lt;/D&gt;&lt;D xsi:type="xsd:long"&gt;43280&lt;/D&gt;&lt;D xsi:type="xsd:long"&gt;43279&lt;/D&gt;&lt;D xsi:type="xsd:long"&gt;43278&lt;/D&gt;&lt;D xsi:type="xsd:long"&gt;43277&lt;/D&gt;&lt;D xsi:type="xsd:long"&gt;43276&lt;/D&gt;&lt;D xsi:type="xsd:long"&gt;43273&lt;/D&gt;&lt;D xsi:type="xsd:long"&gt;43272&lt;/D&gt;&lt;D xsi:type="xsd:long"&gt;43271&lt;/D&gt;&lt;D xsi:type="xsd:long"&gt;43270&lt;/D&gt;&lt;D xsi:type="xsd:long"&gt;43269&lt;/D&gt;&lt;D xsi:type="xsd:long"&gt;43266&lt;/D&gt;&lt;D xsi:type="xsd:long"&gt;43265&lt;/D&gt;&lt;D xsi:type="xsd:long"&gt;43264&lt;/D&gt;&lt;D xsi:type="xsd:long"&gt;43263&lt;/D&gt;&lt;D xsi:type="xsd:long"&gt;43262&lt;/D&gt;&lt;D xsi:type="xsd:long"&gt;43259&lt;/D&gt;&lt;D xsi:type="xsd:long"&gt;43258&lt;/D&gt;&lt;D xsi:type="xsd:long"&gt;43257&lt;/D&gt;&lt;D xsi:type="xsd:long"&gt;43256&lt;/D&gt;&lt;D xsi:type="xsd:long"&gt;43255&lt;/D&gt;&lt;D xsi:type="xsd:long"&gt;43252&lt;/D&gt;&lt;D xsi:type="xsd:long"&gt;43251&lt;/D&gt;&lt;D xsi:type="xsd:long"&gt;43250&lt;/D&gt;&lt;D xsi:type="xsd:long"&gt;43249&lt;/D&gt;&lt;D xsi:type="xsd:long"&gt;43245&lt;/D&gt;&lt;D xsi:type="xsd:long"&gt;43244&lt;/D&gt;&lt;D xsi:type="xsd:long"&gt;43243&lt;/D&gt;&lt;D xsi:type="xsd:long"&gt;43242&lt;/D&gt;&lt;D xsi:type="xsd:long"&gt;43241&lt;/D&gt;&lt;D xsi:type="xsd:long"&gt;43238&lt;/D&gt;&lt;D xsi:type="xsd:long"&gt;43237&lt;/D&gt;&lt;D xsi:type="xsd:long"&gt;43236&lt;/D&gt;&lt;D xsi:type="xsd:long"&gt;43235&lt;/D&gt;&lt;D xsi:type="xsd:long"&gt;43234&lt;/D&gt;&lt;D xsi:type="xsd:long"&gt;43231&lt;/D&gt;&lt;D xsi:type="xsd:long"&gt;43230&lt;/D&gt;&lt;D xsi:type="xsd:long"&gt;43229&lt;/D&gt;&lt;D xsi:type="xsd:long"&gt;43228&lt;/D&gt;&lt;D xsi:type="xsd:long"&gt;43227&lt;/D&gt;&lt;D xsi:type="xsd:long"&gt;43224&lt;/D&gt;&lt;D xsi:type="xsd:long"&gt;43223&lt;/D&gt;&lt;D xsi:type="xsd:long"&gt;43222&lt;/D&gt;&lt;D xsi:type="xsd:long"&gt;43221&lt;/D&gt;&lt;D xsi:type="xsd:long"&gt;43220&lt;/D&gt;&lt;D xsi:type="xsd:long"&gt;43217&lt;/D&gt;&lt;D xsi:type="xsd:long"&gt;43216&lt;/D&gt;&lt;D xsi:type="xsd:long"&gt;43215&lt;/D&gt;&lt;D xsi:type="xsd:long"&gt;43214&lt;/D&gt;&lt;D xsi:type="xsd:long"&gt;43213&lt;/D&gt;&lt;D xsi:type="xsd:long"&gt;43210&lt;/D&gt;&lt;D xsi:type="xsd:long"&gt;43209&lt;/D&gt;&lt;D xsi:type="xsd:long"&gt;43208&lt;/D&gt;&lt;D xsi:type="xsd:long"&gt;43207&lt;/D&gt;&lt;D xsi:type="xsd:long"&gt;43206&lt;/D&gt;&lt;D xsi:type="xsd:long"&gt;43203&lt;/D&gt;&lt;D xsi:type="xsd:long"&gt;43202&lt;/D&gt;&lt;D xsi:type="xsd:long"&gt;43201&lt;/D&gt;&lt;D xsi:type="xsd:long"&gt;43200&lt;/D&gt;&lt;D xsi:type="xsd:long"&gt;43199&lt;/D&gt;&lt;D xsi:type="xsd:long"&gt;43196&lt;/D&gt;&lt;D xsi:type="xsd:long"&gt;43195&lt;/D&gt;&lt;D xsi:type="xsd:long"&gt;43194&lt;/D&gt;&lt;D xsi:type="xsd:long"&gt;43193&lt;/D&gt;&lt;D xsi:type="xsd:long"&gt;43192&lt;/D&gt;&lt;D xsi:type="xsd:long"&gt;43188&lt;/D&gt;&lt;D xsi:type="xsd:long"&gt;43187&lt;/D&gt;&lt;D xsi:type="xsd:long"&gt;43186&lt;/D&gt;&lt;D xsi:type="xsd:long"&gt;43185&lt;/D&gt;&lt;D xsi:type="xsd:long"&gt;43182&lt;/D&gt;&lt;D xsi:type="xsd:long"&gt;43181&lt;/D&gt;&lt;D xsi:type="xsd:long"&gt;43180&lt;/D&gt;&lt;D xsi:type="xsd:long"&gt;43179&lt;/D&gt;&lt;D xsi:type="xsd:long"&gt;43178&lt;/D&gt;&lt;D xsi:type="xsd:long"&gt;43175&lt;/D&gt;&lt;D xsi:type="xsd:long"&gt;43174&lt;/D&gt;&lt;D xsi:type="xsd:long"&gt;43173&lt;/D&gt;&lt;D xsi:type="xsd:long"&gt;43172&lt;/D&gt;&lt;D xsi:type="xsd:long"&gt;43171&lt;/D&gt;&lt;D xsi:type="xsd:long"&gt;43168&lt;/D&gt;&lt;D xsi:type="xsd:long"&gt;43167&lt;/D&gt;&lt;D xsi:type="xsd:long"&gt;43166&lt;/D&gt;&lt;D xsi:type="xsd:long"&gt;43165&lt;/D&gt;&lt;D xsi:type="xsd:long"&gt;43164&lt;/D&gt;&lt;D xsi:type="xsd:long"&gt;43161&lt;/D&gt;&lt;D xsi:type="xsd:long"&gt;43160&lt;/D&gt;&lt;D xsi:type="xsd:long"&gt;43159&lt;/D&gt;&lt;D xsi:type="xsd:long"&gt;43158&lt;/D&gt;&lt;D xsi:type="xsd:long"&gt;43157&lt;/D&gt;&lt;D xsi:type="xsd:long"&gt;43154&lt;/D&gt;&lt;D xsi:type="xsd:long"&gt;43153&lt;/D&gt;&lt;D xsi:type="xsd:long"&gt;43152&lt;/D&gt;&lt;D xsi:type="xsd:long"&gt;43151&lt;/D&gt;&lt;D xsi:type="xsd:long"&gt;43147&lt;/D&gt;&lt;D xsi:type="xsd:long"&gt;43146&lt;/D&gt;&lt;D xsi:type="xsd:long"&gt;43145&lt;/D&gt;&lt;D xsi:type="xsd:long"&gt;43144&lt;/D&gt;&lt;D xsi:type="xsd:long"&gt;43143&lt;/D&gt;&lt;D xsi:type="xsd:long"&gt;43140&lt;/D&gt;&lt;D xsi:type="xsd:long"&gt;43139&lt;/D&gt;&lt;D xsi:type="xsd:long"&gt;43138&lt;/D&gt;&lt;D xsi:type="xsd:long"&gt;43137&lt;/D&gt;&lt;D xsi:type="xsd:long"&gt;43136&lt;/D&gt;&lt;D xsi:type="xsd:long"&gt;43133&lt;/D&gt;&lt;D xsi:type="xsd:long"&gt;43132&lt;/D&gt;&lt;D xsi:type="xsd:long"&gt;43131&lt;/D&gt;&lt;D xsi:type="xsd:long"&gt;43130&lt;/D&gt;&lt;D xsi:type="xsd:long"&gt;43129&lt;/D&gt;&lt;D xsi:type="xsd:long"&gt;43126&lt;/D&gt;&lt;D xsi:type="xsd:long"&gt;43125&lt;/D&gt;&lt;D xsi:type="xsd:long"&gt;43124&lt;/D&gt;&lt;D xsi:type="xsd:long"&gt;43123&lt;/D&gt;&lt;D xsi:type="xsd:long"&gt;43122&lt;/D&gt;&lt;D xsi:type="xsd:long"&gt;43119&lt;/D&gt;&lt;D xsi:type="xsd:long"&gt;43118&lt;/D&gt;&lt;D xsi:type="xsd:long"&gt;43117&lt;/D&gt;&lt;D xsi:type="xsd:long"&gt;43116&lt;/D&gt;&lt;D xsi:type="xsd:long"&gt;43112&lt;/D&gt;&lt;D xsi:type="xsd:long"&gt;43111&lt;/D&gt;&lt;D xsi:type="xsd:long"&gt;43110&lt;/D&gt;&lt;D xsi:type="xsd:long"&gt;43109&lt;/D&gt;&lt;D xsi:type="xsd:long"&gt;43108&lt;/D&gt;&lt;D xsi:type="xsd:long"&gt;43105&lt;/D&gt;&lt;D xsi:type="xsd:long"&gt;43104&lt;/D&gt;&lt;D xsi:type="xsd:long"&gt;43103&lt;/D&gt;&lt;D xsi:type="xsd:long"&gt;43102&lt;/D&gt;&lt;D xsi:type="xsd:long"&gt;43098&lt;/D&gt;&lt;D xsi:type="xsd:long"&gt;43097&lt;/D&gt;&lt;D xsi:type="xsd:long"&gt;43096&lt;/D&gt;&lt;D xsi:type="xsd:long"&gt;43095&lt;/D&gt;&lt;D xsi:type="xsd:long"&gt;43091&lt;/D&gt;&lt;D xsi:type="xsd:long"&gt;43090&lt;/D&gt;&lt;D xsi:type="xsd:long"&gt;43089&lt;/D&gt;&lt;D xsi:type="xsd:long"&gt;43088&lt;/D&gt;&lt;D xsi:type="xsd:long"&gt;43087&lt;/D&gt;&lt;D xsi:type="xsd:long"&gt;43084&lt;/D&gt;&lt;D xsi:type="xsd:long"&gt;43083&lt;/D&gt;&lt;D xsi:type="xsd:long"&gt;43082&lt;/D&gt;&lt;D xsi:type="xsd:long"&gt;43081&lt;/D&gt;&lt;D xsi:type="xsd:long"&gt;43080&lt;/D&gt;&lt;D xsi:type="xsd:long"&gt;43077&lt;/D&gt;&lt;D xsi:type="xsd:long"&gt;43076&lt;/D&gt;&lt;D xsi:type="xsd:long"&gt;43075&lt;/D&gt;&lt;D xsi:type="xsd:long"&gt;43074&lt;/D&gt;&lt;D xsi:type="xsd:long"&gt;43073&lt;/D&gt;&lt;D xsi:type="xsd:long"&gt;43070&lt;/D&gt;&lt;D xsi:type="xsd:long"&gt;43069&lt;/D&gt;&lt;D xsi:type="xsd:long"&gt;43068&lt;/D&gt;&lt;D xsi:type="xsd:long"&gt;43067&lt;/D&gt;&lt;D xsi:type="xsd:long"&gt;43066&lt;/D&gt;&lt;D xsi:type="xsd:long"&gt;43063&lt;/D&gt;&lt;D xsi:type="xsd:long"&gt;43061&lt;/D&gt;&lt;D xsi:type="xsd:long"&gt;43060&lt;/D&gt;&lt;D xsi:type="xsd:long"&gt;43059&lt;/D&gt;&lt;D xsi:type="xsd:long"&gt;43056&lt;/D&gt;&lt;D xsi:type="xsd:long"&gt;43055&lt;/D&gt;&lt;D xsi:type="xsd:long"&gt;43054&lt;/D&gt;&lt;D xsi:type="xsd:long"&gt;43053&lt;/D&gt;&lt;D xsi:type="xsd:long"&gt;43052&lt;/D&gt;&lt;D xsi:type="xsd:long"&gt;43049&lt;/D&gt;&lt;D xsi:type="xsd:long"&gt;43048&lt;/D&gt;&lt;D xsi:type="xsd:long"&gt;43047&lt;/D&gt;&lt;D xsi:type="xsd:long"&gt;43046&lt;/D&gt;&lt;D xsi:type="xsd:long"&gt;43045&lt;/D&gt;&lt;D xsi:type="xsd:long"&gt;43042&lt;/D&gt;&lt;D xsi:type="xsd:long"&gt;43041&lt;/D&gt;&lt;D xsi:type="xsd:long"&gt;43040&lt;/D&gt;&lt;D xsi:type="xsd:long"&gt;43039&lt;/D&gt;&lt;D xsi:type="xsd:long"&gt;43038&lt;/D&gt;&lt;D xsi:type="xsd:long"&gt;43035&lt;/D&gt;&lt;D xsi:type="xsd:long"&gt;43034&lt;/D&gt;&lt;D xsi:type="xsd:long"&gt;43033&lt;/D&gt;&lt;D xsi:type="xsd:long"&gt;43032&lt;/D&gt;&lt;D xsi:type="xsd:long"&gt;43031&lt;/D&gt;&lt;D xsi:type="xsd:long"&gt;43028&lt;/D&gt;&lt;D xsi:type="xsd:long"&gt;43027&lt;/D&gt;&lt;D xsi:type="xsd:long"&gt;43026&lt;/D&gt;&lt;D xsi:type="xsd:long"&gt;43025&lt;/D&gt;&lt;D xsi:type="xsd:long"&gt;43024&lt;/D&gt;&lt;D xsi:type="xsd:long"&gt;43021&lt;/D&gt;&lt;D xsi:type="xsd:long"&gt;43020&lt;/D&gt;&lt;D xsi:type="xsd:long"&gt;43019&lt;/D&gt;&lt;D xsi:type="xsd:long"&gt;43018&lt;/D&gt;&lt;D xsi:type="xsd:long"&gt;43017&lt;/D&gt;&lt;D xsi:type="xsd:long"&gt;43014&lt;/D&gt;&lt;D xsi:type="xsd:long"&gt;43013&lt;/D&gt;&lt;D xsi:type="xsd:long"&gt;43012&lt;/D&gt;&lt;D xsi:type="xsd:long"&gt;43011&lt;/D&gt;&lt;D xsi:type="xsd:long"&gt;43010&lt;/D&gt;&lt;D xsi:type="xsd:long"&gt;43007&lt;/D&gt;&lt;D xsi:type="xsd:long"&gt;43006&lt;/D&gt;&lt;D xsi:type="xsd:long"&gt;43005&lt;/D&gt;&lt;D xsi:type="xsd:long"&gt;43004&lt;/D&gt;&lt;D xsi:type="xsd:long"&gt;43003&lt;/D&gt;&lt;D xsi:type="xsd:long"&gt;43000&lt;/D&gt;&lt;D xsi:type="xsd:long"&gt;42999&lt;/D&gt;&lt;D xsi:type="xsd:long"&gt;42998&lt;/D&gt;&lt;D xsi:type="xsd:long"&gt;42997&lt;/D&gt;&lt;D xsi:type="xsd:long"&gt;42996&lt;/D&gt;&lt;D xsi:type="xsd:long"&gt;42993&lt;/D&gt;&lt;D xsi:type="xsd:long"&gt;42992&lt;/D&gt;&lt;D xsi:type="xsd:long"&gt;42991&lt;/D&gt;&lt;D xsi:type="xsd:long"&gt;42990&lt;/D&gt;&lt;D xsi:type="xsd:long"&gt;42989&lt;/D&gt;&lt;D xsi:type="xsd:long"&gt;42986&lt;/D&gt;&lt;D xsi:type="xsd:long"&gt;42985&lt;/D&gt;&lt;D xsi:type="xsd:long"&gt;42984&lt;/D&gt;&lt;D xsi:type="xsd:long"&gt;42983&lt;/D&gt;&lt;D xsi:type="xsd:long"&gt;42979&lt;/D&gt;&lt;D xsi:type="xsd:long"&gt;42978&lt;/D&gt;&lt;D xsi:type="xsd:long"&gt;42977&lt;/D&gt;&lt;D xsi:type="xsd:long"&gt;42976&lt;/D&gt;&lt;D xsi:type="xsd:long"&gt;42975&lt;/D&gt;&lt;D xsi:type="xsd:long"&gt;42972&lt;/D&gt;&lt;D xsi:type="xsd:long"&gt;42971&lt;/D&gt;&lt;D xsi:type="xsd:long"&gt;42970&lt;/D&gt;&lt;D xsi:type="xsd:long"&gt;42969&lt;/D&gt;&lt;D xsi:type="xsd:long"&gt;42968&lt;/D&gt;&lt;D xsi:type="xsd:long"&gt;42965&lt;/D&gt;&lt;D xsi:type="xsd:long"&gt;42964&lt;/D&gt;&lt;D xsi:type="xsd:long"&gt;42963&lt;/D&gt;&lt;D xsi:type="xsd:long"&gt;42962&lt;/D&gt;&lt;D xsi:type="xsd:long"&gt;42961&lt;/D&gt;&lt;D xsi:type="xsd:long"&gt;42958&lt;/D&gt;&lt;D xsi:type="xsd:long"&gt;42957&lt;/D&gt;&lt;D xsi:type="xsd:long"&gt;42956&lt;/D&gt;&lt;D xsi:type="xsd:long"&gt;42955&lt;/D&gt;&lt;D xsi:type="xsd:long"&gt;42954&lt;/D&gt;&lt;D xsi:type="xsd:long"&gt;42951&lt;/D&gt;&lt;D xsi:type="xsd:long"&gt;42950&lt;/D&gt;&lt;D xsi:type="xsd:long"&gt;42949&lt;/D&gt;&lt;D xsi:type="xsd:long"&gt;42948&lt;/D&gt;&lt;D xsi:type="xsd:long"&gt;42947&lt;/D&gt;&lt;D xsi:type="xsd:long"&gt;42944&lt;/D&gt;&lt;D xsi:type="xsd:long"&gt;42943&lt;/D&gt;&lt;D xsi:type="xsd:long"&gt;42942&lt;/D&gt;&lt;D xsi:type="xsd:long"&gt;42941&lt;/D&gt;&lt;D xsi:type="xsd:long"&gt;42940&lt;/D&gt;&lt;D xsi:type="xsd:long"&gt;42937&lt;/D&gt;&lt;D xsi:type="xsd:long"&gt;42936&lt;/D&gt;&lt;D xsi:type="xsd:long"&gt;42935&lt;/D&gt;&lt;D xsi:type="xsd:long"&gt;42934&lt;/D&gt;&lt;D xsi:type="xsd:long"&gt;42933&lt;/D&gt;&lt;D xsi:type="xsd:long"&gt;42930&lt;/D&gt;&lt;D xsi:type="xsd:long"&gt;42929&lt;/D&gt;&lt;D xsi:type="xsd:long"&gt;42928&lt;/D&gt;&lt;D xsi:type="xsd:long"&gt;42927&lt;/D&gt;&lt;D xsi:type="xsd:long"&gt;42926&lt;/D&gt;&lt;D xsi:type="xsd:long"&gt;42923&lt;/D&gt;&lt;D xsi:type="xsd:long"&gt;42922&lt;/D&gt;&lt;D xsi:type="xsd:long"&gt;42921&lt;/D&gt;&lt;D xsi:type="xsd:long"&gt;42919&lt;/D&gt;&lt;D xsi:type="xsd:long"&gt;42916&lt;/D&gt;&lt;D xsi:type="xsd:long"&gt;42915&lt;/D&gt;&lt;D xsi:type="xsd:long"&gt;42914&lt;/D&gt;&lt;D xsi:type="xsd:long"&gt;42913&lt;/D&gt;&lt;D xsi:type="xsd:long"&gt;42912&lt;/D&gt;&lt;D xsi:type="xsd:long"&gt;42909&lt;/D&gt;&lt;D xsi:type="xsd:long"&gt;42908&lt;/D&gt;&lt;D xsi:type="xsd:long"&gt;42907&lt;/D&gt;&lt;D xsi:type="xsd:long"&gt;42906&lt;/D&gt;&lt;D xsi:type="xsd:long"&gt;42905&lt;/D&gt;&lt;D xsi:type="xsd:long"&gt;42902&lt;/D&gt;&lt;D xsi:type="xsd:long"&gt;42901&lt;/D&gt;&lt;D xsi:type="xsd:long"&gt;42900&lt;/D&gt;&lt;D xsi:type="xsd:long"&gt;42899&lt;/D&gt;&lt;D xsi:type="xsd:long"&gt;42898&lt;/D&gt;&lt;D xsi:type="xsd:long"&gt;42895&lt;/D&gt;&lt;D xsi:type="xsd:long"&gt;42894&lt;/D&gt;&lt;D xsi:type="xsd:long"&gt;42893&lt;/D&gt;&lt;D xsi:type="xsd:long"&gt;42892&lt;/D&gt;&lt;D xsi:type="xsd:long"&gt;42891&lt;/D&gt;&lt;D xsi:type="xsd:long"&gt;42888&lt;/D&gt;&lt;D xsi:type="xsd:long"&gt;42887&lt;/D&gt;&lt;D xsi:type="xsd:long"&gt;42886&lt;/D&gt;&lt;D xsi:type="xsd:long"&gt;42885&lt;/D&gt;&lt;D xsi:type="xsd:long"&gt;42881&lt;/D&gt;&lt;D xsi:type="xsd:long"&gt;42880&lt;/D&gt;&lt;D xsi:type="xsd:long"&gt;42879&lt;/D&gt;&lt;D xsi:type="xsd:long"&gt;42878&lt;/D&gt;&lt;D xsi:type="xsd:long"&gt;42877&lt;/D&gt;&lt;D xsi:type="xsd:long"&gt;42874&lt;/D&gt;&lt;D xsi:type="xsd:long"&gt;42873&lt;/D&gt;&lt;D xsi:type="xsd:long"&gt;42872&lt;/D&gt;&lt;D xsi:type="xsd:long"&gt;42871&lt;/D&gt;&lt;D xsi:type="xsd:long"&gt;42870&lt;/D&gt;&lt;D xsi:type="xsd:long"&gt;42867&lt;/D&gt;&lt;D xsi:type="xsd:long"&gt;42866&lt;/D&gt;&lt;D xsi:type="xsd:long"&gt;42865&lt;/D&gt;&lt;D xsi:type="xsd:long"&gt;42864&lt;/D&gt;&lt;D xsi:type="xsd:long"&gt;42863&lt;/D&gt;&lt;D xsi:type="xsd:long"&gt;42860&lt;/D&gt;&lt;D xsi:type="xsd:long"&gt;42859&lt;/D&gt;&lt;D xsi:type="xsd:long"&gt;42858&lt;/D&gt;&lt;D xsi:type="xsd:long"&gt;42857&lt;/D&gt;&lt;D xsi:type="xsd:long"&gt;42856&lt;/D&gt;&lt;D xsi:type="xsd:long"&gt;42853&lt;/D&gt;&lt;D xsi:type="xsd:long"&gt;42852&lt;/D&gt;&lt;D xsi:type="xsd:long"&gt;42851&lt;/D&gt;&lt;D xsi:type="xsd:long"&gt;42850&lt;/D&gt;&lt;D xsi:type="xsd:long"&gt;42849&lt;/D&gt;&lt;D xsi:type="xsd:long"&gt;42846&lt;/D&gt;&lt;D xsi:type="xsd:long"&gt;42845&lt;/D&gt;&lt;D xsi:type="xsd:long"&gt;42844&lt;/D&gt;&lt;D xsi:type="xsd:long"&gt;42843&lt;/D&gt;&lt;D xsi:type="xsd:long"&gt;42842&lt;/D&gt;&lt;D xsi:type="xsd:long"&gt;42838&lt;/D&gt;&lt;D xsi:type="xsd:long"&gt;42837&lt;/D&gt;&lt;D xsi:type="xsd:long"&gt;42836&lt;/D&gt;&lt;D xsi:type="xsd:long"&gt;42835&lt;/D&gt;&lt;D xsi:type="xsd:long"&gt;42832&lt;/D&gt;&lt;D xsi:type="xsd:long"&gt;42831&lt;/D&gt;&lt;D xsi:type="xsd:long"&gt;42830&lt;/D&gt;&lt;D xsi:type="xsd:long"&gt;42829&lt;/D&gt;&lt;D xsi:type="xsd:long"&gt;42828&lt;/D&gt;&lt;D xsi:type="xsd:long"&gt;42825&lt;/D&gt;&lt;D xsi:type="xsd:long"&gt;42824&lt;/D&gt;&lt;D xsi:type="xsd:long"&gt;42823&lt;/D&gt;&lt;D xsi:type="xsd:long"&gt;42822&lt;/D&gt;&lt;D xsi:type="xsd:long"&gt;42821&lt;/D&gt;&lt;D xsi:type="xsd:long"&gt;42818&lt;/D&gt;&lt;D xsi:type="xsd:long"&gt;42817&lt;/D&gt;&lt;D xsi:type="xsd:long"&gt;42816&lt;/D&gt;&lt;D xsi:type="xsd:long"&gt;42815&lt;/D&gt;&lt;D xsi:type="xsd:long"&gt;42814&lt;/D&gt;&lt;D xsi:type="xsd:long"&gt;42811&lt;/D&gt;&lt;D xsi:type="xsd:long"&gt;42810&lt;/D&gt;&lt;D xsi:type="xsd:long"&gt;42809&lt;/D&gt;&lt;D xsi:type="xsd:long"&gt;42808&lt;/D&gt;&lt;D xsi:type="xsd:long"&gt;42807&lt;/D&gt;&lt;D xsi:type="xsd:long"&gt;42804&lt;/D&gt;&lt;D xsi:type="xsd:long"&gt;42803&lt;/D&gt;&lt;D xsi:type="xsd:long"&gt;42802&lt;/D&gt;&lt;D xsi:type="xsd:long"&gt;42801&lt;/D&gt;&lt;D xsi:type="xsd:long"&gt;42800&lt;/D&gt;&lt;D xsi:type="xsd:long"&gt;42797&lt;/D&gt;&lt;D xsi:type="xsd:long"&gt;42796&lt;/D&gt;&lt;D xsi:type="xsd:long"&gt;42795&lt;/D&gt;&lt;D xsi:type="xsd:long"&gt;42794&lt;/D&gt;&lt;D xsi:type="xsd:long"&gt;42793&lt;/D&gt;&lt;D xsi:type="xsd:long"&gt;42790&lt;/D&gt;&lt;D xsi:type="xsd:long"&gt;42789&lt;/D&gt;&lt;D xsi:type="xsd:long"&gt;42788&lt;/D&gt;&lt;D xsi:type="xsd:long"&gt;42787&lt;/D&gt;&lt;D xsi:type="xsd:long"&gt;42783&lt;/D&gt;&lt;D xsi:type="xsd:long"&gt;42782&lt;/D&gt;&lt;D xsi:type="xsd:long"&gt;42781&lt;/D&gt;&lt;D xsi:type="xsd:long"&gt;42780&lt;/D&gt;&lt;D xsi:type="xsd:long"&gt;42779&lt;/D&gt;&lt;D xsi:type="xsd:long"&gt;42776&lt;/D&gt;&lt;D xsi:type="xsd:long"&gt;42775&lt;/D&gt;&lt;D xsi:type="xsd:long"&gt;42774&lt;/D&gt;&lt;D xsi:type="xsd:long"&gt;42773&lt;/D&gt;&lt;D xsi:type="xsd:long"&gt;42772&lt;/D&gt;&lt;D xsi:type="xsd:long"&gt;42769&lt;/D&gt;&lt;D xsi:type="xsd:long"&gt;42768&lt;/D&gt;&lt;D xsi:type="xsd:long"&gt;42767&lt;/D&gt;&lt;D xsi:type="xsd:long"&gt;42766&lt;/D&gt;&lt;D xsi:type="xsd:long"&gt;42765&lt;/D&gt;&lt;D xsi:type="xsd:long"&gt;42762&lt;/D&gt;&lt;D xsi:type="xsd:long"&gt;42761&lt;/D&gt;&lt;D xsi:type="xsd:long"&gt;42760&lt;/D&gt;&lt;D xsi:type="xsd:long"&gt;42759&lt;/D&gt;&lt;D xsi:type="xsd:long"&gt;42758&lt;/D&gt;&lt;D xsi:type="xsd:long"&gt;42755&lt;/D&gt;&lt;D xsi:type="xsd:long"&gt;42754&lt;/D&gt;&lt;D xsi:type="xsd:long"&gt;42753&lt;/D&gt;&lt;D xsi:type="xsd:long"&gt;42752&lt;/D&gt;&lt;D xsi:type="xsd:long"&gt;42748&lt;/D&gt;&lt;D xsi:type="xsd:long"&gt;42747&lt;/D&gt;&lt;D xsi:type="xsd:lon</t>
        </r>
      </text>
    </comment>
    <comment ref="A54" authorId="0" shapeId="0">
      <text>
        <r>
          <rPr>
            <b/>
            <sz val="9"/>
            <color indexed="81"/>
            <rFont val="Tahoma"/>
            <family val="2"/>
          </rPr>
          <t>g"&gt;42746&lt;/D&gt;&lt;D xsi:type="xsd:long"&gt;42745&lt;/D&gt;&lt;D xsi:type="xsd:long"&gt;42744&lt;/D&gt;&lt;D xsi:type="xsd:long"&gt;42741&lt;/D&gt;&lt;D xsi:type="xsd:long"&gt;42740&lt;/D&gt;&lt;D xsi:type="xsd:long"&gt;42739&lt;/D&gt;&lt;D xsi:type="xsd:long"&gt;42738&lt;/D&gt;&lt;D xsi:type="xsd:long"&gt;42734&lt;/D&gt;&lt;D xsi:type="xsd:long"&gt;42733&lt;/D&gt;&lt;D xsi:type="xsd:long"&gt;42732&lt;/D&gt;&lt;D xsi:type="xsd:long"&gt;42731&lt;/D&gt;&lt;D xsi:type="xsd:long"&gt;42727&lt;/D&gt;&lt;D xsi:type="xsd:long"&gt;42726&lt;/D&gt;&lt;D xsi:type="xsd:long"&gt;42725&lt;/D&gt;&lt;D xsi:type="xsd:long"&gt;42724&lt;/D&gt;&lt;D xsi:type="xsd:long"&gt;42723&lt;/D&gt;&lt;D xsi:type="xsd:long"&gt;42720&lt;/D&gt;&lt;D xsi:type="xsd:long"&gt;42719&lt;/D&gt;&lt;D xsi:type="xsd:long"&gt;42718&lt;/D&gt;&lt;D xsi:type="xsd:long"&gt;42717&lt;/D&gt;&lt;D xsi:type="xsd:long"&gt;42716&lt;/D&gt;&lt;D xsi:type="xsd:long"&gt;42713&lt;/D&gt;&lt;D xsi:type="xsd:long"&gt;42712&lt;/D&gt;&lt;D xsi:type="xsd:long"&gt;42711&lt;/D&gt;&lt;D xsi:type="xsd:long"&gt;42710&lt;/D&gt;&lt;D xsi:type="xsd:long"&gt;42709&lt;/D&gt;&lt;D xsi:type="xsd:long"&gt;42706&lt;/D&gt;&lt;D xsi:type="xsd:long"&gt;42705&lt;/D&gt;&lt;D xsi:type="xsd:long"&gt;42704&lt;/D&gt;&lt;D xsi:type="xsd:long"&gt;42703&lt;/D&gt;&lt;D xsi:type="xsd:long"&gt;42702&lt;/D&gt;&lt;D xsi:type="xsd:long"&gt;42699&lt;/D&gt;&lt;D xsi:type="xsd:long"&gt;42697&lt;/D&gt;&lt;D xsi:type="xsd:long"&gt;42696&lt;/D&gt;&lt;D xsi:type="xsd:long"&gt;42695&lt;/D&gt;&lt;D xsi:type="xsd:long"&gt;42692&lt;/D&gt;&lt;D xsi:type="xsd:long"&gt;42691&lt;/D&gt;&lt;D xsi:type="xsd:long"&gt;42690&lt;/D&gt;&lt;D xsi:type="xsd:long"&gt;42689&lt;/D&gt;&lt;D xsi:type="xsd:long"&gt;42688&lt;/D&gt;&lt;D xsi:type="xsd:long"&gt;42685&lt;/D&gt;&lt;D xsi:type="xsd:long"&gt;42684&lt;/D&gt;&lt;D xsi:type="xsd:long"&gt;42683&lt;/D&gt;&lt;D xsi:type="xsd:long"&gt;42682&lt;/D&gt;&lt;D xsi:type="xsd:long"&gt;42681&lt;/D&gt;&lt;D xsi:type="xsd:long"&gt;42678&lt;/D&gt;&lt;D xsi:type="xsd:long"&gt;42677&lt;/D&gt;&lt;D xsi:type="xsd:long"&gt;42676&lt;/D&gt;&lt;D xsi:type="xsd:long"&gt;42675&lt;/D&gt;&lt;D xsi:type="xsd:long"&gt;42674&lt;/D&gt;&lt;D xsi:type="xsd:long"&gt;42671&lt;/D&gt;&lt;D xsi:type="xsd:long"&gt;42670&lt;/D&gt;&lt;D xsi:type="xsd:long"&gt;42669&lt;/D&gt;&lt;D xsi:type="xsd:long"&gt;42668&lt;/D&gt;&lt;D xsi:type="xsd:long"&gt;42667&lt;/D&gt;&lt;D xsi:type="xsd:long"&gt;42664&lt;/D&gt;&lt;D xsi:type="xsd:long"&gt;42663&lt;/D&gt;&lt;D xsi:type="xsd:long"&gt;42662&lt;/D&gt;&lt;D xsi:type="xsd:long"&gt;42661&lt;/D&gt;&lt;D xsi:type="xsd:long"&gt;42660&lt;/D&gt;&lt;D xsi:type="xsd:long"&gt;42657&lt;/D&gt;&lt;D xsi:type="xsd:long"&gt;42656&lt;/D&gt;&lt;D xsi:type="xsd:long"&gt;42655&lt;/D&gt;&lt;D xsi:type="xsd:long"&gt;42654&lt;/D&gt;&lt;D xsi:type="xsd:long"&gt;42653&lt;/D&gt;&lt;D xsi:type="xsd:long"&gt;42650&lt;/D&gt;&lt;D xsi:type="xsd:long"&gt;42649&lt;/D&gt;&lt;D xsi:type="xsd:long"&gt;42648&lt;/D&gt;&lt;D xsi:type="xsd:long"&gt;42647&lt;/D&gt;&lt;D xsi:type="xsd:long"&gt;42646&lt;/D&gt;&lt;D xsi:type="xsd:long"&gt;42643&lt;/D&gt;&lt;D xsi:type="xsd:long"&gt;42642&lt;/D&gt;&lt;D xsi:type="xsd:long"&gt;42641&lt;/D&gt;&lt;D xsi:type="xsd:long"&gt;42640&lt;/D&gt;&lt;D xsi:type="xsd:long"&gt;42639&lt;/D&gt;&lt;D xsi:type="xsd:long"&gt;42636&lt;/D&gt;&lt;D xsi:type="xsd:long"&gt;42635&lt;/D&gt;&lt;D xsi:type="xsd:long"&gt;42634&lt;/D&gt;&lt;D xsi:type="xsd:long"&gt;42633&lt;/D&gt;&lt;D xsi:type="xsd:long"&gt;42632&lt;/D&gt;&lt;D xsi:type="xsd:long"&gt;42629&lt;/D&gt;&lt;D xsi:type="xsd:long"&gt;42628&lt;/D&gt;&lt;D xsi:type="xsd:long"&gt;42627&lt;/D&gt;&lt;D xsi:type="xsd:long"&gt;42626&lt;/D&gt;&lt;D xsi:type="xsd:long"&gt;42625&lt;/D&gt;&lt;D xsi:type="xsd:long"&gt;42622&lt;/D&gt;&lt;D xsi:type="xsd:long"&gt;42621&lt;/D&gt;&lt;D xsi:type="xsd:long"&gt;42620&lt;/D&gt;&lt;D xsi:type="xsd:long"&gt;42619&lt;/D&gt;&lt;D xsi:type="xsd:long"&gt;42615&lt;/D&gt;&lt;D xsi:type="xsd:long"&gt;42614&lt;/D&gt;&lt;D xsi:type="xsd:long"&gt;42613&lt;/D&gt;&lt;D xsi:type="xsd:long"&gt;42612&lt;/D&gt;&lt;D xsi:type="xsd:long"&gt;42611&lt;/D&gt;&lt;D xsi:type="xsd:long"&gt;42608&lt;/D&gt;&lt;D xsi:type="xsd:long"&gt;42607&lt;/D&gt;&lt;D xsi:type="xsd:long"&gt;42606&lt;/D&gt;&lt;D xsi:type="xsd:long"&gt;42605&lt;/D&gt;&lt;D xsi:type="xsd:long"&gt;42604&lt;/D&gt;&lt;D xsi:type="xsd:long"&gt;42601&lt;/D&gt;&lt;D xsi:type="xsd:long"&gt;42600&lt;/D&gt;&lt;D xsi:type="xsd:long"&gt;42599&lt;/D&gt;&lt;D xsi:type="xsd:long"&gt;42598&lt;/D&gt;&lt;D xsi:type="xsd:long"&gt;42597&lt;/D&gt;&lt;D xsi:type="xsd:long"&gt;42594&lt;/D&gt;&lt;D xsi:type="xsd:long"&gt;42593&lt;/D&gt;&lt;D xsi:type="xsd:long"&gt;42592&lt;/D&gt;&lt;D xsi:type="xsd:long"&gt;42591&lt;/D&gt;&lt;D xsi:type="xsd:long"&gt;42590&lt;/D&gt;&lt;D xsi:type="xsd:long"&gt;42587&lt;/D&gt;&lt;D xsi:type="xsd:long"&gt;42586&lt;/D&gt;&lt;D xsi:type="xsd:long"&gt;42585&lt;/D&gt;&lt;D xsi:type="xsd:long"&gt;42584&lt;/D&gt;&lt;D xsi:type="xsd:long"&gt;42583&lt;/D&gt;&lt;D xsi:type="xsd:long"&gt;42580&lt;/D&gt;&lt;D xsi:type="xsd:long"&gt;42579&lt;/D&gt;&lt;D xsi:type="xsd:long"&gt;42578&lt;/D&gt;&lt;D xsi:type="xsd:long"&gt;42577&lt;/D&gt;&lt;D xsi:type="xsd:long"&gt;42576&lt;/D&gt;&lt;D xsi:type="xsd:long"&gt;42573&lt;/D&gt;&lt;D xsi:type="xsd:long"&gt;42572&lt;/D&gt;&lt;D xsi:type="xsd:long"&gt;42571&lt;/D&gt;&lt;D xsi:type="xsd:long"&gt;42570&lt;/D&gt;&lt;D xsi:type="xsd:long"&gt;42569&lt;/D&gt;&lt;D xsi:type="xsd:long"&gt;42566&lt;/D&gt;&lt;D xsi:type="xsd:long"&gt;42565&lt;/D&gt;&lt;D xsi:type="xsd:long"&gt;42564&lt;/D&gt;&lt;D xsi:type="xsd:long"&gt;42563&lt;/D&gt;&lt;D xsi:type="xsd:long"&gt;42562&lt;/D&gt;&lt;D xsi:type="xsd:long"&gt;42559&lt;/D&gt;&lt;D xsi:type="xsd:long"&gt;42558&lt;/D&gt;&lt;D xsi:type="xsd:long"&gt;42557&lt;/D&gt;&lt;D xsi:type="xsd:long"&gt;42556&lt;/D&gt;&lt;D xsi:type="xsd:long"&gt;42552&lt;/D&gt;&lt;D xsi:type="xsd:long"&gt;42551&lt;/D&gt;&lt;D xsi:type="xsd:long"&gt;42550&lt;/D&gt;&lt;D xsi:type="xsd:long"&gt;42549&lt;/D&gt;&lt;D xsi:type="xsd:long"&gt;42548&lt;/D&gt;&lt;D xsi:type="xsd:long"&gt;42545&lt;/D&gt;&lt;D xsi:type="xsd:long"&gt;42544&lt;/D&gt;&lt;D xsi:type="xsd:long"&gt;42543&lt;/D&gt;&lt;D xsi:type="xsd:long"&gt;42542&lt;/D&gt;&lt;D xsi:type="xsd:long"&gt;42541&lt;/D&gt;&lt;D xsi:type="xsd:long"&gt;42538&lt;/D&gt;&lt;D xsi:type="xsd:long"&gt;42537&lt;/D&gt;&lt;D xsi:type="xsd:long"&gt;42536&lt;/D&gt;&lt;D xsi:type="xsd:long"&gt;42535&lt;/D&gt;&lt;D xsi:type="xsd:long"&gt;42534&lt;/D&gt;&lt;D xsi:type="xsd:long"&gt;42531&lt;/D&gt;&lt;D xsi:type="xsd:long"&gt;42530&lt;/D&gt;&lt;D xsi:type="xsd:long"&gt;42529&lt;/D&gt;&lt;D xsi:type="xsd:long"&gt;42528&lt;/D&gt;&lt;D xsi:type="xsd:long"&gt;42527&lt;/D&gt;&lt;D xsi:type="xsd:long"&gt;42524&lt;/D&gt;&lt;D xsi:type="xsd:long"&gt;42523&lt;/D&gt;&lt;D xsi:type="xsd:long"&gt;42522&lt;/D&gt;&lt;D xsi:type="xsd:long"&gt;42521&lt;/D&gt;&lt;D xsi:type="xsd:long"&gt;42517&lt;/D&gt;&lt;D xsi:type="xsd:long"&gt;42516&lt;/D&gt;&lt;D xsi:type="xsd:long"&gt;42515&lt;/D&gt;&lt;D xsi:type="xsd:long"&gt;42514&lt;/D&gt;&lt;D xsi:type="xsd:long"&gt;42513&lt;/D&gt;&lt;D xsi:type="xsd:long"&gt;42510&lt;/D&gt;&lt;D xsi:type="xsd:long"&gt;42509&lt;/D&gt;&lt;D xsi:type="xsd:long"&gt;42508&lt;/D&gt;&lt;D xsi:type="xsd:long"&gt;42507&lt;/D&gt;&lt;D xsi:type="xsd:long"&gt;42506&lt;/D&gt;&lt;D xsi:type="xsd:long"&gt;42503&lt;/D&gt;&lt;D xsi:type="xsd:long"&gt;42502&lt;/D&gt;&lt;D xsi:type="xsd:long"&gt;42501&lt;/D&gt;&lt;D xsi:type="xsd:long"&gt;42500&lt;/D&gt;&lt;D xsi:type="xsd:long"&gt;42499&lt;/D&gt;&lt;D xsi:type="xsd:long"&gt;42496&lt;/D&gt;&lt;D xsi:type="xsd:long"&gt;42495&lt;/D&gt;&lt;D xsi:type="xsd:long"&gt;42494&lt;/D&gt;&lt;D xsi:type="xsd:long"&gt;42493&lt;/D&gt;&lt;D xsi:type="xsd:long"&gt;42492&lt;/D&gt;&lt;D xsi:type="xsd:long"&gt;42489&lt;/D&gt;&lt;D xsi:type="xsd:long"&gt;42488&lt;/D&gt;&lt;D xsi:type="xsd:long"&gt;42487&lt;/D&gt;&lt;D xsi:type="xsd:long"&gt;42486&lt;/D&gt;&lt;D xsi:type="xsd:long"&gt;42485&lt;/D&gt;&lt;D xsi:type="xsd:long"&gt;42482&lt;/D&gt;&lt;D xsi:type="xsd:long"&gt;42481&lt;/D&gt;&lt;D xsi:type="xsd:long"&gt;42480&lt;/D&gt;&lt;D xsi:type="xsd:long"&gt;42479&lt;/D&gt;&lt;D xsi:type="xsd:long"&gt;42478&lt;/D&gt;&lt;D xsi:type="xsd:long"&gt;42475&lt;/D&gt;&lt;D xsi:type="xsd:long"&gt;42474&lt;/D&gt;&lt;D xsi:type="xsd:long"&gt;42473&lt;/D&gt;&lt;D xsi:type="xsd:long"&gt;42472&lt;/D&gt;&lt;D xsi:type="xsd:long"&gt;42471&lt;/D&gt;&lt;D xsi:type="xsd:long"&gt;42468&lt;/D&gt;&lt;D xsi:type="xsd:long"&gt;42467&lt;/D&gt;&lt;D xsi:type="xsd:long"&gt;42466&lt;/D&gt;&lt;D xsi:type="xsd:long"&gt;42465&lt;/D&gt;&lt;D xsi:type="xsd:long"&gt;42464&lt;/D&gt;&lt;D xsi:type="xsd:long"&gt;42461&lt;/D&gt;&lt;D xsi:type="xsd:long"&gt;42460&lt;/D&gt;&lt;D xsi:type="xsd:long"&gt;42459&lt;/D&gt;&lt;D xsi:type="xsd:long"&gt;42458&lt;/D&gt;&lt;D xsi:type="xsd:long"&gt;42457&lt;/D&gt;&lt;D xsi:type="xsd:long"&gt;42453&lt;/D&gt;&lt;D xsi:type="xsd:long"&gt;42452&lt;/D&gt;&lt;D xsi:type="xsd:long"&gt;42451&lt;/D&gt;&lt;D xsi:type="xsd:long"&gt;42450&lt;/D&gt;&lt;D xsi:type="xsd:long"&gt;42447&lt;/D&gt;&lt;D xsi:type="xsd:long"&gt;42446&lt;/D&gt;&lt;D xsi:type="xsd:long"&gt;42445&lt;/D&gt;&lt;D xsi:type="xsd:long"&gt;42444&lt;/D&gt;&lt;D xsi:type="xsd:long"&gt;42443&lt;/D&gt;&lt;D xsi:type="xsd:long"&gt;42440&lt;/D&gt;&lt;D xsi:type="xsd:long"&gt;42439&lt;/D&gt;&lt;D xsi:type="xsd:long"&gt;42438&lt;/D&gt;&lt;D xsi:type="xsd:long"&gt;42437&lt;/D&gt;&lt;D xsi:type="xsd:long"&gt;42436&lt;/D&gt;&lt;D xsi:type="xsd:long"&gt;42433&lt;/D&gt;&lt;D xsi:type="xsd:long"&gt;42432&lt;/D&gt;&lt;D xsi:type="xsd:long"&gt;42431&lt;/D&gt;&lt;D xsi:type="xsd:long"&gt;42430&lt;/D&gt;&lt;D xsi:type="xsd:long"&gt;42429&lt;/D&gt;&lt;D xsi:type="xsd:long"&gt;42426&lt;/D&gt;&lt;D xsi:type="xsd:long"&gt;42425&lt;/D&gt;&lt;D xsi:type="xsd:long"&gt;42424&lt;/D&gt;&lt;D xsi:type="xsd:long"&gt;42423&lt;/D&gt;&lt;D xsi:type="xsd:long"&gt;42422&lt;/D&gt;&lt;D xsi:type="xsd:long"&gt;42419&lt;/D&gt;&lt;D xsi:type="xsd:long"&gt;42418&lt;/D&gt;&lt;D xsi:type="xsd:long"&gt;42417&lt;/D&gt;&lt;D xsi:type="xsd:long"&gt;42416&lt;/D&gt;&lt;D xsi:type="xsd:long"&gt;42412&lt;/D&gt;&lt;D xsi:type="xsd:long"&gt;42411&lt;/D&gt;&lt;D xsi:type="xsd:long"&gt;42410&lt;/D&gt;&lt;D xsi:type="xsd:long"&gt;42409&lt;/D&gt;&lt;D xsi:type="xsd:long"&gt;42408&lt;/D&gt;&lt;D xsi:type="xsd:long"&gt;42405&lt;/D&gt;&lt;D xsi:type="xsd:long"&gt;42404&lt;/D&gt;&lt;D xsi:type="xsd:long"&gt;42403&lt;/D&gt;&lt;D xsi:type="xsd:long"&gt;42402&lt;/D&gt;&lt;D xsi:type="xsd:long"&gt;42401&lt;/D&gt;&lt;D xsi:type="xsd:long"&gt;42398&lt;/D&gt;&lt;D xsi:type="xsd:long"&gt;42397&lt;/D&gt;&lt;D xsi:type="xsd:long"&gt;42396&lt;/D&gt;&lt;D xsi:type="xsd:long"&gt;42395&lt;/D&gt;&lt;D xsi:type="xsd:long"&gt;42394&lt;/D&gt;&lt;D xsi:type="xsd:long"&gt;42391&lt;/D&gt;&lt;D xsi:type="xsd:long"&gt;42390&lt;/D&gt;&lt;D xsi:type="xsd:long"&gt;42389&lt;/D&gt;&lt;D xsi:type="xsd:long"&gt;42388&lt;/D&gt;&lt;D xsi:type="xsd:long"&gt;42384&lt;/D&gt;&lt;D xsi:type="xsd:long"&gt;42383&lt;/D&gt;&lt;D xsi:type="xsd:long"&gt;42382&lt;/D&gt;&lt;D xsi:type="xsd:long"&gt;42381&lt;/D&gt;&lt;D xsi:type="xsd:long"&gt;42380&lt;/D&gt;&lt;D xsi:type="xsd:long"&gt;42377&lt;/D&gt;&lt;D xsi:type="xsd:long"&gt;42376&lt;/D&gt;&lt;D xsi:type="xsd:long"&gt;42375&lt;/D&gt;&lt;D xsi:type="xsd:long"&gt;42374&lt;/D&gt;&lt;D xsi:type="xsd:long"&gt;42373&lt;/D&gt;&lt;D xsi:type="xsd:long"&gt;42369&lt;/D&gt;&lt;D xsi:type="xsd:long"&gt;42368&lt;/D&gt;&lt;D xsi:type="xsd:long"&gt;42367&lt;/D&gt;&lt;D xsi:type="xsd:long"&gt;42366&lt;/D&gt;&lt;D xsi:type="xsd:long"&gt;42362&lt;/D&gt;&lt;D xsi:type="xsd:long"&gt;42361&lt;/D&gt;&lt;D xsi:type="xsd:long"&gt;42360&lt;/D&gt;&lt;D xsi:type="xsd:long"&gt;42359&lt;/D&gt;&lt;D xsi:type="xsd:long"&gt;42356&lt;/D&gt;&lt;D xsi:type="xsd:long"&gt;42355&lt;/D&gt;&lt;D xsi:type="xsd:long"&gt;42354&lt;/D&gt;&lt;D xsi:type="xsd:long"&gt;42353&lt;/D&gt;&lt;D xsi:type="xsd:long"&gt;42352&lt;/D&gt;&lt;D xsi:type="xsd:long"&gt;42349&lt;/D&gt;&lt;D xsi:type="xsd:long"&gt;42348&lt;/D&gt;&lt;D xsi:type="xsd:long"&gt;42347&lt;/D&gt;&lt;D xsi:type="xsd:long"&gt;42346&lt;/D&gt;&lt;D xsi:type="xsd:long"&gt;42345&lt;/D&gt;&lt;D xsi:type="xsd:long"&gt;42342&lt;/D&gt;&lt;D xsi:type="xsd:long"&gt;42341&lt;/D&gt;&lt;D xsi:type="xsd:long"&gt;42340&lt;/D&gt;&lt;D xsi:type="xsd:long"&gt;42339&lt;/D&gt;&lt;D xsi:type="xsd:long"&gt;42338&lt;/D&gt;&lt;D xsi:type="xsd:long"&gt;42335&lt;/D&gt;&lt;D xsi:type="xsd:long"&gt;42333&lt;/D&gt;&lt;D xsi:type="xsd:long"&gt;42332&lt;/D&gt;&lt;D xsi:type="xsd:long"&gt;42331&lt;/D&gt;&lt;D xsi:type="xsd:long"&gt;42328&lt;/D&gt;&lt;D xsi:type="xsd:long"&gt;42327&lt;/D&gt;&lt;D xsi:type="xsd:long"&gt;42326&lt;/D&gt;&lt;D xsi:type="xsd:long"&gt;42325&lt;/D&gt;&lt;D xsi:type="xsd:long"&gt;42324&lt;/D&gt;&lt;D xsi:type="xsd:long"&gt;42321&lt;/D&gt;&lt;D xsi:type="xsd:long"&gt;42320&lt;/D&gt;&lt;D xsi:type="xsd:long"&gt;42319&lt;/D&gt;&lt;D xsi:type="xsd:long"&gt;42318&lt;/D&gt;&lt;D xsi:type="xsd:long"&gt;42317&lt;/D&gt;&lt;D xsi:type="xsd:long"&gt;42314&lt;/D&gt;&lt;D xsi:type="xsd:long"&gt;42313&lt;/D&gt;&lt;D xsi:type="xsd:long"&gt;42312&lt;/D&gt;&lt;D xsi:type="xsd:long"&gt;42311&lt;/D&gt;&lt;D xsi:type="xsd:long"&gt;42310&lt;/D&gt;&lt;D xsi:type="xsd:long"&gt;42307&lt;/D&gt;&lt;D xsi:type="xsd:long"&gt;42306&lt;/D&gt;&lt;D xsi:type="xsd:long"&gt;42305&lt;/D&gt;&lt;D xsi:type="xsd:long"&gt;42304&lt;/D&gt;&lt;D xsi:type="xsd:long"&gt;42303&lt;/D&gt;&lt;D xsi:type="xsd:long"&gt;42300&lt;/D&gt;&lt;D xsi:type="xsd:long"&gt;42299&lt;/D&gt;&lt;D xsi:type="xsd:long"&gt;42298&lt;/D&gt;&lt;D xsi:type="xsd:long"&gt;42297&lt;/D&gt;&lt;D xsi:type="xsd:long"&gt;42296&lt;/D&gt;&lt;D xsi:type="xsd:long"&gt;42293&lt;/D&gt;&lt;D xsi:type="xsd:long"&gt;42292&lt;/D&gt;&lt;D xsi:type="xsd:long"&gt;42291&lt;/D&gt;&lt;D xsi:type="xsd:long"&gt;42290&lt;/D&gt;&lt;D xsi:type="xsd:long"&gt;42289&lt;/D&gt;&lt;D xsi:type="xsd:long"&gt;42286&lt;/D&gt;&lt;D xsi:type="xsd:long"&gt;42285&lt;/D&gt;&lt;D xsi:type="xsd:long"&gt;42284&lt;/D&gt;&lt;D xsi:type="xsd:long"&gt;42283&lt;/D&gt;&lt;D xsi:type="xsd:long"&gt;42282&lt;/D&gt;&lt;D xsi:type="xsd:long"&gt;42279&lt;/D&gt;&lt;D xsi:type="xsd:long"&gt;42278&lt;/D&gt;&lt;D xsi:type="xsd:long"&gt;42277&lt;/D&gt;&lt;D xsi:type="xsd:long"&gt;42276&lt;/D&gt;&lt;D xsi:type="xsd:long"&gt;42275&lt;/D&gt;&lt;D xsi:type="xsd:long"&gt;42272&lt;/D&gt;&lt;D xsi:type="xsd:long"&gt;42271&lt;/D&gt;&lt;D xsi:type="xsd:long"&gt;42270&lt;/D&gt;&lt;D xsi:type="xsd:long"&gt;42269&lt;/D&gt;&lt;D xsi:type="xsd:long"&gt;42268&lt;/D&gt;&lt;D xsi:type="xsd:long"&gt;42265&lt;/D&gt;&lt;D xsi:type="xsd:long"&gt;42264&lt;/D&gt;&lt;D xsi:type="xsd:long"&gt;42263&lt;/D&gt;&lt;D xsi:type="xsd:long"&gt;42262&lt;/D&gt;&lt;D xsi:type="xsd:long"&gt;42261&lt;/D&gt;&lt;D xsi:type="xsd:long"&gt;42258&lt;/D&gt;&lt;D xsi:type="xsd:long"&gt;42257&lt;/D&gt;&lt;D xsi:type="xsd:long"&gt;42256&lt;/D&gt;&lt;D xsi:type="xsd:long"&gt;42255&lt;/D&gt;&lt;D xsi:type="xsd:long"&gt;42251&lt;/D&gt;&lt;D xsi:type="xsd:long"&gt;42250&lt;/D&gt;&lt;D xsi:type="xsd:long"&gt;42249&lt;/D&gt;&lt;D xsi:type="xsd:long"&gt;42248&lt;/D&gt;&lt;D xsi:type="xsd:long"&gt;42247&lt;/D&gt;&lt;D xsi:type="xsd:long"&gt;42244&lt;/D&gt;&lt;D xsi:type="xsd:long"&gt;42243&lt;/D&gt;&lt;D xsi:type="xsd:long"&gt;42242&lt;/D&gt;&lt;D xsi:type="xsd:long"&gt;42241&lt;/D&gt;&lt;D xsi:type="xsd:long"&gt;42240&lt;/D&gt;&lt;D xsi:type="xsd:long"&gt;42237&lt;/D&gt;&lt;D xsi:type="xsd:long"&gt;42236&lt;/D&gt;&lt;D xsi:type="xsd:long"&gt;42235&lt;/D&gt;&lt;D xsi:type="xsd:long"&gt;42234&lt;/D&gt;&lt;D xsi:type="xsd:long"&gt;42233&lt;/D&gt;&lt;D xsi:type="xsd:long"&gt;42230&lt;/D&gt;&lt;D xsi:type="xsd:long"&gt;42229&lt;/D&gt;&lt;D xsi:type="xsd:long"&gt;42228&lt;/D&gt;&lt;D xsi:type="xsd:long"&gt;42227&lt;/D&gt;&lt;D xsi:type="xsd:long"&gt;42226&lt;/D&gt;&lt;D xsi:type="xsd:long"&gt;42223&lt;/D&gt;&lt;D xsi:type="xsd:long"&gt;42222&lt;/D&gt;&lt;D xsi:type="xsd:long"&gt;42221&lt;/D&gt;&lt;D xsi:type="xsd:long"&gt;42220&lt;/D&gt;&lt;D xsi:type="xsd:long"&gt;42219&lt;/D&gt;&lt;D xsi:type="xsd:long"&gt;42216&lt;/D&gt;&lt;D xsi:type="xsd:long"&gt;42215&lt;/D&gt;&lt;D xsi:type="xsd:long"&gt;42214&lt;/D&gt;&lt;D xsi:type="xsd:long"&gt;42213&lt;/D&gt;&lt;D xsi:type="xsd:long"&gt;42212&lt;/D&gt;&lt;D xsi:type="xsd:long"&gt;42209&lt;/D&gt;&lt;D xsi:type="xsd:long"&gt;42208&lt;/D&gt;&lt;D xsi:type="xsd:long"&gt;42207&lt;/D&gt;&lt;D xsi:type="xsd:long"&gt;42206&lt;/D&gt;&lt;D xsi:type="xsd:long"&gt;42205&lt;/D&gt;&lt;D xsi:type="xsd:long"&gt;42202&lt;/D&gt;&lt;D xsi:type="xsd:long"&gt;42201&lt;/D&gt;&lt;D xsi:type="xsd:long"&gt;42200&lt;/D&gt;&lt;D xsi:type="xsd:long"&gt;42199&lt;/D&gt;&lt;D xsi:type="xsd:long"&gt;42198&lt;/D&gt;&lt;D xsi:type="xsd:long"&gt;42195&lt;/D&gt;&lt;D xsi:type="xsd:long"&gt;42194&lt;/D&gt;&lt;D xsi:type="xsd:long"&gt;42193&lt;/D&gt;&lt;D xsi:type="xsd:long"&gt;42192&lt;/D&gt;&lt;D xsi:type="xsd:long"&gt;42191&lt;/D&gt;&lt;D xsi:type="xsd:long"&gt;42187&lt;/D&gt;&lt;D xsi:type="xsd:long"&gt;42186&lt;/D&gt;&lt;D xsi:type="xsd:long"&gt;42185&lt;/D&gt;&lt;D xsi:type="xsd:long"&gt;42184&lt;/D&gt;&lt;D xsi:type="xsd:long"&gt;42181&lt;/D&gt;&lt;D xsi:type="xsd:long"&gt;42180&lt;/D&gt;&lt;D xsi:type="xsd:long"&gt;42179&lt;/D&gt;&lt;D xsi:type="xsd:long"&gt;42178&lt;/D&gt;&lt;D xsi:type="xsd:long"&gt;42177&lt;/D&gt;&lt;D xsi:type="xsd:long"&gt;42174&lt;/D&gt;&lt;D xsi:type="xsd:long"&gt;42173&lt;/D&gt;&lt;D xsi:type="xsd:long"&gt;42172&lt;/D&gt;&lt;D xsi:type="xsd:long"&gt;42171&lt;/D&gt;&lt;D xsi:type="xsd:long"&gt;42170&lt;/D&gt;&lt;D xsi:type="xsd:long"&gt;42167&lt;/D&gt;&lt;D xsi:type="xsd:long"&gt;42166&lt;/D&gt;&lt;D xsi:type="xsd:long"&gt;42165&lt;/D&gt;&lt;D xsi:type="xsd:long"&gt;42164&lt;/D&gt;&lt;D xsi:type="xsd:long"&gt;42163&lt;/D&gt;&lt;D xsi:type="xsd:long"&gt;42160&lt;/D&gt;&lt;D xsi:type="xsd:long"&gt;42159&lt;/D&gt;&lt;D xsi:type="xsd:long"&gt;42158&lt;/D&gt;&lt;D xsi:type="xsd:long"&gt;42157&lt;/D&gt;&lt;D xsi:type="xsd:long"&gt;42156&lt;/D&gt;&lt;D xsi:type="xsd:long"&gt;42153&lt;/D&gt;&lt;D xsi:type="xsd:long"&gt;42152&lt;/D&gt;&lt;D xsi:type="xsd:long"&gt;42151&lt;/D&gt;&lt;D xsi:type="xsd:long"&gt;42150&lt;/D&gt;&lt;D xsi:type="xsd:long"&gt;42146&lt;/D&gt;&lt;D xsi:type="xsd:long"&gt;42145&lt;/D&gt;&lt;D xsi:type="xsd:long"&gt;42144&lt;/D&gt;&lt;D xsi:type="xsd:long"&gt;42143&lt;/D&gt;&lt;D xsi:type="xsd:long"&gt;42142&lt;/D&gt;&lt;D xsi:type="xsd:long"&gt;42139&lt;/D&gt;&lt;D xsi:type="xsd:long"&gt;42138&lt;/D&gt;&lt;D xsi:type="xsd:long"&gt;42137&lt;/D&gt;&lt;D xsi:type="xsd:long"&gt;42136&lt;/D&gt;&lt;D xsi:type="xsd:long"&gt;42135&lt;/D&gt;&lt;D xsi:type="xsd:long"&gt;42132&lt;/D&gt;&lt;D xsi:type="xsd:long"&gt;42131&lt;/D&gt;&lt;D xsi:type="xsd:long"&gt;42130&lt;/D&gt;&lt;D xsi:type="xsd:long"&gt;42129&lt;/D&gt;&lt;D xsi:type="xsd:long"&gt;42128&lt;/D&gt;&lt;D xsi:type="xsd:long"&gt;42125&lt;/D&gt;&lt;D xsi:type="xsd:long"&gt;42124&lt;/D&gt;&lt;D xsi:type="xsd:long"&gt;42123&lt;/D&gt;&lt;D xsi:type="xsd:long"&gt;42122&lt;/D&gt;&lt;D xsi:type="xsd:long"&gt;42121&lt;/D&gt;&lt;D xsi:type="xsd:long"&gt;42118&lt;/D&gt;&lt;D xsi:type="xsd:long"&gt;42117&lt;/D&gt;&lt;D xsi:type="xsd:long"&gt;42116&lt;/D&gt;&lt;D xsi:type="xsd:long"&gt;42115&lt;/D&gt;&lt;D xsi:type="xsd:long"&gt;42114&lt;/D&gt;&lt;D xsi:type="xsd:long"&gt;42111&lt;/D&gt;&lt;D xsi:type="xsd:long"&gt;42110&lt;/D&gt;&lt;D xsi:type="xsd:long"&gt;42109&lt;/D&gt;&lt;D xsi:type="xsd:long"&gt;42108&lt;/D&gt;&lt;D xsi:type="xsd:long"&gt;42107&lt;/D&gt;&lt;D xsi:type="xsd:long"&gt;42104&lt;/D&gt;&lt;D xsi:type="xsd:long"&gt;42103&lt;/D&gt;&lt;D xsi:type="xsd:long"&gt;42102&lt;/D&gt;&lt;D xsi:type="xsd:long"&gt;42101&lt;/D&gt;&lt;D xsi:type="xsd:long"&gt;42100&lt;/D&gt;&lt;D xsi:type="xsd:long"&gt;42096&lt;/D&gt;&lt;D xsi:type="xsd:long"&gt;42095&lt;/D&gt;&lt;D xsi:type="xsd:long"&gt;42094&lt;/D&gt;&lt;D xsi:type="xsd:long"&gt;42093&lt;/D&gt;&lt;D xsi:type="xsd:long"&gt;42090&lt;/D&gt;&lt;D xsi:type="xsd:long"&gt;42089&lt;/D&gt;&lt;D xsi:type="xsd:long"&gt;42088&lt;/D&gt;&lt;D xsi:type="xsd:long"&gt;42087&lt;/D&gt;&lt;D xsi:type="xsd:long"&gt;42086&lt;/D&gt;&lt;D xsi:type="xsd:long"&gt;42083&lt;/D&gt;&lt;D xsi:type="xsd:long"&gt;42082&lt;/D&gt;&lt;D xsi:type="xsd:long"&gt;42081&lt;/D&gt;&lt;D xsi:type="xsd:long"&gt;42080&lt;/D&gt;&lt;D xsi:type="xsd:long"&gt;42079&lt;/D&gt;&lt;D xsi:type="xsd:long"&gt;42076&lt;/D&gt;&lt;D xsi:type="xsd:long"&gt;42075&lt;/D&gt;&lt;D xsi:type="xsd:long"&gt;42074&lt;/D&gt;&lt;D xsi:type="xsd:long"&gt;42073&lt;/D&gt;&lt;D xsi:type="xsd:long"&gt;42072&lt;/D&gt;&lt;D xsi:type="xsd:long"&gt;42069&lt;/D&gt;&lt;D xsi:type="xsd:long"&gt;42068&lt;/D&gt;&lt;D xsi:type="xsd:long"&gt;42067&lt;/D&gt;&lt;D xsi:type="xsd:long"&gt;42066&lt;/D&gt;&lt;D xsi:type="xsd:long"&gt;42065&lt;/D&gt;&lt;D xsi:type="xsd:long"&gt;42062&lt;/D&gt;&lt;D xsi:type="xsd:long"&gt;42061&lt;/D&gt;&lt;D xsi:type="xsd:long"&gt;42060&lt;/D&gt;&lt;D xsi:type="xsd:long"&gt;42059&lt;/D&gt;&lt;D xsi:type="xsd:long"&gt;42058&lt;/D&gt;&lt;D xsi:type="xsd:long"&gt;42055&lt;/D&gt;&lt;D xsi:type="xsd:long"&gt;42054&lt;/D&gt;&lt;D xsi:type="xsd:long"&gt;42053&lt;/D&gt;&lt;D xsi:type="xsd:long"&gt;42052&lt;/D&gt;&lt;D xsi:type="xsd:long"&gt;42048&lt;/D&gt;&lt;D xsi:type="xsd:long"&gt;42047&lt;/D&gt;&lt;D xsi:type="xsd:long"&gt;42046&lt;/D&gt;&lt;D xsi:type="xsd:long"&gt;42045&lt;/D&gt;&lt;D xsi:type="xsd:long"&gt;42044&lt;/D&gt;&lt;D xsi:type="xsd:long"&gt;42041&lt;/D&gt;&lt;D xsi:type="xsd:long"&gt;42040&lt;/D&gt;&lt;D xsi:type="xsd:long"&gt;42039&lt;/D&gt;&lt;D xsi:type="xsd:long"&gt;42038&lt;/D&gt;&lt;D xsi:type="xsd:long"&gt;42037&lt;/D&gt;&lt;D xsi:type="xsd:long"&gt;42034&lt;/D&gt;&lt;D xsi:type="xsd:long"&gt;42033&lt;/D&gt;&lt;D xsi:type="xsd:long"&gt;42032&lt;/D&gt;&lt;D xsi:type="xsd:long"&gt;42031&lt;/D&gt;&lt;D xsi:type="xsd:long"&gt;42030&lt;/D&gt;&lt;D xsi:type="xsd:long"&gt;42027&lt;/D&gt;&lt;D xsi:type="xsd:long"&gt;42026&lt;/D&gt;&lt;D xsi:type="xsd:long"&gt;42025&lt;/D&gt;&lt;D xsi:type="xsd:long"&gt;42024&lt;/D&gt;&lt;D xsi:type="xsd:long"&gt;42020&lt;/D&gt;&lt;D xsi:type="xsd:long"&gt;42019&lt;/D&gt;&lt;D xsi:type="xsd:long"&gt;42018&lt;/D&gt;&lt;D xsi:type="xsd:long"&gt;42017&lt;/D&gt;&lt;D xsi:type="xsd:long"&gt;42016&lt;/D&gt;&lt;D xsi:type="xsd:long"&gt;42013&lt;/D&gt;&lt;D xsi:type="xsd:long"&gt;42012&lt;/D&gt;&lt;D xsi:type="xsd:long"&gt;42011&lt;/D&gt;&lt;D xsi:type="xsd:long"&gt;42010&lt;/D&gt;&lt;D xsi:type="xsd:long"&gt;42009&lt;/D&gt;&lt;D xsi:type="xsd:long"&gt;42006&lt;/D&gt;&lt;D xsi:type="xsd:long"&gt;42004&lt;/D&gt;&lt;D xsi:type="xsd:long"&gt;42003&lt;/D&gt;&lt;D xsi:type="xsd:long"&gt;42002&lt;/D&gt;&lt;D xsi:type="xsd:long"&gt;41999&lt;/D&gt;&lt;D xsi:type="xsd:long"&gt;41997&lt;/D&gt;&lt;D xsi:type="xsd:long"&gt;41996&lt;/D&gt;&lt;D xsi:type="xsd:long"&gt;41995&lt;/D&gt;&lt;D xsi:type="xsd:long"&gt;41992&lt;/D&gt;&lt;D xsi:type="xsd:long"&gt;41991&lt;/D&gt;&lt;D xsi:type="xsd:long"&gt;41990&lt;/D&gt;&lt;D xsi:type="xsd:long"&gt;41989&lt;/D&gt;&lt;D xsi:type="xsd:long"&gt;41988&lt;/D&gt;&lt;D xsi:type="xsd:long"&gt;41985&lt;/D&gt;&lt;D xsi:type="xsd:long"&gt;41984&lt;/D&gt;&lt;D xsi:type="xsd:long"&gt;41983&lt;/D&gt;&lt;D xsi:type="xsd:long"&gt;41982&lt;/D&gt;&lt;D xsi:type="xsd:long"&gt;41981&lt;/D&gt;&lt;D xsi:type="xsd:long"&gt;41978&lt;/D&gt;&lt;D xsi:type="xsd:long"&gt;41977&lt;/D&gt;&lt;D xsi:type="xsd:long"&gt;41976&lt;/D&gt;&lt;D xsi:type="xsd:long"&gt;41975&lt;/D&gt;&lt;D xsi:type="xsd:long"&gt;41974&lt;/D&gt;&lt;D xsi:type="xsd:long"&gt;41971&lt;/D&gt;&lt;D xsi:type="xsd:long"&gt;41969&lt;/D&gt;&lt;D xsi:type="xsd:long"&gt;41968&lt;/D&gt;&lt;D xsi:type="xsd:long"&gt;41967&lt;/D&gt;&lt;D xsi:type="xsd:long"&gt;41964&lt;/D&gt;&lt;D xsi:type="xsd:long"&gt;41963&lt;/D&gt;&lt;D xsi:type="xsd:long"&gt;41962&lt;/D&gt;&lt;D xsi:type="xsd:long"&gt;41961&lt;/D&gt;&lt;D xsi:type="xsd:long"&gt;41960&lt;/D&gt;&lt;D xsi:type="xsd:long"&gt;41957&lt;/D&gt;&lt;D xsi:type="xsd:long"&gt;41956&lt;/D&gt;&lt;D xsi:type="xsd:long"&gt;41955&lt;/D&gt;&lt;D xsi:type="xsd:long"&gt;41954&lt;/D&gt;&lt;D xsi:type="xsd:long"&gt;41953&lt;/D&gt;&lt;D xsi:type="xsd:long"&gt;41950&lt;/D&gt;&lt;D xsi:type="xsd:long"&gt;41949&lt;/D&gt;&lt;D xsi:type="xsd:long"&gt;41948&lt;/D&gt;&lt;D xsi:type="xsd:long"&gt;41947&lt;/D&gt;&lt;D xsi:type="xsd:long"&gt;41946&lt;/D&gt;&lt;D xsi:type="xsd:long"&gt;41943&lt;/D&gt;&lt;D xsi:type="xsd:long"&gt;41942&lt;/D&gt;&lt;D xsi:type="xsd:long"&gt;41941&lt;/D&gt;&lt;D xsi:type="xsd:long"&gt;41940&lt;/D&gt;&lt;D xsi:type="xsd:long"&gt;41939&lt;/D&gt;&lt;D xsi:type="xsd:long"&gt;41936&lt;/D&gt;&lt;D xsi:type="xsd:long"&gt;41935&lt;/D&gt;&lt;D xsi:type="xsd:long"&gt;41934&lt;/D&gt;&lt;D xsi:type="xsd:long"&gt;41933&lt;/D&gt;&lt;D xsi:type="xsd:long"&gt;41932&lt;/D&gt;&lt;D xsi:type="xsd:long"&gt;41929&lt;/D&gt;&lt;D xsi:type="xsd:long"&gt;41928&lt;/D&gt;&lt;D xsi:type="xsd:long"&gt;41927&lt;/D&gt;&lt;D xsi:type="xsd:long"&gt;41926&lt;/D&gt;&lt;D xsi:type="xsd:long"&gt;41925&lt;/D&gt;&lt;D xsi:type="xsd:long"&gt;41922&lt;/D&gt;&lt;D xsi:type="xsd:long"&gt;41921&lt;/D&gt;&lt;D xsi:type="xsd:long"&gt;41920&lt;/D&gt;&lt;D xsi:type="xsd:long"&gt;41919&lt;/D&gt;&lt;D xsi:type="xsd:long"&gt;41918&lt;/D&gt;&lt;D xsi:type="xsd:long"&gt;41915&lt;/D&gt;&lt;D xsi:type="xsd:long"&gt;41914&lt;/D&gt;&lt;D xsi:type="xsd:long"&gt;41913&lt;/D&gt;&lt;D xsi:type="xsd:long"&gt;41912&lt;/D&gt;&lt;D xsi:type="xsd:long"&gt;41911&lt;/D&gt;&lt;D xsi:type="xsd:long"&gt;41908&lt;/D&gt;&lt;D xsi:type="xsd:long"&gt;41907&lt;/D&gt;&lt;D xsi:type="xsd:long"&gt;41906&lt;/D&gt;&lt;D xsi:type="xsd:long"&gt;41905&lt;/D&gt;&lt;D xsi:type="xsd:long"&gt;41904&lt;/D&gt;&lt;D xsi:type="xsd:long"&gt;41901&lt;/D&gt;&lt;D xsi:type="xsd:long"&gt;41900&lt;/D&gt;&lt;D xsi:type="xsd:long"&gt;41899&lt;/D&gt;&lt;D xsi:type="xsd:long"&gt;41898&lt;/D&gt;&lt;D xsi:type="xsd:long"&gt;41897&lt;/D&gt;&lt;D xsi:type="xsd:long"&gt;41894&lt;/D&gt;&lt;D xsi:type="xsd:long"&gt;41893&lt;/D&gt;&lt;D xsi:type="xsd:long"&gt;41892&lt;/D&gt;&lt;D xsi:type="xsd:long"&gt;41891&lt;/D&gt;&lt;D xsi:type="xsd:long"&gt;41890&lt;/D&gt;&lt;D xsi:type="xsd:long"&gt;41887&lt;/D&gt;&lt;D xsi:type="xsd:long"&gt;41886&lt;/D&gt;&lt;D xsi:type="xsd:long"&gt;41885&lt;/D&gt;&lt;D xsi:type="xsd:long"&gt;41884&lt;/D&gt;&lt;D xsi:type="xsd:long"&gt;41880&lt;/D&gt;&lt;D xsi:type="xsd:long"&gt;41879&lt;/D&gt;&lt;D xsi:type="xsd:long"&gt;41878&lt;/D&gt;&lt;D xsi:type="xsd:long"&gt;41877&lt;/D&gt;&lt;D xsi:type="xsd:long"&gt;41876&lt;/D&gt;&lt;D xsi:type="xsd:long"&gt;41873&lt;/D&gt;&lt;D xsi:type="xsd:long"&gt;41872&lt;/D&gt;&lt;D xsi:type="xsd:long"&gt;41871&lt;/D&gt;&lt;D xsi:type="xsd:long"&gt;41870&lt;/D&gt;&lt;D xsi:type="xsd:long"&gt;41869&lt;/D&gt;&lt;D xsi:type="xsd:long"&gt;41866&lt;/D&gt;&lt;D xsi:type="xsd:long"&gt;41865&lt;/D&gt;&lt;D xsi:type="xsd:long"&gt;41864&lt;/D&gt;&lt;D xsi:type="xsd:long"&gt;41863&lt;/D&gt;&lt;D xsi:type="xsd:long"&gt;41862&lt;/D&gt;&lt;D xsi:type="xsd:long"&gt;41859&lt;/D&gt;&lt;D xsi:type="xsd:long"&gt;41858&lt;/D&gt;&lt;D xsi:type="xsd:long"&gt;41857&lt;/D&gt;&lt;D xsi:type="xsd:long"&gt;41856&lt;/D&gt;&lt;D xsi:type="xsd:long"&gt;41855&lt;/D&gt;&lt;D xsi:type="xsd:long"&gt;41852&lt;/D&gt;&lt;D xsi:type="xsd:long"&gt;41851&lt;/D&gt;&lt;D xsi:type="xsd:long"&gt;41850&lt;/D&gt;&lt;D xsi:type="xsd:long"&gt;41849&lt;/D&gt;&lt;D xsi:type="xsd:long"&gt;41848&lt;/D&gt;&lt;D xsi:type="xsd:long"&gt;41845&lt;/D&gt;&lt;D xsi:type="xsd:long"&gt;41844&lt;/D&gt;&lt;D xsi:type="xsd:long"&gt;41843&lt;/D&gt;&lt;D xsi:type="xsd:long"&gt;41842&lt;/D&gt;&lt;D xsi:type="xsd:long"&gt;41841&lt;/D&gt;&lt;D xsi:type="xsd:long"&gt;41838&lt;/D&gt;&lt;D xsi:type="xsd:long"&gt;41837&lt;/D&gt;&lt;D xsi:type="xsd:long"&gt;41836&lt;/D&gt;&lt;D xsi:type="xsd:long"&gt;41835&lt;/D&gt;&lt;D xsi:type="xsd:long"&gt;41834&lt;/D&gt;&lt;D xsi:type="xsd:long"&gt;41831&lt;/D&gt;&lt;D xsi:type="xsd:long"&gt;41830&lt;/D&gt;&lt;D xsi:type="xsd:long"&gt;41829&lt;/D&gt;&lt;D xsi:type="xsd:long"&gt;41828&lt;/D&gt;&lt;D xsi:type="xsd:long"&gt;41827&lt;/D&gt;&lt;D xsi:type="xsd:long"&gt;41823&lt;/D&gt;&lt;D xsi:type="xsd:long"&gt;41822&lt;/D&gt;&lt;D xsi:type="xsd:long"&gt;41821&lt;/D&gt;&lt;D xsi:type="xsd:long"&gt;41820&lt;/D&gt;&lt;D xsi:type="xsd:long"&gt;41817&lt;/D&gt;&lt;D xsi:type="xsd:long"&gt;41816&lt;/D&gt;&lt;D xsi:type="xsd:long"&gt;41815&lt;/D&gt;&lt;D xsi:type="xsd:long"&gt;41814&lt;/D&gt;&lt;D xsi:type="xsd:long"&gt;41813&lt;/D&gt;&lt;D xsi:type="xsd:long"&gt;41810&lt;/D&gt;&lt;D xsi:type="xsd:long"&gt;41809&lt;/D&gt;&lt;D xsi:type="xsd:long"&gt;41808&lt;/D&gt;&lt;D xsi:type="xsd:long"&gt;41807&lt;/D&gt;&lt;D xsi:type="xsd:long"&gt;41806&lt;/D&gt;&lt;D xsi:type="xsd:long"&gt;41803&lt;/D&gt;&lt;D xsi:type="xsd:long"&gt;41802&lt;/D&gt;&lt;D xsi:type="xsd:long"&gt;41801&lt;/D&gt;&lt;D xsi:type="xsd:long"&gt;41800&lt;/D&gt;&lt;D xsi:type="xsd:long"&gt;41799&lt;/D&gt;&lt;D xsi:type="xsd:long"&gt;41796&lt;/D&gt;&lt;D xsi:type="xsd:long"&gt;41795&lt;/D&gt;&lt;D xsi:type="xsd:long"&gt;41794&lt;/D&gt;&lt;D xsi:type="xsd:long"&gt;41793&lt;/D&gt;&lt;D xsi:type="xsd:long"&gt;41792&lt;/D&gt;&lt;D xsi:type="xsd:long"&gt;41789&lt;/D&gt;&lt;D xsi:type="xsd:long"&gt;41788&lt;/D&gt;&lt;D xsi:type="xsd:long"&gt;41787&lt;/D&gt;&lt;D xsi:type="xsd:long"&gt;41786&lt;/D&gt;&lt;D xsi:type="xsd:long"&gt;41782&lt;/D&gt;&lt;D xsi:type="xsd:long"&gt;41781&lt;/D&gt;&lt;D xsi:type="xsd:long"&gt;41780&lt;/D&gt;&lt;D xsi:type="xsd:long"&gt;41779&lt;/D&gt;&lt;D xsi:type="xsd:long"&gt;41778&lt;/D&gt;&lt;D xsi:type="xsd:long"&gt;41775&lt;/D&gt;&lt;D xsi:type="xsd:long"&gt;41774&lt;/D&gt;&lt;D xsi:type="xsd:long"&gt;41773&lt;/D&gt;&lt;D xsi:type="xsd:long"&gt;41772&lt;/D&gt;&lt;D xsi:type="xsd:long"&gt;41771&lt;/D&gt;&lt;D xsi:type="xsd:long"&gt;41768&lt;/D&gt;&lt;D xsi:type="xsd:long"&gt;41767&lt;/D&gt;&lt;D xsi:type="xsd:long"&gt;41766&lt;/D&gt;&lt;D xsi:type="xsd:long"&gt;41765&lt;/D&gt;&lt;D xsi:type="xsd:long"&gt;41764&lt;/D&gt;&lt;D xsi:type="xsd:long"&gt;41761&lt;/D&gt;&lt;D xsi:type="xsd:long"&gt;41760&lt;/D&gt;&lt;D xsi:type="xsd:long"&gt;41759&lt;/D&gt;&lt;D xsi:type="xsd:long"&gt;41758&lt;/D&gt;&lt;D xsi:type="xsd:long"&gt;41757&lt;/D&gt;&lt;D xsi:type="xsd:long"&gt;41754&lt;/D&gt;&lt;D xsi:type="xsd:long"&gt;41753&lt;/D&gt;&lt;D xsi:type="xsd:long"&gt;41752&lt;/D&gt;&lt;D xsi:type="xsd:long"&gt;41751&lt;/D&gt;&lt;D xsi:type="xsd:long"&gt;41750&lt;/D&gt;&lt;D xsi:type="xsd:long"&gt;41746&lt;/D&gt;&lt;D xsi:type="xsd:long"&gt;41745&lt;/D&gt;&lt;D xsi:type="xsd:long"&gt;41744&lt;/D&gt;&lt;D xsi:type="xsd:long"&gt;41743&lt;/D&gt;&lt;D xsi:type="xsd:long"&gt;41740&lt;/D&gt;&lt;D xsi:type="xsd:long"&gt;41739&lt;/D&gt;&lt;D xsi:type="xsd:long"&gt;41738&lt;/D&gt;&lt;D xsi:type="xsd:long"&gt;41737&lt;/D&gt;&lt;D xsi:type="xsd:long"&gt;41736&lt;/D&gt;&lt;D xsi:type="xsd:long"&gt;41733&lt;/D&gt;&lt;D xsi:type="xsd:long"&gt;41732&lt;/D&gt;&lt;D xsi:type="xsd:long"&gt;41731&lt;/D&gt;&lt;D xsi:type="xsd:long"&gt;41730&lt;/D&gt;&lt;D xsi:type="xsd:long"&gt;41729&lt;/D&gt;&lt;D xsi:type="xsd:long"&gt;41726&lt;/D&gt;&lt;D xsi:type="xsd:long"&gt;41725&lt;/D&gt;&lt;D xsi:type="xsd:long"&gt;41724&lt;/D&gt;&lt;D xsi:type="xsd:long"&gt;41723&lt;/D&gt;&lt;D xsi:type="xsd:long"&gt;41722&lt;/D&gt;&lt;D xsi:type="xsd:long"&gt;41719&lt;/D&gt;&lt;D xsi:type="xsd:long"&gt;41718&lt;/D&gt;&lt;D xsi:type="xsd:long"&gt;41717&lt;/D&gt;&lt;D xsi:type="xsd:long"&gt;41716&lt;/D&gt;&lt;D xsi:type="xsd:long"&gt;41715&lt;/D&gt;&lt;D xsi:type="xsd:long"&gt;41712&lt;/D&gt;&lt;D xsi:type="xsd:long"&gt;41711&lt;/D&gt;&lt;D xsi:type="xsd:long"&gt;41710&lt;/D&gt;&lt;D xsi:type="xsd:long"&gt;41709&lt;/D&gt;&lt;D xsi:type="xsd:long"&gt;41708&lt;/D&gt;&lt;D xsi:type="xsd:long"&gt;41705&lt;/D&gt;&lt;D xsi:type="xsd:long"&gt;41704&lt;/D&gt;&lt;D xsi:type="xsd:long"&gt;41703&lt;/D&gt;&lt;D xsi:type="xsd:long"&gt;41702&lt;/D&gt;&lt;D xsi:type="xsd:long"&gt;41701&lt;/D&gt;&lt;D xsi:type="xsd:long"&gt;41698&lt;/D&gt;&lt;D xsi:type="xsd:long"&gt;41697&lt;/D&gt;&lt;D xsi:type="xsd:long"&gt;41696&lt;/D&gt;&lt;D xsi:type="xsd:long"&gt;41695&lt;/D&gt;&lt;D xsi:type="xsd:long"&gt;41694&lt;/D&gt;&lt;D xsi:type="xsd:long"&gt;41691&lt;/D&gt;&lt;D xsi:type="xsd:long"&gt;41690&lt;/D&gt;&lt;D xsi:type="xsd:long"&gt;41689&lt;/D&gt;&lt;D xsi:type="xsd:long"&gt;41688&lt;/D&gt;&lt;D xsi:type="xsd:long"&gt;41684&lt;/D&gt;&lt;D xsi:type="xsd:long"&gt;41683&lt;/D&gt;&lt;D xsi:type="xsd:long"&gt;41682&lt;/D&gt;&lt;D xsi:type="xsd:long"&gt;41681&lt;/D&gt;&lt;D xsi:type="xsd:long"&gt;41680&lt;/D&gt;&lt;D xsi:type="xsd:long"&gt;41677&lt;/D&gt;&lt;D xsi:type="xsd:long"&gt;41676&lt;/D&gt;&lt;D xsi:type="xsd:long"&gt;41675&lt;/D&gt;&lt;D xsi:type="xsd:long"&gt;41674&lt;/D&gt;&lt;D xsi:type="xsd:long"&gt;41673&lt;/D&gt;&lt;D xsi:type="xsd:long"&gt;41670&lt;/D&gt;&lt;D xsi:type="xsd:long"&gt;41669&lt;/D&gt;&lt;D xsi:type="xsd:long"&gt;41668&lt;/D&gt;&lt;D xsi:type="xsd:long"&gt;41667&lt;/D&gt;&lt;D xsi:type="xsd:long"&gt;41666&lt;/D&gt;&lt;D xsi:type="xsd:long"&gt;41663&lt;/D&gt;&lt;D xsi:type="xsd:long"&gt;41662&lt;/D&gt;&lt;D xsi:type="xsd:long"&gt;41661&lt;/D&gt;&lt;D xsi:type="xsd:long"&gt;41660&lt;/D&gt;&lt;D xsi:type="xsd:long"&gt;41656&lt;/D&gt;&lt;D xsi:type="xsd:long"&gt;41655&lt;/D&gt;&lt;D xsi:type="xsd:long"&gt;41654&lt;/D&gt;&lt;D xsi:type="xsd:long"&gt;41653&lt;/D&gt;&lt;D xsi:type="xsd:long"&gt;41652&lt;/D&gt;&lt;D xsi:type="xsd:long"&gt;41649&lt;/D&gt;&lt;D xsi:type="xsd:long"&gt;41648&lt;/D&gt;&lt;D xsi:type="xsd:long"&gt;41647&lt;/D&gt;&lt;D xsi:type="xsd:long"&gt;41646&lt;/D&gt;&lt;D xsi:type="xsd:long"&gt;41645&lt;/D&gt;&lt;D xsi:type="xsd:long"&gt;41642&lt;/D&gt;&lt;D xsi:type="xsd:long"&gt;41641&lt;/D&gt;&lt;D xsi:type="xsd:long"&gt;41639&lt;/D&gt;&lt;D xsi:type="xsd:long"&gt;41638&lt;/D&gt;&lt;D xsi:type="xsd:long"&gt;41635&lt;/D&gt;&lt;D xsi:type="xsd:long"&gt;41634&lt;/D&gt;&lt;D xsi:type="xsd:long"&gt;41632&lt;/D&gt;&lt;D xsi:type="xsd:long"&gt;41631&lt;/D&gt;&lt;D xsi:type="xsd:long"&gt;41628&lt;/D&gt;&lt;D xsi:type="xsd:long"&gt;41627&lt;/D&gt;&lt;D xsi:type="xsd:long"&gt;41626&lt;/D&gt;&lt;D xsi:type="xsd:long"&gt;41625&lt;/D&gt;&lt;D xsi:type="xsd:long"&gt;41624&lt;/D&gt;&lt;D xsi:type="xsd:long"&gt;41621&lt;/D&gt;&lt;D xsi:type="xsd:long"&gt;41620&lt;/D&gt;&lt;D xsi:type="xsd:long"&gt;41619&lt;/D&gt;&lt;D xsi:type="xsd:long"&gt;41618&lt;/D&gt;&lt;D xsi:type="xsd:long"&gt;41617&lt;/D&gt;&lt;D xsi:type="xsd:long"&gt;41614&lt;/D&gt;&lt;D xsi:type="xsd:long"&gt;41613&lt;/D&gt;&lt;D xsi:type="xsd:long"&gt;41612&lt;/D&gt;&lt;D xsi:type="xsd:long"&gt;41611&lt;/D&gt;&lt;D xsi:type="xsd:long"&gt;41610&lt;/D&gt;&lt;D xsi:type="xsd:long"&gt;41607&lt;/D&gt;&lt;D xsi:type="xsd:long"&gt;41605&lt;/D&gt;&lt;D xsi:type="xsd:long"&gt;41604&lt;/D&gt;&lt;D xsi:type="xsd:long"&gt;41603&lt;/D&gt;&lt;D xsi:type="xsd:long"&gt;41600&lt;/D&gt;&lt;D xsi:type="xsd:long"&gt;41599&lt;/D&gt;&lt;D xsi:type="xsd:long"&gt;41598&lt;/D&gt;&lt;D xsi:type="xsd:long"&gt;41597&lt;/D&gt;&lt;D xsi:type="xsd:long"&gt;41596&lt;/D&gt;&lt;D xsi:type="xsd:long"&gt;41593&lt;/D&gt;&lt;D xsi:type="xsd:long"&gt;41592&lt;/D&gt;&lt;D xsi:type="xsd:long"&gt;41591&lt;/D&gt;&lt;D xsi:type="xsd:long"&gt;41590&lt;/D&gt;&lt;D xsi:type="xsd:long"&gt;41589&lt;/D&gt;&lt;D xsi:type="xsd:long"&gt;41586&lt;/D&gt;&lt;D xsi:type="xsd:long"&gt;41585&lt;/D&gt;&lt;D xsi:type="xsd:long"&gt;41584&lt;/D&gt;&lt;D xsi:type="xsd:long"&gt;41583&lt;/D&gt;&lt;D xsi:type="xsd:long"&gt;41582&lt;/D&gt;&lt;D xsi:type="xsd:long"&gt;41579&lt;/D&gt;&lt;D xsi:type="xsd:long"&gt;41578&lt;/D&gt;&lt;D xsi:type="xsd:long"&gt;41577&lt;/D&gt;&lt;D xsi:type="xsd:long"&gt;41576&lt;/D&gt;&lt;D xsi:type="xsd:long"&gt;41575&lt;/D&gt;&lt;D xsi:type="xsd:long"&gt;41572&lt;/D&gt;&lt;D xsi:type="xsd:long"&gt;41571&lt;/D&gt;&lt;D xsi:type="xsd:long"&gt;41570&lt;/D&gt;&lt;D xsi:type="xsd:long"&gt;41569&lt;/D&gt;&lt;D xsi:type="xsd:long"&gt;41568&lt;/D&gt;&lt;D xsi:type="xsd:long"&gt;41565&lt;/D&gt;&lt;D xsi:type="xsd:long"&gt;41564&lt;/D&gt;&lt;D xsi:type="xsd:long"&gt;41563&lt;/D&gt;&lt;D xsi:type="xsd:long"&gt;41562&lt;/D&gt;&lt;D xsi:type="xsd:long"&gt;41561&lt;/D&gt;&lt;D xsi:type="xsd:long"&gt;41558&lt;/D&gt;&lt;D xsi:type="xsd:long"&gt;41557&lt;/D&gt;&lt;D xsi:type="xsd:long"&gt;41556&lt;/D&gt;&lt;D xsi:type="xsd:long"&gt;41555&lt;/D&gt;&lt;D xsi:type="xsd:long"&gt;41554&lt;/D&gt;&lt;D xsi:type="xsd:long"&gt;41551&lt;/D&gt;&lt;D xsi:type="xsd:long"&gt;41550&lt;/D&gt;&lt;D xsi:type="xsd:long"&gt;41549&lt;/D&gt;&lt;D xsi:type="xsd:long"&gt;41548&lt;/D&gt;&lt;D xsi:type="xsd:long"&gt;41547&lt;/D&gt;&lt;D xsi:type="xsd:long"&gt;41544&lt;/D&gt;&lt;D xsi:type="xsd:long"&gt;41543&lt;/D&gt;&lt;D xsi:type="xsd:long"&gt;41542&lt;/D&gt;&lt;D xsi:type="xsd:long"&gt;41541&lt;/D&gt;&lt;D xsi:type="xsd:long"&gt;41540&lt;/D&gt;&lt;D xsi:type="xsd:long"&gt;41537&lt;/D&gt;&lt;D xsi:type="xsd:long"&gt;41536&lt;/D&gt;&lt;D xsi:type="xsd:long"&gt;41535&lt;/D&gt;&lt;D xsi:type="xsd:long"&gt;41534&lt;/D&gt;&lt;D xsi:type="xsd:long"&gt;41533&lt;/D&gt;&lt;D xsi:type="xsd:long"&gt;41530&lt;/D&gt;&lt;D xsi:type="xsd:long"&gt;41529&lt;/D&gt;&lt;D xsi:type="xsd:long"&gt;41528&lt;/D&gt;&lt;D xsi:type="xsd:long"&gt;41527&lt;/D&gt;&lt;D xsi:type="xsd:long"&gt;41526&lt;/D&gt;&lt;D xsi:type="xsd:long"&gt;41523&lt;/D&gt;&lt;D xsi:type="xsd:long"&gt;41522&lt;/D&gt;&lt;D xsi:type="xsd:long"&gt;41521&lt;/D&gt;&lt;D xsi:type="xsd:long"&gt;41520&lt;/D&gt;&lt;D xsi:type="xsd:long"&gt;41516&lt;/D&gt;&lt;D xsi:type="xsd:long"&gt;41515&lt;/D&gt;&lt;D xsi:type="xsd:long"&gt;41514&lt;/D&gt;&lt;D xsi:type="xsd:long"&gt;41513&lt;/D&gt;&lt;D xsi:type="xsd:long"&gt;41512&lt;/D&gt;&lt;D xsi:type="xsd:long"&gt;41509&lt;/D&gt;&lt;D xsi:type="xsd:long"&gt;41508&lt;/D&gt;&lt;D xsi:type="xsd:long"&gt;41507&lt;/D&gt;&lt;D xsi:type="xsd:long"&gt;41506&lt;/D&gt;&lt;D xsi:type="xsd:long"&gt;41505&lt;/D&gt;&lt;D xsi:type="xsd:long"&gt;41502&lt;/D&gt;&lt;D xsi:type="xsd:long"&gt;41501&lt;/D&gt;&lt;D xsi:type="xsd:long"&gt;41500&lt;/D&gt;&lt;D xsi:type="xsd:long"&gt;41499&lt;/D&gt;&lt;D xsi:type="xsd:long"&gt;41498&lt;/D&gt;&lt;D xsi:type="xsd:long"&gt;41495&lt;/D&gt;&lt;D xsi:type="xsd:long"&gt;41494&lt;/D&gt;&lt;D xsi:type="xsd:long"&gt;41493&lt;/D&gt;&lt;D xsi:type="xsd:long"&gt;41492&lt;/D&gt;&lt;D xsi:type="xsd:long"&gt;41491&lt;/D&gt;&lt;D xsi:type="xsd:long"&gt;41488&lt;/D&gt;&lt;D xsi:type="xsd:long"&gt;41487&lt;/D&gt;&lt;D xsi:type="xsd:long"&gt;41486&lt;/D&gt;&lt;D xsi:type="xsd:long"&gt;41485&lt;/D&gt;&lt;D xsi:type="xsd:long"&gt;41484&lt;/D&gt;&lt;D xsi:type="xsd:long"&gt;41481&lt;/D&gt;&lt;D xsi:type="xsd:long"&gt;41480&lt;/D&gt;&lt;D xsi:type="xsd:long"&gt;41479&lt;/D&gt;&lt;D xsi:type="xsd:long"&gt;41478&lt;/D&gt;&lt;D xsi:type="xsd:long"&gt;41477&lt;/D&gt;&lt;D xsi:type="xsd:long"&gt;41474&lt;/D&gt;&lt;D xsi:type="xsd:long"&gt;41473&lt;/D&gt;&lt;D xsi:type="xsd:long"&gt;41472&lt;/D&gt;&lt;D xsi:type="xsd:long"&gt;41471&lt;/D&gt;&lt;D xsi:type="xsd:long"&gt;41470&lt;/D&gt;&lt;D xsi:type="xsd:long"&gt;41467&lt;/D&gt;&lt;D xsi:type="xsd:long"&gt;41466&lt;/D&gt;&lt;D xsi:type="xsd:long"&gt;41465&lt;/D&gt;&lt;D xsi:type="xsd:long"&gt;41464&lt;/D&gt;&lt;D xsi:type="xsd:long"&gt;41463&lt;/D&gt;&lt;D xsi:type="xsd:long"&gt;41460&lt;/D&gt;&lt;D xsi:type="xsd:long"&gt;41458&lt;/D&gt;&lt;D xsi:type="xsd:long"&gt;41457&lt;/D&gt;&lt;D xsi:type="xsd:long"&gt;41456&lt;/D&gt;&lt;D xsi:type="xsd:long"&gt;41453&lt;/D&gt;&lt;D xsi:type="xsd:long"&gt;41452&lt;/D&gt;&lt;D xsi:type="xsd:long"&gt;41451&lt;/D&gt;&lt;D xsi:type="xsd:long"&gt;41450&lt;/D&gt;&lt;D xsi:type="xsd:long"&gt;41449&lt;/D&gt;&lt;D xsi:type="xsd:long"&gt;41446&lt;/D&gt;&lt;D xsi:type="xsd:long"&gt;41445&lt;/D&gt;&lt;D xsi:type="xsd:long"&gt;41444&lt;/D&gt;&lt;D xsi:type="xsd:long"&gt;41443&lt;/D&gt;&lt;D xsi:type="xsd:long"&gt;41442&lt;/D&gt;&lt;D xsi:type="xsd:long"&gt;41439&lt;/D&gt;&lt;D xsi:type="xsd:long"&gt;41438&lt;/D&gt;&lt;D xsi:type="xsd:long"&gt;41437&lt;/D&gt;&lt;D xsi:type="xsd:long"&gt;41436&lt;/D&gt;&lt;D xsi:type="xsd:long"&gt;41435&lt;/D&gt;&lt;D xsi:type="xsd:long"&gt;41432&lt;/D&gt;&lt;D xsi:type="xsd:long"&gt;41431&lt;/D&gt;&lt;D xsi:type="xsd:long"&gt;41430&lt;/D&gt;&lt;D xsi:type="xsd:long"&gt;41429&lt;/D&gt;&lt;D xsi:type="xsd:long"&gt;41428&lt;/D&gt;&lt;D xsi:type="xsd:long"&gt;41425&lt;/D&gt;&lt;D xsi:type="xsd:long"&gt;41424&lt;/D&gt;&lt;D xsi:type="xsd:long"&gt;41423&lt;/D&gt;&lt;D xsi:type="xsd:long"&gt;41422&lt;/D&gt;&lt;D xsi:type="xsd:long"&gt;41418&lt;/D&gt;&lt;D xsi:type="xsd:long"&gt;41417&lt;/D&gt;&lt;D xsi:type="xsd:long"&gt;41416&lt;/D&gt;&lt;D xsi:type="xsd:long"&gt;41415&lt;/D&gt;&lt;D xsi:type="xsd:long"&gt;41414&lt;/D&gt;&lt;D xsi:type="xsd:long"&gt;41411&lt;/D&gt;&lt;D xsi:type="xsd:long"&gt;41410&lt;/D&gt;&lt;D xsi:type="xsd:long"&gt;41409&lt;/D&gt;&lt;D xsi:type="xsd:long"&gt;41408&lt;/D&gt;&lt;D xsi:type="xsd:long"&gt;41407&lt;/D&gt;&lt;D xsi:type="xsd:long"&gt;41404&lt;/D&gt;&lt;D xsi:type="xsd:long"&gt;41403&lt;/D&gt;&lt;D xsi:type="xsd:long"&gt;41402&lt;/D&gt;&lt;D xsi:type="xsd:long"&gt;41401&lt;/D&gt;&lt;D xsi:type="xsd:long"&gt;41400&lt;/D&gt;&lt;D xsi:type="xsd:long"&gt;41397&lt;/D&gt;&lt;D xsi:type="xsd:long"&gt;41396&lt;/D&gt;&lt;D xsi:type="xsd:long"&gt;41395&lt;/D&gt;&lt;D xsi:type="xsd:long"&gt;41394&lt;/D&gt;&lt;D xsi:type="xsd:long"&gt;41393&lt;/D&gt;&lt;D xsi:type="xsd:long"&gt;41390&lt;/D&gt;&lt;D xsi:type="xsd:long"&gt;41389&lt;/D&gt;&lt;D xsi:type="xsd:long"&gt;41388&lt;/D&gt;&lt;D xsi:type="xsd:long"&gt;41387&lt;/D&gt;&lt;D xsi:type="xsd:long"&gt;41386&lt;/D&gt;&lt;D xsi:type="xsd:long"&gt;41383&lt;/D&gt;&lt;D xsi:type="xsd:long"&gt;41382&lt;/D&gt;&lt;D xsi:type="xsd:long"&gt;41381&lt;/D&gt;&lt;D xsi:type="xsd:long"&gt;41380&lt;/D&gt;&lt;D xsi:type="xsd:long"&gt;41379&lt;/D&gt;&lt;D xsi:type="xsd:long"&gt;41376&lt;/D&gt;&lt;D xsi:type="xsd:long"&gt;41375&lt;/D&gt;&lt;D xsi:type="xsd:long"&gt;41374&lt;/D&gt;&lt;D xsi:type="xsd:long"&gt;41373&lt;/D&gt;&lt;D xsi:type="xsd:long"&gt;41372&lt;/D&gt;&lt;D xsi:type="xsd:long"&gt;41369&lt;/D&gt;&lt;D xsi:type="xsd:long"&gt;41368&lt;/D&gt;&lt;D xsi:type="xsd:long"&gt;41367&lt;/D&gt;&lt;D xsi:type="xsd:long"&gt;41366&lt;/D&gt;&lt;D xsi:type="xsd:long"&gt;41365&lt;/D&gt;&lt;D xsi:type="xsd:long"&gt;41361&lt;/D&gt;&lt;D xsi:type="xsd:long"&gt;41360&lt;/D&gt;&lt;D xsi:type="xsd:long"&gt;41359&lt;/D&gt;&lt;D xsi:type="xsd:long"&gt;41358&lt;/D&gt;&lt;D xsi:type="xsd:long"&gt;41355&lt;/D&gt;&lt;D xsi:type="xsd:long"&gt;41354&lt;/D&gt;&lt;D xsi:type="xsd:long"&gt;41353&lt;/D&gt;&lt;D xsi:type="xsd:long"&gt;41352&lt;/D&gt;&lt;D xsi:type="xsd:long"&gt;41351&lt;/D&gt;&lt;D xsi:type="xsd:long"&gt;41348&lt;/D&gt;&lt;D xsi:type="xsd:long"&gt;41347&lt;/D&gt;&lt;D xsi:type="xsd:long"&gt;41346&lt;/D&gt;&lt;D xsi:type="xsd:long"&gt;41345&lt;/D&gt;&lt;D xsi:type="xsd:long"&gt;41344&lt;/D&gt;&lt;D xsi:type="xsd:long"&gt;41341&lt;/D&gt;&lt;D xsi:type="xsd:long"&gt;41340&lt;/D&gt;&lt;D xsi:type="xsd:long"&gt;41339&lt;/D&gt;&lt;D xsi:type="xsd:long"&gt;41338&lt;/D&gt;&lt;D xsi:type="xsd:long"&gt;41337&lt;/D&gt;&lt;D xsi:type="xsd:long"&gt;41334&lt;/D&gt;&lt;D xsi:type="xsd:long"&gt;41333&lt;/D&gt;&lt;D xsi:type="xsd:long"&gt;41332&lt;/D&gt;&lt;D xsi:type="xsd:long"&gt;41331&lt;/D&gt;&lt;D xsi:type="xsd:long"&gt;41330&lt;/D&gt;&lt;D xsi:type="xsd:long"&gt;41327&lt;/D&gt;&lt;D xsi:type="xsd:long"&gt;41326&lt;/D&gt;&lt;D xsi:type="xsd:long"&gt;41325&lt;/D&gt;&lt;D xsi:type="xsd:long"&gt;41324&lt;/D&gt;&lt;D xsi:type="xsd:long"&gt;41320&lt;/D&gt;&lt;D xsi:type="xsd:long"&gt;41319&lt;/D&gt;&lt;D xsi:type="xsd:long"&gt;41318&lt;/D&gt;&lt;D xsi:type="xsd:long"&gt;41317&lt;/D&gt;&lt;D xsi:type="xsd:long"&gt;41316&lt;/D&gt;&lt;D xsi:type="xsd:long"&gt;41313&lt;/D&gt;&lt;D xsi:type="xsd:long"&gt;41312&lt;/D&gt;&lt;D xsi:type="xsd:long"&gt;41311&lt;/D&gt;&lt;D xsi:type="xsd:long"&gt;41310&lt;/D&gt;&lt;D xsi:type="xsd:long"&gt;41309&lt;/D&gt;&lt;D xsi:type="xsd:long"&gt;41306&lt;/D&gt;&lt;D xsi:type="xsd:long"&gt;41305&lt;/D&gt;&lt;D xsi:type="xsd:long"&gt;41304&lt;/D&gt;&lt;D xsi:type="xsd:long"&gt;41303&lt;/D&gt;&lt;D xsi:type="xsd:long"&gt;41302&lt;/D&gt;&lt;D xsi:type="xsd:long"&gt;41299&lt;/D&gt;&lt;D xsi:type="xsd:long"&gt;41298&lt;/D&gt;&lt;D xsi:type="xsd:long"&gt;41297&lt;/D&gt;&lt;D xsi:type="xsd:long"&gt;41296&lt;/D&gt;&lt;D xsi:type="xsd:long"&gt;41292&lt;/D&gt;&lt;D xsi:type="xsd:long"&gt;41291&lt;/D&gt;&lt;D xsi:type="xsd:long"&gt;41290&lt;/D&gt;&lt;D xsi:type="xsd:long"&gt;41289&lt;/D&gt;&lt;D xsi:type="xsd:long"&gt;41288&lt;/D&gt;&lt;D xsi:type="xsd:long"&gt;41285&lt;/D&gt;&lt;D xsi:type="xsd:long"&gt;41284&lt;/D&gt;&lt;D xsi:type="xsd:long"&gt;41283&lt;/D&gt;&lt;D xsi:type="xsd:long"&gt;41282&lt;/D&gt;&lt;D xsi:type="xsd:long"&gt;41281&lt;/D&gt;&lt;D xsi:type="xsd:long"&gt;41278&lt;/D&gt;&lt;D xsi:type="xsd:long"&gt;41277&lt;/D&gt;&lt;D xsi:type="xsd:long"&gt;41276&lt;/D&gt;&lt;D xsi:type="xsd:long"&gt;41274&lt;/D&gt;&lt;D xsi:type="xsd:long"&gt;41271&lt;/D&gt;&lt;D xsi:type="xsd:long"&gt;41270&lt;/D&gt;&lt;D xsi:type="xsd:long"&gt;41269&lt;/D&gt;&lt;D xsi:type="xsd:long"&gt;41267&lt;/D&gt;&lt;D xsi:type="xsd:long"&gt;41264&lt;/D&gt;&lt;D xsi:type="xsd:long"&gt;41263&lt;/D&gt;&lt;D xsi:type="xsd:long"&gt;41262&lt;/D&gt;&lt;D xsi:type="xsd:long"&gt;41261&lt;/D&gt;&lt;D xsi:type="xsd:l</t>
        </r>
      </text>
    </comment>
    <comment ref="A55" authorId="0" shapeId="0">
      <text>
        <r>
          <rPr>
            <b/>
            <sz val="9"/>
            <color indexed="81"/>
            <rFont val="Tahoma"/>
            <family val="2"/>
          </rPr>
          <t>ong"&gt;41260&lt;/D&gt;&lt;D xsi:type="xsd:long"&gt;41257&lt;/D&gt;&lt;D xsi:type="xsd:long"&gt;41256&lt;/D&gt;&lt;D xsi:type="xsd:long"&gt;41255&lt;/D&gt;&lt;D xsi:type="xsd:long"&gt;41254&lt;/D&gt;&lt;D xsi:type="xsd:long"&gt;41253&lt;/D&gt;&lt;D xsi:type="xsd:long"&gt;41250&lt;/D&gt;&lt;D xsi:type="xsd:long"&gt;41249&lt;/D&gt;&lt;D xsi:type="xsd:long"&gt;41248&lt;/D&gt;&lt;D xsi:type="xsd:long"&gt;41247&lt;/D&gt;&lt;D xsi:type="xsd:long"&gt;41246&lt;/D&gt;&lt;D xsi:type="xsd:long"&gt;41243&lt;/D&gt;&lt;D xsi:type="xsd:long"&gt;41242&lt;/D&gt;&lt;D xsi:type="xsd:long"&gt;41241&lt;/D&gt;&lt;D xsi:type="xsd:long"&gt;41240&lt;/D&gt;&lt;D xsi:type="xsd:long"&gt;41239&lt;/D&gt;&lt;D xsi:type="xsd:long"&gt;41236&lt;/D&gt;&lt;D xsi:type="xsd:long"&gt;41234&lt;/D&gt;&lt;D xsi:type="xsd:long"&gt;41233&lt;/D&gt;&lt;D xsi:type="xsd:long"&gt;41232&lt;/D&gt;&lt;D xsi:type="xsd:long"&gt;41229&lt;/D&gt;&lt;D xsi:type="xsd:long"&gt;41228&lt;/D&gt;&lt;D xsi:type="xsd:long"&gt;41227&lt;/D&gt;&lt;D xsi:type="xsd:long"&gt;41226&lt;/D&gt;&lt;D xsi:type="xsd:long"&gt;41225&lt;/D&gt;&lt;D xsi:type="xsd:long"&gt;41222&lt;/D&gt;&lt;D xsi:type="xsd:long"&gt;41221&lt;/D&gt;&lt;D xsi:type="xsd:long"&gt;41220&lt;/D&gt;&lt;D xsi:type="xsd:long"&gt;41219&lt;/D&gt;&lt;D xsi:type="xsd:long"&gt;41218&lt;/D&gt;&lt;D xsi:type="xsd:long"&gt;41215&lt;/D&gt;&lt;D xsi:type="xsd:long"&gt;41214&lt;/D&gt;&lt;D xsi:type="xsd:long"&gt;41213&lt;/D&gt;&lt;D xsi:type="xsd:long"&gt;41208&lt;/D&gt;&lt;D xsi:type="xsd:long"&gt;41207&lt;/D&gt;&lt;D xsi:type="xsd:long"&gt;41206&lt;/D&gt;&lt;D xsi:type="xsd:long"&gt;41205&lt;/D&gt;&lt;D xsi:type="xsd:long"&gt;41204&lt;/D&gt;&lt;D xsi:type="xsd:long"&gt;41201&lt;/D&gt;&lt;D xsi:type="xsd:long"&gt;41200&lt;/D&gt;&lt;D xsi:type="xsd:long"&gt;41199&lt;/D&gt;&lt;D xsi:type="xsd:long"&gt;41198&lt;/D&gt;&lt;D xsi:type="xsd:long"&gt;41197&lt;/D&gt;&lt;D xsi:type="xsd:long"&gt;41194&lt;/D&gt;&lt;D xsi:type="xsd:long"&gt;41193&lt;/D&gt;&lt;D xsi:type="xsd:long"&gt;41192&lt;/D&gt;&lt;D xsi:type="xsd:long"&gt;41191&lt;/D&gt;&lt;D xsi:type="xsd:long"&gt;41190&lt;/D&gt;&lt;D xsi:type="xsd:long"&gt;41187&lt;/D&gt;&lt;D xsi:type="xsd:long"&gt;41186&lt;/D&gt;&lt;D xsi:type="xsd:long"&gt;41185&lt;/D&gt;&lt;D xsi:type="xsd:long"&gt;41184&lt;/D&gt;&lt;D xsi:type="xsd:long"&gt;41183&lt;/D&gt;&lt;D xsi:type="xsd:long"&gt;41180&lt;/D&gt;&lt;D xsi:type="xsd:long"&gt;41179&lt;/D&gt;&lt;D xsi:type="xsd:long"&gt;41178&lt;/D&gt;&lt;D xsi:type="xsd:long"&gt;41177&lt;/D&gt;&lt;D xsi:type="xsd:long"&gt;41176&lt;/D&gt;&lt;D xsi:type="xsd:long"&gt;41173&lt;/D&gt;&lt;D xsi:type="xsd:long"&gt;41172&lt;/D&gt;&lt;D xsi:type="xsd:long"&gt;41171&lt;/D&gt;&lt;D xsi:type="xsd:long"&gt;41170&lt;/D&gt;&lt;D xsi:type="xsd:long"&gt;41169&lt;/D&gt;&lt;D xsi:type="xsd:long"&gt;41166&lt;/D&gt;&lt;D xsi:type="xsd:long"&gt;41165&lt;/D&gt;&lt;D xsi:type="xsd:long"&gt;41164&lt;/D&gt;&lt;D xsi:type="xsd:long"&gt;41163&lt;/D&gt;&lt;D xsi:type="xsd:long"&gt;41162&lt;/D&gt;&lt;D xsi:type="xsd:long"&gt;41159&lt;/D&gt;&lt;D xsi:type="xsd:long"&gt;41158&lt;/D&gt;&lt;D xsi:type="xsd:long"&gt;41157&lt;/D&gt;&lt;D xsi:type="xsd:long"&gt;41156&lt;/D&gt;&lt;D xsi:type="xsd:long"&gt;41152&lt;/D&gt;&lt;D xsi:type="xsd:long"&gt;41151&lt;/D&gt;&lt;D xsi:type="xsd:long"&gt;41150&lt;/D&gt;&lt;D xsi:type="xsd:long"&gt;41149&lt;/D&gt;&lt;D xsi:type="xsd:long"&gt;41148&lt;/D&gt;&lt;D xsi:type="xsd:long"&gt;41145&lt;/D&gt;&lt;D xsi:type="xsd:long"&gt;41144&lt;/D&gt;&lt;D xsi:type="xsd:long"&gt;41143&lt;/D&gt;&lt;D xsi:type="xsd:long"&gt;41142&lt;/D&gt;&lt;D xsi:type="xsd:long"&gt;41141&lt;/D&gt;&lt;D xsi:type="xsd:long"&gt;41138&lt;/D&gt;&lt;D xsi:type="xsd:long"&gt;41137&lt;/D&gt;&lt;D xsi:type="xsd:long"&gt;41136&lt;/D&gt;&lt;D xsi:type="xsd:long"&gt;41135&lt;/D&gt;&lt;D xsi:type="xsd:long"&gt;41134&lt;/D&gt;&lt;D xsi:type="xsd:long"&gt;41131&lt;/D&gt;&lt;D xsi:type="xsd:long"&gt;41130&lt;/D&gt;&lt;D xsi:type="xsd:long"&gt;41129&lt;/D&gt;&lt;D xsi:type="xsd:long"&gt;41128&lt;/D&gt;&lt;D xsi:type="xsd:long"&gt;41127&lt;/D&gt;&lt;D xsi:type="xsd:long"&gt;41124&lt;/D&gt;&lt;D xsi:type="xsd:long"&gt;41123&lt;/D&gt;&lt;D xsi:type="xsd:long"&gt;41122&lt;/D&gt;&lt;D xsi:type="xsd:long"&gt;41121&lt;/D&gt;&lt;D xsi:type="xsd:long"&gt;41120&lt;/D&gt;&lt;D xsi:type="xsd:long"&gt;41117&lt;/D&gt;&lt;D xsi:type="xsd:long"&gt;41116&lt;/D&gt;&lt;D xsi:type="xsd:long"&gt;41115&lt;/D&gt;&lt;D xsi:type="xsd:long"&gt;41114&lt;/D&gt;&lt;D xsi:type="xsd:long"&gt;41113&lt;/D&gt;&lt;D xsi:type="xsd:long"&gt;41110&lt;/D&gt;&lt;D xsi:type="xsd:long"&gt;41109&lt;/D&gt;&lt;D xsi:type="xsd:long"&gt;41108&lt;/D&gt;&lt;D xsi:type="xsd:long"&gt;41107&lt;/D&gt;&lt;D xsi:type="xsd:long"&gt;41106&lt;/D&gt;&lt;D xsi:type="xsd:long"&gt;41103&lt;/D&gt;&lt;D xsi:type="xsd:long"&gt;41102&lt;/D&gt;&lt;D xsi:type="xsd:long"&gt;41101&lt;/D&gt;&lt;D xsi:type="xsd:long"&gt;41100&lt;/D&gt;&lt;D xsi:type="xsd:long"&gt;41099&lt;/D&gt;&lt;D xsi:type="xsd:long"&gt;41096&lt;/D&gt;&lt;D xsi:type="xsd:long"&gt;41095&lt;/D&gt;&lt;D xsi:type="xsd:long"&gt;41093&lt;/D&gt;&lt;D xsi:type="xsd:long"&gt;41092&lt;/D&gt;&lt;D xsi:type="xsd:long"&gt;41089&lt;/D&gt;&lt;D xsi:type="xsd:long"&gt;41088&lt;/D&gt;&lt;D xsi:type="xsd:long"&gt;41087&lt;/D&gt;&lt;D xsi:type="xsd:long"&gt;41086&lt;/D&gt;&lt;D xsi:type="xsd:long"&gt;41085&lt;/D&gt;&lt;D xsi:type="xsd:long"&gt;41082&lt;/D&gt;&lt;D xsi:type="xsd:long"&gt;41081&lt;/D&gt;&lt;D xsi:type="xsd:long"&gt;41080&lt;/D&gt;&lt;D xsi:type="xsd:long"&gt;41079&lt;/D&gt;&lt;D xsi:type="xsd:long"&gt;41078&lt;/D&gt;&lt;D xsi:type="xsd:long"&gt;41075&lt;/D&gt;&lt;D xsi:type="xsd:long"&gt;41074&lt;/D&gt;&lt;D xsi:type="xsd:long"&gt;41073&lt;/D&gt;&lt;D xsi:type="xsd:long"&gt;41072&lt;/D&gt;&lt;D xsi:type="xsd:long"&gt;41071&lt;/D&gt;&lt;D xsi:type="xsd:long"&gt;41068&lt;/D&gt;&lt;D xsi:type="xsd:long"&gt;41067&lt;/D&gt;&lt;D xsi:type="xsd:long"&gt;41066&lt;/D&gt;&lt;D xsi:type="xsd:long"&gt;41065&lt;/D&gt;&lt;D xsi:type="xsd:long"&gt;41064&lt;/D&gt;&lt;D xsi:type="xsd:long"&gt;41061&lt;/D&gt;&lt;D xsi:type="xsd:long"&gt;41060&lt;/D&gt;&lt;D xsi:type="xsd:long"&gt;41059&lt;/D&gt;&lt;D xsi:type="xsd:long"&gt;41058&lt;/D&gt;&lt;D xsi:type="xsd:long"&gt;41054&lt;/D&gt;&lt;D xsi:type="xsd:long"&gt;41053&lt;/D&gt;&lt;D xsi:type="xsd:long"&gt;41052&lt;/D&gt;&lt;D xsi:type="xsd:long"&gt;41051&lt;/D&gt;&lt;D xsi:type="xsd:long"&gt;41050&lt;/D&gt;&lt;D xsi:type="xsd:long"&gt;41047&lt;/D&gt;&lt;D xsi:type="xsd:long"&gt;41046&lt;/D&gt;&lt;D xsi:type="xsd:long"&gt;41045&lt;/D&gt;&lt;D xsi:type="xsd:long"&gt;41044&lt;/D&gt;&lt;D xsi:type="xsd:long"&gt;41043&lt;/D&gt;&lt;D xsi:type="xsd:long"&gt;41040&lt;/D&gt;&lt;D xsi:type="xsd:long"&gt;41039&lt;/D&gt;&lt;D xsi:type="xsd:long"&gt;41038&lt;/D&gt;&lt;D xsi:type="xsd:long"&gt;41037&lt;/D&gt;&lt;D xsi:type="xsd:long"&gt;41036&lt;/D&gt;&lt;D xsi:type="xsd:long"&gt;41033&lt;/D&gt;&lt;D xsi:type="xsd:long"&gt;41032&lt;/D&gt;&lt;D xsi:type="xsd:long"&gt;41031&lt;/D&gt;&lt;D xsi:type="xsd:long"&gt;41030&lt;/D&gt;&lt;D xsi:type="xsd:long"&gt;41029&lt;/D&gt;&lt;D xsi:type="xsd:long"&gt;41026&lt;/D&gt;&lt;D xsi:type="xsd:long"&gt;41025&lt;/D&gt;&lt;D xsi:type="xsd:long"&gt;41024&lt;/D&gt;&lt;D xsi:type="xsd:long"&gt;41023&lt;/D&gt;&lt;D xsi:type="xsd:long"&gt;41022&lt;/D&gt;&lt;D xsi:type="xsd:long"&gt;41019&lt;/D&gt;&lt;D xsi:type="xsd:long"&gt;41018&lt;/D&gt;&lt;D xsi:type="xsd:long"&gt;41017&lt;/D&gt;&lt;D xsi:type="xsd:long"&gt;41016&lt;/D&gt;&lt;D xsi:type="xsd:long"&gt;41015&lt;/D&gt;&lt;D xsi:type="xsd:long"&gt;41012&lt;/D&gt;&lt;D xsi:type="xsd:long"&gt;41011&lt;/D&gt;&lt;D xsi:type="xsd:long"&gt;41010&lt;/D&gt;&lt;D xsi:type="xsd:long"&gt;41009&lt;/D&gt;&lt;D xsi:type="xsd:long"&gt;41008&lt;/D&gt;&lt;D xsi:type="xsd:long"&gt;41004&lt;/D&gt;&lt;D xsi:type="xsd:long"&gt;41003&lt;/D&gt;&lt;D xsi:type="xsd:long"&gt;41002&lt;/D&gt;&lt;D xsi:type="xsd:long"&gt;41001&lt;/D&gt;&lt;D xsi:type="xsd:long"&gt;40998&lt;/D&gt;&lt;D xsi:type="xsd:long"&gt;40997&lt;/D&gt;&lt;D xsi:type="xsd:long"&gt;40996&lt;/D&gt;&lt;D xsi:type="xsd:long"&gt;40995&lt;/D&gt;&lt;D xsi:type="xsd:long"&gt;40994&lt;/D&gt;&lt;D xsi:type="xsd:long"&gt;40991&lt;/D&gt;&lt;D xsi:type="xsd:long"&gt;40990&lt;/D&gt;&lt;D xsi:type="xsd:long"&gt;40989&lt;/D&gt;&lt;D xsi:type="xsd:long"&gt;40988&lt;/D&gt;&lt;D xsi:type="xsd:long"&gt;40987&lt;/D&gt;&lt;D xsi:type="xsd:long"&gt;40984&lt;/D&gt;&lt;D xsi:type="xsd:long"&gt;40983&lt;/D&gt;&lt;D xsi:type="xsd:long"&gt;40982&lt;/D&gt;&lt;D xsi:type="xsd:long"&gt;40981&lt;/D&gt;&lt;D xsi:type="xsd:long"&gt;40980&lt;/D&gt;&lt;D xsi:type="xsd:long"&gt;40977&lt;/D&gt;&lt;D xsi:type="xsd:long"&gt;40976&lt;/D&gt;&lt;D xsi:type="xsd:long"&gt;40975&lt;/D&gt;&lt;D xsi:type="xsd:long"&gt;40974&lt;/D&gt;&lt;D xsi:type="xsd:long"&gt;40973&lt;/D&gt;&lt;D xsi:type="xsd:long"&gt;40970&lt;/D&gt;&lt;D xsi:type="xsd:long"&gt;40969&lt;/D&gt;&lt;D xsi:type="xsd:long"&gt;40968&lt;/D&gt;&lt;D xsi:type="xsd:long"&gt;40967&lt;/D&gt;&lt;D xsi:type="xsd:long"&gt;40966&lt;/D&gt;&lt;D xsi:type="xsd:long"&gt;40963&lt;/D&gt;&lt;D xsi:type="xsd:long"&gt;40962&lt;/D&gt;&lt;D xsi:type="xsd:long"&gt;40961&lt;/D&gt;&lt;D xsi:type="xsd:long"&gt;40960&lt;/D&gt;&lt;D xsi:type="xsd:long"&gt;40956&lt;/D&gt;&lt;D xsi:type="xsd:long"&gt;40955&lt;/D&gt;&lt;D xsi:type="xsd:long"&gt;40954&lt;/D&gt;&lt;D xsi:type="xsd:long"&gt;40953&lt;/D&gt;&lt;D xsi:type="xsd:long"&gt;40952&lt;/D&gt;&lt;D xsi:type="xsd:long"&gt;40949&lt;/D&gt;&lt;D xsi:type="xsd:long"&gt;40948&lt;/D&gt;&lt;D xsi:type="xsd:long"&gt;40947&lt;/D&gt;&lt;D xsi:type="xsd:long"&gt;40946&lt;/D&gt;&lt;D xsi:type="xsd:long"&gt;40945&lt;/D&gt;&lt;D xsi:type="xsd:long"&gt;40942&lt;/D&gt;&lt;D xsi:type="xsd:long"&gt;40941&lt;/D&gt;&lt;D xsi:type="xsd:long"&gt;40940&lt;/D&gt;&lt;D xsi:type="xsd:long"&gt;40939&lt;/D&gt;&lt;D xsi:type="xsd:long"&gt;40938&lt;/D&gt;&lt;D xsi:type="xsd:long"&gt;40935&lt;/D&gt;&lt;D xsi:type="xsd:long"&gt;40934&lt;/D&gt;&lt;D xsi:type="xsd:long"&gt;40933&lt;/D&gt;&lt;D xsi:type="xsd:long"&gt;40932&lt;/D&gt;&lt;D xsi:type="xsd:long"&gt;40931&lt;/D&gt;&lt;D xsi:type="xsd:long"&gt;40928&lt;/D&gt;&lt;D xsi:type="xsd:long"&gt;40927&lt;/D&gt;&lt;D xsi:type="xsd:long"&gt;40926&lt;/D&gt;&lt;D xsi:type="xsd:long"&gt;40925&lt;/D&gt;&lt;D xsi:type="xsd:long"&gt;40921&lt;/D&gt;&lt;D xsi:type="xsd:long"&gt;40920&lt;/D&gt;&lt;D xsi:type="xsd:long"&gt;40919&lt;/D&gt;&lt;D xsi:type="xsd:long"&gt;40918&lt;/D&gt;&lt;D xsi:type="xsd:long"&gt;40917&lt;/D&gt;&lt;D xsi:type="xsd:long"&gt;40914&lt;/D&gt;&lt;D xsi:type="xsd:long"&gt;40913&lt;/D&gt;&lt;D xsi:type="xsd:long"&gt;40912&lt;/D&gt;&lt;D xsi:type="xsd:long"&gt;40911&lt;/D&gt;&lt;D xsi:type="xsd:long"&gt;40907&lt;/D&gt;&lt;D xsi:type="xsd:long"&gt;40906&lt;/D&gt;&lt;D xsi:type="xsd:long"&gt;40905&lt;/D&gt;&lt;D xsi:type="xsd:long"&gt;40904&lt;/D&gt;&lt;D xsi:type="xsd:long"&gt;40900&lt;/D&gt;&lt;D xsi:type="xsd:long"&gt;40899&lt;/D&gt;&lt;D xsi:type="xsd:long"&gt;40898&lt;/D&gt;&lt;D xsi:type="xsd:long"&gt;40897&lt;/D&gt;&lt;D xsi:type="xsd:long"&gt;40896&lt;/D&gt;&lt;D xsi:type="xsd:long"&gt;40893&lt;/D&gt;&lt;D xsi:type="xsd:long"&gt;40892&lt;/D&gt;&lt;D xsi:type="xsd:long"&gt;40891&lt;/D&gt;&lt;D xsi:type="xsd:long"&gt;40890&lt;/D&gt;&lt;D xsi:type="xsd:long"&gt;40889&lt;/D&gt;&lt;D xsi:type="xsd:long"&gt;40886&lt;/D&gt;&lt;D xsi:type="xsd:long"&gt;40885&lt;/D&gt;&lt;D xsi:type="xsd:long"&gt;40884&lt;/D&gt;&lt;D xsi:type="xsd:long"&gt;40883&lt;/D&gt;&lt;D xsi:type="xsd:long"&gt;40882&lt;/D&gt;&lt;D xsi:type="xsd:long"&gt;40879&lt;/D&gt;&lt;D xsi:type="xsd:long"&gt;40878&lt;/D&gt;&lt;D xsi:type="xsd:long"&gt;40877&lt;/D&gt;&lt;D xsi:type="xsd:long"&gt;40876&lt;/D&gt;&lt;D xsi:type="xsd:long"&gt;40875&lt;/D&gt;&lt;D xsi:type="xsd:long"&gt;40872&lt;/D&gt;&lt;D xsi:type="xsd:long"&gt;40870&lt;/D&gt;&lt;D xsi:type="xsd:long"&gt;40869&lt;/D&gt;&lt;D xsi:type="xsd:long"&gt;40868&lt;/D&gt;&lt;D xsi:type="xsd:long"&gt;40865&lt;/D&gt;&lt;D xsi:type="xsd:long"&gt;40864&lt;/D&gt;&lt;D xsi:type="xsd:long"&gt;40863&lt;/D&gt;&lt;D xsi:type="xsd:long"&gt;40862&lt;/D&gt;&lt;D xsi:type="xsd:long"&gt;40861&lt;/D&gt;&lt;D xsi:type="xsd:long"&gt;40858&lt;/D&gt;&lt;D xsi:type="xsd:long"&gt;40857&lt;/D&gt;&lt;D xsi:type="xsd:long"&gt;40856&lt;/D&gt;&lt;D xsi:type="xsd:long"&gt;40855&lt;/D&gt;&lt;D xsi:type="xsd:long"&gt;40854&lt;/D&gt;&lt;D xsi:type="xsd:long"&gt;40851&lt;/D&gt;&lt;D xsi:type="xsd:long"&gt;40850&lt;/D&gt;&lt;D xsi:type="xsd:long"&gt;40849&lt;/D&gt;&lt;D xsi:type="xsd:long"&gt;40848&lt;/D&gt;&lt;D xsi:type="xsd:long"&gt;40847&lt;/D&gt;&lt;D xsi:type="xsd:long"&gt;40844&lt;/D&gt;&lt;D xsi:type="xsd:long"&gt;40843&lt;/D&gt;&lt;D xsi:type="xsd:long"&gt;40842&lt;/D&gt;&lt;D xsi:type="xsd:long"&gt;40841&lt;/D&gt;&lt;D xsi:type="xsd:long"&gt;40840&lt;/D&gt;&lt;D xsi:type="xsd:long"&gt;40837&lt;/D&gt;&lt;D xsi:type="xsd:long"&gt;40836&lt;/D&gt;&lt;D xsi:type="xsd:long"&gt;40835&lt;/D&gt;&lt;D xsi:type="xsd:long"&gt;40834&lt;/D&gt;&lt;D xsi:type="xsd:long"&gt;40833&lt;/D&gt;&lt;D xsi:type="xsd:long"&gt;40830&lt;/D&gt;&lt;D xsi:type="xsd:long"&gt;40829&lt;/D&gt;&lt;D xsi:type="xsd:long"&gt;40828&lt;/D&gt;&lt;D xsi:type="xsd:long"&gt;40827&lt;/D&gt;&lt;D xsi:type="xsd:long"&gt;40826&lt;/D&gt;&lt;D xsi:type="xsd:long"&gt;40823&lt;/D&gt;&lt;D xsi:type="xsd:long"&gt;40822&lt;/D&gt;&lt;D xsi:type="xsd:long"&gt;40821&lt;/D&gt;&lt;D xsi:type="xsd:long"&gt;40820&lt;/D&gt;&lt;D xsi:type="xsd:long"&gt;40819&lt;/D&gt;&lt;D xsi:type="xsd:long"&gt;40816&lt;/D&gt;&lt;D xsi:type="xsd:long"&gt;40815&lt;/D&gt;&lt;D xsi:type="xsd:long"&gt;40814&lt;/D&gt;&lt;D xsi:type="xsd:long"&gt;40813&lt;/D&gt;&lt;D xsi:type="xsd:long"&gt;40812&lt;/D&gt;&lt;D xsi:type="xsd:long"&gt;40809&lt;/D&gt;&lt;D xsi:type="xsd:long"&gt;40808&lt;/D&gt;&lt;D xsi:type="xsd:long"&gt;40807&lt;/D&gt;&lt;D xsi:type="xsd:long"&gt;40806&lt;/D&gt;&lt;D xsi:type="xsd:long"&gt;40805&lt;/D&gt;&lt;D xsi:type="xsd:long"&gt;40802&lt;/D&gt;&lt;D xsi:type="xsd:long"&gt;40801&lt;/D&gt;&lt;D xsi:type="xsd:long"&gt;40800&lt;/D&gt;&lt;D xsi:type="xsd:long"&gt;40799&lt;/D&gt;&lt;D xsi:type="xsd:long"&gt;40798&lt;/D&gt;&lt;D xsi:type="xsd:long"&gt;40795&lt;/D&gt;&lt;D xsi:type="xsd:long"&gt;40794&lt;/D&gt;&lt;D xsi:type="xsd:long"&gt;40793&lt;/D&gt;&lt;D xsi:type="xsd:long"&gt;40792&lt;/D&gt;&lt;D xsi:type="xsd:long"&gt;40788&lt;/D&gt;&lt;D xsi:type="xsd:long"&gt;40787&lt;/D&gt;&lt;D xsi:type="xsd:long"&gt;40786&lt;/D&gt;&lt;D xsi:type="xsd:long"&gt;40785&lt;/D&gt;&lt;D xsi:type="xsd:long"&gt;40784&lt;/D&gt;&lt;D xsi:type="xsd:long"&gt;40781&lt;/D&gt;&lt;D xsi:type="xsd:long"&gt;40780&lt;/D&gt;&lt;D xsi:type="xsd:long"&gt;40779&lt;/D&gt;&lt;D xsi:type="xsd:long"&gt;40778&lt;/D&gt;&lt;D xsi:type="xsd:long"&gt;40777&lt;/D&gt;&lt;D xsi:type="xsd:long"&gt;40774&lt;/D&gt;&lt;D xsi:type="xsd:long"&gt;40773&lt;/D&gt;&lt;D xsi:type="xsd:long"&gt;40772&lt;/D&gt;&lt;D xsi:type="xsd:long"&gt;40771&lt;/D&gt;&lt;D xsi:type="xsd:long"&gt;40770&lt;/D&gt;&lt;D xsi:type="xsd:long"&gt;40767&lt;/D&gt;&lt;D xsi:type="xsd:long"&gt;40766&lt;/D&gt;&lt;D xsi:type="xsd:long"&gt;40765&lt;/D&gt;&lt;D xsi:type="xsd:long"&gt;40764&lt;/D&gt;&lt;D xsi:type="xsd:long"&gt;40763&lt;/D&gt;&lt;D xsi:type="xsd:long"&gt;40760&lt;/D&gt;&lt;D xsi:type="xsd:long"&gt;40759&lt;/D&gt;&lt;D xsi:type="xsd:long"&gt;40758&lt;/D&gt;&lt;D xsi:type="xsd:long"&gt;40757&lt;/D&gt;&lt;D xsi:type="xsd:long"&gt;40756&lt;/D&gt;&lt;D xsi:type="xsd:long"&gt;40753&lt;/D&gt;&lt;D xsi:type="xsd:long"&gt;40752&lt;/D&gt;&lt;D xsi:type="xsd:long"&gt;40751&lt;/D&gt;&lt;D xsi:type="xsd:long"&gt;40750&lt;/D&gt;&lt;D xsi:type="xsd:long"&gt;40749&lt;/D&gt;&lt;D xsi:type="xsd:long"&gt;40746&lt;/D&gt;&lt;D xsi:type="xsd:long"&gt;40745&lt;/D&gt;&lt;D xsi:type="xsd:long"&gt;40744&lt;/D&gt;&lt;D xsi:type="xsd:long"&gt;40743&lt;/D&gt;&lt;D xsi:type="xsd:long"&gt;40742&lt;/D&gt;&lt;D xsi:type="xsd:long"&gt;40739&lt;/D&gt;&lt;D xsi:type="xsd:long"&gt;40738&lt;/D&gt;&lt;D xsi:type="xsd:long"&gt;40737&lt;/D&gt;&lt;D xsi:type="xsd:long"&gt;40736&lt;/D&gt;&lt;D xsi:type="xsd:long"&gt;40735&lt;/D&gt;&lt;D xsi:type="xsd:long"&gt;40732&lt;/D&gt;&lt;D xsi:type="xsd:long"&gt;40731&lt;/D&gt;&lt;D xsi:type="xsd:long"&gt;40730&lt;/D&gt;&lt;D xsi:type="xsd:long"&gt;40729&lt;/D&gt;&lt;D xsi:type="xsd:long"&gt;40725&lt;/D&gt;&lt;D xsi:type="xsd:long"&gt;40724&lt;/D&gt;&lt;D xsi:type="xsd:long"&gt;40723&lt;/D&gt;&lt;D xsi:type="xsd:long"&gt;40722&lt;/D&gt;&lt;D xsi:type="xsd:long"&gt;40721&lt;/D&gt;&lt;D xsi:type="xsd:long"&gt;40718&lt;/D&gt;&lt;D xsi:type="xsd:long"&gt;40717&lt;/D&gt;&lt;D xsi:type="xsd:long"&gt;40716&lt;/D&gt;&lt;D xsi:type="xsd:long"&gt;40715&lt;/D&gt;&lt;D xsi:type="xsd:long"&gt;40714&lt;/D&gt;&lt;D xsi:type="xsd:long"&gt;40711&lt;/D&gt;&lt;D xsi:type="xsd:long"&gt;40710&lt;/D&gt;&lt;D xsi:type="xsd:long"&gt;40709&lt;/D&gt;&lt;D xsi:type="xsd:long"&gt;40708&lt;/D&gt;&lt;D xsi:type="xsd:long"&gt;40707&lt;/D&gt;&lt;D xsi:type="xsd:long"&gt;40704&lt;/D&gt;&lt;D xsi:type="xsd:long"&gt;40703&lt;/D&gt;&lt;D xsi:type="xsd:long"&gt;40702&lt;/D&gt;&lt;D xsi:type="xsd:long"&gt;40701&lt;/D&gt;&lt;D xsi:type="xsd:long"&gt;40700&lt;/D&gt;&lt;D xsi:type="xsd:long"&gt;40697&lt;/D&gt;&lt;D xsi:type="xsd:long"&gt;40696&lt;/D&gt;&lt;D xsi:type="xsd:long"&gt;40695&lt;/D&gt;&lt;D xsi:type="xsd:long"&gt;40694&lt;/D&gt;&lt;D xsi:type="xsd:long"&gt;40690&lt;/D&gt;&lt;D xsi:type="xsd:long"&gt;40689&lt;/D&gt;&lt;D xsi:type="xsd:long"&gt;40688&lt;/D&gt;&lt;D xsi:type="xsd:long"&gt;40687&lt;/D&gt;&lt;D xsi:type="xsd:long"&gt;40686&lt;/D&gt;&lt;D xsi:type="xsd:long"&gt;40683&lt;/D&gt;&lt;D xsi:type="xsd:long"&gt;40682&lt;/D&gt;&lt;D xsi:type="xsd:long"&gt;40681&lt;/D&gt;&lt;D xsi:type="xsd:long"&gt;40680&lt;/D&gt;&lt;D xsi:type="xsd:long"&gt;40679&lt;/D&gt;&lt;D xsi:type="xsd:long"&gt;40676&lt;/D&gt;&lt;D xsi:type="xsd:long"&gt;40675&lt;/D&gt;&lt;D xsi:type="xsd:long"&gt;40674&lt;/D&gt;&lt;D xsi:type="xsd:long"&gt;40673&lt;/D&gt;&lt;D xsi:type="xsd:long"&gt;40672&lt;/D&gt;&lt;D xsi:type="xsd:long"&gt;40669&lt;/D&gt;&lt;D xsi:type="xsd:long"&gt;40668&lt;/D&gt;&lt;D xsi:type="xsd:long"&gt;40667&lt;/D&gt;&lt;D xsi:type="xsd:long"&gt;40666&lt;/D&gt;&lt;D xsi:type="xsd:long"&gt;40665&lt;/D&gt;&lt;D xsi:type="xsd:long"&gt;40662&lt;/D&gt;&lt;D xsi:type="xsd:long"&gt;40661&lt;/D&gt;&lt;D xsi:type="xsd:long"&gt;40660&lt;/D&gt;&lt;D xsi:type="xsd:long"&gt;40659&lt;/D&gt;&lt;D xsi:type="xsd:long"&gt;40658&lt;/D&gt;&lt;D xsi:type="xsd:long"&gt;40654&lt;/D&gt;&lt;D xsi:type="xsd:long"&gt;40653&lt;/D&gt;&lt;D xsi:type="xsd:long"&gt;40652&lt;/D&gt;&lt;D xsi:type="xsd:long"&gt;40651&lt;/D&gt;&lt;D xsi:type="xsd:long"&gt;40648&lt;/D&gt;&lt;D xsi:type="xsd:long"&gt;40647&lt;/D&gt;&lt;D xsi:type="xsd:long"&gt;40646&lt;/D&gt;&lt;D xsi:type="xsd:long"&gt;40645&lt;/D&gt;&lt;D xsi:type="xsd:long"&gt;40644&lt;/D&gt;&lt;D xsi:type="xsd:long"&gt;40641&lt;/D&gt;&lt;D xsi:type="xsd:long"&gt;40640&lt;/D&gt;&lt;D xsi:type="xsd:long"&gt;40639&lt;/D&gt;&lt;D xsi:type="xsd:long"&gt;40638&lt;/D&gt;&lt;D xsi:type="xsd:long"&gt;40637&lt;/D&gt;&lt;D xsi:type="xsd:long"&gt;40634&lt;/D&gt;&lt;D xsi:type="xsd:long"&gt;40633&lt;/D&gt;&lt;D xsi:type="xsd:long"&gt;40632&lt;/D&gt;&lt;D xsi:type="xsd:long"&gt;40631&lt;/D&gt;&lt;D xsi:type="xsd:long"&gt;40630&lt;/D&gt;&lt;D xsi:type="xsd:long"&gt;40627&lt;/D&gt;&lt;D xsi:type="xsd:long"&gt;40626&lt;/D&gt;&lt;D xsi:type="xsd:long"&gt;40625&lt;/D&gt;&lt;D xsi:type="xsd:long"&gt;40624&lt;/D&gt;&lt;D xsi:type="xsd:long"&gt;40623&lt;/D&gt;&lt;D xsi:type="xsd:long"&gt;40620&lt;/D&gt;&lt;D xsi:type="xsd:long"&gt;40619&lt;/D&gt;&lt;D xsi:type="xsd:long"&gt;40618&lt;/D&gt;&lt;D xsi:type="xsd:long"&gt;40617&lt;/D&gt;&lt;D xsi:type="xsd:long"&gt;40616&lt;/D&gt;&lt;D xsi:type="xsd:long"&gt;40613&lt;/D&gt;&lt;D xsi:type="xsd:long"&gt;40612&lt;/D&gt;&lt;D xsi:type="xsd:long"&gt;40611&lt;/D&gt;&lt;D xsi:type="xsd:long"&gt;40610&lt;/D&gt;&lt;D xsi:type="xsd:long"&gt;40609&lt;/D&gt;&lt;D xsi:type="xsd:long"&gt;40606&lt;/D&gt;&lt;D xsi:type="xsd:long"&gt;40605&lt;/D&gt;&lt;D xsi:type="xsd:long"&gt;40604&lt;/D&gt;&lt;D xsi:type="xsd:long"&gt;40603&lt;/D&gt;&lt;D xsi:type="xsd:long"&gt;40602&lt;/D&gt;&lt;D xsi:type="xsd:long"&gt;40599&lt;/D&gt;&lt;D xsi:type="xsd:long"&gt;40598&lt;/D&gt;&lt;D xsi:type="xsd:long"&gt;40597&lt;/D&gt;&lt;D xsi:type="xsd:long"&gt;40596&lt;/D&gt;&lt;D xsi:type="xsd:long"&gt;40592&lt;/D&gt;&lt;D xsi:type="xsd:long"&gt;40591&lt;/D&gt;&lt;D xsi:type="xsd:long"&gt;40590&lt;/D&gt;&lt;D xsi:type="xsd:long"&gt;40589&lt;/D&gt;&lt;D xsi:type="xsd:long"&gt;40588&lt;/D&gt;&lt;D xsi:type="xsd:long"&gt;40585&lt;/D&gt;&lt;D xsi:type="xsd:long"&gt;40584&lt;/D&gt;&lt;D xsi:type="xsd:long"&gt;40583&lt;/D&gt;&lt;D xsi:type="xsd:long"&gt;40582&lt;/D&gt;&lt;D xsi:type="xsd:long"&gt;40581&lt;/D&gt;&lt;D xsi:type="xsd:long"&gt;40578&lt;/D&gt;&lt;D xsi:type="xsd:long"&gt;40577&lt;/D&gt;&lt;D xsi:type="xsd:long"&gt;40576&lt;/D&gt;&lt;D xsi:type="xsd:long"&gt;40575&lt;/D&gt;&lt;D xsi:type="xsd:long"&gt;40574&lt;/D&gt;&lt;D xsi:type="xsd:long"&gt;40571&lt;/D&gt;&lt;D xsi:type="xsd:long"&gt;40570&lt;/D&gt;&lt;D xsi:type="xsd:long"&gt;40569&lt;/D&gt;&lt;D xsi:type="xsd:long"&gt;40568&lt;/D&gt;&lt;D xsi:type="xsd:long"&gt;40567&lt;/D&gt;&lt;D xsi:type="xsd:long"&gt;40564&lt;/D&gt;&lt;D xsi:type="xsd:long"&gt;40563&lt;/D&gt;&lt;D xsi:type="xsd:long"&gt;40562&lt;/D&gt;&lt;D xsi:type="xsd:long"&gt;40561&lt;/D&gt;&lt;D xsi:type="xsd:long"&gt;40557&lt;/D&gt;&lt;D xsi:type="xsd:long"&gt;40556&lt;/D&gt;&lt;D xsi:type="xsd:long"&gt;40555&lt;/D&gt;&lt;D xsi:type="xsd:long"&gt;40554&lt;/D&gt;&lt;D xsi:type="xsd:long"&gt;40553&lt;/D&gt;&lt;D xsi:type="xsd:long"&gt;40550&lt;/D&gt;&lt;D xsi:type="xsd:long"&gt;40549&lt;/D&gt;&lt;D xsi:type="xsd:long"&gt;40548&lt;/D&gt;&lt;D xsi:type="xsd:long"&gt;40547&lt;/D&gt;&lt;D xsi:type="xsd:long"&gt;40546&lt;/D&gt;&lt;D xsi:type="xsd:long"&gt;40543&lt;/D&gt;&lt;D xsi:type="xsd:long"&gt;40542&lt;/D&gt;&lt;D xsi:type="xsd:long"&gt;40541&lt;/D&gt;&lt;D xsi:type="xsd:long"&gt;40540&lt;/D&gt;&lt;D xsi:type="xsd:long"&gt;40539&lt;/D&gt;&lt;D xsi:type="xsd:long"&gt;40535&lt;/D&gt;&lt;D xsi:type="xsd:long"&gt;40534&lt;/D&gt;&lt;D xsi:type="xsd:long"&gt;40533&lt;/D&gt;&lt;D xsi:type="xsd:long"&gt;40532&lt;/D&gt;&lt;D xsi:type="xsd:long"&gt;40529&lt;/D&gt;&lt;D xsi:type="xsd:long"&gt;40528&lt;/D&gt;&lt;D xsi:type="xsd:long"&gt;40527&lt;/D&gt;&lt;D xsi:type="xsd:long"&gt;40526&lt;/D&gt;&lt;D xsi:type="xsd:long"&gt;40525&lt;/D&gt;&lt;D xsi:type="xsd:long"&gt;40522&lt;/D&gt;&lt;D xsi:type="xsd:long"&gt;40521&lt;/D&gt;&lt;D xsi:type="xsd:long"&gt;40520&lt;/D&gt;&lt;D xsi:type="xsd:long"&gt;40519&lt;/D&gt;&lt;D xsi:type="xsd:long"&gt;40518&lt;/D&gt;&lt;D xsi:type="xsd:long"&gt;40515&lt;/D&gt;&lt;D xsi:type="xsd:long"&gt;40514&lt;/D&gt;&lt;D xsi:type="xsd:long"&gt;40513&lt;/D&gt;&lt;D xsi:type="xsd:long"&gt;40512&lt;/D&gt;&lt;D xsi:type="xsd:long"&gt;40511&lt;/D&gt;&lt;D xsi:type="xsd:long"&gt;40508&lt;/D&gt;&lt;D xsi:type="xsd:long"&gt;40506&lt;/D&gt;&lt;D xsi:type="xsd:long"&gt;40505&lt;/D&gt;&lt;D xsi:type="xsd:long"&gt;40504&lt;/D&gt;&lt;D xsi:type="xsd:long"&gt;40501&lt;/D&gt;&lt;D xsi:type="xsd:long"&gt;40500&lt;/D&gt;&lt;D xsi:type="xsd:long"&gt;40499&lt;/D&gt;&lt;D xsi:type="xsd:long"&gt;40498&lt;/D&gt;&lt;D xsi:type="xsd:long"&gt;40497&lt;/D&gt;&lt;D xsi:type="xsd:long"&gt;40494&lt;/D&gt;&lt;D xsi:type="xsd:long"&gt;40493&lt;/D&gt;&lt;D xsi:type="xsd:long"&gt;40492&lt;/D&gt;&lt;D xsi:type="xsd:long"&gt;40491&lt;/D&gt;&lt;D xsi:type="xsd:long"&gt;40490&lt;/D&gt;&lt;D xsi:type="xsd:long"&gt;40487&lt;/D&gt;&lt;D xsi:type="xsd:long"&gt;40486&lt;/D&gt;&lt;D xsi:type="xsd:long"&gt;40485&lt;/D&gt;&lt;D xsi:type="xsd:long"&gt;40484&lt;/D&gt;&lt;D xsi:type="xsd:long"&gt;40483&lt;/D&gt;&lt;D xsi:type="xsd:long"&gt;40480&lt;/D&gt;&lt;D xsi:type="xsd:long"&gt;40479&lt;/D&gt;&lt;D xsi:type="xsd:long"&gt;40478&lt;/D&gt;&lt;D xsi:type="xsd:long"&gt;40477&lt;/D&gt;&lt;D xsi:type="xsd:long"&gt;40476&lt;/D&gt;&lt;D xsi:type="xsd:long"&gt;40473&lt;/D&gt;&lt;D xsi:type="xsd:long"&gt;40472&lt;/D&gt;&lt;D xsi:type="xsd:long"&gt;40471&lt;/D&gt;&lt;D xsi:type="xsd:long"&gt;40470&lt;/D&gt;&lt;D xsi:type="xsd:long"&gt;40469&lt;/D&gt;&lt;D xsi:type="xsd:long"&gt;40466&lt;/D&gt;&lt;D xsi:type="xsd:long"&gt;40465&lt;/D&gt;&lt;D xsi:type="xsd:long"&gt;40464&lt;/D&gt;&lt;D xsi:type="xsd:long"&gt;40463&lt;/D&gt;&lt;D xsi:type="xsd:long"&gt;40462&lt;/D&gt;&lt;D xsi:type="xsd:long"&gt;40459&lt;/D&gt;&lt;D xsi:type="xsd:long"&gt;40458&lt;/D&gt;&lt;D xsi:type="xsd:long"&gt;40457&lt;/D&gt;&lt;D xsi:type="xsd:long"&gt;40456&lt;/D&gt;&lt;D xsi:type="xsd:long"&gt;40455&lt;/D&gt;&lt;D xsi:type="xsd:long"&gt;40452&lt;/D&gt;&lt;D xsi:type="xsd:long"&gt;40451&lt;/D&gt;&lt;D xsi:type="xsd:long"&gt;40450&lt;/D&gt;&lt;D xsi:type="xsd:long"&gt;40449&lt;/D&gt;&lt;D xsi:type="xsd:long"&gt;40448&lt;/D&gt;&lt;D xsi:type="xsd:long"&gt;40445&lt;/D&gt;&lt;D xsi:type="xsd:long"&gt;40444&lt;/D&gt;&lt;D xsi:type="xsd:long"&gt;40443&lt;/D&gt;&lt;D xsi:type="xsd:long"&gt;40442&lt;/D&gt;&lt;D xsi:type="xsd:long"&gt;40441&lt;/D&gt;&lt;D xsi:type="xsd:long"&gt;40438&lt;/D&gt;&lt;D xsi:type="xsd:long"&gt;40437&lt;/D&gt;&lt;D xsi:type="xsd:long"&gt;40436&lt;/D&gt;&lt;D xsi:type="xsd:long"&gt;40435&lt;/D&gt;&lt;D xsi:type="xsd:long"&gt;40434&lt;/D&gt;&lt;D xsi:type="xsd:long"&gt;40431&lt;/D&gt;&lt;D xsi:type="xsd:long"&gt;40430&lt;/D&gt;&lt;D xsi:type="xsd:long"&gt;40429&lt;/D&gt;&lt;D xsi:type="xsd:long"&gt;40428&lt;/D&gt;&lt;D xsi:type="xsd:long"&gt;40424&lt;/D&gt;&lt;D xsi:type="xsd:long"&gt;40423&lt;/D&gt;&lt;D xsi:type="xsd:long"&gt;40422&lt;/D&gt;&lt;D xsi:type="xsd:long"&gt;40421&lt;/D&gt;&lt;D xsi:type="xsd:long"&gt;40420&lt;/D&gt;&lt;D xsi:type="xsd:long"&gt;40417&lt;/D&gt;&lt;D xsi:type="xsd:long"&gt;40416&lt;/D&gt;&lt;D xsi:type="xsd:long"&gt;40415&lt;/D&gt;&lt;D xsi:type="xsd:long"&gt;40414&lt;/D&gt;&lt;D xsi:type="xsd:long"&gt;40413&lt;/D&gt;&lt;D xsi:type="xsd:long"&gt;40410&lt;/D&gt;&lt;D xsi:type="xsd:long"&gt;40409&lt;/D&gt;&lt;D xsi:type="xsd:long"&gt;40408&lt;/D&gt;&lt;D xsi:type="xsd:long"&gt;40407&lt;/D&gt;&lt;D xsi:type="xsd:long"&gt;40406&lt;/D&gt;&lt;D xsi:type="xsd:long"&gt;40403&lt;/D&gt;&lt;D xsi:type="xsd:long"&gt;40402&lt;/D&gt;&lt;D xsi:type="xsd:long"&gt;40401&lt;/D&gt;&lt;D xsi:type="xsd:long"&gt;40400&lt;/D&gt;&lt;D xsi:type="xsd:long"&gt;40399&lt;/D&gt;&lt;D xsi:type="xsd:long"&gt;40396&lt;/D&gt;&lt;D xsi:type="xsd:long"&gt;40395&lt;/D&gt;&lt;D xsi:type="xsd:long"&gt;40394&lt;/D&gt;&lt;D xsi:type="xsd:long"&gt;40393&lt;/D&gt;&lt;D xsi:type="xsd:long"&gt;40392&lt;/D&gt;&lt;D xsi:type="xsd:long"&gt;40389&lt;/D&gt;&lt;D xsi:type="xsd:long"&gt;40388&lt;/D&gt;&lt;D xsi:type="xsd:long"&gt;40387&lt;/D&gt;&lt;D xsi:type="xsd:long"&gt;40386&lt;/D&gt;&lt;D xsi:type="xsd:long"&gt;40385&lt;/D&gt;&lt;D xsi:type="xsd:long"&gt;40382&lt;/D&gt;&lt;D xsi:type="xsd:long"&gt;40381&lt;/D&gt;&lt;D xsi:type="xsd:long"&gt;40380&lt;/D&gt;&lt;D xsi:type="xsd:long"&gt;40379&lt;/D&gt;&lt;D xsi:type="xsd:long"&gt;40378&lt;/D&gt;&lt;D xsi:type="xsd:long"&gt;40375&lt;/D&gt;&lt;D xsi:type="xsd:long"&gt;40374&lt;/D&gt;&lt;D xsi:type="xsd:long"&gt;40373&lt;/D&gt;&lt;D xsi:type="xsd:long"&gt;40372&lt;/D&gt;&lt;D xsi:type="xsd:long"&gt;40371&lt;/D&gt;&lt;D xsi:type="xsd:long"&gt;40368&lt;/D&gt;&lt;D xsi:type="xsd:long"&gt;40367&lt;/D&gt;&lt;D xsi:type="xsd:long"&gt;40366&lt;/D&gt;&lt;D xsi:type="xsd:long"&gt;40365&lt;/D&gt;&lt;D xsi:type="xsd:long"&gt;40361&lt;/D&gt;&lt;D xsi:type="xsd:long"&gt;40360&lt;/D&gt;&lt;D xsi:type="xsd:long"&gt;40359&lt;/D&gt;&lt;D xsi:type="xsd:long"&gt;40358&lt;/D&gt;&lt;D xsi:type="xsd:long"&gt;40357&lt;/D&gt;&lt;D xsi:type="xsd:long"&gt;40354&lt;/D&gt;&lt;D xsi:type="xsd:long"&gt;40353&lt;/D&gt;&lt;D xsi:type="xsd:long"&gt;40352&lt;/D&gt;&lt;D xsi:type="xsd:long"&gt;40351&lt;/D&gt;&lt;D xsi:type="xsd:long"&gt;40350&lt;/D&gt;&lt;D xsi:type="xsd:long"&gt;40347&lt;/D&gt;&lt;D xsi:type="xsd:long"&gt;40346&lt;/D&gt;&lt;D xsi:type="xsd:long"&gt;40345&lt;/D&gt;&lt;D xsi:type="xsd:long"&gt;40344&lt;/D&gt;&lt;D xsi:type="xsd:long"&gt;40343&lt;/D&gt;&lt;D xsi:type="xsd:long"&gt;40340&lt;/D&gt;&lt;D xsi:type="xsd:long"&gt;40339&lt;/D&gt;&lt;D xsi:type="xsd:long"&gt;40338&lt;/D&gt;&lt;D xsi:type="xsd:long"&gt;40337&lt;/D&gt;&lt;D xsi:type="xsd:long"&gt;40336&lt;/D&gt;&lt;D xsi:type="xsd:long"&gt;40333&lt;/D&gt;&lt;D xsi:type="xsd:long"&gt;40332&lt;/D&gt;&lt;D xsi:type="xsd:long"&gt;40331&lt;/D&gt;&lt;D xsi:type="xsd:long"&gt;40330&lt;/D&gt;&lt;D xsi:type="xsd:long"&gt;40326&lt;/D&gt;&lt;D xsi:type="xsd:long"&gt;40325&lt;/D&gt;&lt;D xsi:type="xsd:long"&gt;40324&lt;/D&gt;&lt;D xsi:type="xsd:long"&gt;40323&lt;/D&gt;&lt;D xsi:type="xsd:long"&gt;40322&lt;/D&gt;&lt;D xsi:type="xsd:long"&gt;40319&lt;/D&gt;&lt;D xsi:type="xsd:long"&gt;40318&lt;/D&gt;&lt;D xsi:type="xsd:long"&gt;40317&lt;/D&gt;&lt;D xsi:type="xsd:long"&gt;40316&lt;/D&gt;&lt;D xsi:type="xsd:long"&gt;40315&lt;/D&gt;&lt;D xsi:type="xsd:long"&gt;40312&lt;/D&gt;&lt;D xsi:type="xsd:long"&gt;40311&lt;/D&gt;&lt;D xsi:type="xsd:long"&gt;40310&lt;/D&gt;&lt;D xsi:type="xsd:long"&gt;40309&lt;/D&gt;&lt;D xsi:type="xsd:long"&gt;40308&lt;/D&gt;&lt;D xsi:type="xsd:long"&gt;40305&lt;/D&gt;&lt;D xsi:type="xsd:long"&gt;40304&lt;/D&gt;&lt;D xsi:type="xsd:long"&gt;40303&lt;/D&gt;&lt;D xsi:type="xsd:long"&gt;40302&lt;/D&gt;&lt;D xsi:type="xsd:long"&gt;40301&lt;/D&gt;&lt;D xsi:type="xsd:long"&gt;40298&lt;/D&gt;&lt;D xsi:type="xsd:long"&gt;40297&lt;/D&gt;&lt;D xsi:type="xsd:long"&gt;40296&lt;/D&gt;&lt;D xsi:type="xsd:long"&gt;40295&lt;/D&gt;&lt;D xsi:type="xsd:long"&gt;40294&lt;/D&gt;&lt;D xsi:type="xsd:long"&gt;40291&lt;/D&gt;&lt;D xsi:type="xsd:long"&gt;40290&lt;/D&gt;&lt;D xsi:type="xsd:long"&gt;40289&lt;/D&gt;&lt;D xsi:type="xsd:long"&gt;40288&lt;/D&gt;&lt;D xsi:type="xsd:long"&gt;40287&lt;/D&gt;&lt;D xsi:type="xsd:long"&gt;40284&lt;/D&gt;&lt;D xsi:type="xsd:long"&gt;40283&lt;/D&gt;&lt;D xsi:type="xsd:long"&gt;40282&lt;/D&gt;&lt;D xsi:type="xsd:long"&gt;40281&lt;/D&gt;&lt;D xsi:type="xsd:long"&gt;40280&lt;/D&gt;&lt;D xsi:type="xsd:long"&gt;40277&lt;/D&gt;&lt;D xsi:type="xsd:long"&gt;40276&lt;/D&gt;&lt;D xsi:type="xsd:long"&gt;40275&lt;/D&gt;&lt;D xsi:type="xsd:long"&gt;40274&lt;/D&gt;&lt;D xsi:type="xsd:long"&gt;40273&lt;/D&gt;&lt;D xsi:type="xsd:long"&gt;40269&lt;/D&gt;&lt;D xsi:type="xsd:long"&gt;40268&lt;/D&gt;&lt;D xsi:type="xsd:long"&gt;40267&lt;/D&gt;&lt;D xsi:type="xsd:long"&gt;40266&lt;/D&gt;&lt;D xsi:type="xsd:long"&gt;40263&lt;/D&gt;&lt;D xsi:type="xsd:long"&gt;40262&lt;/D&gt;&lt;D xsi:type="xsd:long"&gt;40261&lt;/D&gt;&lt;D xsi:type="xsd:long"&gt;40260&lt;/D&gt;&lt;D xsi:type="xsd:long"&gt;40259&lt;/D&gt;&lt;D xsi:type="xsd:long"&gt;40256&lt;/D&gt;&lt;D xsi:type="xsd:long"&gt;40255&lt;/D&gt;&lt;D xsi:type="xsd:long"&gt;40254&lt;/D&gt;&lt;D xsi:type="xsd:long"&gt;40253&lt;/D&gt;&lt;D xsi:type="xsd:long"&gt;40252&lt;/D&gt;&lt;D xsi:type="xsd:long"&gt;40249&lt;/D&gt;&lt;D xsi:type="xsd:long"&gt;40248&lt;/D&gt;&lt;D xsi:type="xsd:long"&gt;40247&lt;/D&gt;&lt;D xsi:type="xsd:long"&gt;40246&lt;/D&gt;&lt;D xsi:type="xsd:long"&gt;40245&lt;/D&gt;&lt;D xsi:type="xsd:long"&gt;40242&lt;/D&gt;&lt;D xsi:type="xsd:long"&gt;40241&lt;/D&gt;&lt;D xsi:type="xsd:long"&gt;40240&lt;/D&gt;&lt;D xsi:type="xsd:long"&gt;40239&lt;/D&gt;&lt;D xsi:type="xsd:long"&gt;40238&lt;/D&gt;&lt;D xsi:type="xsd:long"&gt;40235&lt;/D&gt;&lt;D xsi:type="xsd:long"&gt;40234&lt;/D&gt;&lt;D xsi:type="xsd:long"&gt;40233&lt;/D&gt;&lt;D xsi:type="xsd:long"&gt;40232&lt;/D&gt;&lt;D xsi:type="xsd:long"&gt;40231&lt;/D&gt;&lt;D xsi:type="xsd:long"&gt;40228&lt;/D&gt;&lt;D xsi:type="xsd:long"&gt;40227&lt;/D&gt;&lt;D xsi:type="xsd:long"&gt;40226&lt;/D&gt;&lt;D xsi:type="xsd:long"&gt;40225&lt;/D&gt;&lt;D xsi:type="xsd:long"&gt;40221&lt;/D&gt;&lt;D xsi:type="xsd:long"&gt;40220&lt;/D&gt;&lt;D xsi:type="xsd:long"&gt;40219&lt;/D&gt;&lt;D xsi:type="xsd:long"&gt;40218&lt;/D&gt;&lt;D xsi:type="xsd:long"&gt;40217&lt;/D&gt;&lt;D xsi:type="xsd:long"&gt;40214&lt;/D&gt;&lt;D xsi:type="xsd:long"&gt;40213&lt;/D&gt;&lt;D xsi:type="xsd:long"&gt;40212&lt;/D&gt;&lt;D xsi:type="xsd:long"&gt;40211&lt;/D&gt;&lt;D xsi:type="xsd:long"&gt;40210&lt;/D&gt;&lt;D xsi:type="xsd:long"&gt;40207&lt;/D&gt;&lt;D xsi:type="xsd:long"&gt;40206&lt;/D&gt;&lt;D xsi:type="xsd:long"&gt;40205&lt;/D&gt;&lt;D xsi:type="xsd:long"&gt;40204&lt;/D&gt;&lt;D xsi:type="xsd:long"&gt;40203&lt;/D&gt;&lt;D xsi:type="xsd:long"&gt;40200&lt;/D&gt;&lt;D xsi:type="xsd:long"&gt;40199&lt;/D&gt;&lt;D xsi:type="xsd:long"&gt;40198&lt;/D&gt;&lt;D xsi:type="xsd:long"&gt;40197&lt;/D&gt;&lt;D xsi:type="xsd:long"&gt;40193&lt;/D&gt;&lt;D xsi:type="xsd:long"&gt;40192&lt;/D&gt;&lt;D xsi:type="xsd:long"&gt;40191&lt;/D&gt;&lt;D xsi:type="xsd:long"&gt;40190&lt;/D&gt;&lt;D xsi:type="xsd:long"&gt;40189&lt;/D&gt;&lt;D xsi:type="xsd:long"&gt;40186&lt;/D&gt;&lt;D xsi:type="xsd:long"&gt;40185&lt;/D&gt;&lt;D xsi:type="xsd:long"&gt;40184&lt;/D&gt;&lt;D xsi:type="xsd:long"&gt;40183&lt;/D&gt;&lt;D xsi:type="xsd:long"&gt;40182&lt;/D&gt;&lt;D xsi:type="xsd:long"&gt;40178&lt;/D&gt;&lt;D xsi:type="xsd:long"&gt;40177&lt;/D&gt;&lt;D xsi:type="xsd:long"&gt;40176&lt;/D&gt;&lt;D xsi:type="xsd:long"&gt;40175&lt;/D&gt;&lt;D xsi:type="xsd:long"&gt;40171&lt;/D&gt;&lt;D xsi:type="xsd:long"&gt;40170&lt;/D&gt;&lt;D xsi:type="xsd:long"&gt;40169&lt;/D&gt;&lt;D xsi:type="xsd:long"&gt;40168&lt;/D&gt;&lt;D xsi:type="xsd:long"&gt;40165&lt;/D&gt;&lt;D xsi:type="xsd:long"&gt;40164&lt;/D&gt;&lt;D xsi:type="xsd:long"&gt;40163&lt;/D&gt;&lt;D xsi:type="xsd:long"&gt;40162&lt;/D&gt;&lt;D xsi:type="xsd:long"&gt;40161&lt;/D&gt;&lt;D xsi:type="xsd:long"&gt;40158&lt;/D&gt;&lt;D xsi:type="xsd:long"&gt;40157&lt;/D&gt;&lt;D xsi:type="xsd:long"&gt;40156&lt;/D&gt;&lt;D xsi:type="xsd:long"&gt;40155&lt;/D&gt;&lt;D xsi:type="xsd:long"&gt;40154&lt;/D&gt;&lt;D xsi:type="xsd:long"&gt;40151&lt;/D&gt;&lt;D xsi:type="xsd:long"&gt;40150&lt;/D&gt;&lt;D xsi:type="xsd:long"&gt;40149&lt;/D&gt;&lt;D xsi:type="xsd:long"&gt;40148&lt;/D&gt;&lt;D xsi:type="xsd:long"&gt;40147&lt;/D&gt;&lt;D xsi:type="xsd:long"&gt;40144&lt;/D&gt;&lt;D xsi:type="xsd:long"&gt;40142&lt;/D&gt;&lt;D xsi:type="xsd:long"&gt;40141&lt;/D&gt;&lt;D xsi:type="xsd:long"&gt;40140&lt;/D&gt;&lt;D xsi:type="xsd:long"&gt;40137&lt;/D&gt;&lt;D xsi:type="xsd:long"&gt;40136&lt;/D&gt;&lt;D xsi:type="xsd:long"&gt;40135&lt;/D&gt;&lt;D xsi:type="xsd:long"&gt;40134&lt;/D&gt;&lt;D xsi:type="xsd:long"&gt;40133&lt;/D&gt;&lt;D xsi:type="xsd:long"&gt;40130&lt;/D&gt;&lt;D xsi:type="xsd:long"&gt;40129&lt;/D&gt;&lt;D xsi:type="xsd:long"&gt;40128&lt;/D&gt;&lt;D xsi:type="xsd:long"&gt;40127&lt;/D&gt;&lt;D xsi:type="xsd:long"&gt;40126&lt;/D&gt;&lt;D xsi:type="xsd:long"&gt;40123&lt;/D&gt;&lt;D xsi:type="xsd:long"&gt;40122&lt;/D&gt;&lt;D xsi:type="xsd:long"&gt;40121&lt;/D&gt;&lt;D xsi:type="xsd:long"&gt;40120&lt;/D&gt;&lt;D xsi:type="xsd:long"&gt;40119&lt;/D&gt;&lt;D xsi:type="xsd:long"&gt;40116&lt;/D&gt;&lt;D xsi:type="xsd:long"&gt;40115&lt;/D&gt;&lt;D xsi:type="xsd:long"&gt;40114&lt;/D&gt;&lt;D xsi:type="xsd:long"&gt;40113&lt;/D&gt;&lt;D xsi:type="xsd:long"&gt;40112&lt;/D&gt;&lt;D xsi:type="xsd:long"&gt;40109&lt;/D&gt;&lt;D xsi:type="xsd:long"&gt;40108&lt;/D&gt;&lt;D xsi:type="xsd:long"&gt;40107&lt;/D&gt;&lt;D xsi:type="xsd:long"&gt;40106&lt;/D&gt;&lt;D xsi:type="xsd:long"&gt;40105&lt;/D&gt;&lt;D xsi:type="xsd:long"&gt;40102&lt;/D&gt;&lt;D xsi:type="xsd:long"&gt;40101&lt;/D&gt;&lt;D xsi:type="xsd:long"&gt;40100&lt;/D&gt;&lt;D xsi:type="xsd:long"&gt;40099&lt;/D&gt;&lt;D xsi:type="xsd:long"&gt;40098&lt;/D&gt;&lt;D xsi:type="xsd:long"&gt;40095&lt;/D&gt;&lt;D xsi:type="xsd:long"&gt;40094&lt;/D&gt;&lt;D xsi:type="xsd:long"&gt;40093&lt;/D&gt;&lt;D xsi:type="xsd:long"&gt;40092&lt;/D&gt;&lt;D xsi:type="xsd:long"&gt;40091&lt;/D&gt;&lt;D xsi:type="xsd:long"&gt;40088&lt;/D&gt;&lt;D xsi:type="xsd:long"&gt;40087&lt;/D&gt;&lt;D xsi:type="xsd:long"&gt;40086&lt;/D&gt;&lt;D xsi:type="xsd:long"&gt;40085&lt;/D&gt;&lt;D xsi:type="xsd:long"&gt;40084&lt;/D&gt;&lt;D xsi:type="xsd:long"&gt;40081&lt;/D&gt;&lt;D xsi:type="xsd:long"&gt;40080&lt;/D&gt;&lt;D xsi:type="xsd:long"&gt;40079&lt;/D&gt;&lt;D xsi:type="xsd:long"&gt;40078&lt;/D&gt;&lt;D xsi:type="xsd:long"&gt;40077&lt;/D&gt;&lt;D xsi:type="xsd:long"&gt;40074&lt;/D&gt;&lt;D xsi:type="xsd:long"&gt;40073&lt;/D&gt;&lt;D xsi:type="xsd:long"&gt;40072&lt;/D&gt;&lt;D xsi:type="xsd:long"&gt;40071&lt;/D&gt;&lt;D xsi:type="xsd:long"&gt;40070&lt;/D&gt;&lt;D xsi:type="xsd:long"&gt;40067&lt;/D&gt;&lt;D xsi:type="xsd:long"&gt;40066&lt;/D&gt;&lt;D xsi:type="xsd:long"&gt;40065&lt;/D&gt;&lt;D xsi:type="xsd:long"&gt;40064&lt;/D&gt;&lt;D xsi:type="xsd:long"&gt;40060&lt;/D&gt;&lt;D xsi:type="xsd:long"&gt;40059&lt;/D&gt;&lt;D xsi:type="xsd:long"&gt;40058&lt;/D&gt;&lt;D xsi:type="xsd:long"&gt;40057&lt;/D&gt;&lt;D xsi:type="xsd:long"&gt;40056&lt;/D&gt;&lt;D xsi:type="xsd:long"&gt;40053&lt;/D&gt;&lt;D xsi:type="xsd:long"&gt;40052&lt;/D&gt;&lt;D xsi:type="xsd:long"&gt;40051&lt;/D&gt;&lt;D xsi:type="xsd:long"&gt;40050&lt;/D&gt;&lt;D xsi:type="xsd:long"&gt;40049&lt;/D&gt;&lt;D xsi:type="xsd:long"&gt;40046&lt;/D&gt;&lt;D xsi:type="xsd:long"&gt;40045&lt;/D&gt;&lt;D xsi:type="xsd:long"&gt;40044&lt;/D&gt;&lt;D xsi:type="xsd:long"&gt;40043&lt;/D&gt;&lt;D xsi:type="xsd:long"&gt;40042&lt;/D&gt;&lt;D xsi:type="xsd:long"&gt;40039&lt;/D&gt;&lt;D xsi:type="xsd:long"&gt;40038&lt;/D&gt;&lt;D xsi:type="xsd:long"&gt;40037&lt;/D&gt;&lt;D xsi:type="xsd:long"&gt;40036&lt;/D&gt;&lt;D xsi:type="xsd:long"&gt;40035&lt;/D&gt;&lt;D xsi:type="xsd:long"&gt;40032&lt;/D&gt;&lt;D xsi:type="xsd:long"&gt;40031&lt;/D&gt;&lt;D xsi:type="xsd:long"&gt;40030&lt;/D&gt;&lt;D xsi:type="xsd:long"&gt;40029&lt;/D&gt;&lt;D xsi:type="xsd:long"&gt;40028&lt;/D&gt;&lt;D xsi:type="xsd:long"&gt;40025&lt;/D&gt;&lt;D xsi:type="xsd:long"&gt;40024&lt;/D&gt;&lt;D xsi:type="xsd:long"&gt;40023&lt;/D&gt;&lt;D xsi:type="xsd:long"&gt;40022&lt;/D&gt;&lt;D xsi:type="xsd:long"&gt;40021&lt;/D&gt;&lt;D xsi:type="xsd:long"&gt;40018&lt;/D&gt;&lt;D xsi:type="xsd:long"&gt;40017&lt;/D&gt;&lt;D xsi:type="xsd:long"&gt;40016&lt;/D&gt;&lt;D xsi:type="xsd:long"&gt;40015&lt;/D&gt;&lt;D xsi:type="xsd:long"&gt;40014&lt;/D&gt;&lt;D xsi:type="xsd:long"&gt;40011&lt;/D&gt;&lt;D xsi:type="xsd:long"&gt;40010&lt;/D&gt;&lt;D xsi:type="xsd:long"&gt;40009&lt;/D&gt;&lt;D xsi:type="xsd:long"&gt;40008&lt;/D&gt;&lt;D xsi:type="xsd:long"&gt;40007&lt;/D&gt;&lt;D xsi:type="xsd:long"&gt;40004&lt;/D&gt;&lt;D xsi:type="xsd:long"&gt;40003&lt;/D&gt;&lt;D xsi:type="xsd:long"&gt;40002&lt;/D&gt;&lt;D xsi:type="xsd:long"&gt;40001&lt;/D&gt;&lt;D xsi:type="xsd:long"&gt;40000&lt;/D&gt;&lt;D xsi:type="xsd:long"&gt;39996&lt;/D&gt;&lt;D xsi:type="xsd:long"&gt;39995&lt;/D&gt;&lt;D xsi:type="xsd:long"&gt;39994&lt;/D&gt;&lt;D xsi:type="xsd:long"&gt;39993&lt;/D&gt;&lt;D xsi:type="xsd:long"&gt;39990&lt;/D&gt;&lt;D xsi:type="xsd:long"&gt;39989&lt;/D&gt;&lt;D xsi:type="xsd:long"&gt;39988&lt;/D&gt;&lt;D xsi:type="xsd:long"&gt;39987&lt;/D&gt;&lt;D xsi:type="xsd:long"&gt;39986&lt;/D&gt;&lt;D xsi:type="xsd:long"&gt;39983&lt;/D&gt;&lt;D xsi:type="xsd:long"&gt;39982&lt;/D&gt;&lt;D xsi:type="xsd:long"&gt;39981&lt;/D&gt;&lt;D xsi:type="xsd:long"&gt;39980&lt;/D&gt;&lt;D xsi:type="xsd:long"&gt;39979&lt;/D&gt;&lt;D xsi:type="xsd:long"&gt;39976&lt;/D&gt;&lt;D xsi:type="xsd:long"&gt;39975&lt;/D&gt;&lt;D xsi:type="xsd:long"&gt;39974&lt;/D&gt;&lt;D xsi:type="xsd:long"&gt;39973&lt;/D&gt;&lt;D xsi:type="xsd:long"&gt;39972&lt;/D&gt;&lt;D xsi:type="xsd:long"&gt;39969&lt;/D&gt;&lt;D xsi:type="xsd:long"&gt;39968&lt;/D&gt;&lt;D xsi:type="xsd:long"&gt;39967&lt;/D&gt;&lt;D xsi:type="xsd:long"&gt;39966&lt;/D&gt;&lt;D xsi:type="xsd:long"&gt;39965&lt;/D&gt;&lt;D xsi:type="xsd:long"&gt;39962&lt;/D&gt;&lt;D xsi:type="xsd:long"&gt;39961&lt;/D&gt;&lt;D xsi:type="xsd:long"&gt;39960&lt;/D&gt;&lt;D xsi:type="xsd:long"&gt;39959&lt;/D&gt;&lt;D xsi:type="xsd:long"&gt;39955&lt;/D&gt;&lt;D xsi:type="xsd:long"&gt;39954&lt;/D&gt;&lt;D xsi:type="xsd:long"&gt;39953&lt;/D&gt;&lt;D xsi:type="xsd:long"&gt;39952&lt;/D&gt;&lt;D xsi:type="xsd:long"&gt;39951&lt;/D&gt;&lt;D xsi:type="xsd:long"&gt;39948&lt;/D&gt;&lt;D xsi:type="xsd:long"&gt;39947&lt;/D&gt;&lt;D xsi:type="xsd:long"&gt;39946&lt;/D&gt;&lt;D xsi:type="xsd:long"&gt;39945&lt;/D&gt;&lt;D xsi:type="xsd:long"&gt;39944&lt;/D&gt;&lt;D xsi:type="xsd:long"&gt;39941&lt;/D&gt;&lt;D xsi:type="xsd:long"&gt;39940&lt;/D&gt;&lt;D xsi:type="xsd:long"&gt;39939&lt;/D&gt;&lt;D xsi:type="xsd:long"&gt;39938&lt;/D&gt;&lt;D xsi:type="xsd:long"&gt;39937&lt;/D&gt;&lt;D xsi:type="xsd:long"&gt;39934&lt;/D&gt;&lt;D xsi:type="xsd:long"&gt;39933&lt;/D&gt;&lt;D xsi:type="xsd:long"&gt;39932&lt;/D&gt;&lt;D xsi:type="xsd:long"&gt;39931&lt;/D&gt;&lt;D xsi:type="xsd:long"&gt;39930&lt;/D&gt;&lt;D xsi:type="xsd:long"&gt;39927&lt;/D&gt;&lt;D xsi:type="xsd:long"&gt;39926&lt;/D&gt;&lt;D xsi:type="xsd:long"&gt;39925&lt;/D&gt;&lt;D xsi:type="xsd:long"&gt;39924&lt;/D&gt;&lt;D xsi:type="xsd:long"&gt;39923&lt;/D&gt;&lt;D xsi:type="xsd:long"&gt;39920&lt;/D&gt;&lt;D xsi:type="xsd:long"&gt;39919&lt;/D&gt;&lt;D xsi:type="xsd:long"&gt;39918&lt;/D&gt;&lt;D xsi:type="xsd:long"&gt;39917&lt;/D&gt;&lt;D xsi:type="xsd:long"&gt;39916&lt;/D&gt;&lt;D xsi:type="xsd:long"&gt;39912&lt;/D&gt;&lt;D xsi:type="xsd:long"&gt;39911&lt;/D&gt;&lt;D xsi:type="xsd:long"&gt;39910&lt;/D&gt;&lt;D xsi:type="xsd:long"&gt;39909&lt;/D&gt;&lt;D xsi:type="xsd:long"&gt;39906&lt;/D&gt;&lt;D xsi:type="xsd:long"&gt;39905&lt;/D&gt;&lt;D xsi:type="xsd:long"&gt;39904&lt;/D&gt;&lt;D xsi:type="xsd:long"&gt;39903&lt;/D&gt;&lt;D xsi:type="xsd:long"&gt;39902&lt;/D&gt;&lt;D xsi:type="xsd:long"&gt;39899&lt;/D&gt;&lt;D xsi:type="xsd:long"&gt;39898&lt;/D&gt;&lt;D xsi:type="xsd:long"&gt;39897&lt;/D&gt;&lt;D xsi:type="xsd:long"&gt;39896&lt;/D&gt;&lt;D xsi:type="xsd:long"&gt;39895&lt;/D&gt;&lt;D xsi:type="xsd:long"&gt;39892&lt;/D&gt;&lt;D xsi:type="xsd:long"&gt;39891&lt;/D&gt;&lt;D xsi:type="xsd:long"&gt;39890&lt;/D&gt;&lt;D xsi:type="xsd:long"&gt;39889&lt;/D&gt;&lt;D xsi:type="xsd:long"&gt;39888&lt;/D&gt;&lt;D xsi:type="xsd:long"&gt;39885&lt;/D&gt;&lt;D xsi:type="xsd:long"&gt;39884&lt;/D&gt;&lt;D xsi:type="xsd:long"&gt;39883&lt;/D&gt;&lt;D xsi:type="xsd:long"&gt;39882&lt;/D&gt;&lt;D xsi:type="xsd:long"&gt;39881&lt;/D&gt;&lt;D xsi:type="xsd:long"&gt;39878&lt;/D&gt;&lt;D xsi:type="xsd:long"&gt;39877&lt;/D&gt;&lt;D xsi:type="xsd:long"&gt;39876&lt;/D&gt;&lt;D xsi:type="xsd:long"&gt;39875&lt;/D&gt;&lt;D xsi:type="xsd:long"&gt;39874&lt;/D&gt;&lt;D xsi:type="xsd:long"&gt;39871&lt;/D&gt;&lt;D xsi:type="xsd:long"&gt;39870&lt;/D&gt;&lt;D xsi:type="xsd:long"&gt;39869&lt;/D&gt;&lt;D xsi:type="xsd:long"&gt;39868&lt;/D&gt;&lt;D xsi:type="xsd:long"&gt;39867&lt;/D&gt;&lt;D xsi:type="xsd:long"&gt;39864&lt;/D&gt;&lt;D xsi:type="xsd:long"&gt;39863&lt;/D&gt;&lt;D xsi:type="xsd:long"&gt;39862&lt;/D&gt;&lt;D xsi:type="xsd:long"&gt;39861&lt;/D&gt;&lt;D xsi:type="xsd:long"&gt;39857&lt;/D&gt;&lt;D xsi:type="xsd:long"&gt;39856&lt;/D&gt;&lt;D xsi:type="xsd:long"&gt;39855&lt;/D&gt;&lt;D xsi:type="xsd:long"&gt;39854&lt;/D&gt;&lt;D xsi:type="xsd:long"&gt;39853&lt;/D&gt;&lt;D xsi:type="xsd:long"&gt;39850&lt;/D&gt;&lt;D xsi:type="xsd:long"&gt;39849&lt;/D&gt;&lt;D xsi:type="xsd:long"&gt;39848&lt;/D&gt;&lt;D xsi:type="xsd:long"&gt;39847&lt;/D&gt;&lt;D xsi:type="xsd:long"&gt;39846&lt;/D&gt;&lt;D xsi:type="xsd:long"&gt;39843&lt;/D&gt;&lt;D xsi:type="xsd:long"&gt;39842&lt;/D&gt;&lt;D xsi:type="xsd:long"&gt;39841&lt;/D&gt;&lt;D xsi:type="xsd:long"&gt;39840&lt;/D&gt;&lt;D xsi:type="xsd:long"&gt;39839&lt;/D&gt;&lt;D xsi:type="xsd:long"&gt;39836&lt;/D&gt;&lt;D xsi:type="xsd:long"&gt;39835&lt;/D&gt;&lt;D xsi:type="xsd:long"&gt;39834&lt;/D&gt;&lt;D xsi:type="xsd:long"&gt;39833&lt;/D&gt;&lt;D xsi:type="xsd:long"&gt;39829&lt;/D&gt;&lt;D xsi:type="xsd:long"&gt;39828&lt;/D&gt;&lt;D xsi:type="xsd:long"&gt;39827&lt;/D&gt;&lt;D xsi:type="xsd:long"&gt;39826&lt;/D&gt;&lt;D xsi:type="xsd:long"&gt;39825&lt;/D&gt;&lt;D xsi:type="xsd:long"&gt;39822&lt;/D&gt;&lt;D xsi:type="xsd:long"&gt;39821&lt;/D&gt;&lt;D xsi:type="xsd:long"&gt;39820&lt;/D&gt;&lt;D xsi:type="xsd:long"&gt;39819&lt;/D&gt;&lt;D xsi:type="xsd:long"&gt;39818&lt;/D&gt;&lt;D xsi:type="xsd:long"&gt;39815&lt;/D&gt;&lt;D xsi:type="xsd:long"&gt;39813&lt;/D&gt;&lt;D xsi:type="xsd:long"&gt;39812&lt;/D&gt;&lt;D xsi:type="xsd:long"&gt;39811&lt;/D&gt;&lt;D xsi:type="xsd:long"&gt;39808&lt;/D&gt;&lt;D xsi:type="xsd:long"&gt;39806&lt;/D&gt;&lt;D xsi:type="xsd:long"&gt;39805&lt;/D&gt;&lt;D xsi:type="xsd:long"&gt;39804&lt;/D&gt;&lt;D xsi:type="xsd:long"&gt;39801&lt;/D&gt;&lt;D xsi:type="xsd:long"&gt;39800&lt;/D&gt;&lt;D xsi:type="xsd:long"&gt;39799&lt;/D&gt;&lt;D xsi:type="xsd:long"&gt;39798&lt;/D&gt;&lt;D xsi:type="xsd:long"&gt;39797&lt;/D&gt;&lt;D xsi:type="xsd:long"&gt;39794&lt;/D&gt;&lt;D xsi:type="xsd:long"&gt;39793&lt;/D&gt;&lt;D xsi:type="xsd:long"&gt;39792&lt;/D&gt;&lt;D xsi:type="xsd:long"&gt;39791&lt;/D&gt;&lt;D xsi:type="xsd:long"&gt;39790&lt;/D&gt;&lt;D xsi:type="xsd:long"&gt;39787&lt;/D&gt;&lt;D xsi:type="xsd:long"&gt;39786&lt;/D&gt;&lt;D xsi:type="xsd:long"&gt;39785&lt;/D&gt;&lt;D xsi:type="xsd:long"&gt;39784&lt;/D&gt;&lt;D xsi:type="xsd:long"&gt;39783&lt;/D&gt;&lt;D xsi:type="xsd:long"&gt;39780&lt;/D&gt;&lt;D xsi:type="xsd:long"&gt;39778&lt;/D&gt;&lt;D xsi:type="xsd:long"&gt;39777&lt;/D&gt;&lt;D xsi:type="xsd:long"&gt;39776&lt;/D&gt;&lt;D xsi:type="xsd:long"&gt;39773&lt;/D&gt;&lt;D xsi:type="xsd</t>
        </r>
      </text>
    </comment>
    <comment ref="A56" authorId="0" shapeId="0">
      <text>
        <r>
          <rPr>
            <b/>
            <sz val="9"/>
            <color indexed="81"/>
            <rFont val="Tahoma"/>
            <family val="2"/>
          </rPr>
          <t>:long"&gt;39772&lt;/D&gt;&lt;D xsi:type="xsd:long"&gt;39771&lt;/D&gt;&lt;D xsi:type="xsd:long"&gt;39770&lt;/D&gt;&lt;D xsi:type="xsd:long"&gt;39769&lt;/D&gt;&lt;D xsi:type="xsd:long"&gt;39766&lt;/D&gt;&lt;D xsi:type="xsd:long"&gt;39765&lt;/D&gt;&lt;D xsi:type="xsd:long"&gt;39764&lt;/D&gt;&lt;D xsi:type="xsd:long"&gt;39763&lt;/D&gt;&lt;D xsi:type="xsd:long"&gt;39762&lt;/D&gt;&lt;D xsi:type="xsd:long"&gt;39759&lt;/D&gt;&lt;D xsi:type="xsd:long"&gt;39758&lt;/D&gt;&lt;D xsi:type="xsd:long"&gt;39757&lt;/D&gt;&lt;D xsi:type="xsd:long"&gt;39756&lt;/D&gt;&lt;D xsi:type="xsd:long"&gt;39755&lt;/D&gt;&lt;D xsi:type="xsd:long"&gt;39752&lt;/D&gt;&lt;D xsi:type="xsd:long"&gt;39751&lt;/D&gt;&lt;D xsi:type="xsd:long"&gt;39750&lt;/D&gt;&lt;D xsi:type="xsd:long"&gt;39749&lt;/D&gt;&lt;D xsi:type="xsd:long"&gt;39748&lt;/D&gt;&lt;D xsi:type="xsd:long"&gt;39745&lt;/D&gt;&lt;D xsi:type="xsd:long"&gt;39744&lt;/D&gt;&lt;D xsi:type="xsd:long"&gt;39743&lt;/D&gt;&lt;D xsi:type="xsd:long"&gt;39742&lt;/D&gt;&lt;D xsi:type="xsd:long"&gt;39741&lt;/D&gt;&lt;D xsi:type="xsd:long"&gt;39738&lt;/D&gt;&lt;D xsi:type="xsd:long"&gt;39737&lt;/D&gt;&lt;D xsi:type="xsd:long"&gt;39736&lt;/D&gt;&lt;D xsi:type="xsd:long"&gt;39735&lt;/D&gt;&lt;D xsi:type="xsd:long"&gt;39734&lt;/D&gt;&lt;D xsi:type="xsd:long"&gt;39731&lt;/D&gt;&lt;D xsi:type="xsd:long"&gt;39730&lt;/D&gt;&lt;D xsi:type="xsd:long"&gt;39729&lt;/D&gt;&lt;D xsi:type="xsd:long"&gt;39728&lt;/D&gt;&lt;D xsi:type="xsd:long"&gt;39727&lt;/D&gt;&lt;D xsi:type="xsd:long"&gt;39724&lt;/D&gt;&lt;D xsi:type="xsd:long"&gt;39723&lt;/D&gt;&lt;D xsi:type="xsd:long"&gt;39722&lt;/D&gt;&lt;D xsi:type="xsd:long"&gt;39721&lt;/D&gt;&lt;D xsi:type="xsd:long"&gt;39720&lt;/D&gt;&lt;D xsi:type="xsd:long"&gt;39717&lt;/D&gt;&lt;D xsi:type="xsd:long"&gt;39716&lt;/D&gt;&lt;D xsi:type="xsd:long"&gt;39715&lt;/D&gt;&lt;D xsi:type="xsd:long"&gt;39714&lt;/D&gt;&lt;D xsi:type="xsd:long"&gt;39713&lt;/D&gt;&lt;D xsi:type="xsd:long"&gt;39710&lt;/D&gt;&lt;D xsi:type="xsd:long"&gt;39709&lt;/D&gt;&lt;D xsi:type="xsd:long"&gt;39708&lt;/D&gt;&lt;D xsi:type="xsd:long"&gt;39707&lt;/D&gt;&lt;D xsi:type="xsd:long"&gt;39706&lt;/D&gt;&lt;D xsi:type="xsd:long"&gt;39703&lt;/D&gt;&lt;D xsi:type="xsd:long"&gt;39702&lt;/D&gt;&lt;D xsi:type="xsd:long"&gt;39701&lt;/D&gt;&lt;D xsi:type="xsd:long"&gt;39700&lt;/D&gt;&lt;D xsi:type="xsd:long"&gt;39699&lt;/D&gt;&lt;D xsi:type="xsd:long"&gt;39696&lt;/D&gt;&lt;D xsi:type="xsd:long"&gt;39695&lt;/D&gt;&lt;D xsi:type="xsd:long"&gt;39694&lt;/D&gt;&lt;D xsi:type="xsd:long"&gt;39693&lt;/D&gt;&lt;D xsi:type="xsd:long"&gt;39689&lt;/D&gt;&lt;D xsi:type="xsd:long"&gt;39688&lt;/D&gt;&lt;D xsi:type="xsd:long"&gt;39687&lt;/D&gt;&lt;D xsi:type="xsd:long"&gt;39686&lt;/D&gt;&lt;D xsi:type="xsd:long"&gt;39685&lt;/D&gt;&lt;D xsi:type="xsd:long"&gt;39682&lt;/D&gt;&lt;D xsi:type="xsd:long"&gt;39681&lt;/D&gt;&lt;D xsi:type="xsd:long"&gt;39680&lt;/D&gt;&lt;D xsi:type="xsd:long"&gt;39679&lt;/D&gt;&lt;D xsi:type="xsd:long"&gt;39678&lt;/D&gt;&lt;D xsi:type="xsd:long"&gt;39675&lt;/D&gt;&lt;D xsi:type="xsd:long"&gt;39674&lt;/D&gt;&lt;D xsi:type="xsd:long"&gt;39673&lt;/D&gt;&lt;D xsi:type="xsd:long"&gt;39672&lt;/D&gt;&lt;D xsi:type="xsd:long"&gt;39671&lt;/D&gt;&lt;D xsi:type="xsd:long"&gt;39668&lt;/D&gt;&lt;D xsi:type="xsd:long"&gt;39667&lt;/D&gt;&lt;D xsi:type="xsd:long"&gt;39666&lt;/D&gt;&lt;D xsi:type="xsd:long"&gt;39665&lt;/D&gt;&lt;D xsi:type="xsd:long"&gt;39664&lt;/D&gt;&lt;D xsi:type="xsd:long"&gt;39661&lt;/D&gt;&lt;D xsi:type="xsd:long"&gt;39660&lt;/D&gt;&lt;D xsi:type="xsd:long"&gt;39659&lt;/D&gt;&lt;D xsi:type="xsd:long"&gt;39658&lt;/D&gt;&lt;D xsi:type="xsd:long"&gt;39657&lt;/D&gt;&lt;D xsi:type="xsd:long"&gt;39654&lt;/D&gt;&lt;D xsi:type="xsd:long"&gt;39653&lt;/D&gt;&lt;D xsi:type="xsd:long"&gt;39652&lt;/D&gt;&lt;D xsi:type="xsd:long"&gt;39651&lt;/D&gt;&lt;D xsi:type="xsd:long"&gt;39650&lt;/D&gt;&lt;D xsi:type="xsd:long"&gt;39647&lt;/D&gt;&lt;D xsi:type="xsd:long"&gt;39646&lt;/D&gt;&lt;D xsi:type="xsd:long"&gt;39645&lt;/D&gt;&lt;D xsi:type="xsd:long"&gt;39644&lt;/D&gt;&lt;D xsi:type="xsd:long"&gt;39643&lt;/D&gt;&lt;D xsi:type="xsd:long"&gt;39640&lt;/D&gt;&lt;D xsi:type="xsd:long"&gt;39639&lt;/D&gt;&lt;D xsi:type="xsd:long"&gt;39638&lt;/D&gt;&lt;D xsi:type="xsd:long"&gt;39637&lt;/D&gt;&lt;D xsi:type="xsd:long"&gt;39636&lt;/D&gt;&lt;D xsi:type="xsd:long"&gt;39632&lt;/D&gt;&lt;D xsi:type="xsd:long"&gt;39631&lt;/D&gt;&lt;D xsi:type="xsd:long"&gt;39630&lt;/D&gt;&lt;D xsi:type="xsd:long"&gt;39629&lt;/D&gt;&lt;D xsi:type="xsd:long"&gt;39626&lt;/D&gt;&lt;D xsi:type="xsd:long"&gt;39625&lt;/D&gt;&lt;D xsi:type="xsd:long"&gt;39624&lt;/D&gt;&lt;D xsi:type="xsd:long"&gt;39623&lt;/D&gt;&lt;D xsi:type="xsd:long"&gt;39622&lt;/D&gt;&lt;D xsi:type="xsd:long"&gt;39619&lt;/D&gt;&lt;D xsi:type="xsd:long"&gt;39618&lt;/D&gt;&lt;D xsi:type="xsd:long"&gt;39617&lt;/D&gt;&lt;D xsi:type="xsd:long"&gt;39616&lt;/D&gt;&lt;D xsi:type="xsd:long"&gt;39615&lt;/D&gt;&lt;D xsi:type="xsd:long"&gt;39612&lt;/D&gt;&lt;D xsi:type="xsd:long"&gt;39611&lt;/D&gt;&lt;D xsi:type="xsd:long"&gt;39610&lt;/D&gt;&lt;D xsi:type="xsd:long"&gt;39609&lt;/D&gt;&lt;D xsi:type="xsd:long"&gt;39608&lt;/D&gt;&lt;D xsi:type="xsd:long"&gt;39605&lt;/D&gt;&lt;D xsi:type="xsd:long"&gt;39604&lt;/D&gt;&lt;D xsi:type="xsd:long"&gt;39603&lt;/D&gt;&lt;D xsi:type="xsd:long"&gt;39602&lt;/D&gt;&lt;D xsi:type="xsd:long"&gt;39601&lt;/D&gt;&lt;D xsi:type="xsd:long"&gt;39598&lt;/D&gt;&lt;D xsi:type="xsd:long"&gt;39597&lt;/D&gt;&lt;D xsi:type="xsd:long"&gt;39596&lt;/D&gt;&lt;D xsi:type="xsd:long"&gt;39595&lt;/D&gt;&lt;D xsi:type="xsd:long"&gt;39591&lt;/D&gt;&lt;D xsi:type="xsd:long"&gt;39590&lt;/D&gt;&lt;D xsi:type="xsd:long"&gt;39589&lt;/D&gt;&lt;D xsi:type="xsd:long"&gt;39588&lt;/D&gt;&lt;D xsi:type="xsd:long"&gt;39587&lt;/D&gt;&lt;D xsi:type="xsd:long"&gt;39584&lt;/D&gt;&lt;D xsi:type="xsd:long"&gt;39583&lt;/D&gt;&lt;D xsi:type="xsd:long"&gt;39582&lt;/D&gt;&lt;D xsi:type="xsd:long"&gt;39581&lt;/D&gt;&lt;D xsi:type="xsd:long"&gt;39580&lt;/D&gt;&lt;D xsi:type="xsd:long"&gt;39577&lt;/D&gt;&lt;D xsi:type="xsd:long"&gt;39576&lt;/D&gt;&lt;D xsi:type="xsd:long"&gt;39575&lt;/D&gt;&lt;D xsi:type="xsd:long"&gt;39574&lt;/D&gt;&lt;D xsi:type="xsd:long"&gt;39573&lt;/D&gt;&lt;D xsi:type="xsd:long"&gt;39570&lt;/D&gt;&lt;D xsi:type="xsd:long"&gt;39569&lt;/D&gt;&lt;D xsi:type="xsd:long"&gt;39568&lt;/D&gt;&lt;D xsi:type="xsd:long"&gt;39567&lt;/D&gt;&lt;D xsi:type="xsd:long"&gt;39566&lt;/D&gt;&lt;D xsi:type="xsd:long"&gt;39563&lt;/D&gt;&lt;D xsi:type="xsd:long"&gt;39562&lt;/D&gt;&lt;D xsi:type="xsd:long"&gt;39561&lt;/D&gt;&lt;D xsi:type="xsd:long"&gt;39560&lt;/D&gt;&lt;D xsi:type="xsd:long"&gt;39559&lt;/D&gt;&lt;D xsi:type="xsd:long"&gt;39556&lt;/D&gt;&lt;D xsi:type="xsd:long"&gt;39555&lt;/D&gt;&lt;D xsi:type="xsd:long"&gt;39554&lt;/D&gt;&lt;D xsi:type="xsd:long"&gt;39553&lt;/D&gt;&lt;D xsi:type="xsd:long"&gt;39552&lt;/D&gt;&lt;D xsi:type="xsd:long"&gt;39549&lt;/D&gt;&lt;D xsi:type="xsd:long"&gt;39548&lt;/D&gt;&lt;D xsi:type="xsd:long"&gt;39547&lt;/D&gt;&lt;D xsi:type="xsd:long"&gt;39546&lt;/D&gt;&lt;D xsi:type="xsd:long"&gt;39545&lt;/D&gt;&lt;D xsi:type="xsd:long"&gt;39542&lt;/D&gt;&lt;D xsi:type="xsd:long"&gt;39541&lt;/D&gt;&lt;D xsi:type="xsd:long"&gt;39540&lt;/D&gt;&lt;D xsi:type="xsd:long"&gt;39539&lt;/D&gt;&lt;D xsi:type="xsd:long"&gt;39538&lt;/D&gt;&lt;D xsi:type="xsd:long"&gt;39535&lt;/D&gt;&lt;D xsi:type="xsd:long"&gt;39534&lt;/D&gt;&lt;D xsi:type="xsd:long"&gt;39533&lt;/D&gt;&lt;D xsi:type="xsd:long"&gt;39532&lt;/D&gt;&lt;D xsi:type="xsd:long"&gt;39531&lt;/D&gt;&lt;D xsi:type="xsd:long"&gt;39527&lt;/D&gt;&lt;D xsi:type="xsd:long"&gt;39526&lt;/D&gt;&lt;D xsi:type="xsd:long"&gt;39525&lt;/D&gt;&lt;D xsi:type="xsd:long"&gt;39524&lt;/D&gt;&lt;D xsi:type="xsd:long"&gt;39521&lt;/D&gt;&lt;D xsi:type="xsd:long"&gt;39520&lt;/D&gt;&lt;D xsi:type="xsd:long"&gt;39519&lt;/D&gt;&lt;D xsi:type="xsd:long"&gt;39518&lt;/D&gt;&lt;D xsi:type="xsd:long"&gt;39517&lt;/D&gt;&lt;D xsi:type="xsd:long"&gt;39514&lt;/D&gt;&lt;D xsi:type="xsd:long"&gt;39513&lt;/D&gt;&lt;D xsi:type="xsd:long"&gt;39512&lt;/D&gt;&lt;D xsi:type="xsd:long"&gt;39511&lt;/D&gt;&lt;D xsi:type="xsd:long"&gt;39510&lt;/D&gt;&lt;D xsi:type="xsd:long"&gt;39507&lt;/D&gt;&lt;D xsi:type="xsd:long"&gt;39506&lt;/D&gt;&lt;D xsi:type="xsd:long"&gt;39505&lt;/D&gt;&lt;D xsi:type="xsd:long"&gt;39504&lt;/D&gt;&lt;D xsi:type="xsd:long"&gt;39503&lt;/D&gt;&lt;D xsi:type="xsd:long"&gt;39500&lt;/D&gt;&lt;D xsi:type="xsd:long"&gt;39499&lt;/D&gt;&lt;D xsi:type="xsd:long"&gt;39498&lt;/D&gt;&lt;D xsi:type="xsd:long"&gt;39497&lt;/D&gt;&lt;D xsi:type="xsd:long"&gt;39493&lt;/D&gt;&lt;D xsi:type="xsd:long"&gt;39492&lt;/D&gt;&lt;D xsi:type="xsd:long"&gt;39491&lt;/D&gt;&lt;D xsi:type="xsd:long"&gt;39490&lt;/D&gt;&lt;D xsi:type="xsd:long"&gt;39489&lt;/D&gt;&lt;D xsi:type="xsd:long"&gt;39486&lt;/D&gt;&lt;D xsi:type="xsd:long"&gt;39485&lt;/D&gt;&lt;D xsi:type="xsd:long"&gt;39484&lt;/D&gt;&lt;D xsi:type="xsd:long"&gt;39483&lt;/D&gt;&lt;D xsi:type="xsd:long"&gt;39482&lt;/D&gt;&lt;D xsi:type="xsd:long"&gt;39479&lt;/D&gt;&lt;D xsi:type="xsd:long"&gt;39478&lt;/D&gt;&lt;D xsi:type="xsd:long"&gt;39477&lt;/D&gt;&lt;D xsi:type="xsd:long"&gt;39476&lt;/D&gt;&lt;D xsi:type="xsd:long"&gt;39475&lt;/D&gt;&lt;D xsi:type="xsd:long"&gt;39472&lt;/D&gt;&lt;D xsi:type="xsd:long"&gt;39471&lt;/D&gt;&lt;D xsi:type="xsd:long"&gt;39470&lt;/D&gt;&lt;D xsi:type="xsd:long"&gt;39469&lt;/D&gt;&lt;D xsi:type="xsd:long"&gt;39465&lt;/D&gt;&lt;D xsi:type="xsd:long"&gt;39464&lt;/D&gt;&lt;D xsi:type="xsd:long"&gt;39463&lt;/D&gt;&lt;D xsi:type="xsd:long"&gt;39462&lt;/D&gt;&lt;D xsi:type="xsd:long"&gt;39461&lt;/D&gt;&lt;D xsi:type="xsd:long"&gt;39458&lt;/D&gt;&lt;D xsi:type="xsd:long"&gt;39457&lt;/D&gt;&lt;D xsi:type="xsd:long"&gt;39456&lt;/D&gt;&lt;D xsi:type="xsd:long"&gt;39455&lt;/D&gt;&lt;D xsi:type="xsd:long"&gt;39454&lt;/D&gt;&lt;D xsi:type="xsd:long"&gt;39451&lt;/D&gt;&lt;D xsi:type="xsd:long"&gt;39450&lt;/D&gt;&lt;D xsi:type="xsd:long"&gt;39449&lt;/D&gt;&lt;D xsi:type="xsd:long"&gt;39447&lt;/D&gt;&lt;D xsi:type="xsd:long"&gt;39444&lt;/D&gt;&lt;D xsi:type="xsd:long"&gt;39443&lt;/D&gt;&lt;D xsi:type="xsd:long"&gt;39442&lt;/D&gt;&lt;D xsi:type="xsd:long"&gt;39440&lt;/D&gt;&lt;D xsi:type="xsd:long"&gt;39437&lt;/D&gt;&lt;D xsi:type="xsd:long"&gt;39436&lt;/D&gt;&lt;D xsi:type="xsd:long"&gt;39435&lt;/D&gt;&lt;D xsi:type="xsd:long"&gt;39434&lt;/D&gt;&lt;D xsi:type="xsd:long"&gt;39433&lt;/D&gt;&lt;D xsi:type="xsd:long"&gt;39430&lt;/D&gt;&lt;D xsi:type="xsd:long"&gt;39429&lt;/D&gt;&lt;D xsi:type="xsd:long"&gt;39428&lt;/D&gt;&lt;D xsi:type="xsd:long"&gt;39427&lt;/D&gt;&lt;D xsi:type="xsd:long"&gt;39426&lt;/D&gt;&lt;D xsi:type="xsd:long"&gt;39423&lt;/D&gt;&lt;D xsi:type="xsd:long"&gt;39422&lt;/D&gt;&lt;D xsi:type="xsd:long"&gt;39421&lt;/D&gt;&lt;D xsi:type="xsd:long"&gt;39420&lt;/D&gt;&lt;D xsi:type="xsd:long"&gt;39419&lt;/D&gt;&lt;D xsi:type="xsd:long"&gt;39416&lt;/D&gt;&lt;D xsi:type="xsd:long"&gt;39415&lt;/D&gt;&lt;D xsi:type="xsd:long"&gt;39414&lt;/D&gt;&lt;D xsi:type="xsd:long"&gt;39413&lt;/D&gt;&lt;D xsi:type="xsd:long"&gt;39412&lt;/D&gt;&lt;D xsi:type="xsd:long"&gt;39409&lt;/D&gt;&lt;D xsi:type="xsd:long"&gt;39407&lt;/D&gt;&lt;D xsi:type="xsd:long"&gt;39406&lt;/D&gt;&lt;D xsi:type="xsd:long"&gt;39405&lt;/D&gt;&lt;D xsi:type="xsd:long"&gt;39402&lt;/D&gt;&lt;D xsi:type="xsd:long"&gt;39401&lt;/D&gt;&lt;D xsi:type="xsd:long"&gt;39400&lt;/D&gt;&lt;D xsi:type="xsd:long"&gt;39399&lt;/D&gt;&lt;D xsi:type="xsd:long"&gt;39398&lt;/D&gt;&lt;D xsi:type="xsd:long"&gt;39395&lt;/D&gt;&lt;D xsi:type="xsd:long"&gt;39394&lt;/D&gt;&lt;D xsi:type="xsd:long"&gt;39393&lt;/D&gt;&lt;D xsi:type="xsd:long"&gt;39392&lt;/D&gt;&lt;D xsi:type="xsd:long"&gt;39391&lt;/D&gt;&lt;D xsi:type="xsd:long"&gt;39388&lt;/D&gt;&lt;D xsi:type="xsd:long"&gt;39387&lt;/D&gt;&lt;D xsi:type="xsd:long"&gt;39386&lt;/D&gt;&lt;D xsi:type="xsd:long"&gt;39385&lt;/D&gt;&lt;D xsi:type="xsd:long"&gt;39384&lt;/D&gt;&lt;D xsi:type="xsd:long"&gt;39381&lt;/D&gt;&lt;D xsi:type="xsd:long"&gt;39380&lt;/D&gt;&lt;D xsi:type="xsd:long"&gt;39379&lt;/D&gt;&lt;D xsi:type="xsd:long"&gt;39378&lt;/D&gt;&lt;D xsi:type="xsd:long"&gt;39377&lt;/D&gt;&lt;D xsi:type="xsd:long"&gt;39374&lt;/D&gt;&lt;D xsi:type="xsd:long"&gt;39373&lt;/D&gt;&lt;D xsi:type="xsd:long"&gt;39372&lt;/D&gt;&lt;D xsi:type="xsd:long"&gt;39371&lt;/D&gt;&lt;D xsi:type="xsd:long"&gt;39370&lt;/D&gt;&lt;D xsi:type="xsd:long"&gt;39367&lt;/D&gt;&lt;D xsi:type="xsd:long"&gt;39366&lt;/D&gt;&lt;D xsi:type="xsd:long"&gt;39365&lt;/D&gt;&lt;D xsi:type="xsd:long"&gt;39364&lt;/D&gt;&lt;D xsi:type="xsd:long"&gt;39363&lt;/D&gt;&lt;D xsi:type="xsd:long"&gt;39360&lt;/D&gt;&lt;D xsi:type="xsd:long"&gt;39359&lt;/D&gt;&lt;D xsi:type="xsd:long"&gt;39358&lt;/D&gt;&lt;D xsi:type="xsd:long"&gt;39357&lt;/D&gt;&lt;D xsi:type="xsd:long"&gt;39356&lt;/D&gt;&lt;D xsi:type="xsd:long"&gt;39353&lt;/D&gt;&lt;D xsi:type="xsd:long"&gt;39352&lt;/D&gt;&lt;D xsi:type="xsd:long"&gt;39351&lt;/D&gt;&lt;D xsi:type="xsd:long"&gt;39350&lt;/D&gt;&lt;D xsi:type="xsd:long"&gt;39349&lt;/D&gt;&lt;D xsi:type="xsd:long"&gt;39346&lt;/D&gt;&lt;D xsi:type="xsd:long"&gt;39345&lt;/D&gt;&lt;D xsi:type="xsd:long"&gt;39344&lt;/D&gt;&lt;D xsi:type="xsd:long"&gt;39343&lt;/D&gt;&lt;D xsi:type="xsd:long"&gt;39342&lt;/D&gt;&lt;D xsi:type="xsd:long"&gt;39339&lt;/D&gt;&lt;D xsi:type="xsd:long"&gt;39338&lt;/D&gt;&lt;D xsi:type="xsd:long"&gt;39337&lt;/D&gt;&lt;D xsi:type="xsd:long"&gt;39336&lt;/D&gt;&lt;D xsi:type="xsd:long"&gt;39335&lt;/D&gt;&lt;D xsi:type="xsd:long"&gt;39332&lt;/D&gt;&lt;D xsi:type="xsd:long"&gt;39331&lt;/D&gt;&lt;D xsi:type="xsd:long"&gt;39330&lt;/D&gt;&lt;D xsi:type="xsd:long"&gt;39329&lt;/D&gt;&lt;D xsi:type="xsd:long"&gt;39325&lt;/D&gt;&lt;D xsi:type="xsd:long"&gt;39324&lt;/D&gt;&lt;D xsi:type="xsd:long"&gt;39323&lt;/D&gt;&lt;D xsi:type="xsd:long"&gt;39322&lt;/D&gt;&lt;D xsi:type="xsd:long"&gt;39321&lt;/D&gt;&lt;D xsi:type="xsd:long"&gt;39318&lt;/D&gt;&lt;D xsi:type="xsd:long"&gt;39317&lt;/D&gt;&lt;D xsi:type="xsd:long"&gt;39316&lt;/D&gt;&lt;D xsi:type="xsd:long"&gt;39315&lt;/D&gt;&lt;D xsi:type="xsd:long"&gt;39314&lt;/D&gt;&lt;D xsi:type="xsd:long"&gt;39311&lt;/D&gt;&lt;D xsi:type="xsd:long"&gt;39310&lt;/D&gt;&lt;D xsi:type="xsd:long"&gt;39309&lt;/D&gt;&lt;D xsi:type="xsd:long"&gt;39308&lt;/D&gt;&lt;D xsi:type="xsd:long"&gt;39307&lt;/D&gt;&lt;D xsi:type="xsd:long"&gt;39304&lt;/D&gt;&lt;D xsi:type="xsd:long"&gt;39303&lt;/D&gt;&lt;D xsi:type="xsd:long"&gt;39302&lt;/D&gt;&lt;D xsi:type="xsd:long"&gt;39301&lt;/D&gt;&lt;D xsi:type="xsd:long"&gt;39300&lt;/D&gt;&lt;D xsi:type="xsd:long"&gt;39297&lt;/D&gt;&lt;D xsi:type="xsd:long"&gt;39296&lt;/D&gt;&lt;D xsi:type="xsd:long"&gt;39295&lt;/D&gt;&lt;D xsi:type="xsd:long"&gt;39294&lt;/D&gt;&lt;D xsi:type="xsd:long"&gt;39293&lt;/D&gt;&lt;D xsi:type="xsd:long"&gt;39290&lt;/D&gt;&lt;D xsi:type="xsd:long"&gt;39289&lt;/D&gt;&lt;D xsi:type="xsd:long"&gt;39288&lt;/D&gt;&lt;D xsi:type="xsd:long"&gt;39287&lt;/D&gt;&lt;D xsi:type="xsd:long"&gt;39286&lt;/D&gt;&lt;D xsi:type="xsd:long"&gt;39283&lt;/D&gt;&lt;D xsi:type="xsd:long"&gt;39282&lt;/D&gt;&lt;D xsi:type="xsd:long"&gt;39281&lt;/D&gt;&lt;D xsi:type="xsd:long"&gt;39280&lt;/D&gt;&lt;D xsi:type="xsd:long"&gt;39279&lt;/D&gt;&lt;D xsi:type="xsd:long"&gt;39276&lt;/D&gt;&lt;D xsi:type="xsd:long"&gt;39275&lt;/D&gt;&lt;D xsi:type="xsd:long"&gt;39274&lt;/D&gt;&lt;D xsi:type="xsd:long"&gt;39273&lt;/D&gt;&lt;D xsi:type="xsd:long"&gt;39272&lt;/D&gt;&lt;D xsi:type="xsd:long"&gt;39269&lt;/D&gt;&lt;D xsi:type="xsd:long"&gt;39268&lt;/D&gt;&lt;D xsi:type="xsd:long"&gt;39266&lt;/D&gt;&lt;D xsi:type="xsd:long"&gt;39265&lt;/D&gt;&lt;D xsi:type="xsd:long"&gt;39262&lt;/D&gt;&lt;D xsi:type="xsd:long"&gt;39261&lt;/D&gt;&lt;D xsi:type="xsd:long"&gt;39260&lt;/D&gt;&lt;D xsi:type="xsd:long"&gt;39259&lt;/D&gt;&lt;D xsi:type="xsd:long"&gt;39258&lt;/D&gt;&lt;D xsi:type="xsd:long"&gt;39255&lt;/D&gt;&lt;D xsi:type="xsd:long"&gt;39254&lt;/D&gt;&lt;D xsi:type="xsd:long"&gt;39253&lt;/D&gt;&lt;D xsi:type="xsd:long"&gt;39252&lt;/D&gt;&lt;D xsi:type="xsd:long"&gt;39251&lt;/D&gt;&lt;D xsi:type="xsd:long"&gt;39248&lt;/D&gt;&lt;D xsi:type="xsd:long"&gt;39247&lt;/D&gt;&lt;D xsi:type="xsd:long"&gt;39246&lt;/D&gt;&lt;D xsi:type="xsd:long"&gt;39245&lt;/D&gt;&lt;D xsi:type="xsd:long"&gt;39244&lt;/D&gt;&lt;D xsi:type="xsd:long"&gt;39241&lt;/D&gt;&lt;D xsi:type="xsd:long"&gt;39240&lt;/D&gt;&lt;D xsi:type="xsd:long"&gt;39239&lt;/D&gt;&lt;D xsi:type="xsd:long"&gt;39238&lt;/D&gt;&lt;D xsi:type="xsd:long"&gt;39237&lt;/D&gt;&lt;D xsi:type="xsd:long"&gt;39234&lt;/D&gt;&lt;D xsi:type="xsd:long"&gt;39233&lt;/D&gt;&lt;D xsi:type="xsd:long"&gt;39232&lt;/D&gt;&lt;D xsi:type="xsd:long"&gt;39231&lt;/D&gt;&lt;D xsi:type="xsd:long"&gt;39227&lt;/D&gt;&lt;D xsi:type="xsd:long"&gt;39226&lt;/D&gt;&lt;D xsi:type="xsd:long"&gt;39225&lt;/D&gt;&lt;D xsi:type="xsd:long"&gt;39224&lt;/D&gt;&lt;D xsi:type="xsd:long"&gt;39223&lt;/D&gt;&lt;D xsi:type="xsd:long"&gt;39220&lt;/D&gt;&lt;D xsi:type="xsd:long"&gt;39219&lt;/D&gt;&lt;D xsi:type="xsd:long"&gt;39218&lt;/D&gt;&lt;D xsi:type="xsd:long"&gt;39217&lt;/D&gt;&lt;D xsi:type="xsd:long"&gt;39216&lt;/D&gt;&lt;D xsi:type="xsd:long"&gt;39213&lt;/D&gt;&lt;D xsi:type="xsd:long"&gt;39212&lt;/D&gt;&lt;D xsi:type="xsd:long"&gt;39211&lt;/D&gt;&lt;D xsi:type="xsd:long"&gt;39210&lt;/D&gt;&lt;D xsi:type="xsd:long"&gt;39209&lt;/D&gt;&lt;D xsi:type="xsd:long"&gt;39206&lt;/D&gt;&lt;D xsi:type="xsd:long"&gt;39205&lt;/D&gt;&lt;D xsi:type="xsd:long"&gt;39204&lt;/D&gt;&lt;D xsi:type="xsd:long"&gt;39203&lt;/D&gt;&lt;D xsi:type="xsd:long"&gt;39202&lt;/D&gt;&lt;D xsi:type="xsd:long"&gt;39199&lt;/D&gt;&lt;D xsi:type="xsd:long"&gt;39198&lt;/D&gt;&lt;D xsi:type="xsd:long"&gt;39197&lt;/D&gt;&lt;D xsi:type="xsd:long"&gt;39196&lt;/D&gt;&lt;D xsi:type="xsd:long"&gt;39195&lt;/D&gt;&lt;D xsi:type="xsd:long"&gt;39192&lt;/D&gt;&lt;D xsi:type="xsd:long"&gt;39191&lt;/D&gt;&lt;D xsi:type="xsd:long"&gt;39190&lt;/D&gt;&lt;D xsi:type="xsd:long"&gt;39189&lt;/D&gt;&lt;D xsi:type="xsd:long"&gt;39188&lt;/D&gt;&lt;D xsi:type="xsd:long"&gt;39185&lt;/D&gt;&lt;D xsi:type="xsd:long"&gt;39184&lt;/D&gt;&lt;D xsi:type="xsd:long"&gt;39183&lt;/D&gt;&lt;D xsi:type="xsd:long"&gt;39182&lt;/D&gt;&lt;D xsi:type="xsd:long"&gt;39181&lt;/D&gt;&lt;D xsi:type="xsd:long"&gt;39177&lt;/D&gt;&lt;D xsi:type="xsd:long"&gt;39176&lt;/D&gt;&lt;D xsi:type="xsd:long"&gt;39175&lt;/D&gt;&lt;D xsi:type="xsd:long"&gt;39174&lt;/D&gt;&lt;D xsi:type="xsd:long"&gt;39171&lt;/D&gt;&lt;D xsi:type="xsd:long"&gt;39170&lt;/D&gt;&lt;D xsi:type="xsd:long"&gt;39169&lt;/D&gt;&lt;D xsi:type="xsd:long"&gt;39168&lt;/D&gt;&lt;D xsi:type="xsd:long"&gt;39167&lt;/D&gt;&lt;D xsi:type="xsd:long"&gt;39164&lt;/D&gt;&lt;D xsi:type="xsd:long"&gt;39163&lt;/D&gt;&lt;D xsi:type="xsd:long"&gt;39162&lt;/D&gt;&lt;D xsi:type="xsd:long"&gt;39161&lt;/D&gt;&lt;D xsi:type="xsd:long"&gt;39160&lt;/D&gt;&lt;D xsi:type="xsd:long"&gt;39157&lt;/D&gt;&lt;D xsi:type="xsd:long"&gt;39156&lt;/D&gt;&lt;D xsi:type="xsd:long"&gt;39155&lt;/D&gt;&lt;D xsi:type="xsd:long"&gt;39154&lt;/D&gt;&lt;D xsi:type="xsd:long"&gt;39153&lt;/D&gt;&lt;D xsi:type="xsd:long"&gt;39150&lt;/D&gt;&lt;D xsi:type="xsd:long"&gt;39149&lt;/D&gt;&lt;D xsi:type="xsd:long"&gt;39148&lt;/D&gt;&lt;D xsi:type="xsd:long"&gt;39147&lt;/D&gt;&lt;D xsi:type="xsd:long"&gt;39146&lt;/D&gt;&lt;D xsi:type="xsd:long"&gt;39143&lt;/D&gt;&lt;D xsi:type="xsd:long"&gt;39142&lt;/D&gt;&lt;D xsi:type="xsd:long"&gt;39141&lt;/D&gt;&lt;D xsi:type="xsd:long"&gt;39140&lt;/D&gt;&lt;D xsi:type="xsd:long"&gt;39139&lt;/D&gt;&lt;D xsi:type="xsd:long"&gt;39136&lt;/D&gt;&lt;D xsi:type="xsd:long"&gt;39135&lt;/D&gt;&lt;D xsi:type="xsd:long"&gt;39134&lt;/D&gt;&lt;D xsi:type="xsd:long"&gt;39133&lt;/D&gt;&lt;D xsi:type="xsd:long"&gt;39129&lt;/D&gt;&lt;D xsi:type="xsd:long"&gt;39128&lt;/D&gt;&lt;D xsi:type="xsd:long"&gt;39127&lt;/D&gt;&lt;D xsi:type="xsd:long"&gt;39126&lt;/D&gt;&lt;D xsi:type="xsd:long"&gt;39125&lt;/D&gt;&lt;D xsi:type="xsd:long"&gt;39122&lt;/D&gt;&lt;D xsi:type="xsd:long"&gt;39121&lt;/D&gt;&lt;D xsi:type="xsd:long"&gt;39120&lt;/D&gt;&lt;D xsi:type="xsd:long"&gt;39119&lt;/D&gt;&lt;D xsi:type="xsd:long"&gt;39118&lt;/D&gt;&lt;D xsi:type="xsd:long"&gt;39115&lt;/D&gt;&lt;D xsi:type="xsd:long"&gt;39114&lt;/D&gt;&lt;D xsi:type="xsd:long"&gt;39113&lt;/D&gt;&lt;D xsi:type="xsd:long"&gt;39112&lt;/D&gt;&lt;D xsi:type="xsd:long"&gt;39111&lt;/D&gt;&lt;D xsi:type="xsd:long"&gt;39108&lt;/D&gt;&lt;D xsi:type="xsd:long"&gt;39107&lt;/D&gt;&lt;D xsi:type="xsd:long"&gt;39106&lt;/D&gt;&lt;D xsi:type="xsd:long"&gt;39105&lt;/D&gt;&lt;D xsi:type="xsd:long"&gt;39104&lt;/D&gt;&lt;D xsi:type="xsd:long"&gt;39101&lt;/D&gt;&lt;D xsi:type="xsd:long"&gt;39100&lt;/D&gt;&lt;D xsi:type="xsd:long"&gt;39099&lt;/D&gt;&lt;D xsi:type="xsd:long"&gt;39098&lt;/D&gt;&lt;D xsi:type="xsd:long"&gt;39094&lt;/D&gt;&lt;D xsi:type="xsd:long"&gt;39093&lt;/D&gt;&lt;D xsi:type="xsd:long"&gt;39092&lt;/D&gt;&lt;D xsi:type="xsd:long"&gt;39091&lt;/D&gt;&lt;D xsi:type="xsd:long"&gt;39090&lt;/D&gt;&lt;D xsi:type="xsd:long"&gt;39087&lt;/D&gt;&lt;D xsi:type="xsd:long"&gt;39086&lt;/D&gt;&lt;D xsi:type="xsd:long"&gt;39085&lt;/D&gt;&lt;D xsi:type="xsd:long"&gt;39080&lt;/D&gt;&lt;D xsi:type="xsd:long"&gt;39079&lt;/D&gt;&lt;D xsi:type="xsd:long"&gt;39078&lt;/D&gt;&lt;D xsi:type="xsd:long"&gt;39077&lt;/D&gt;&lt;D xsi:type="xsd:long"&gt;39073&lt;/D&gt;&lt;D xsi:type="xsd:long"&gt;39072&lt;/D&gt;&lt;D xsi:type="xsd:long"&gt;39071&lt;/D&gt;&lt;D xsi:type="xsd:long"&gt;39070&lt;/D&gt;&lt;D xsi:type="xsd:long"&gt;39069&lt;/D&gt;&lt;D xsi:type="xsd:long"&gt;39066&lt;/D&gt;&lt;D xsi:type="xsd:long"&gt;39065&lt;/D&gt;&lt;D xsi:type="xsd:long"&gt;39064&lt;/D&gt;&lt;D xsi:type="xsd:long"&gt;39063&lt;/D&gt;&lt;D xsi:type="xsd:long"&gt;39062&lt;/D&gt;&lt;D xsi:type="xsd:long"&gt;39059&lt;/D&gt;&lt;D xsi:type="xsd:long"&gt;39058&lt;/D&gt;&lt;D xsi:type="xsd:long"&gt;39057&lt;/D&gt;&lt;D xsi:type="xsd:long"&gt;39056&lt;/D&gt;&lt;D xsi:type="xsd:long"&gt;39055&lt;/D&gt;&lt;D xsi:type="xsd:long"&gt;39052&lt;/D&gt;&lt;D xsi:type="xsd:long"&gt;39051&lt;/D&gt;&lt;D xsi:type="xsd:long"&gt;39050&lt;/D&gt;&lt;D xsi:type="xsd:long"&gt;39049&lt;/D&gt;&lt;D xsi:type="xsd:long"&gt;39048&lt;/D&gt;&lt;D xsi:type="xsd:long"&gt;39045&lt;/D&gt;&lt;D xsi:type="xsd:long"&gt;39043&lt;/D&gt;&lt;D xsi:type="xsd:long"&gt;39042&lt;/D&gt;&lt;D xsi:type="xsd:long"&gt;39041&lt;/D&gt;&lt;D xsi:type="xsd:long"&gt;39038&lt;/D&gt;&lt;D xsi:type="xsd:long"&gt;39037&lt;/D&gt;&lt;D xsi:type="xsd:long"&gt;39036&lt;/D&gt;&lt;D xsi:type="xsd:long"&gt;39035&lt;/D&gt;&lt;D xsi:type="xsd:long"&gt;39034&lt;/D&gt;&lt;D xsi:type="xsd:long"&gt;39031&lt;/D&gt;&lt;D xsi:type="xsd:long"&gt;39030&lt;/D&gt;&lt;D xsi:type="xsd:long"&gt;39029&lt;/D&gt;&lt;D xsi:type="xsd:long"&gt;39028&lt;/D&gt;&lt;D xsi:type="xsd:long"&gt;39027&lt;/D&gt;&lt;D xsi:type="xsd:long"&gt;39024&lt;/D&gt;&lt;D xsi:type="xsd:long"&gt;39023&lt;/D&gt;&lt;D xsi:type="xsd:long"&gt;39022&lt;/D&gt;&lt;D xsi:type="xsd:long"&gt;39021&lt;/D&gt;&lt;D xsi:type="xsd:long"&gt;39020&lt;/D&gt;&lt;D xsi:type="xsd:long"&gt;39017&lt;/D&gt;&lt;D xsi:type="xsd:long"&gt;39016&lt;/D&gt;&lt;D xsi:type="xsd:long"&gt;39015&lt;/D&gt;&lt;D xsi:type="xsd:long"&gt;39014&lt;/D&gt;&lt;D xsi:type="xsd:long"&gt;39013&lt;/D&gt;&lt;D xsi:type="xsd:long"&gt;39010&lt;/D&gt;&lt;D xsi:type="xsd:long"&gt;39009&lt;/D&gt;&lt;D xsi:type="xsd:long"&gt;39008&lt;/D&gt;&lt;D xsi:type="xsd:long"&gt;39007&lt;/D&gt;&lt;D xsi:type="xsd:long"&gt;39006&lt;/D&gt;&lt;D xsi:type="xsd:long"&gt;39003&lt;/D&gt;&lt;D xsi:type="xsd:long"&gt;39002&lt;/D&gt;&lt;D xsi:type="xsd:long"&gt;39001&lt;/D&gt;&lt;D xsi:type="xsd:long"&gt;39000&lt;/D&gt;&lt;D xsi:type="xsd:long"&gt;38999&lt;/D&gt;&lt;D xsi:type="xsd:long"&gt;38996&lt;/D&gt;&lt;D xsi:type="xsd:long"&gt;38995&lt;/D&gt;&lt;D xsi:type="xsd:long"&gt;38994&lt;/D&gt;&lt;D xsi:type="xsd:long"&gt;38993&lt;/D&gt;&lt;D xsi:type="xsd:long"&gt;38992&lt;/D&gt;&lt;D xsi:type="xsd:long"&gt;38989&lt;/D&gt;&lt;D xsi:type="xsd:long"&gt;38988&lt;/D&gt;&lt;D xsi:type="xsd:long"&gt;38987&lt;/D&gt;&lt;D xsi:type="xsd:long"&gt;38986&lt;/D&gt;&lt;D xsi:type="xsd:long"&gt;38985&lt;/D&gt;&lt;D xsi:type="xsd:long"&gt;38982&lt;/D&gt;&lt;D xsi:type="xsd:long"&gt;38981&lt;/D&gt;&lt;D xsi:type="xsd:long"&gt;38980&lt;/D&gt;&lt;D xsi:type="xsd:long"&gt;38979&lt;/D&gt;&lt;D xsi:type="xsd:long"&gt;38978&lt;/D&gt;&lt;D xsi:type="xsd:long"&gt;38975&lt;/D&gt;&lt;D xsi:type="xsd:long"&gt;38974&lt;/D&gt;&lt;D xsi:type="xsd:long"&gt;38973&lt;/D&gt;&lt;D xsi:type="xsd:long"&gt;38972&lt;/D&gt;&lt;D xsi:type="xsd:long"&gt;38971&lt;/D&gt;&lt;D xsi:type="xsd:long"&gt;38968&lt;/D&gt;&lt;D xsi:type="xsd:long"&gt;38967&lt;/D&gt;&lt;D xsi:type="xsd:long"&gt;38966&lt;/D&gt;&lt;D xsi:type="xsd:long"&gt;38965&lt;/D&gt;&lt;D xsi:type="xsd:long"&gt;38961&lt;/D&gt;&lt;D xsi:type="xsd:long"&gt;38960&lt;/D&gt;&lt;D xsi:type="xsd:long"&gt;38959&lt;/D&gt;&lt;D xsi:type="xsd:long"&gt;38958&lt;/D&gt;&lt;D xsi:type="xsd:long"&gt;38957&lt;/D&gt;&lt;D xsi:type="xsd:long"&gt;38954&lt;/D&gt;&lt;D xsi:type="xsd:long"&gt;38953&lt;/D&gt;&lt;D xsi:type="xsd:long"&gt;38952&lt;/D&gt;&lt;D xsi:type="xsd:long"&gt;38951&lt;/D&gt;&lt;D xsi:type="xsd:long"&gt;38950&lt;/D&gt;&lt;D xsi:type="xsd:long"&gt;38947&lt;/D&gt;&lt;D xsi:type="xsd:long"&gt;38946&lt;/D&gt;&lt;D xsi:type="xsd:long"&gt;38945&lt;/D&gt;&lt;D xsi:type="xsd:long"&gt;38944&lt;/D&gt;&lt;D xsi:type="xsd:long"&gt;38943&lt;/D&gt;&lt;D xsi:type="xsd:long"&gt;38940&lt;/D&gt;&lt;D xsi:type="xsd:long"&gt;38939&lt;/D&gt;&lt;D xsi:type="xsd:long"&gt;38938&lt;/D&gt;&lt;D xsi:type="xsd:long"&gt;38937&lt;/D&gt;&lt;D xsi:type="xsd:long"&gt;38936&lt;/D&gt;&lt;D xsi:type="xsd:long"&gt;38933&lt;/D&gt;&lt;D xsi:type="xsd:long"&gt;38932&lt;/D&gt;&lt;D xsi:type="xsd:long"&gt;38931&lt;/D&gt;&lt;D xsi:type="xsd:long"&gt;38930&lt;/D&gt;&lt;D xsi:type="xsd:long"&gt;38929&lt;/D&gt;&lt;D xsi:type="xsd:long"&gt;38926&lt;/D&gt;&lt;D xsi:type="xsd:long"&gt;38925&lt;/D&gt;&lt;D xsi:type="xsd:long"&gt;38924&lt;/D&gt;&lt;D xsi:type="xsd:long"&gt;38923&lt;/D&gt;&lt;D xsi:type="xsd:long"&gt;38922&lt;/D&gt;&lt;D xsi:type="xsd:long"&gt;38919&lt;/D&gt;&lt;D xsi:type="xsd:long"&gt;38918&lt;/D&gt;&lt;D xsi:type="xsd:long"&gt;38917&lt;/D&gt;&lt;D xsi:type="xsd:long"&gt;38916&lt;/D&gt;&lt;D xsi:type="xsd:long"&gt;38915&lt;/D&gt;&lt;D xsi:type="xsd:long"&gt;38912&lt;/D&gt;&lt;D xsi:type="xsd:long"&gt;38911&lt;/D&gt;&lt;D xsi:type="xsd:long"&gt;38910&lt;/D&gt;&lt;D xsi:type="xsd:long"&gt;38909&lt;/D&gt;&lt;D xsi:type="xsd:long"&gt;38908&lt;/D&gt;&lt;D xsi:type="xsd:long"&gt;38905&lt;/D&gt;&lt;D xsi:type="xsd:long"&gt;38904&lt;/D&gt;&lt;D xsi:type="xsd:long"&gt;38903&lt;/D&gt;&lt;D xsi:type="xsd:long"&gt;38901&lt;/D&gt;&lt;D xsi:type="xsd:long"&gt;38898&lt;/D&gt;&lt;D xsi:type="xsd:long"&gt;38897&lt;/D&gt;&lt;D xsi:type="xsd:long"&gt;38896&lt;/D&gt;&lt;D xsi:type="xsd:long"&gt;38895&lt;/D&gt;&lt;D xsi:type="xsd:long"&gt;38894&lt;/D&gt;&lt;D xsi:type="xsd:long"&gt;38891&lt;/D&gt;&lt;D xsi:type="xsd:long"&gt;38890&lt;/D&gt;&lt;D xsi:type="xsd:long"&gt;38889&lt;/D&gt;&lt;D xsi:type="xsd:long"&gt;38888&lt;/D&gt;&lt;D xsi:type="xsd:long"&gt;38887&lt;/D&gt;&lt;D xsi:type="xsd:long"&gt;38884&lt;/D&gt;&lt;D xsi:type="xsd:long"&gt;38883&lt;/D&gt;&lt;D xsi:type="xsd:long"&gt;38882&lt;/D&gt;&lt;D xsi:type="xsd:long"&gt;38881&lt;/D&gt;&lt;D xsi:type="xsd:long"&gt;38880&lt;/D&gt;&lt;D xsi:type="xsd:long"&gt;38877&lt;/D&gt;&lt;D xsi:type="xsd:long"&gt;38876&lt;/D&gt;&lt;D xsi:type="xsd:long"&gt;38875&lt;/D&gt;&lt;D xsi:type="xsd:long"&gt;38874&lt;/D&gt;&lt;D xsi:type="xsd:long"&gt;38873&lt;/D&gt;&lt;D xsi:type="xsd:long"&gt;38870&lt;/D&gt;&lt;D xsi:type="xsd:long"&gt;38869&lt;/D&gt;&lt;D xsi:type="xsd:long"&gt;38868&lt;/D&gt;&lt;D xsi:type="xsd:long"&gt;38867&lt;/D&gt;&lt;D xsi:type="xsd:long"&gt;38863&lt;/D&gt;&lt;D xsi:type="xsd:long"&gt;38862&lt;/D&gt;&lt;D xsi:type="xsd:long"&gt;38861&lt;/D&gt;&lt;D xsi:type="xsd:long"&gt;38860&lt;/D&gt;&lt;D xsi:type="xsd:long"&gt;38859&lt;/D&gt;&lt;D xsi:type="xsd:long"&gt;38856&lt;/D&gt;&lt;D xsi:type="xsd:long"&gt;38855&lt;/D&gt;&lt;D xsi:type="xsd:long"&gt;38854&lt;/D&gt;&lt;D xsi:type="xsd:long"&gt;38853&lt;/D&gt;&lt;D xsi:type="xsd:long"&gt;38852&lt;/D&gt;&lt;D xsi:type="xsd:long"&gt;38849&lt;/D&gt;&lt;D xsi:type="xsd:long"&gt;38848&lt;/D&gt;&lt;D xsi:type="xsd:long"&gt;38847&lt;/D&gt;&lt;D xsi:type="xsd:long"&gt;38846&lt;/D&gt;&lt;D xsi:type="xsd:long"&gt;38845&lt;/D&gt;&lt;D xsi:type="xsd:long"&gt;38842&lt;/D&gt;&lt;D xsi:type="xsd:long"&gt;38841&lt;/D&gt;&lt;D xsi:type="xsd:long"&gt;38840&lt;/D&gt;&lt;D xsi:type="xsd:long"&gt;38839&lt;/D&gt;&lt;D xsi:type="xsd:long"&gt;38838&lt;/D&gt;&lt;D xsi:type="xsd:long"&gt;38835&lt;/D&gt;&lt;D xsi:type="xsd:long"&gt;38834&lt;/D&gt;&lt;D xsi:type="xsd:long"&gt;38833&lt;/D&gt;&lt;D xsi:type="xsd:long"&gt;38832&lt;/D&gt;&lt;D xsi:type="xsd:long"&gt;38831&lt;/D&gt;&lt;D xsi:type="xsd:long"&gt;38828&lt;/D&gt;&lt;D xsi:type="xsd:long"&gt;38827&lt;/D&gt;&lt;D xsi:type="xsd:long"&gt;38826&lt;/D&gt;&lt;D xsi:type="xsd:long"&gt;38825&lt;/D&gt;&lt;D xsi:type="xsd:long"&gt;38824&lt;/D&gt;&lt;D xsi:type="xsd:long"&gt;38820&lt;/D&gt;&lt;D xsi:type="xsd:long"&gt;38819&lt;/D&gt;&lt;D xsi:type="xsd:long"&gt;38818&lt;/D&gt;&lt;D xsi:type="xsd:long"&gt;38817&lt;/D&gt;&lt;D xsi:type="xsd:long"&gt;38814&lt;/D&gt;&lt;D xsi:type="xsd:long"&gt;38813&lt;/D&gt;&lt;D xsi:type="xsd:long"&gt;38812&lt;/D&gt;&lt;D xsi:type="xsd:long"&gt;38811&lt;/D&gt;&lt;D xsi:type="xsd:long"&gt;38810&lt;/D&gt;&lt;D xsi:type="xsd:long"&gt;38807&lt;/D&gt;&lt;D xsi:type="xsd:long"&gt;38806&lt;/D&gt;&lt;D xsi:type="xsd:long"&gt;38805&lt;/D&gt;&lt;D xsi:type="xsd:long"&gt;38804&lt;/D&gt;&lt;D xsi:type="xsd:long"&gt;38803&lt;/D&gt;&lt;D xsi:type="xsd:long"&gt;38800&lt;/D&gt;&lt;D xsi:type="xsd:long"&gt;38799&lt;/D&gt;&lt;D xsi:type="xsd:long"&gt;38798&lt;/D&gt;&lt;D xsi:type="xsd:long"&gt;38797&lt;/D&gt;&lt;D xsi:type="xsd:long"&gt;38796&lt;/D&gt;&lt;D xsi:type="xsd:long"&gt;38793&lt;/D&gt;&lt;D xsi:type="xsd:long"&gt;38792&lt;/D&gt;&lt;D xsi:type="xsd:long"&gt;38791&lt;/D&gt;&lt;D xsi:type="xsd:long"&gt;38790&lt;/D&gt;&lt;D xsi:type="xsd:long"&gt;38789&lt;/D&gt;&lt;D xsi:type="xsd:long"&gt;38786&lt;/D&gt;&lt;D xsi:type="xsd:long"&gt;38785&lt;/D&gt;&lt;D xsi:type="xsd:long"&gt;38784&lt;/D&gt;&lt;D xsi:type="xsd:long"&gt;38783&lt;/D&gt;&lt;D xsi:type="xsd:long"&gt;38782&lt;/D&gt;&lt;D xsi:type="xsd:long"&gt;38779&lt;/D&gt;&lt;D xsi:type="xsd:long"&gt;38778&lt;/D&gt;&lt;D xsi:type="xsd:long"&gt;38777&lt;/D&gt;&lt;D xsi:type="xsd:long"&gt;38776&lt;/D&gt;&lt;D xsi:type="xsd:long"&gt;38775&lt;/D&gt;&lt;D xsi:type="xsd:long"&gt;38772&lt;/D&gt;&lt;D xsi:type="xsd:long"&gt;38771&lt;/D&gt;&lt;D xsi:type="xsd:long"&gt;38770&lt;/D&gt;&lt;D xsi:type="xsd:long"&gt;38769&lt;/D&gt;&lt;D xsi:type="xsd:long"&gt;38765&lt;/D&gt;&lt;D xsi:type="xsd:long"&gt;38764&lt;/D&gt;&lt;D xsi:type="xsd:long"&gt;38763&lt;/D&gt;&lt;D xsi:type="xsd:long"&gt;38762&lt;/D&gt;&lt;D xsi:type="xsd:long"&gt;38761&lt;/D&gt;&lt;D xsi:type="xsd:long"&gt;38758&lt;/D&gt;&lt;D xsi:type="xsd:long"&gt;38757&lt;/D&gt;&lt;D xsi:type="xsd:long"&gt;38756&lt;/D&gt;&lt;D xsi:type="xsd:long"&gt;38755&lt;/D&gt;&lt;D xsi:type="xsd:long"&gt;38754&lt;/D&gt;&lt;D xsi:type="xsd:long"&gt;38751&lt;/D&gt;&lt;D xsi:type="xsd:long"&gt;38750&lt;/D&gt;&lt;D xsi:type="xsd:long"&gt;38749&lt;/D&gt;&lt;D xsi:type="xsd:long"&gt;38748&lt;/D&gt;&lt;D xsi:type="xsd:long"&gt;38747&lt;/D&gt;&lt;D xsi:type="xsd:long"&gt;38744&lt;/D&gt;&lt;D xsi:type="xsd:long"&gt;38743&lt;/D&gt;&lt;D xsi:type="xsd:long"&gt;38742&lt;/D&gt;&lt;D xsi:type="xsd:long"&gt;38741&lt;/D&gt;&lt;D xsi:type="xsd:long"&gt;38740&lt;/D&gt;&lt;D xsi:type="xsd:long"&gt;38737&lt;/D&gt;&lt;D xsi:type="xsd:long"&gt;38736&lt;/D&gt;&lt;D xsi:type="xsd:long"&gt;38735&lt;/D&gt;&lt;D xsi:type="xsd:long"&gt;38734&lt;/D&gt;&lt;D xsi:type="xsd:long"&gt;38730&lt;/D&gt;&lt;D xsi:type="xsd:long"&gt;38729&lt;/D&gt;&lt;D xsi:type="xsd:long"&gt;38728&lt;/D&gt;&lt;D xsi:type="xsd:long"&gt;38727&lt;/D&gt;&lt;D xsi:type="xsd:long"&gt;38726&lt;/D&gt;&lt;D xsi:type="xsd:long"&gt;38723&lt;/D&gt;&lt;D xsi:type="xsd:long"&gt;38722&lt;/D&gt;&lt;D xsi:type="xsd:long"&gt;38721&lt;/D&gt;&lt;D xsi:type="xsd:long"&gt;38720&lt;/D&gt;&lt;D xsi:type="xsd:long"&gt;38716&lt;/D&gt;&lt;D xsi:type="xsd:long"&gt;38715&lt;/D&gt;&lt;D xsi:type="xsd:long"&gt;38714&lt;/D&gt;&lt;D xsi:type="xsd:long"&gt;38713&lt;/D&gt;&lt;D xsi:type="xsd:long"&gt;38709&lt;/D&gt;&lt;D xsi:type="xsd:long"&gt;38708&lt;/D&gt;&lt;D xsi:type="xsd:long"&gt;38707&lt;/D&gt;&lt;D xsi:type="xsd:long"&gt;38706&lt;/D&gt;&lt;D xsi:type="xsd:long"&gt;38705&lt;/D&gt;&lt;D xsi:type="xsd:long"&gt;38702&lt;/D&gt;&lt;D xsi:type="xsd:long"&gt;38701&lt;/D&gt;&lt;D xsi:type="xsd:long"&gt;38700&lt;/D&gt;&lt;D xsi:type="xsd:long"&gt;38699&lt;/D&gt;&lt;D xsi:type="xsd:long"&gt;38698&lt;/D&gt;&lt;D xsi:type="xsd:long"&gt;38695&lt;/D&gt;&lt;D xsi:type="xsd:long"&gt;38694&lt;/D&gt;&lt;D xsi:type="xsd:long"&gt;38693&lt;/D&gt;&lt;D xsi:type="xsd:long"&gt;38692&lt;/D&gt;&lt;D xsi:type="xsd:long"&gt;38691&lt;/D&gt;&lt;D xsi:type="xsd:long"&gt;38688&lt;/D&gt;&lt;D xsi:type="xsd:long"&gt;38687&lt;/D&gt;&lt;D xsi:type="xsd:long"&gt;38686&lt;/D&gt;&lt;D xsi:type="xsd:long"&gt;38685&lt;/D&gt;&lt;D xsi:type="xsd:long"&gt;38684&lt;/D&gt;&lt;D xsi:type="xsd:long"&gt;38681&lt;/D&gt;&lt;D xsi:type="xsd:long"&gt;38679&lt;/D&gt;&lt;D xsi:type="xsd:long"&gt;38678&lt;/D&gt;&lt;D xsi:type="xsd:long"&gt;38677&lt;/D&gt;&lt;D xsi:type="xsd:long"&gt;38674&lt;/D&gt;&lt;D xsi:type="xsd:long"&gt;38673&lt;/D&gt;&lt;D xsi:type="xsd:long"&gt;38672&lt;/D&gt;&lt;D xsi:type="xsd:long"&gt;38671&lt;/D&gt;&lt;D xsi:type="xsd:long"&gt;38670&lt;/D&gt;&lt;D xsi:type="xsd:long"&gt;38667&lt;/D&gt;&lt;D xsi:type="xsd:long"&gt;38666&lt;/D&gt;&lt;D xsi:type="xsd:long"&gt;38665&lt;/D&gt;&lt;D xsi:type="xsd:long"&gt;38664&lt;/D&gt;&lt;D xsi:type="xsd:long"&gt;38663&lt;/D&gt;&lt;D xsi:type="xsd:long"&gt;38660&lt;/D&gt;&lt;D xsi:type="xsd:long"&gt;38659&lt;/D&gt;&lt;D xsi:type="xsd:long"&gt;38658&lt;/D&gt;&lt;D xsi:type="xsd:long"&gt;38657&lt;/D&gt;&lt;D xsi:type="xsd:long"&gt;38656&lt;/D&gt;&lt;D xsi:type="xsd:long"&gt;38653&lt;/D&gt;&lt;D xsi:type="xsd:long"&gt;38652&lt;/D&gt;&lt;D xsi:type="xsd:long"&gt;38651&lt;/D&gt;&lt;D xsi:type="xsd:long"&gt;38650&lt;/D&gt;&lt;D xsi:type="xsd:long"&gt;38649&lt;/D&gt;&lt;D xsi:type="xsd:long"&gt;38646&lt;/D&gt;&lt;D xsi:type="xsd:long"&gt;38645&lt;/D&gt;&lt;D xsi:type="xsd:long"&gt;38644&lt;/D&gt;&lt;D xsi:type="xsd:long"&gt;38643&lt;/D&gt;&lt;D xsi:type="xsd:long"&gt;38642&lt;/D&gt;&lt;D xsi:type="xsd:long"&gt;38639&lt;/D&gt;&lt;D xsi:type="xsd:long"&gt;38638&lt;/D&gt;&lt;D xsi:type="xsd:long"&gt;38637&lt;/D&gt;&lt;D xsi:type="xsd:long"&gt;38636&lt;/D&gt;&lt;D xsi:type="xsd:long"&gt;38635&lt;/D&gt;&lt;D xsi:type="xsd:long"&gt;38632&lt;/D&gt;&lt;D xsi:type="xsd:long"&gt;38631&lt;/D&gt;&lt;D xsi:type="xsd:long"&gt;38630&lt;/D&gt;&lt;D xsi:type="xsd:long"&gt;38629&lt;/D&gt;&lt;D xsi:type="xsd:long"&gt;38628&lt;/D&gt;&lt;D xsi:type="xsd:long"&gt;38625&lt;/D&gt;&lt;D xsi:type="xsd:long"&gt;38624&lt;/D&gt;&lt;D xsi:type="xsd:long"&gt;38623&lt;/D&gt;&lt;D xsi:type="xsd:long"&gt;38622&lt;/D&gt;&lt;D xsi:type="xsd:long"&gt;38621&lt;/D&gt;&lt;D xsi:type="xsd:long"&gt;38618&lt;/D&gt;&lt;D xsi:type="xsd:long"&gt;38617&lt;/D&gt;&lt;D xsi:type="xsd:long"&gt;38616&lt;/D&gt;&lt;D xsi:type="xsd:long"&gt;38615&lt;/D&gt;&lt;D xsi:type="xsd:long"&gt;38614&lt;/D&gt;&lt;D xsi:type="xsd:long"&gt;38611&lt;/D&gt;&lt;D xsi:type="xsd:long"&gt;38610&lt;/D&gt;&lt;D xsi:type="xsd:long"&gt;38609&lt;/D&gt;&lt;D xsi:type="xsd:long"&gt;38608&lt;/D&gt;&lt;D xsi:type="xsd:long"&gt;38607&lt;/D&gt;&lt;D xsi:type="xsd:long"&gt;38604&lt;/D&gt;&lt;D xsi:type="xsd:long"&gt;38603&lt;/D&gt;&lt;D xsi:type="xsd:long"&gt;38602&lt;/D&gt;&lt;D xsi:type="xsd:long"&gt;38601&lt;/D&gt;&lt;D xsi:type="xsd:long"&gt;38597&lt;/D&gt;&lt;D xsi:type="xsd:long"&gt;38596&lt;/D&gt;&lt;D xsi:type="xsd:long"&gt;38595&lt;/D&gt;&lt;D xsi:type="xsd:long"&gt;38594&lt;/D&gt;&lt;D xsi:type="xsd:long"&gt;38593&lt;/D&gt;&lt;D xsi:type="xsd:long"&gt;38590&lt;/D&gt;&lt;D xsi:type="xsd:long"&gt;38589&lt;/D&gt;&lt;D xsi:type="xsd:long"&gt;38588&lt;/D&gt;&lt;D xsi:type="xsd:long"&gt;38587&lt;/D&gt;&lt;D xsi:type="xsd:long"&gt;38586&lt;/D&gt;&lt;D xsi:type="xsd:long"&gt;38583&lt;/D&gt;&lt;D xsi:type="xsd:long"&gt;38582&lt;/D&gt;&lt;D xsi:type="xsd:long"&gt;38581&lt;/D&gt;&lt;D xsi:type="xsd:long"&gt;38580&lt;/D&gt;&lt;D xsi:type="xsd:long"&gt;38579&lt;/D&gt;&lt;D xsi:type="xsd:long"&gt;38576&lt;/D&gt;&lt;D xsi:type="xsd:long"&gt;38575&lt;/D&gt;&lt;D xsi:type="xsd:long"&gt;38574&lt;/D&gt;&lt;D xsi:type="xsd:long"&gt;38573&lt;/D&gt;&lt;D xsi:type="xsd:long"&gt;38572&lt;/D&gt;&lt;D xsi:type="xsd:long"&gt;38569&lt;/D&gt;&lt;D xsi:type="xsd:long"&gt;38568&lt;/D&gt;&lt;D xsi:type="xsd:long"&gt;38567&lt;/D&gt;&lt;D xsi:type="xsd:long"&gt;38566&lt;/D&gt;&lt;D xsi:type="xsd:long"&gt;38565&lt;/D&gt;&lt;D xsi:type="xsd:long"&gt;38562&lt;/D&gt;&lt;D xsi:type="xsd:long"&gt;38561&lt;/D&gt;&lt;D xsi:type="xsd:long"&gt;38560&lt;/D&gt;&lt;D xsi:type="xsd:long"&gt;38559&lt;/D&gt;&lt;D xsi:type="xsd:long"&gt;38558&lt;/D&gt;&lt;D xsi:type="xsd:long"&gt;38555&lt;/D&gt;&lt;D xsi:type="xsd:long"&gt;38554&lt;/D&gt;&lt;D xsi:type="xsd:long"&gt;38553&lt;/D&gt;&lt;D xsi:type="xsd:long"&gt;38552&lt;/D&gt;&lt;D xsi:type="xsd:long"&gt;38551&lt;/D&gt;&lt;D xsi:type="xsd:long"&gt;38548&lt;/D&gt;&lt;D xsi:type="xsd:long"&gt;38547&lt;/D&gt;&lt;D xsi:type="xsd:long"&gt;38546&lt;/D&gt;&lt;D xsi:type="xsd:long"&gt;38545&lt;/D&gt;&lt;D xsi:type="xsd:long"&gt;38544&lt;/D&gt;&lt;D xsi:type="xsd:long"&gt;38541&lt;/D&gt;&lt;D xsi:type="xsd:long"&gt;38540&lt;/D&gt;&lt;D xsi:type="xsd:long"&gt;38539&lt;/D&gt;&lt;D xsi:type="xsd:long"&gt;38538&lt;/D&gt;&lt;D xsi:type="xsd:long"&gt;38534&lt;/D&gt;&lt;D xsi:type="xsd:long"&gt;38533&lt;/D&gt;&lt;D xsi:type="xsd:long"&gt;38532&lt;/D&gt;&lt;D xsi:type="xsd:long"&gt;38531&lt;/D&gt;&lt;D xsi:type="xsd:long"&gt;38530&lt;/D&gt;&lt;D xsi:type="xsd:long"&gt;38527&lt;/D&gt;&lt;D xsi:type="xsd:long"&gt;38526&lt;/D&gt;&lt;D xsi:type="xsd:long"&gt;38525&lt;/D&gt;&lt;D xsi:type="xsd:long"&gt;38524&lt;/D&gt;&lt;D xsi:type="xsd:long"&gt;38523&lt;/D&gt;&lt;D xsi:type="xsd:long"&gt;38520&lt;/D&gt;&lt;D xsi:type="xsd:long"&gt;38519&lt;/D&gt;&lt;D xsi:type="xsd:long"&gt;38518&lt;/D&gt;&lt;D xsi:type="xsd:long"&gt;38517&lt;/D&gt;&lt;D xsi:type="xsd:long"&gt;38516&lt;/D&gt;&lt;D xsi:type="xsd:long"&gt;38513&lt;/D&gt;&lt;D xsi:type="xsd:long"&gt;38512&lt;/D&gt;&lt;D xsi:type="xsd:long"&gt;38511&lt;/D&gt;&lt;D xsi:type="xsd:long"&gt;38510&lt;/D&gt;&lt;D xsi:type="xsd:long"&gt;38509&lt;/D&gt;&lt;D xsi:type="xsd:long"&gt;38506&lt;/D&gt;&lt;D xsi:type="xsd:long"&gt;38505&lt;/D&gt;&lt;D xsi:type="xsd:long"&gt;38504&lt;/D&gt;&lt;D xsi:type="xsd:long"&gt;38503&lt;/D&gt;&lt;D xsi:type="xsd:long"&gt;38499&lt;/D&gt;&lt;D xsi:type="xsd:long"&gt;38498&lt;/D&gt;&lt;D xsi:type="xsd:long"&gt;38497&lt;/D&gt;&lt;D xsi:type="xsd:long"&gt;38496&lt;/D&gt;&lt;D xsi:type="xsd:long"&gt;38495&lt;/D&gt;&lt;D xsi:type="xsd:long"&gt;38492&lt;/D&gt;&lt;D xsi:type="xsd:long"&gt;38491&lt;/D&gt;&lt;D xsi:type="xsd:long"&gt;38490&lt;/D&gt;&lt;D xsi:type="xsd:long"&gt;38489&lt;/D&gt;&lt;D xsi:type="xsd:long"&gt;38488&lt;/D&gt;&lt;D xsi:type="xsd:long"&gt;38485&lt;/D&gt;&lt;D xsi:type="xsd:long"&gt;38484&lt;/D&gt;&lt;D xsi:type="xsd:long"&gt;38483&lt;/D&gt;&lt;D xsi:type="xsd:long"&gt;38482&lt;/D&gt;&lt;D xsi:type="xsd:long"&gt;38481&lt;/D&gt;&lt;D xsi:type="xsd:long"&gt;38478&lt;/D&gt;&lt;D xsi:type="xsd:long"&gt;38477&lt;/D&gt;&lt;D xsi:type="xsd:long"&gt;38476&lt;/D&gt;&lt;D xsi:type="xsd:long"&gt;38475&lt;/D&gt;&lt;D xsi:type="xsd:long"&gt;38474&lt;/D&gt;&lt;D xsi:type="xsd:long"&gt;38471&lt;/D&gt;&lt;D xsi:type="xsd:long"&gt;38470&lt;/D&gt;&lt;D xsi:type="xsd:long"&gt;38469&lt;/D&gt;&lt;D xsi:type="xsd:long"&gt;38468&lt;/D&gt;&lt;D xsi:type="xsd:long"&gt;38467&lt;/D&gt;&lt;D xsi:type="xsd:long"&gt;38464&lt;/D&gt;&lt;D xsi:type="xsd:long"&gt;38463&lt;/D&gt;&lt;D xsi:type="xsd:long"&gt;38462&lt;/D&gt;&lt;D xsi:type="xsd:long"&gt;38461&lt;/D&gt;&lt;D xsi:type="xsd:long"&gt;38460&lt;/D&gt;&lt;D xsi:type="xsd:long"&gt;38457&lt;/D&gt;&lt;D xsi:type="xsd:long"&gt;38456&lt;/D&gt;&lt;D xsi:type="xsd:long"&gt;38455&lt;/D&gt;&lt;D xsi:type="xsd:long"&gt;38454&lt;/D&gt;&lt;D xsi:type="xsd:long"&gt;38453&lt;/D&gt;&lt;D xsi:type="xsd:long"&gt;38450&lt;/D&gt;&lt;D xsi:type="xsd:long"&gt;38449&lt;/D&gt;&lt;D xsi:type="xsd:long"&gt;38448&lt;/D&gt;&lt;D xsi:type="xsd:long"&gt;38447&lt;/D&gt;&lt;D xsi:type="xsd:long"&gt;38446&lt;/D&gt;&lt;D xsi:type="xsd:long"&gt;38443&lt;/D&gt;&lt;D xsi:type="xsd:long"&gt;38442&lt;/D&gt;&lt;D xsi:type="xsd:long"&gt;38441&lt;/D&gt;&lt;D xsi:type="xsd:long"&gt;38440&lt;/D&gt;&lt;D xsi:type="xsd:long"&gt;38439&lt;/D&gt;&lt;D xsi:type="xsd:long"&gt;38435&lt;/D&gt;&lt;D xsi:type="xsd:long"&gt;38434&lt;/D&gt;&lt;D xsi:type="xsd:long"&gt;38433&lt;/D&gt;&lt;D xsi:type="xsd:long"&gt;38432&lt;/D&gt;&lt;D xsi:type="xsd:long"&gt;38429&lt;/D&gt;&lt;D xsi:type="xsd:long"&gt;38428&lt;/D&gt;&lt;D xsi:type="xsd:long"&gt;38427&lt;/D&gt;&lt;D xsi:type="xsd:long"&gt;38426&lt;/D&gt;&lt;D xsi:type="xsd:long"&gt;38425&lt;/D&gt;&lt;D xsi:type="xsd:long"&gt;38422&lt;/D&gt;&lt;D xsi:type="xsd:long"&gt;38421&lt;/D&gt;&lt;D xsi:type="xsd:long"&gt;38420&lt;/D&gt;&lt;D xsi:type="xsd:long"&gt;38419&lt;/D&gt;&lt;D xsi:type="xsd:long"&gt;38418&lt;/D&gt;&lt;D xsi:type="xsd:long"&gt;38415&lt;/D&gt;&lt;D xsi:type="xsd:long"&gt;38414&lt;/D&gt;&lt;D xsi:type="xsd:long"&gt;38413&lt;/D&gt;&lt;D xsi:type="xsd:long"&gt;38412&lt;/D&gt;&lt;D xsi:type="xsd:long"&gt;38411&lt;/D&gt;&lt;D xsi:type="xsd:long"&gt;38408&lt;/D&gt;&lt;D xsi:type="xsd:long"&gt;38407&lt;/D&gt;&lt;D xsi:type="xsd:long"&gt;38406&lt;/D&gt;&lt;D xsi:type="xsd:long"&gt;38405&lt;/D&gt;&lt;D xsi:type="xsd:long"&gt;38401&lt;/D&gt;&lt;D xsi:type="xsd:long"&gt;38400&lt;/D&gt;&lt;D xsi:type="xsd:long"&gt;38399&lt;/D&gt;&lt;D xsi:type="xsd:long"&gt;38398&lt;/D&gt;&lt;D xsi:type="xsd:long"&gt;38397&lt;/D&gt;&lt;D xsi:type="xsd:long"&gt;38394&lt;/D&gt;&lt;D xsi:type="xsd:long"&gt;38393&lt;/D&gt;&lt;D xsi:type="xsd:long"&gt;38392&lt;/D&gt;&lt;D xsi:type="xsd:long"&gt;38391&lt;/D&gt;&lt;D xsi:type="xsd:long"&gt;38390&lt;/D&gt;&lt;D xsi:type="xsd:long"&gt;38387&lt;/D&gt;&lt;D xsi:type="xsd:long"&gt;38386&lt;/D&gt;&lt;D xsi:type="xsd:long"&gt;38385&lt;/D&gt;&lt;D xsi:type="xsd:long"&gt;38384&lt;/D&gt;&lt;D xsi:type="xsd:long"&gt;38383&lt;/D&gt;&lt;D xsi:type="xsd:long"&gt;38380&lt;/D&gt;&lt;D xsi:type="xsd:long"&gt;38379&lt;/D&gt;&lt;D xsi:type="xsd:long"&gt;38378&lt;/D&gt;&lt;D xsi:type="xsd:long"&gt;38377&lt;/D&gt;&lt;D xsi:type="xsd:long"&gt;38376&lt;/D&gt;&lt;D xsi:type="xsd:long"&gt;38373&lt;/D&gt;&lt;D xsi:type="xsd:long"&gt;38372&lt;/D&gt;&lt;D xsi:type="xsd:long"&gt;38371&lt;/D&gt;&lt;D xsi:type="xsd:long"&gt;38370&lt;/D&gt;&lt;D xsi:type="xsd:long"&gt;38366&lt;/D&gt;&lt;D xsi:type="xsd:long"&gt;38365&lt;/D&gt;&lt;D xsi:type="xsd:long"&gt;38364&lt;/D&gt;&lt;D xsi:type="xsd:long"&gt;38363&lt;/D&gt;&lt;D xsi:type="xsd:long"&gt;38362&lt;/D&gt;&lt;D xsi:type="xsd:long"&gt;38359&lt;/D&gt;&lt;D xsi:type="xsd:long"&gt;38358&lt;/D&gt;&lt;D xsi:type="xsd:long"&gt;38357&lt;/D&gt;&lt;D xsi:type="xsd:long"&gt;38356&lt;/D&gt;&lt;D xsi:type="xsd:long"&gt;38355&lt;/D&gt;&lt;D xsi:type="xsd:long"&gt;38352&lt;/D&gt;&lt;D xsi:type="xsd:long"&gt;38351&lt;/D&gt;&lt;D xsi:type="xsd:long"&gt;38350&lt;/D&gt;&lt;D xsi:type="xsd:long"&gt;38349&lt;/D&gt;&lt;D xsi:type="xsd:long"&gt;38348&lt;/D&gt;&lt;D xsi:type="xsd:long"&gt;38344&lt;/D&gt;&lt;D xsi:type="xsd:long"&gt;38343&lt;/D&gt;&lt;D xsi:type="xsd:long"&gt;38342&lt;/D&gt;&lt;D xsi:type="xsd:long"&gt;38341&lt;/D&gt;&lt;D xsi:type="xsd:long"&gt;38338&lt;/D&gt;&lt;D xsi:type="xsd:long"&gt;38337&lt;/D&gt;&lt;D xsi:type="xsd:long"&gt;38336&lt;/D&gt;&lt;D xsi:type="xsd:long"&gt;38335&lt;/D&gt;&lt;D xsi:type="xsd:long"&gt;38334&lt;/D&gt;&lt;D xsi:type="xsd:long"&gt;38331&lt;/D&gt;&lt;D xsi:type="xsd:long"&gt;38330&lt;/D&gt;&lt;D xsi:type="xsd:long"&gt;38329&lt;/D&gt;&lt;D xsi:type="xsd:long"&gt;38328&lt;/D&gt;&lt;D xsi:type="xsd:long"&gt;38327&lt;/D&gt;&lt;D xsi:type="xsd:long"&gt;38324&lt;/D&gt;&lt;D xsi:type="xsd:long"&gt;38323&lt;/D&gt;&lt;D xsi:type="xsd:long"&gt;38322&lt;/D&gt;&lt;D xsi:type="xsd:long"&gt;38321&lt;/D&gt;&lt;D xsi:type="xsd:long"&gt;38320&lt;/D&gt;&lt;D xsi:type="xsd:long"&gt;38317&lt;/D&gt;&lt;D xsi:type="xsd:long"&gt;38315&lt;/D&gt;&lt;D xsi:type="xsd:long"&gt;38314&lt;/D&gt;&lt;D xsi:type="xsd:long"&gt;38313&lt;/D&gt;&lt;D xsi:type="xsd:long"&gt;38310&lt;/D&gt;&lt;D xsi:type="xsd:long"&gt;38309&lt;/D&gt;&lt;D xsi:type="xsd:long"&gt;38308&lt;/D&gt;&lt;D xsi:type="xsd:long"&gt;38307&lt;/D&gt;&lt;D xsi:type="xsd:long"&gt;38306&lt;/D&gt;&lt;D xsi:type="xsd:long"&gt;38303&lt;/D&gt;&lt;D xsi:type="xsd:long"&gt;38302&lt;/D&gt;&lt;D xsi:type="xsd:long"&gt;38301&lt;/D&gt;&lt;D xsi:type="xsd:long"&gt;38300&lt;/D&gt;&lt;D xsi:type="xsd:long"&gt;38299&lt;/D&gt;&lt;D xsi:type="xsd:long"&gt;38296&lt;/D&gt;&lt;D xsi:type="xsd:long"&gt;38295&lt;/D&gt;&lt;D xsi:type="xsd:long"&gt;38294&lt;/D&gt;&lt;D xsi:type="xsd:long"&gt;38293&lt;/D&gt;&lt;D xsi:type="xsd:long"&gt;38292&lt;/D&gt;&lt;D xsi:type="xsd:long"&gt;38289&lt;/D&gt;&lt;D xsi:type="x</t>
        </r>
      </text>
    </comment>
    <comment ref="A57" authorId="0" shapeId="0">
      <text>
        <r>
          <rPr>
            <b/>
            <sz val="9"/>
            <color indexed="81"/>
            <rFont val="Tahoma"/>
            <family val="2"/>
          </rPr>
          <t>sd:long"&gt;38288&lt;/D&gt;&lt;D xsi:type="xsd:long"&gt;38287&lt;/D&gt;&lt;D xsi:type="xsd:long"&gt;38286&lt;/D&gt;&lt;D xsi:type="xsd:long"&gt;38285&lt;/D&gt;&lt;D xsi:type="xsd:long"&gt;38282&lt;/D&gt;&lt;D xsi:type="xsd:long"&gt;38281&lt;/D&gt;&lt;D xsi:type="xsd:long"&gt;38280&lt;/D&gt;&lt;D xsi:type="xsd:long"&gt;38279&lt;/D&gt;&lt;D xsi:type="xsd:long"&gt;38278&lt;/D&gt;&lt;D xsi:type="xsd:long"&gt;38275&lt;/D&gt;&lt;D xsi:type="xsd:long"&gt;38274&lt;/D&gt;&lt;D xsi:type="xsd:long"&gt;38273&lt;/D&gt;&lt;D xsi:type="xsd:long"&gt;38272&lt;/D&gt;&lt;D xsi:type="xsd:long"&gt;38271&lt;/D&gt;&lt;D xsi:type="xsd:long"&gt;38268&lt;/D&gt;&lt;D xsi:type="xsd:long"&gt;38267&lt;/D&gt;&lt;D xsi:type="xsd:long"&gt;38266&lt;/D&gt;&lt;D xsi:type="xsd:long"&gt;38265&lt;/D&gt;&lt;D xsi:type="xsd:long"&gt;38264&lt;/D&gt;&lt;D xsi:type="xsd:long"&gt;38261&lt;/D&gt;&lt;D xsi:type="xsd:long"&gt;38260&lt;/D&gt;&lt;D xsi:type="xsd:long"&gt;38259&lt;/D&gt;&lt;D xsi:type="xsd:long"&gt;38258&lt;/D&gt;&lt;D xsi:type="xsd:long"&gt;38257&lt;/D&gt;&lt;D xsi:type="xsd:long"&gt;38254&lt;/D&gt;&lt;D xsi:type="xsd:long"&gt;38253&lt;/D&gt;&lt;D xsi:type="xsd:long"&gt;38252&lt;/D&gt;&lt;D xsi:type="xsd:long"&gt;38251&lt;/D&gt;&lt;D xsi:type="xsd:long"&gt;38250&lt;/D&gt;&lt;D xsi:type="xsd:long"&gt;38247&lt;/D&gt;&lt;D xsi:type="xsd:long"&gt;38246&lt;/D&gt;&lt;D xsi:type="xsd:long"&gt;38245&lt;/D&gt;&lt;D xsi:type="xsd:long"&gt;38244&lt;/D&gt;&lt;D xsi:type="xsd:long"&gt;38243&lt;/D&gt;&lt;D xsi:type="xsd:long"&gt;38240&lt;/D&gt;&lt;D xsi:type="xsd:long"&gt;38239&lt;/D&gt;&lt;D xsi:type="xsd:long"&gt;38238&lt;/D&gt;&lt;D xsi:type="xsd:long"&gt;38237&lt;/D&gt;&lt;D xsi:type="xsd:long"&gt;38233&lt;/D&gt;&lt;D xsi:type="xsd:long"&gt;38232&lt;/D&gt;&lt;D xsi:type="xsd:long"&gt;38231&lt;/D&gt;&lt;D xsi:type="xsd:long"&gt;38230&lt;/D&gt;&lt;D xsi:type="xsd:long"&gt;38229&lt;/D&gt;&lt;D xsi:type="xsd:long"&gt;38226&lt;/D&gt;&lt;D xsi:type="xsd:long"&gt;38225&lt;/D&gt;&lt;D xsi:type="xsd:long"&gt;38224&lt;/D&gt;&lt;D xsi:type="xsd:long"&gt;38223&lt;/D&gt;&lt;D xsi:type="xsd:long"&gt;38222&lt;/D&gt;&lt;D xsi:type="xsd:long"&gt;38219&lt;/D&gt;&lt;D xsi:type="xsd:long"&gt;38218&lt;/D&gt;&lt;D xsi:type="xsd:long"&gt;38217&lt;/D&gt;&lt;D xsi:type="xsd:long"&gt;38216&lt;/D&gt;&lt;D xsi:type="xsd:long"&gt;38215&lt;/D&gt;&lt;D xsi:type="xsd:long"&gt;38212&lt;/D&gt;&lt;D xsi:type="xsd:long"&gt;38211&lt;/D&gt;&lt;D xsi:type="xsd:long"&gt;38210&lt;/D&gt;&lt;D xsi:type="xsd:long"&gt;38209&lt;/D&gt;&lt;D xsi:type="xsd:long"&gt;38208&lt;/D&gt;&lt;D xsi:type="xsd:long"&gt;38205&lt;/D&gt;&lt;D xsi:type="xsd:long"&gt;38204&lt;/D&gt;&lt;D xsi:type="xsd:long"&gt;38203&lt;/D&gt;&lt;D xsi:type="xsd:long"&gt;38202&lt;/D&gt;&lt;D xsi:type="xsd:long"&gt;38201&lt;/D&gt;&lt;D xsi:type="xsd:long"&gt;38198&lt;/D&gt;&lt;D xsi:type="xsd:long"&gt;38197&lt;/D&gt;&lt;D xsi:type="xsd:long"&gt;38196&lt;/D&gt;&lt;D xsi:type="xsd:long"&gt;38195&lt;/D&gt;&lt;D xsi:type="xsd:long"&gt;38194&lt;/D&gt;&lt;D xsi:type="xsd:long"&gt;38191&lt;/D&gt;&lt;D xsi:type="xsd:long"&gt;38190&lt;/D&gt;&lt;D xsi:type="xsd:long"&gt;38189&lt;/D&gt;&lt;D xsi:type="xsd:long"&gt;38188&lt;/D&gt;&lt;D xsi:type="xsd:long"&gt;38187&lt;/D&gt;&lt;D xsi:type="xsd:long"&gt;38184&lt;/D&gt;&lt;D xsi:type="xsd:long"&gt;38183&lt;/D&gt;&lt;D xsi:type="xsd:long"&gt;38182&lt;/D&gt;&lt;D xsi:type="xsd:long"&gt;38181&lt;/D&gt;&lt;D xsi:type="xsd:long"&gt;38180&lt;/D&gt;&lt;D xsi:type="xsd:long"&gt;38177&lt;/D&gt;&lt;D xsi:type="xsd:long"&gt;38176&lt;/D&gt;&lt;D xsi:type="xsd:long"&gt;38175&lt;/D&gt;&lt;D xsi:type="xsd:long"&gt;38174&lt;/D&gt;&lt;D xsi:type="xsd:long"&gt;38170&lt;/D&gt;&lt;D xsi:type="xsd:long"&gt;38169&lt;/D&gt;&lt;D xsi:type="xsd:long"&gt;38168&lt;/D&gt;&lt;D xsi:type="xsd:long"&gt;38167&lt;/D&gt;&lt;D xsi:type="xsd:long"&gt;38166&lt;/D&gt;&lt;D xsi:type="xsd:long"&gt;38163&lt;/D&gt;&lt;D xsi:type="xsd:long"&gt;38162&lt;/D&gt;&lt;D xsi:type="xsd:long"&gt;38161&lt;/D&gt;&lt;D xsi:type="xsd:long"&gt;38160&lt;/D&gt;&lt;D xsi:type="xsd:long"&gt;38159&lt;/D&gt;&lt;D xsi:type="xsd:long"&gt;38156&lt;/D&gt;&lt;D xsi:type="xsd:long"&gt;38155&lt;/D&gt;&lt;D xsi:type="xsd:long"&gt;38154&lt;/D&gt;&lt;D xsi:type="xsd:long"&gt;38153&lt;/D&gt;&lt;D xsi:type="xsd:long"&gt;38152&lt;/D&gt;&lt;D xsi:type="xsd:long"&gt;38148&lt;/D&gt;&lt;D xsi:type="xsd:long"&gt;38147&lt;/D&gt;&lt;D xsi:type="xsd:long"&gt;38146&lt;/D&gt;&lt;D xsi:type="xsd:long"&gt;38145&lt;/D&gt;&lt;D xsi:type="xsd:long"&gt;38142&lt;/D&gt;&lt;D xsi:type="xsd:long"&gt;38141&lt;/D&gt;&lt;D xsi:type="xsd:long"&gt;38140&lt;/D&gt;&lt;D xsi:type="xsd:long"&gt;38139&lt;/D&gt;&lt;D xsi:type="xsd:long"&gt;38135&lt;/D&gt;&lt;D xsi:type="xsd:long"&gt;38134&lt;/D&gt;&lt;D xsi:type="xsd:long"&gt;38133&lt;/D&gt;&lt;D xsi:type="xsd:long"&gt;38132&lt;/D&gt;&lt;D xsi:type="xsd:long"&gt;38131&lt;/D&gt;&lt;D xsi:type="xsd:long"&gt;38128&lt;/D&gt;&lt;D xsi:type="xsd:long"&gt;38127&lt;/D&gt;&lt;D xsi:type="xsd:long"&gt;38126&lt;/D&gt;&lt;D xsi:type="xsd:long"&gt;38125&lt;/D&gt;&lt;D xsi:type="xsd:long"&gt;38124&lt;/D&gt;&lt;D xsi:type="xsd:long"&gt;38121&lt;/D&gt;&lt;D xsi:type="xsd:long"&gt;38120&lt;/D&gt;&lt;D xsi:type="xsd:long"&gt;38119&lt;/D&gt;&lt;D xsi:type="xsd:long"&gt;38118&lt;/D&gt;&lt;D xsi:type="xsd:long"&gt;38117&lt;/D&gt;&lt;D xsi:type="xsd:long"&gt;38114&lt;/D&gt;&lt;D xsi:type="xsd:long"&gt;38113&lt;/D&gt;&lt;D xsi:type="xsd:long"&gt;38112&lt;/D&gt;&lt;D xsi:type="xsd:long"&gt;38111&lt;/D&gt;&lt;D xsi:type="xsd:long"&gt;38110&lt;/D&gt;&lt;D xsi:type="xsd:long"&gt;38107&lt;/D&gt;&lt;D xsi:type="xsd:long"&gt;38106&lt;/D&gt;&lt;D xsi:type="xsd:long"&gt;38105&lt;/D&gt;&lt;D xsi:type="xsd:long"&gt;38104&lt;/D&gt;&lt;D xsi:type="xsd:long"&gt;38103&lt;/D&gt;&lt;D xsi:type="xsd:long"&gt;38100&lt;/D&gt;&lt;D xsi:type="xsd:long"&gt;38099&lt;/D&gt;&lt;D xsi:type="xsd:long"&gt;38098&lt;/D&gt;&lt;D xsi:type="xsd:long"&gt;38097&lt;/D&gt;&lt;D xsi:type="xsd:long"&gt;38096&lt;/D&gt;&lt;D xsi:type="xsd:long"&gt;38093&lt;/D&gt;&lt;D xsi:type="xsd:long"&gt;38092&lt;/D&gt;&lt;D xsi:type="xsd:long"&gt;38091&lt;/D&gt;&lt;D xsi:type="xsd:long"&gt;38090&lt;/D&gt;&lt;D xsi:type="xsd:long"&gt;38089&lt;/D&gt;&lt;D xsi:type="xsd:long"&gt;38085&lt;/D&gt;&lt;D xsi:type="xsd:long"&gt;38084&lt;/D&gt;&lt;D xsi:type="xsd:long"&gt;38083&lt;/D&gt;&lt;D xsi:type="xsd:long"&gt;38082&lt;/D&gt;&lt;D xsi:type="xsd:long"&gt;38079&lt;/D&gt;&lt;D xsi:type="xsd:long"&gt;38078&lt;/D&gt;&lt;D xsi:type="xsd:long"&gt;38077&lt;/D&gt;&lt;D xsi:type="xsd:long"&gt;38076&lt;/D&gt;&lt;D xsi:type="xsd:long"&gt;38075&lt;/D&gt;&lt;D xsi:type="xsd:long"&gt;38072&lt;/D&gt;&lt;D xsi:type="xsd:long"&gt;38071&lt;/D&gt;&lt;D xsi:type="xsd:long"&gt;38070&lt;/D&gt;&lt;D xsi:type="xsd:long"&gt;38069&lt;/D&gt;&lt;D xsi:type="xsd:long"&gt;38068&lt;/D&gt;&lt;D xsi:type="xsd:long"&gt;38065&lt;/D&gt;&lt;D xsi:type="xsd:long"&gt;38064&lt;/D&gt;&lt;D xsi:type="xsd:long"&gt;38063&lt;/D&gt;&lt;D xsi:type="xsd:long"&gt;38062&lt;/D&gt;&lt;D xsi:type="xsd:long"&gt;38061&lt;/D&gt;&lt;D xsi:type="xsd:long"&gt;38058&lt;/D&gt;&lt;D xsi:type="xsd:long"&gt;38057&lt;/D&gt;&lt;D xsi:type="xsd:long"&gt;38056&lt;/D&gt;&lt;D xsi:type="xsd:long"&gt;38055&lt;/D&gt;&lt;D xsi:type="xsd:long"&gt;38054&lt;/D&gt;&lt;D xsi:type="xsd:long"&gt;38051&lt;/D&gt;&lt;D xsi:type="xsd:long"&gt;38050&lt;/D&gt;&lt;D xsi:type="xsd:long"&gt;38049&lt;/D&gt;&lt;D xsi:type="xsd:long"&gt;38048&lt;/D&gt;&lt;D xsi:type="xsd:long"&gt;38047&lt;/D&gt;&lt;D xsi:type="xsd:long"&gt;38044&lt;/D&gt;&lt;D xsi:type="xsd:long"&gt;38043&lt;/D&gt;&lt;D xsi:type="xsd:long"&gt;38042&lt;/D&gt;&lt;D xsi:type="xsd:long"&gt;38041&lt;/D&gt;&lt;D xsi:type="xsd:long"&gt;38040&lt;/D&gt;&lt;D xsi:type="xsd:long"&gt;38037&lt;/D&gt;&lt;D xsi:type="xsd:long"&gt;38036&lt;/D&gt;&lt;D xsi:type="xsd:long"&gt;38035&lt;/D&gt;&lt;D xsi:type="xsd:long"&gt;38034&lt;/D&gt;&lt;D xsi:type="xsd:long"&gt;38030&lt;/D&gt;&lt;D xsi:type="xsd:long"&gt;38029&lt;/D&gt;&lt;D xsi:type="xsd:long"&gt;38028&lt;/D&gt;&lt;D xsi:type="xsd:long"&gt;38027&lt;/D&gt;&lt;D xsi:type="xsd:long"&gt;38026&lt;/D&gt;&lt;D xsi:type="xsd:long"&gt;38023&lt;/D&gt;&lt;D xsi:type="xsd:long"&gt;38022&lt;/D&gt;&lt;D xsi:type="xsd:long"&gt;38021&lt;/D&gt;&lt;D xsi:type="xsd:long"&gt;38020&lt;/D&gt;&lt;D xsi:type="xsd:long"&gt;38019&lt;/D&gt;&lt;D xsi:type="xsd:long"&gt;38016&lt;/D&gt;&lt;D xsi:type="xsd:long"&gt;38015&lt;/D&gt;&lt;D xsi:type="xsd:long"&gt;38014&lt;/D&gt;&lt;D xsi:type="xsd:long"&gt;38013&lt;/D&gt;&lt;D xsi:type="xsd:long"&gt;38012&lt;/D&gt;&lt;D xsi:type="xsd:long"&gt;38009&lt;/D&gt;&lt;D xsi:type="xsd:long"&gt;38008&lt;/D&gt;&lt;D xsi:type="xsd:long"&gt;38007&lt;/D&gt;&lt;D xsi:type="xsd:long"&gt;38006&lt;/D&gt;&lt;D xsi:type="xsd:long"&gt;38002&lt;/D&gt;&lt;D xsi:type="xsd:long"&gt;38001&lt;/D&gt;&lt;D xsi:type="xsd:long"&gt;38000&lt;/D&gt;&lt;D xsi:type="xsd:long"&gt;37999&lt;/D&gt;&lt;D xsi:type="xsd:long"&gt;37998&lt;/D&gt;&lt;D xsi:type="xsd:long"&gt;37995&lt;/D&gt;&lt;D xsi:type="xsd:long"&gt;37994&lt;/D&gt;&lt;D xsi:type="xsd:long"&gt;37993&lt;/D&gt;&lt;D xsi:type="xsd:long"&gt;37992&lt;/D&gt;&lt;D xsi:type="xsd:long"&gt;37991&lt;/D&gt;&lt;D xsi:type="xsd:long"&gt;37988&lt;/D&gt;&lt;D xsi:type="xsd:long"&gt;37986&lt;/D&gt;&lt;D xsi:type="xsd:long"&gt;37985&lt;/D&gt;&lt;D xsi:type="xsd:long"&gt;37984&lt;/D&gt;&lt;D xsi:type="xsd:long"&gt;37981&lt;/D&gt;&lt;D xsi:type="xsd:long"&gt;37979&lt;/D&gt;&lt;D xsi:type="xsd:long"&gt;37978&lt;/D&gt;&lt;D xsi:type="xsd:long"&gt;37977&lt;/D&gt;&lt;D xsi:type="xsd:long"&gt;37974&lt;/D&gt;&lt;D xsi:type="xsd:long"&gt;37973&lt;/D&gt;&lt;D xsi:type="xsd:long"&gt;37972&lt;/D&gt;&lt;D xsi:type="xsd:long"&gt;37971&lt;/D&gt;&lt;D xsi:type="xsd:long"&gt;37970&lt;/D&gt;&lt;D xsi:type="xsd:long"&gt;37967&lt;/D&gt;&lt;D xsi:type="xsd:long"&gt;37966&lt;/D&gt;&lt;D xsi:type="xsd:long"&gt;37965&lt;/D&gt;&lt;D xsi:type="xsd:long"&gt;37964&lt;/D&gt;&lt;D xsi:type="xsd:long"&gt;37963&lt;/D&gt;&lt;D xsi:type="xsd:long"&gt;37960&lt;/D&gt;&lt;D xsi:type="xsd:long"&gt;37959&lt;/D&gt;&lt;D xsi:type="xsd:long"&gt;37958&lt;/D&gt;&lt;D xsi:type="xsd:long"&gt;37957&lt;/D&gt;&lt;D xsi:type="xsd:long"&gt;37956&lt;/D&gt;&lt;D xsi:type="xsd:long"&gt;37953&lt;/D&gt;&lt;D xsi:type="xsd:long"&gt;37951&lt;/D&gt;&lt;D xsi:type="xsd:long"&gt;37950&lt;/D&gt;&lt;D xsi:type="xsd:long"&gt;37949&lt;/D&gt;&lt;D xsi:type="xsd:long"&gt;37946&lt;/D&gt;&lt;D xsi:type="xsd:long"&gt;37945&lt;/D&gt;&lt;D xsi:type="xsd:long"&gt;37944&lt;/D&gt;&lt;D xsi:type="xsd:long"&gt;37943&lt;/D&gt;&lt;D xsi:type="xsd:long"&gt;37942&lt;/D&gt;&lt;D xsi:type="xsd:long"&gt;37939&lt;/D&gt;&lt;D xsi:type="xsd:long"&gt;37938&lt;/D&gt;&lt;D xsi:type="xsd:long"&gt;37937&lt;/D&gt;&lt;D xsi:type="xsd:long"&gt;37936&lt;/D&gt;&lt;D xsi:type="xsd:long"&gt;37935&lt;/D&gt;&lt;D xsi:type="xsd:long"&gt;37932&lt;/D&gt;&lt;D xsi:type="xsd:long"&gt;37931&lt;/D&gt;&lt;D xsi:type="xsd:long"&gt;37930&lt;/D&gt;&lt;D xsi:type="xsd:long"&gt;37929&lt;/D&gt;&lt;D xsi:type="xsd:long"&gt;37928&lt;/D&gt;&lt;D xsi:type="xsd:long"&gt;37925&lt;/D&gt;&lt;D xsi:type="xsd:long"&gt;37924&lt;/D&gt;&lt;D xsi:type="xsd:long"&gt;37923&lt;/D&gt;&lt;D xsi:type="xsd:long"&gt;37922&lt;/D&gt;&lt;D xsi:type="xsd:long"&gt;37921&lt;/D&gt;&lt;D xsi:type="xsd:long"&gt;37918&lt;/D&gt;&lt;D xsi:type="xsd:long"&gt;37917&lt;/D&gt;&lt;D xsi:type="xsd:long"&gt;37916&lt;/D&gt;&lt;D xsi:type="xsd:long"&gt;37915&lt;/D&gt;&lt;D xsi:type="xsd:long"&gt;37914&lt;/D&gt;&lt;D xsi:type="xsd:long"&gt;37911&lt;/D&gt;&lt;D xsi:type="xsd:long"&gt;37910&lt;/D&gt;&lt;D xsi:type="xsd:long"&gt;37909&lt;/D&gt;&lt;D xsi:type="xsd:long"&gt;37908&lt;/D&gt;&lt;D xsi:type="xsd:long"&gt;37907&lt;/D&gt;&lt;D xsi:type="xsd:long"&gt;37904&lt;/D&gt;&lt;D xsi:type="xsd:long"&gt;37903&lt;/D&gt;&lt;D xsi:type="xsd:long"&gt;37902&lt;/D&gt;&lt;D xsi:type="xsd:long"&gt;37901&lt;/D&gt;&lt;D xsi:type="xsd:long"&gt;37900&lt;/D&gt;&lt;D xsi:type="xsd:long"&gt;37897&lt;/D&gt;&lt;D xsi:type="xsd:long"&gt;37896&lt;/D&gt;&lt;D xsi:type="xsd:long"&gt;37895&lt;/D&gt;&lt;D xsi:type="xsd:long"&gt;37894&lt;/D&gt;&lt;D xsi:type="xsd:long"&gt;37893&lt;/D&gt;&lt;D xsi:type="xsd:long"&gt;37890&lt;/D&gt;&lt;D xsi:type="xsd:long"&gt;37889&lt;/D&gt;&lt;D xsi:type="xsd:long"&gt;37888&lt;/D&gt;&lt;D xsi:type="xsd:long"&gt;37887&lt;/D&gt;&lt;D xsi:type="xsd:long"&gt;37886&lt;/D&gt;&lt;D xsi:type="xsd:long"&gt;37883&lt;/D&gt;&lt;D xsi:type="xsd:long"&gt;37882&lt;/D&gt;&lt;D xsi:type="xsd:long"&gt;37881&lt;/D&gt;&lt;D xsi:type="xsd:long"&gt;37880&lt;/D&gt;&lt;D xsi:type="xsd:long"&gt;37879&lt;/D&gt;&lt;D xsi:type="xsd:long"&gt;37876&lt;/D&gt;&lt;D xsi:type="xsd:long"&gt;37875&lt;/D&gt;&lt;D xsi:type="xsd:long"&gt;37874&lt;/D&gt;&lt;D xsi:type="xsd:long"&gt;37873&lt;/D&gt;&lt;D xsi:type="xsd:long"&gt;37872&lt;/D&gt;&lt;D xsi:type="xsd:long"&gt;37869&lt;/D&gt;&lt;D xsi:type="xsd:long"&gt;37868&lt;/D&gt;&lt;D xsi:type="xsd:long"&gt;37867&lt;/D&gt;&lt;D xsi:type="xsd:long"&gt;37866&lt;/D&gt;&lt;D xsi:type="xsd:long"&gt;37862&lt;/D&gt;&lt;D xsi:type="xsd:long"&gt;37861&lt;/D&gt;&lt;D xsi:type="xsd:long"&gt;37860&lt;/D&gt;&lt;D xsi:type="xsd:long"&gt;37859&lt;/D&gt;&lt;D xsi:type="xsd:long"&gt;37858&lt;/D&gt;&lt;D xsi:type="xsd:long"&gt;37855&lt;/D&gt;&lt;D xsi:type="xsd:long"&gt;37854&lt;/D&gt;&lt;D xsi:type="xsd:long"&gt;37853&lt;/D&gt;&lt;D xsi:type="xsd:long"&gt;37852&lt;/D&gt;&lt;D xsi:type="xsd:long"&gt;37851&lt;/D&gt;&lt;D xsi:type="xsd:long"&gt;37848&lt;/D&gt;&lt;D xsi:type="xsd:long"&gt;37847&lt;/D&gt;&lt;D xsi:type="xsd:long"&gt;37846&lt;/D&gt;&lt;D xsi:type="xsd:long"&gt;37845&lt;/D&gt;&lt;D xsi:type="xsd:long"&gt;37844&lt;/D&gt;&lt;D xsi:type="xsd:long"&gt;37841&lt;/D&gt;&lt;D xsi:type="xsd:long"&gt;37840&lt;/D&gt;&lt;D xsi:type="xsd:long"&gt;37839&lt;/D&gt;&lt;D xsi:type="xsd:long"&gt;37838&lt;/D&gt;&lt;D xsi:type="xsd:long"&gt;37837&lt;/D&gt;&lt;D xsi:type="xsd:long"&gt;37834&lt;/D&gt;&lt;D xsi:type="xsd:long"&gt;37833&lt;/D&gt;&lt;D xsi:type="xsd:long"&gt;37832&lt;/D&gt;&lt;D xsi:type="xsd:long"&gt;37831&lt;/D&gt;&lt;D xsi:type="xsd:long"&gt;37830&lt;/D&gt;&lt;D xsi:type="xsd:long"&gt;37827&lt;/D&gt;&lt;D xsi:type="xsd:long"&gt;37826&lt;/D&gt;&lt;D xsi:type="xsd:long"&gt;37825&lt;/D&gt;&lt;D xsi:type="xsd:long"&gt;37824&lt;/D&gt;&lt;D xsi:type="xsd:long"&gt;37823&lt;/D&gt;&lt;D xsi:type="xsd:long"&gt;37820&lt;/D&gt;&lt;D xsi:type="xsd:long"&gt;37819&lt;/D&gt;&lt;D xsi:type="xsd:long"&gt;37818&lt;/D&gt;&lt;D xsi:type="xsd:long"&gt;37817&lt;/D&gt;&lt;D xsi:type="xsd:long"&gt;37816&lt;/D&gt;&lt;D xsi:type="xsd:long"&gt;37813&lt;/D&gt;&lt;D xsi:type="xsd:long"&gt;37812&lt;/D&gt;&lt;D xsi:type="xsd:long"&gt;37811&lt;/D&gt;&lt;D xsi:type="xsd:long"&gt;37810&lt;/D&gt;&lt;D xsi:type="xsd:long"&gt;37809&lt;/D&gt;&lt;D xsi:type="xsd:long"&gt;37805&lt;/D&gt;&lt;D xsi:type="xsd:long"&gt;37804&lt;/D&gt;&lt;D xsi:type="xsd:long"&gt;37803&lt;/D&gt;&lt;D xsi:type="xsd:long"&gt;37802&lt;/D&gt;&lt;D xsi:type="xsd:long"&gt;37799&lt;/D&gt;&lt;D xsi:type="xsd:long"&gt;37798&lt;/D&gt;&lt;D xsi:type="xsd:long"&gt;37797&lt;/D&gt;&lt;D xsi:type="xsd:long"&gt;37796&lt;/D&gt;&lt;D xsi:type="xsd:long"&gt;37795&lt;/D&gt;&lt;D xsi:type="xsd:long"&gt;37792&lt;/D&gt;&lt;D xsi:type="xsd:long"&gt;37791&lt;/D&gt;&lt;D xsi:type="xsd:long"&gt;37790&lt;/D&gt;&lt;D xsi:type="xsd:long"&gt;37789&lt;/D&gt;&lt;D xsi:type="xsd:long"&gt;37788&lt;/D&gt;&lt;D xsi:type="xsd:long"&gt;37785&lt;/D&gt;&lt;D xsi:type="xsd:long"&gt;37784&lt;/D&gt;&lt;D xsi:type="xsd:long"&gt;37783&lt;/D&gt;&lt;D xsi:type="xsd:long"&gt;37782&lt;/D&gt;&lt;D xsi:type="xsd:long"&gt;37781&lt;/D&gt;&lt;D xsi:type="xsd:long"&gt;37778&lt;/D&gt;&lt;D xsi:type="xsd:long"&gt;37777&lt;/D&gt;&lt;D xsi:type="xsd:long"&gt;37776&lt;/D&gt;&lt;D xsi:type="xsd:long"&gt;37775&lt;/D&gt;&lt;D xsi:type="xsd:long"&gt;37774&lt;/D&gt;&lt;D xsi:type="xsd:long"&gt;37771&lt;/D&gt;&lt;D xsi:type="xsd:long"&gt;37770&lt;/D&gt;&lt;D xsi:type="xsd:long"&gt;37769&lt;/D&gt;&lt;D xsi:type="xsd:long"&gt;37768&lt;/D&gt;&lt;D xsi:type="xsd:long"&gt;37764&lt;/D&gt;&lt;D xsi:type="xsd:long"&gt;37763&lt;/D&gt;&lt;D xsi:type="xsd:long"&gt;37762&lt;/D&gt;&lt;D xsi:type="xsd:long"&gt;37761&lt;/D&gt;&lt;D xsi:type="xsd:long"&gt;37760&lt;/D&gt;&lt;D xsi:type="xsd:long"&gt;37757&lt;/D&gt;&lt;D xsi:type="xsd:long"&gt;37756&lt;/D&gt;&lt;D xsi:type="xsd:long"&gt;37755&lt;/D&gt;&lt;D xsi:type="xsd:long"&gt;37754&lt;/D&gt;&lt;D xsi:type="xsd:long"&gt;37753&lt;/D&gt;&lt;D xsi:type="xsd:long"&gt;37750&lt;/D&gt;&lt;D xsi:type="xsd:long"&gt;37749&lt;/D&gt;&lt;D xsi:type="xsd:long"&gt;37748&lt;/D&gt;&lt;D xsi:type="xsd:long"&gt;37747&lt;/D&gt;&lt;D xsi:type="xsd:long"&gt;37746&lt;/D&gt;&lt;D xsi:type="xsd:long"&gt;37743&lt;/D&gt;&lt;D xsi:type="xsd:long"&gt;37742&lt;/D&gt;&lt;D xsi:type="xsd:long"&gt;37741&lt;/D&gt;&lt;D xsi:type="xsd:long"&gt;37740&lt;/D&gt;&lt;D xsi:type="xsd:long"&gt;37739&lt;/D&gt;&lt;D xsi:type="xsd:long"&gt;37736&lt;/D&gt;&lt;D xsi:type="xsd:long"&gt;37735&lt;/D&gt;&lt;D xsi:type="xsd:long"&gt;37734&lt;/D&gt;&lt;D xsi:type="xsd:long"&gt;37733&lt;/D&gt;&lt;D xsi:type="xsd:long"&gt;37732&lt;/D&gt;&lt;D xsi:type="xsd:long"&gt;37728&lt;/D&gt;&lt;D xsi:type="xsd:long"&gt;37727&lt;/D&gt;&lt;D xsi:type="xsd:long"&gt;37726&lt;/D&gt;&lt;D xsi:type="xsd:long"&gt;37725&lt;/D&gt;&lt;D xsi:type="xsd:long"&gt;37722&lt;/D&gt;&lt;D xsi:type="xsd:long"&gt;37721&lt;/D&gt;&lt;D xsi:type="xsd:long"&gt;37720&lt;/D&gt;&lt;D xsi:type="xsd:long"&gt;37719&lt;/D&gt;&lt;D xsi:type="xsd:long"&gt;37718&lt;/D&gt;&lt;D xsi:type="xsd:long"&gt;37715&lt;/D&gt;&lt;D xsi:type="xsd:long"&gt;37714&lt;/D&gt;&lt;D xsi:type="xsd:long"&gt;37713&lt;/D&gt;&lt;D xsi:type="xsd:long"&gt;37712&lt;/D&gt;&lt;D xsi:type="xsd:long"&gt;37711&lt;/D&gt;&lt;D xsi:type="xsd:long"&gt;37708&lt;/D&gt;&lt;D xsi:type="xsd:long"&gt;37707&lt;/D&gt;&lt;D xsi:type="xsd:long"&gt;37706&lt;/D&gt;&lt;D xsi:type="xsd:long"&gt;37705&lt;/D&gt;&lt;D xsi:type="xsd:long"&gt;37704&lt;/D&gt;&lt;D xsi:type="xsd:long"&gt;37701&lt;/D&gt;&lt;D xsi:type="xsd:long"&gt;37700&lt;/D&gt;&lt;D xsi:type="xsd:long"&gt;37699&lt;/D&gt;&lt;D xsi:type="xsd:long"&gt;37698&lt;/D&gt;&lt;D xsi:type="xsd:long"&gt;37697&lt;/D&gt;&lt;D xsi:type="xsd:long"&gt;37694&lt;/D&gt;&lt;D xsi:type="xsd:long"&gt;37693&lt;/D&gt;&lt;D xsi:type="xsd:long"&gt;37692&lt;/D&gt;&lt;D xsi:type="xsd:long"&gt;37691&lt;/D&gt;&lt;D xsi:type="xsd:long"&gt;37690&lt;/D&gt;&lt;D xsi:type="xsd:long"&gt;37687&lt;/D&gt;&lt;D xsi:type="xsd:long"&gt;37686&lt;/D&gt;&lt;D xsi:type="xsd:long"&gt;37685&lt;/D&gt;&lt;D xsi:type="xsd:long"&gt;37684&lt;/D&gt;&lt;D xsi:type="xsd:long"&gt;37683&lt;/D&gt;&lt;D xsi:type="xsd:long"&gt;37680&lt;/D&gt;&lt;D xsi:type="xsd:long"&gt;37679&lt;/D&gt;&lt;D xsi:type="xsd:long"&gt;37678&lt;/D&gt;&lt;D xsi:type="xsd:long"&gt;37677&lt;/D&gt;&lt;D xsi:type="xsd:long"&gt;37676&lt;/D&gt;&lt;D xsi:type="xsd:long"&gt;37673&lt;/D&gt;&lt;D xsi:type="xsd:long"&gt;37672&lt;/D&gt;&lt;D xsi:type="xsd:long"&gt;37671&lt;/D&gt;&lt;D xsi:type="xsd:long"&gt;37670&lt;/D&gt;&lt;D xsi:type="xsd:long"&gt;37666&lt;/D&gt;&lt;D xsi:type="xsd:long"&gt;37665&lt;/D&gt;&lt;D xsi:type="xsd:long"&gt;37664&lt;/D&gt;&lt;D xsi:type="xsd:long"&gt;37663&lt;/D&gt;&lt;D xsi:type="xsd:long"&gt;37662&lt;/D&gt;&lt;D xsi:type="xsd:long"&gt;37659&lt;/D&gt;&lt;D xsi:type="xsd:long"&gt;37658&lt;/D&gt;&lt;D xsi:type="xsd:long"&gt;37657&lt;/D&gt;&lt;D xsi:type="xsd:long"&gt;37656&lt;/D&gt;&lt;D xsi:type="xsd:long"&gt;37655&lt;/D&gt;&lt;D xsi:type="xsd:long"&gt;37652&lt;/D&gt;&lt;D xsi:type="xsd:long"&gt;37651&lt;/D&gt;&lt;D xsi:type="xsd:long"&gt;37650&lt;/D&gt;&lt;D xsi:type="xsd:long"&gt;37649&lt;/D&gt;&lt;D xsi:type="xsd:long"&gt;37648&lt;/D&gt;&lt;D xsi:type="xsd:long"&gt;37645&lt;/D&gt;&lt;D xsi:type="xsd:long"&gt;37644&lt;/D&gt;&lt;D xsi:type="xsd:long"&gt;37643&lt;/D&gt;&lt;D xsi:type="xsd:long"&gt;37642&lt;/D&gt;&lt;D xsi:type="xsd:long"&gt;37638&lt;/D&gt;&lt;D xsi:type="xsd:long"&gt;37637&lt;/D&gt;&lt;D xsi:type="xsd:long"&gt;37636&lt;/D&gt;&lt;D xsi:type="xsd:long"&gt;37635&lt;/D&gt;&lt;D xsi:type="xsd:long"&gt;37634&lt;/D&gt;&lt;D xsi:type="xsd:long"&gt;37631&lt;/D&gt;&lt;D xsi:type="xsd:long"&gt;37630&lt;/D&gt;&lt;D xsi:type="xsd:long"&gt;37629&lt;/D&gt;&lt;D xsi:type="xsd:long"&gt;37628&lt;/D&gt;&lt;D xsi:type="xsd:long"&gt;37627&lt;/D&gt;&lt;D xsi:type="xsd:long"&gt;37624&lt;/D&gt;&lt;D xsi:type="xsd:long"&gt;37623&lt;/D&gt;&lt;D xsi:type="xsd:long"&gt;37621&lt;/D&gt;&lt;D xsi:type="xsd:long"&gt;37620&lt;/D&gt;&lt;D xsi:type="xsd:long"&gt;37617&lt;/D&gt;&lt;D xsi:type="xsd:long"&gt;37616&lt;/D&gt;&lt;D xsi:type="xsd:long"&gt;37614&lt;/D&gt;&lt;D xsi:type="xsd:long"&gt;37613&lt;/D&gt;&lt;D xsi:type="xsd:long"&gt;37610&lt;/D&gt;&lt;D xsi:type="xsd:long"&gt;37609&lt;/D&gt;&lt;D xsi:type="xsd:long"&gt;37608&lt;/D&gt;&lt;D xsi:type="xsd:long"&gt;37607&lt;/D&gt;&lt;D xsi:type="xsd:long"&gt;37606&lt;/D&gt;&lt;D xsi:type="xsd:long"&gt;37603&lt;/D&gt;&lt;D xsi:type="xsd:long"&gt;37602&lt;/D&gt;&lt;D xsi:type="xsd:long"&gt;37601&lt;/D&gt;&lt;D xsi:type="xsd:long"&gt;37600&lt;/D&gt;&lt;D xsi:type="xsd:long"&gt;37599&lt;/D&gt;&lt;D xsi:type="xsd:long"&gt;37596&lt;/D&gt;&lt;D xsi:type="xsd:long"&gt;37595&lt;/D&gt;&lt;D xsi:type="xsd:long"&gt;37594&lt;/D&gt;&lt;D xsi:type="xsd:long"&gt;37593&lt;/D&gt;&lt;D xsi:type="xsd:long"&gt;37592&lt;/D&gt;&lt;D xsi:type="xsd:long"&gt;37589&lt;/D&gt;&lt;D xsi:type="xsd:long"&gt;37587&lt;/D&gt;&lt;D xsi:type="xsd:long"&gt;37586&lt;/D&gt;&lt;D xsi:type="xsd:long"&gt;37585&lt;/D&gt;&lt;D xsi:type="xsd:long"&gt;37582&lt;/D&gt;&lt;D xsi:type="xsd:long"&gt;37581&lt;/D&gt;&lt;D xsi:type="xsd:long"&gt;37580&lt;/D&gt;&lt;D xsi:type="xsd:long"&gt;37579&lt;/D&gt;&lt;D xsi:type="xsd:long"&gt;37578&lt;/D&gt;&lt;D xsi:type="xsd:long"&gt;37575&lt;/D&gt;&lt;D xsi:type="xsd:long"&gt;37574&lt;/D&gt;&lt;D xsi:type="xsd:long"&gt;37573&lt;/D&gt;&lt;D xsi:type="xsd:long"&gt;37572&lt;/D&gt;&lt;D xsi:type="xsd:long"&gt;37571&lt;/D&gt;&lt;D xsi:type="xsd:long"&gt;37568&lt;/D&gt;&lt;D xsi:type="xsd:long"&gt;37567&lt;/D&gt;&lt;D xsi:type="xsd:long"&gt;37566&lt;/D&gt;&lt;D xsi:type="xsd:long"&gt;37565&lt;/D&gt;&lt;D xsi:type="xsd:long"&gt;37564&lt;/D&gt;&lt;D xsi:type="xsd:long"&gt;37561&lt;/D&gt;&lt;D xsi:type="xsd:long"&gt;37560&lt;/D&gt;&lt;D xsi:type="xsd:long"&gt;37559&lt;/D&gt;&lt;D xsi:type="xsd:long"&gt;37558&lt;/D&gt;&lt;D xsi:type="xsd:long"&gt;37557&lt;/D&gt;&lt;D xsi:type="xsd:long"&gt;37554&lt;/D&gt;&lt;D xsi:type="xsd:long"&gt;37553&lt;/D&gt;&lt;D xsi:type="xsd:long"&gt;37552&lt;/D&gt;&lt;D xsi:type="xsd:long"&gt;37551&lt;/D&gt;&lt;D xsi:type="xsd:long"&gt;37550&lt;/D&gt;&lt;D xsi:type="xsd:long"&gt;37547&lt;/D&gt;&lt;D xsi:type="xsd:long"&gt;37546&lt;/D&gt;&lt;D xsi:type="xsd:long"&gt;37545&lt;/D&gt;&lt;D xsi:type="xsd:long"&gt;37544&lt;/D&gt;&lt;D xsi:type="xsd:long"&gt;37543&lt;/D&gt;&lt;D xsi:type="xsd:long"&gt;37540&lt;/D&gt;&lt;D xsi:type="xsd:long"&gt;37539&lt;/D&gt;&lt;D xsi:type="xsd:long"&gt;37538&lt;/D&gt;&lt;D xsi:type="xsd:long"&gt;37537&lt;/D&gt;&lt;D xsi:type="xsd:long"&gt;37536&lt;/D&gt;&lt;D xsi:type="xsd:long"&gt;37533&lt;/D&gt;&lt;D xsi:type="xsd:long"&gt;37532&lt;/D&gt;&lt;D xsi:type="xsd:long"&gt;37531&lt;/D&gt;&lt;D xsi:type="xsd:long"&gt;37530&lt;/D&gt;&lt;D xsi:type="xsd:long"&gt;37529&lt;/D&gt;&lt;D xsi:type="xsd:long"&gt;37526&lt;/D&gt;&lt;D xsi:type="xsd:long"&gt;37525&lt;/D&gt;&lt;D xsi:type="xsd:long"&gt;37524&lt;/D&gt;&lt;D xsi:type="xsd:long"&gt;37523&lt;/D&gt;&lt;D xsi:type="xsd:long"&gt;37522&lt;/D&gt;&lt;D xsi:type="xsd:long"&gt;37519&lt;/D&gt;&lt;D xsi:type="xsd:long"&gt;37518&lt;/D&gt;&lt;D xsi:type="xsd:long"&gt;37517&lt;/D&gt;&lt;D xsi:type="xsd:long"&gt;37516&lt;/D&gt;&lt;D xsi:type="xsd:long"&gt;37515&lt;/D&gt;&lt;D xsi:type="xsd:long"&gt;37512&lt;/D&gt;&lt;D xsi:type="xsd:long"&gt;37511&lt;/D&gt;&lt;D xsi:type="xsd:long"&gt;37510&lt;/D&gt;&lt;D xsi:type="xsd:long"&gt;37509&lt;/D&gt;&lt;D xsi:type="xsd:long"&gt;37508&lt;/D&gt;&lt;D xsi:type="xsd:long"&gt;37505&lt;/D&gt;&lt;D xsi:type="xsd:long"&gt;37504&lt;/D&gt;&lt;D xsi:type="xsd:long"&gt;37503&lt;/D&gt;&lt;D xsi:type="xsd:long"&gt;37502&lt;/D&gt;&lt;D xsi:type="xsd:long"&gt;37498&lt;/D&gt;&lt;D xsi:type="xsd:long"&gt;37497&lt;/D&gt;&lt;D xsi:type="xsd:long"&gt;37496&lt;/D&gt;&lt;D xsi:type="xsd:long"&gt;37495&lt;/D&gt;&lt;D xsi:type="xsd:long"&gt;37494&lt;/D&gt;&lt;D xsi:type="xsd:long"&gt;37491&lt;/D&gt;&lt;D xsi:type="xsd:long"&gt;37490&lt;/D&gt;&lt;D xsi:type="xsd:long"&gt;37489&lt;/D&gt;&lt;D xsi:type="xsd:long"&gt;37488&lt;/D&gt;&lt;D xsi:type="xsd:long"&gt;37487&lt;/D&gt;&lt;D xsi:type="xsd:long"&gt;37484&lt;/D&gt;&lt;D xsi:type="xsd:long"&gt;37483&lt;/D&gt;&lt;D xsi:type="xsd:long"&gt;37482&lt;/D&gt;&lt;D xsi:type="xsd:long"&gt;37481&lt;/D&gt;&lt;D xsi:type="xsd:long"&gt;37480&lt;/D&gt;&lt;D xsi:type="xsd:long"&gt;37477&lt;/D&gt;&lt;D xsi:type="xsd:long"&gt;37476&lt;/D&gt;&lt;D xsi:type="xsd:long"&gt;37475&lt;/D&gt;&lt;D xsi:type="xsd:long"&gt;37474&lt;/D&gt;&lt;D xsi:type="xsd:long"&gt;37473&lt;/D&gt;&lt;D xsi:type="xsd:long"&gt;37470&lt;/D&gt;&lt;D xsi:type="xsd:long"&gt;37469&lt;/D&gt;&lt;D xsi:type="xsd:long"&gt;37468&lt;/D&gt;&lt;D xsi:type="xsd:long"&gt;37467&lt;/D&gt;&lt;D xsi:type="xsd:long"&gt;37466&lt;/D&gt;&lt;D xsi:type="xsd:long"&gt;37463&lt;/D&gt;&lt;D xsi:type="xsd:long"&gt;37462&lt;/D&gt;&lt;D xsi:type="xsd:long"&gt;37461&lt;/D&gt;&lt;D xsi:type="xsd:long"&gt;37460&lt;/D&gt;&lt;D xsi:type="xsd:long"&gt;37459&lt;/D&gt;&lt;D xsi:type="xsd:long"&gt;37456&lt;/D&gt;&lt;D xsi:type="xsd:long"&gt;37455&lt;/D&gt;&lt;D xsi:type="xsd:long"&gt;37454&lt;/D&gt;&lt;D xsi:type="xsd:long"&gt;37453&lt;/D&gt;&lt;D xsi:type="xsd:long"&gt;37452&lt;/D&gt;&lt;D xsi:type="xsd:long"&gt;37449&lt;/D&gt;&lt;D xsi:type="xsd:long"&gt;37448&lt;/D&gt;&lt;D xsi:type="xsd:long"&gt;37447&lt;/D&gt;&lt;D xsi:type="xsd:long"&gt;37446&lt;/D&gt;&lt;D xsi:type="xsd:long"&gt;37445&lt;/D&gt;&lt;D xsi:type="xsd:long"&gt;37442&lt;/D&gt;&lt;D xsi:type="xsd:long"&gt;37440&lt;/D&gt;&lt;D xsi:type="xsd:long"&gt;37439&lt;/D&gt;&lt;D xsi:type="xsd:long"&gt;37438&lt;/D&gt;&lt;D xsi:type="xsd:long"&gt;37435&lt;/D&gt;&lt;D xsi:type="xsd:long"&gt;37434&lt;/D&gt;&lt;D xsi:type="xsd:long"&gt;37433&lt;/D&gt;&lt;D xsi:type="xsd:long"&gt;37432&lt;/D&gt;&lt;D xsi:type="xsd:long"&gt;37431&lt;/D&gt;&lt;D xsi:type="xsd:long"&gt;37428&lt;/D&gt;&lt;D xsi:type="xsd:long"&gt;37427&lt;/D&gt;&lt;D xsi:type="xsd:long"&gt;37426&lt;/D&gt;&lt;D xsi:type="xsd:long"&gt;37425&lt;/D&gt;&lt;D xsi:type="xsd:long"&gt;37424&lt;/D&gt;&lt;D xsi:type="xsd:long"&gt;37421&lt;/D&gt;&lt;D xsi:type="xsd:long"&gt;37420&lt;/D&gt;&lt;D xsi:type="xsd:long"&gt;37419&lt;/D&gt;&lt;D xsi:type="xsd:long"&gt;37418&lt;/D&gt;&lt;D xsi:type="xsd:long"&gt;37417&lt;/D&gt;&lt;D xsi:type="xsd:long"&gt;37414&lt;/D&gt;&lt;D xsi:type="xsd:long"&gt;37413&lt;/D&gt;&lt;D xsi:type="xsd:long"&gt;37412&lt;/D&gt;&lt;D xsi:type="xsd:long"&gt;37411&lt;/D&gt;&lt;D xsi:type="xsd:long"&gt;37410&lt;/D&gt;&lt;D xsi:type="xsd:long"&gt;37407&lt;/D&gt;&lt;D xsi:type="xsd:long"&gt;37406&lt;/D&gt;&lt;D xsi:type="xsd:long"&gt;37405&lt;/D&gt;&lt;D xsi:type="xsd:long"&gt;37404&lt;/D&gt;&lt;D xsi:type="xsd:long"&gt;37400&lt;/D&gt;&lt;D xsi:type="xsd:long"&gt;37399&lt;/D&gt;&lt;D xsi:type="xsd:long"&gt;37398&lt;/D&gt;&lt;D xsi:type="xsd:long"&gt;37397&lt;/D&gt;&lt;D xsi:type="xsd:long"&gt;37396&lt;/D&gt;&lt;D xsi:type="xsd:long"&gt;37393&lt;/D&gt;&lt;D xsi:type="xsd:long"&gt;37392&lt;/D&gt;&lt;D xsi:type="xsd:long"&gt;37391&lt;/D&gt;&lt;D xsi:type="xsd:long"&gt;37390&lt;/D&gt;&lt;D xsi:type="xsd:long"&gt;37389&lt;/D&gt;&lt;D xsi:type="xsd:long"&gt;37386&lt;/D&gt;&lt;D xsi:type="xsd:long"&gt;37385&lt;/D&gt;&lt;D xsi:type="xsd:long"&gt;37384&lt;/D&gt;&lt;D xsi:type="xsd:long"&gt;37383&lt;/D&gt;&lt;D xsi:type="xsd:long"&gt;37382&lt;/D&gt;&lt;D xsi:type="xsd:long"&gt;37379&lt;/D&gt;&lt;D xsi:type="xsd:long"&gt;37378&lt;/D&gt;&lt;D xsi:type="xsd:long"&gt;37377&lt;/D&gt;&lt;D xsi:type="xsd:long"&gt;37376&lt;/D&gt;&lt;D xsi:type="xsd:long"&gt;37375&lt;/D&gt;&lt;D xsi:type="xsd:long"&gt;37372&lt;/D&gt;&lt;D xsi:type="xsd:long"&gt;37371&lt;/D&gt;&lt;D xsi:type="xsd:long"&gt;37370&lt;/D&gt;&lt;D xsi:type="xsd:long"&gt;37369&lt;/D&gt;&lt;D xsi:type="xsd:long"&gt;37368&lt;/D&gt;&lt;D xsi:type="xsd:long"&gt;37365&lt;/D&gt;&lt;D xsi:type="xsd:long"&gt;37364&lt;/D&gt;&lt;D xsi:type="xsd:long"&gt;37363&lt;/D&gt;&lt;D xsi:type="xsd:long"&gt;37362&lt;/D&gt;&lt;D xsi:type="xsd:long"&gt;37361&lt;/D&gt;&lt;D xsi:type="xsd:long"&gt;37358&lt;/D&gt;&lt;D xsi:type="xsd:long"&gt;37357&lt;/D&gt;&lt;D xsi:type="xsd:long"&gt;37356&lt;/D&gt;&lt;D xsi:type="xsd:long"&gt;37355&lt;/D&gt;&lt;D xsi:type="xsd:long"&gt;37354&lt;/D&gt;&lt;D xsi:type="xsd:long"&gt;37351&lt;/D&gt;&lt;D xsi:type="xsd:long"&gt;37350&lt;/D&gt;&lt;D xsi:type="xsd:long"&gt;37349&lt;/D&gt;&lt;D xsi:type="xsd:long"&gt;37348&lt;/D&gt;&lt;D xsi:type="xsd:long"&gt;37347&lt;/D&gt;&lt;D xsi:type="xsd:long"&gt;37343&lt;/D&gt;&lt;D xsi:type="xsd:long"&gt;37342&lt;/D&gt;&lt;D xsi:type="xsd:long"&gt;37341&lt;/D&gt;&lt;D xsi:type="xsd:long"&gt;37340&lt;/D&gt;&lt;D xsi:type="xsd:long"&gt;37337&lt;/D&gt;&lt;D xsi:type="xsd:long"&gt;37336&lt;/D&gt;&lt;D xsi:type="xsd:long"&gt;37335&lt;/D&gt;&lt;D xsi:type="xsd:long"&gt;37334&lt;/D&gt;&lt;D xsi:type="xsd:long"&gt;37333&lt;/D&gt;&lt;D xsi:type="xsd:long"&gt;37330&lt;/D&gt;&lt;D xsi:type="xsd:long"&gt;37329&lt;/D&gt;&lt;D xsi:type="xsd:long"&gt;37328&lt;/D&gt;&lt;D xsi:type="xsd:long"&gt;37327&lt;/D&gt;&lt;D xsi:type="xsd:long"&gt;37326&lt;/D&gt;&lt;D xsi:type="xsd:long"&gt;37323&lt;/D&gt;&lt;D xsi:type="xsd:long"&gt;37322&lt;/D&gt;&lt;D xsi:type="xsd:long"&gt;37321&lt;/D&gt;&lt;D xsi:type="xsd:long"&gt;37320&lt;/D&gt;&lt;D xsi:type="xsd:long"&gt;37319&lt;/D&gt;&lt;D xsi:type="xsd:long"&gt;37316&lt;/D&gt;&lt;D xsi:type="xsd:long"&gt;37315&lt;/D&gt;&lt;D xsi:type="xsd:long"&gt;37314&lt;/D&gt;&lt;D xsi:type="xsd:long"&gt;37313&lt;/D&gt;&lt;D xsi:type="xsd:long"&gt;37312&lt;/D&gt;&lt;D xsi:type="xsd:long"&gt;37309&lt;/D&gt;&lt;D xsi:type="xsd:long"&gt;37308&lt;/D&gt;&lt;D xsi:type="xsd:long"&gt;37307&lt;/D&gt;&lt;D xsi:type="xsd:long"&gt;37306&lt;/D&gt;&lt;D xsi:type="xsd:long"&gt;37302&lt;/D&gt;&lt;D xsi:type="xsd:long"&gt;37301&lt;/D&gt;&lt;D xsi:type="xsd:long"&gt;37300&lt;/D&gt;&lt;D xsi:type="xsd:long"&gt;37299&lt;/D&gt;&lt;D xsi:type="xsd:long"&gt;37298&lt;/D&gt;&lt;D xsi:type="xsd:long"&gt;37295&lt;/D&gt;&lt;D xsi:type="xsd:long"&gt;37294&lt;/D&gt;&lt;D xsi:type="xsd:long"&gt;37293&lt;/D&gt;&lt;D xsi:type="xsd:long"&gt;37292&lt;/D&gt;&lt;D xsi:type="xsd:long"&gt;37291&lt;/D&gt;&lt;D xsi:type="xsd:long"&gt;37288&lt;/D&gt;&lt;D xsi:type="xsd:long"&gt;37287&lt;/D&gt;&lt;D xsi:type="xsd:long"&gt;37286&lt;/D&gt;&lt;D xsi:type="xsd:long"&gt;37285&lt;/D&gt;&lt;D xsi:type="xsd:long"&gt;37284&lt;/D&gt;&lt;D xsi:type="xsd:long"&gt;37281&lt;/D&gt;&lt;D xsi:type="xsd:long"&gt;37280&lt;/D&gt;&lt;D xsi:type="xsd:long"&gt;37279&lt;/D&gt;&lt;D xsi:type="xsd:long"&gt;37278&lt;/D&gt;&lt;D xsi:type="xsd:long"&gt;37274&lt;/D&gt;&lt;D xsi:type="xsd:long"&gt;37273&lt;/D&gt;&lt;D xsi:type="xsd:long"&gt;37272&lt;/D&gt;&lt;D xsi:type="xsd:long"&gt;37271&lt;/D&gt;&lt;D xsi:type="xsd:long"&gt;37270&lt;/D&gt;&lt;D xsi:type="xsd:long"&gt;37267&lt;/D&gt;&lt;D xsi:type="xsd:long"&gt;37266&lt;/D&gt;&lt;D xsi:type="xsd:long"&gt;37265&lt;/D&gt;&lt;D xsi:type="xsd:long"&gt;37264&lt;/D&gt;&lt;D xsi:type="xsd:long"&gt;37263&lt;/D&gt;&lt;D xsi:type="xsd:long"&gt;37260&lt;/D&gt;&lt;D xsi:type="xsd:long"&gt;37259&lt;/D&gt;&lt;D xsi:type="xsd:long"&gt;37258&lt;/D&gt;&lt;D xsi:type="xsd:long"&gt;37256&lt;/D&gt;&lt;D xsi:type="xsd:long"&gt;37253&lt;/D&gt;&lt;D xsi:type="xsd:long"&gt;37252&lt;/D&gt;&lt;D xsi:type="xsd:long"&gt;37251&lt;/D&gt;&lt;D xsi:type="xsd:long"&gt;37249&lt;/D&gt;&lt;D xsi:type="xsd:long"&gt;37246&lt;/D&gt;&lt;D xsi:type="xsd:long"&gt;37245&lt;/D&gt;&lt;D xsi:type="xsd:long"&gt;37244&lt;/D&gt;&lt;D xsi:type="xsd:long"&gt;37243&lt;/D&gt;&lt;D xsi:type="xsd:long"&gt;37242&lt;/D&gt;&lt;D xsi:type="xsd:long"&gt;37239&lt;/D&gt;&lt;D xsi:type="xsd:long"&gt;37238&lt;/D&gt;&lt;D xsi:type="xsd:long"&gt;37237&lt;/D&gt;&lt;D xsi:type="xsd:long"&gt;37236&lt;/D&gt;&lt;D xsi:type="xsd:long"&gt;37235&lt;/D&gt;&lt;D xsi:type="xsd:long"&gt;37232&lt;/D&gt;&lt;D xsi:type="xsd:long"&gt;37231&lt;/D&gt;&lt;D xsi:type="xsd:long"&gt;37230&lt;/D&gt;&lt;D xsi:type="xsd:long"&gt;37229&lt;/D&gt;&lt;D xsi:type="xsd:long"&gt;37228&lt;/D&gt;&lt;D xsi:type="xsd:long"&gt;37225&lt;/D&gt;&lt;D xsi:type="xsd:long"&gt;37224&lt;/D&gt;&lt;D xsi:type="xsd:long"&gt;37223&lt;/D&gt;&lt;D xsi:type="xsd:long"&gt;37222&lt;/D&gt;&lt;D xsi:type="xsd:long"&gt;37221&lt;/D&gt;&lt;D xsi:type="xsd:long"&gt;37218&lt;/D&gt;&lt;D xsi:type="xsd:long"&gt;37216&lt;/D&gt;&lt;D xsi:type="xsd:long"&gt;37215&lt;/D&gt;&lt;D xsi:type="xsd:long"&gt;37214&lt;/D&gt;&lt;D xsi:type="xsd:long"&gt;37211&lt;/D&gt;&lt;D xsi:type="xsd:long"&gt;37210&lt;/D&gt;&lt;D xsi:type="xsd:long"&gt;37209&lt;/D&gt;&lt;D xsi:type="xsd:long"&gt;37208&lt;/D&gt;&lt;D xsi:type="xsd:long"&gt;37207&lt;/D&gt;&lt;D xsi:type="xsd:long"&gt;37204&lt;/D&gt;&lt;D xsi:type="xsd:long"&gt;37203&lt;/D&gt;&lt;D xsi:type="xsd:long"&gt;37202&lt;/D&gt;&lt;D xsi:type="xsd:long"&gt;37201&lt;/D&gt;&lt;D xsi:type="xsd:long"&gt;37200&lt;/D&gt;&lt;D xsi:type="xsd:long"&gt;37197&lt;/D&gt;&lt;D xsi:type="xsd:long"&gt;37196&lt;/D&gt;&lt;D xsi:type="xsd:long"&gt;37195&lt;/D&gt;&lt;D xsi:type="xsd:long"&gt;37194&lt;/D&gt;&lt;D xsi:type="xsd:long"&gt;37193&lt;/D&gt;&lt;D xsi:type="xsd:long"&gt;37190&lt;/D&gt;&lt;D xsi:type="xsd:long"&gt;37189&lt;/D&gt;&lt;D xsi:type="xsd:long"&gt;37188&lt;/D&gt;&lt;D xsi:type="xsd:long"&gt;37187&lt;/D&gt;&lt;D xsi:type="xsd:long"&gt;37186&lt;/D&gt;&lt;D xsi:type="xsd:long"&gt;37183&lt;/D&gt;&lt;D xsi:type="xsd:long"&gt;37182&lt;/D&gt;&lt;D xsi:type="xsd:long"&gt;37181&lt;/D&gt;&lt;D xsi:type="xsd:long"&gt;37180&lt;/D&gt;&lt;D xsi:type="xsd:long"&gt;37179&lt;/D&gt;&lt;D xsi:type="xsd:long"&gt;37176&lt;/D&gt;&lt;D xsi:type="xsd:long"&gt;37175&lt;/D&gt;&lt;D xsi:type="xsd:long"&gt;37174&lt;/D&gt;&lt;D xsi:type="xsd:long"&gt;37173&lt;/D&gt;&lt;D xsi:type="xsd:long"&gt;37172&lt;/D&gt;&lt;D xsi:type="xsd:long"&gt;37169&lt;/D&gt;&lt;D xsi:type="xsd:long"&gt;37168&lt;/D&gt;&lt;D xsi:type="xsd:long"&gt;37167&lt;/D&gt;&lt;D xsi:type="xsd:long"&gt;37166&lt;/D&gt;&lt;D xsi:type="xsd:long"&gt;37165&lt;/D&gt;&lt;D xsi:type="xsd:long"&gt;37162&lt;/D&gt;&lt;D xsi:type="xsd:long"&gt;37161&lt;/D&gt;&lt;D xsi:type="xsd:long"&gt;37160&lt;/D&gt;&lt;D xsi:type="xsd:long"&gt;37159&lt;/D&gt;&lt;D xsi:type="xsd:long"&gt;37158&lt;/D&gt;&lt;D xsi:type="xsd:long"&gt;37155&lt;/D&gt;&lt;D xsi:type="xsd:long"&gt;37154&lt;/D&gt;&lt;D xsi:type="xsd:long"&gt;37153&lt;/D&gt;&lt;D xsi:type="xsd:long"&gt;37152&lt;/D&gt;&lt;D xsi:type="xsd:long"&gt;37151&lt;/D&gt;&lt;D xsi:type="xsd:long"&gt;37144&lt;/D&gt;&lt;D xsi:type="xsd:long"&gt;37141&lt;/D&gt;&lt;D xsi:type="xsd:long"&gt;37140&lt;/D&gt;&lt;D xsi:type="xsd:long"&gt;37139&lt;/D&gt;&lt;D xsi:type="xsd:long"&gt;37138&lt;/D&gt;&lt;D xsi:type="xsd:long"&gt;37134&lt;/D&gt;&lt;D xsi:type="xsd:long"&gt;37133&lt;/D&gt;&lt;D xsi:type="xsd:long"&gt;37132&lt;/D&gt;&lt;D xsi:type="xsd:long"&gt;37131&lt;/D&gt;&lt;D xsi:type="xsd:long"&gt;37130&lt;/D&gt;&lt;D xsi:type="xsd:long"&gt;37127&lt;/D&gt;&lt;D xsi:type="xsd:long"&gt;37126&lt;/D&gt;&lt;D xsi:type="xsd:long"&gt;37125&lt;/D&gt;&lt;D xsi:type="xsd:long"&gt;37124&lt;/D&gt;&lt;D xsi:type="xsd:long"&gt;37123&lt;/D&gt;&lt;D xsi:type="xsd:long"&gt;37120&lt;/D&gt;&lt;D xsi:type="xsd:long"&gt;37119&lt;/D&gt;&lt;D xsi:type="xsd:long"&gt;37118&lt;/D&gt;&lt;D xsi:type="xsd:long"&gt;37117&lt;/D&gt;&lt;D xsi:type="xsd:long"&gt;37116&lt;/D&gt;&lt;D xsi:type="xsd:long"&gt;37113&lt;/D&gt;&lt;D xsi:type="xsd:long"&gt;37112&lt;/D&gt;&lt;D xsi:type="xsd:long"&gt;37111&lt;/D&gt;&lt;D xsi:type="xsd:long"&gt;37110&lt;/D&gt;&lt;D xsi:type="xsd:long"&gt;37109&lt;/D&gt;&lt;D xsi:type="xsd:long"&gt;37106&lt;/D&gt;&lt;D xsi:type="xsd:long"&gt;37105&lt;/D&gt;&lt;D xsi:type="xsd:long"&gt;37104&lt;/D&gt;&lt;D xsi:type="xsd:long"&gt;37103&lt;/D&gt;&lt;D xsi:type="xsd:long"&gt;37102&lt;/D&gt;&lt;D xsi:type="xsd:long"&gt;37099&lt;/D&gt;&lt;D xsi:type="xsd:long"&gt;37098&lt;/D&gt;&lt;D xsi:type="xsd:long"&gt;37097&lt;/D&gt;&lt;D xsi:type="xsd:long"&gt;37096&lt;/D&gt;&lt;D xsi:type="xsd:long"&gt;37095&lt;/D&gt;&lt;D xsi:type="xsd:long"&gt;37092&lt;/D&gt;&lt;D xsi:type="xsd:long"&gt;37091&lt;/D&gt;&lt;D xsi:type="xsd:long"&gt;37090&lt;/D&gt;&lt;D xsi:type="xsd:long"&gt;37089&lt;/D&gt;&lt;D xsi:type="xsd:long"&gt;37088&lt;/D&gt;&lt;D xsi:type="xsd:long"&gt;37085&lt;/D&gt;&lt;D xsi:type="xsd:long"&gt;37084&lt;/D&gt;&lt;D xsi:type="xsd:long"&gt;37083&lt;/D&gt;&lt;D xsi:type="xsd:long"&gt;37082&lt;/D&gt;&lt;D xsi:type="xsd:long"&gt;37081&lt;/D&gt;&lt;D xsi:type="xsd:long"&gt;37078&lt;/D&gt;&lt;D xsi:type="xsd:long"&gt;37077&lt;/D&gt;&lt;D xsi:type="xsd:long"&gt;37075&lt;/D&gt;&lt;D xsi:type="xsd:long"&gt;37074&lt;/D&gt;&lt;D xsi:type="xsd:long"&gt;37071&lt;/D&gt;&lt;D xsi:type="xsd:long"&gt;37070&lt;/D&gt;&lt;D xsi:type="xsd:long"&gt;37069&lt;/D&gt;&lt;D xsi:type="xsd:long"&gt;37068&lt;/D&gt;&lt;D xsi:type="xsd:long"&gt;37067&lt;/D&gt;&lt;D xsi:type="xsd:long"&gt;37064&lt;/D&gt;&lt;D xsi:type="xsd:long"&gt;37063&lt;/D&gt;&lt;D xsi:type="xsd:long"&gt;37062&lt;/D&gt;&lt;D xsi:type="xsd:long"&gt;37061&lt;/D&gt;&lt;D xsi:type="xsd:long"&gt;37060&lt;/D&gt;&lt;D xsi:type="xsd:long"&gt;37057&lt;/D&gt;&lt;D xsi:type="xsd:long"&gt;37056&lt;/D&gt;&lt;D xsi:type="xsd:long"&gt;37055&lt;/D&gt;&lt;D xsi:type="xsd:long"&gt;37054&lt;/D&gt;&lt;D xsi:type="xsd:long"&gt;37053&lt;/D&gt;&lt;D xsi:type="xsd:long"&gt;37050&lt;/D&gt;&lt;D xsi:type="xsd:long"&gt;37049&lt;/D&gt;&lt;D xsi:type="xsd:long"&gt;37048&lt;/D&gt;&lt;D xsi:type="xsd:long"&gt;37047&lt;/D&gt;&lt;D xsi:type="xsd:long"&gt;37046&lt;/D&gt;&lt;D xsi:type="xsd:long"&gt;37043&lt;/D&gt;&lt;D xsi:type="xsd:long"&gt;37042&lt;/D&gt;&lt;D xsi:type="xsd:long"&gt;37041&lt;/D&gt;&lt;D xsi:type="xsd:long"&gt;37040&lt;/D&gt;&lt;D xsi:type="xsd:long"&gt;37036&lt;/D&gt;&lt;D xsi:type="xsd:long"&gt;37035&lt;/D&gt;&lt;D xsi:type="xsd:long"&gt;37034&lt;/D&gt;&lt;D xsi:type="xsd:long"&gt;37033&lt;/D&gt;&lt;D xsi:type="xsd:long"&gt;37032&lt;/D&gt;&lt;D xsi:type="xsd:long"&gt;37029&lt;/D&gt;&lt;D xsi:type="xsd:long"&gt;37028&lt;/D&gt;&lt;D xsi:type="xsd:long"&gt;37027&lt;/D&gt;&lt;D xsi:type="xsd:long"&gt;37026&lt;/D&gt;&lt;D xsi:type="xsd:long"&gt;37025&lt;/D&gt;&lt;D xsi:type="xsd:long"&gt;37022&lt;/D&gt;&lt;D xsi:type="xsd:long"&gt;37021&lt;/D&gt;&lt;D xsi:type="xsd:long"&gt;37020&lt;/D&gt;&lt;D xsi:type="xsd:long"&gt;37019&lt;/D&gt;&lt;D xsi:type="xsd:long"&gt;37018&lt;/D&gt;&lt;D xsi:type="xsd:long"&gt;37015&lt;/D&gt;&lt;D xsi:type="xsd:long"&gt;37014&lt;/D&gt;&lt;D xsi:type="xsd:long"&gt;37013&lt;/D&gt;&lt;D xsi:type="xsd:long"&gt;37012&lt;/D&gt;&lt;D xsi:type="xsd:long"&gt;37011&lt;/D&gt;&lt;D xsi:type="xsd:long"&gt;37008&lt;/D&gt;&lt;D xsi:type="xsd:long"&gt;37007&lt;/D&gt;&lt;D xsi:type="xsd:long"&gt;37006&lt;/D&gt;&lt;D xsi:type="xsd:long"&gt;37005&lt;/D&gt;&lt;D xsi:type="xsd:long"&gt;37004&lt;/D&gt;&lt;D xsi:type="xsd:long"&gt;37001&lt;/D&gt;&lt;D xsi:type="xsd:long"&gt;37000&lt;/D&gt;&lt;D xsi:type="xsd:long"&gt;36999&lt;/D&gt;&lt;D xsi:type="xsd:long"&gt;36998&lt;/D&gt;&lt;D xsi:type="xsd:long"&gt;36997&lt;/D&gt;&lt;D xsi:type="xsd:long"&gt;36993&lt;/D&gt;&lt;D xsi:type="xsd:long"&gt;36992&lt;/D&gt;&lt;D xsi:type="xsd:long"&gt;36991&lt;/D&gt;&lt;D xsi:type="xsd:long"&gt;36990&lt;/D&gt;&lt;D xsi:type="xsd:long"&gt;36987&lt;/D&gt;&lt;D xsi:type="xsd:long"&gt;36986&lt;/D&gt;&lt;D xsi:type="xsd:long"&gt;36985&lt;/D&gt;&lt;D xsi:type="xsd:long"&gt;36984&lt;/D&gt;&lt;D xsi:type="xsd:long"&gt;36983&lt;/D&gt;&lt;D xsi:type="xsd:long"&gt;36980&lt;/D&gt;&lt;D xsi:type="xsd:long"&gt;36979&lt;/D&gt;&lt;D xsi:type="xsd:long"&gt;36978&lt;/D&gt;&lt;D xsi:type="xsd:long"&gt;36977&lt;/D&gt;&lt;D xsi:type="xsd:long"&gt;36976&lt;/D&gt;&lt;D xsi:type="xsd:long"&gt;36973&lt;/D&gt;&lt;D xsi:type="xsd:long"&gt;36972&lt;/D&gt;&lt;D xsi:type="xsd:long"&gt;36971&lt;/D&gt;&lt;D xsi:type="xsd:long"&gt;36970&lt;/D&gt;&lt;D xsi:type="xsd:long"&gt;36969&lt;/D&gt;&lt;D xsi:type="xsd:long"&gt;36966&lt;/D&gt;&lt;D xsi:type="xsd:long"&gt;36965&lt;/D&gt;&lt;D xsi:type="xsd:long"&gt;36964&lt;/D&gt;&lt;D xsi:type="xsd:long"&gt;36963&lt;/D&gt;&lt;D xsi:type="xsd:long"&gt;36962&lt;/D&gt;&lt;D xsi:type="xsd:long"&gt;36959&lt;/D&gt;&lt;D xsi:type="xsd:long"&gt;36958&lt;/D&gt;&lt;D xsi:type="xsd:long"&gt;36957&lt;/D&gt;&lt;D xsi:type="xsd:long"&gt;36956&lt;/D&gt;&lt;D xsi:type="xsd:long"&gt;36955&lt;/D&gt;&lt;D xsi:type="xsd:long"&gt;36952&lt;/D&gt;&lt;D xsi:type="xsd:long"&gt;36951&lt;/D&gt;&lt;D xsi:type="xsd:long"&gt;36950&lt;/D&gt;&lt;D xsi:type="xsd:long"&gt;36949&lt;/D&gt;&lt;D xsi:type="xsd:long"&gt;36948&lt;/D&gt;&lt;D xsi:type="xsd:long"&gt;36945&lt;/D&gt;&lt;D xsi:type="xsd:long"&gt;36944&lt;/D&gt;&lt;D xsi:type="xsd:long"&gt;36943&lt;/D&gt;&lt;D xsi:type="xsd:long"&gt;36942&lt;/D&gt;&lt;D xsi:type="xsd:long"&gt;36938&lt;/D&gt;&lt;D xsi:type="xsd:long"&gt;36937&lt;/D&gt;&lt;D xsi:type="xsd:long"&gt;36936&lt;/D&gt;&lt;D xsi:type="xsd:long"&gt;36935&lt;/D&gt;&lt;D xsi:type="xsd:long"&gt;36934&lt;/D&gt;&lt;D xsi:type="xsd:long"&gt;36931&lt;/D&gt;&lt;D xsi:type="xsd:long"&gt;36930&lt;/D&gt;&lt;D xsi:type="xsd:long"&gt;36929&lt;/D&gt;&lt;D xsi:type="xsd:long"&gt;36928&lt;/D&gt;&lt;D xsi:type="xsd:long"&gt;36927&lt;/D&gt;&lt;D xsi:type="xsd:long"&gt;36924&lt;/D&gt;&lt;D xsi:type="xsd:long"&gt;36923&lt;/D&gt;&lt;D xsi:type="xsd:long"&gt;36922&lt;/D&gt;&lt;D xsi:type="xsd:long"&gt;36921&lt;/D&gt;&lt;D xsi:type="xsd:long"&gt;36920&lt;/D&gt;&lt;D xsi:type="xsd:long"&gt;36917&lt;/D&gt;&lt;D xsi:type="xsd:long"&gt;36916&lt;/D&gt;&lt;D xsi:type="xsd:long"&gt;36915&lt;/D&gt;&lt;D xsi:type="xsd:long"&gt;36914&lt;/D&gt;&lt;D xsi:type="xsd:long"&gt;36913&lt;/D&gt;&lt;D xsi:type="xsd:long"&gt;36910&lt;/D&gt;&lt;D xsi:type="xsd:long"&gt;36909&lt;/D&gt;&lt;D xsi:type="xsd:long"&gt;36908&lt;/D&gt;&lt;D xsi:type="xsd:long"&gt;36907&lt;/D&gt;&lt;D xsi:type="xsd:long"&gt;36903&lt;/D&gt;&lt;D xsi:type="xsd:long"&gt;36902&lt;/D&gt;&lt;D xsi:type="xsd:long"&gt;36901&lt;/D&gt;&lt;D xsi:type="xsd:long"&gt;36900&lt;/D&gt;&lt;D xsi:type="xsd:long"&gt;36899&lt;/D&gt;&lt;D xsi:type="xsd:long"&gt;36896&lt;/D&gt;&lt;D xsi:type="xsd:long"&gt;36895&lt;/D&gt;&lt;D xsi:type="xsd:long"&gt;36894&lt;/D&gt;&lt;D xsi:type="xsd:long"&gt;36893&lt;/D&gt;&lt;D xsi:type="xsd:long"&gt;36889&lt;/D&gt;&lt;D xsi:type="xsd:long"&gt;36888&lt;/D&gt;&lt;D xsi:type="xsd:long"&gt;36887&lt;/D&gt;&lt;D xsi:type="xsd:long"&gt;36886&lt;/D&gt;&lt;D xsi:type="xsd:long"&gt;36882&lt;/D&gt;&lt;D xsi:type="xsd:long"&gt;36881&lt;/D&gt;&lt;D xsi:type="xsd:long"&gt;36880&lt;/D&gt;&lt;D xsi:type="xsd:long"&gt;36879&lt;/D&gt;&lt;D xsi:type="xsd:long"&gt;36878&lt;/D&gt;&lt;D xsi:type="xsd:long"&gt;36875&lt;/D&gt;&lt;D xsi:type="xsd:long"&gt;36874&lt;/D&gt;&lt;D xsi:type="xsd:long"&gt;36873&lt;/D&gt;&lt;D xsi:type="xsd:long"&gt;36872&lt;/D&gt;&lt;D xsi:type="xsd:long"&gt;36871&lt;/D&gt;&lt;D xsi:type="xsd:long"&gt;36868&lt;/D&gt;&lt;D xsi:type="xsd:long"&gt;36867&lt;/D&gt;&lt;D xsi:type="xsd:long"&gt;36866&lt;/D&gt;&lt;D xsi:type="xsd:long"&gt;36865&lt;/D&gt;&lt;D xsi:type="xsd:long"&gt;36864&lt;/D&gt;&lt;D xsi:type="xsd:long"&gt;36861&lt;/D&gt;&lt;D xsi:type="xsd:long"&gt;36860&lt;/D&gt;&lt;D xsi:type="xsd:long"&gt;36859&lt;/D&gt;&lt;D xsi:type="xsd:long"&gt;36858&lt;/D&gt;&lt;D xsi:type="xsd:long"&gt;36857&lt;/D&gt;&lt;D xsi:type="xsd:long"&gt;36854&lt;/D&gt;&lt;D xsi:type="xsd:long"&gt;36852&lt;/D&gt;&lt;D xsi:type="xsd:long"&gt;36851&lt;/D&gt;&lt;D xsi:type="xsd:long"&gt;36850&lt;/D&gt;&lt;D xsi:type="xsd:long"&gt;36847&lt;/D&gt;&lt;D xsi:type="xsd:long"&gt;36846&lt;/D&gt;&lt;D xsi:type="xsd:long"&gt;36845&lt;/D&gt;&lt;D xsi:type="xsd:long"&gt;36844&lt;/D&gt;&lt;D xsi:type="xsd:long"&gt;36843&lt;/D&gt;&lt;D xsi:type="xsd:long"&gt;36840&lt;/D&gt;&lt;D xsi:type="xsd:long"&gt;36839&lt;/D&gt;&lt;D xsi:type="xsd:long"&gt;36838&lt;/D&gt;&lt;D xsi:type="xsd:long"&gt;36837&lt;/D&gt;&lt;D xsi:type="xsd:long"&gt;36836&lt;/D&gt;&lt;D xsi:type="xsd:long"&gt;36833&lt;/D&gt;&lt;D xsi:type="xsd:long"&gt;36832&lt;/D&gt;&lt;D xsi:type="xsd:long"&gt;36831&lt;/D&gt;&lt;D xsi:type="xsd:long"&gt;36830&lt;/D&gt;&lt;D xsi:type="xsd:long"&gt;36829&lt;/D&gt;&lt;D xsi:type="xsd:long"&gt;36826&lt;/D&gt;&lt;D xsi:type="xsd:long"&gt;36825&lt;/D&gt;&lt;D xsi:type="xsd:long"&gt;36824&lt;/D&gt;&lt;D xsi:type="xsd:long"&gt;36823&lt;/D&gt;&lt;D xsi:type="xsd:long"&gt;36822&lt;/D&gt;&lt;D xsi:type="xsd:long"&gt;36819&lt;/D&gt;&lt;D xsi:type="xsd:long"&gt;36818&lt;/D&gt;&lt;D xsi:type="xsd:long"&gt;36817&lt;/D&gt;&lt;D xsi:type="xsd:long"&gt;36816&lt;/D&gt;&lt;D xsi:type="xsd:long"&gt;36815&lt;/D&gt;&lt;D xsi:type="xsd:long"&gt;36812&lt;/D&gt;&lt;D xsi:type="xsd:long"&gt;36811&lt;/D&gt;&lt;D xsi:type="xsd:long"&gt;36810&lt;/D&gt;&lt;D xsi:type="xsd:long"&gt;36809&lt;/D&gt;&lt;D xsi:type="xsd:long"&gt;36808&lt;/D&gt;&lt;D xsi:type="xsd:long"&gt;36805&lt;/D&gt;&lt;D xsi:type="xsd:long"&gt;36804&lt;/D&gt;&lt;D xsi:type="xsd:long"&gt;36803&lt;/D&gt;&lt;D xsi:type="xsd:long"&gt;36802&lt;/D&gt;&lt;D xsi:type="xsd:long"&gt;36801&lt;/D&gt;&lt;D xsi:type="xsd:long"&gt;36798&lt;/D&gt;&lt;D xsi:type=</t>
        </r>
      </text>
    </comment>
    <comment ref="A58" authorId="0" shapeId="0">
      <text>
        <r>
          <rPr>
            <b/>
            <sz val="9"/>
            <color indexed="81"/>
            <rFont val="Tahoma"/>
            <family val="2"/>
          </rPr>
          <t>"xsd:long"&gt;36797&lt;/D&gt;&lt;D xsi:type="xsd:long"&gt;36796&lt;/D&gt;&lt;D xsi:type="xsd:long"&gt;36795&lt;/D&gt;&lt;D xsi:type="xsd:long"&gt;36794&lt;/D&gt;&lt;D xsi:type="xsd:long"&gt;36791&lt;/D&gt;&lt;D xsi:type="xsd:long"&gt;36790&lt;/D&gt;&lt;D xsi:type="xsd:long"&gt;36789&lt;/D&gt;&lt;D xsi:type="xsd:long"&gt;36788&lt;/D&gt;&lt;D xsi:type="xsd:long"&gt;36787&lt;/D&gt;&lt;D xsi:type="xsd:long"&gt;36784&lt;/D&gt;&lt;D xsi:type="xsd:long"&gt;36783&lt;/D&gt;&lt;D xsi:type="xsd:long"&gt;36782&lt;/D&gt;&lt;D xsi:type="xsd:long"&gt;36781&lt;/D&gt;&lt;D xsi:type="xsd:long"&gt;36780&lt;/D&gt;&lt;D xsi:type="xsd:long"&gt;36777&lt;/D&gt;&lt;D xsi:type="xsd:long"&gt;36776&lt;/D&gt;&lt;D xsi:type="xsd:long"&gt;36775&lt;/D&gt;&lt;D xsi:type="xsd:long"&gt;36774&lt;/D&gt;&lt;D xsi:type="xsd:long"&gt;36770&lt;/D&gt;&lt;D xsi:type="xsd:long"&gt;36769&lt;/D&gt;&lt;D xsi:type="xsd:long"&gt;36768&lt;/D&gt;&lt;D xsi:type="xsd:long"&gt;36767&lt;/D&gt;&lt;D xsi:type="xsd:long"&gt;36766&lt;/D&gt;&lt;D xsi:type="xsd:long"&gt;36763&lt;/D&gt;&lt;D xsi:type="xsd:long"&gt;36762&lt;/D&gt;&lt;D xsi:type="xsd:long"&gt;36761&lt;/D&gt;&lt;D xsi:type="xsd:long"&gt;36760&lt;/D&gt;&lt;D xsi:type="xsd:long"&gt;36759&lt;/D&gt;&lt;D xsi:type="xsd:long"&gt;36756&lt;/D&gt;&lt;D xsi:type="xsd:long"&gt;36755&lt;/D&gt;&lt;D xsi:type="xsd:long"&gt;36754&lt;/D&gt;&lt;D xsi:type="xsd:long"&gt;36753&lt;/D&gt;&lt;D xsi:type="xsd:long"&gt;36752&lt;/D&gt;&lt;D xsi:type="xsd:long"&gt;36749&lt;/D&gt;&lt;D xsi:type="xsd:long"&gt;36748&lt;/D&gt;&lt;D xsi:type="xsd:long"&gt;36747&lt;/D&gt;&lt;D xsi:type="xsd:long"&gt;36746&lt;/D&gt;&lt;D xsi:type="xsd:long"&gt;36745&lt;/D&gt;&lt;D xsi:type="xsd:long"&gt;36742&lt;/D&gt;&lt;D xsi:type="xsd:long"&gt;36741&lt;/D&gt;&lt;D xsi:type="xsd:long"&gt;36740&lt;/D&gt;&lt;D xsi:type="xsd:long"&gt;36739&lt;/D&gt;&lt;D xsi:type="xsd:long"&gt;36738&lt;/D&gt;&lt;D xsi:type="xsd:long"&gt;36735&lt;/D&gt;&lt;D xsi:type="xsd:long"&gt;36734&lt;/D&gt;&lt;D xsi:type="xsd:long"&gt;36733&lt;/D&gt;&lt;D xsi:type="xsd:long"&gt;36732&lt;/D&gt;&lt;D xsi:type="xsd:long"&gt;36731&lt;/D&gt;&lt;D xsi:type="xsd:long"&gt;36728&lt;/D&gt;&lt;D xsi:type="xsd:long"&gt;36727&lt;/D&gt;&lt;D xsi:type="xsd:long"&gt;36726&lt;/D&gt;&lt;D xsi:type="xsd:long"&gt;36725&lt;/D&gt;&lt;D xsi:type="xsd:long"&gt;36724&lt;/D&gt;&lt;D xsi:type="xsd:long"&gt;36721&lt;/D&gt;&lt;D xsi:type="xsd:long"&gt;36720&lt;/D&gt;&lt;D xsi:type="xsd:long"&gt;36719&lt;/D&gt;&lt;D xsi:type="xsd:long"&gt;36718&lt;/D&gt;&lt;D xsi:type="xsd:long"&gt;36717&lt;/D&gt;&lt;D xsi:type="xsd:long"&gt;36714&lt;/D&gt;&lt;D xsi:type="xsd:long"&gt;36713&lt;/D&gt;&lt;D xsi:type="xsd:long"&gt;36712&lt;/D&gt;&lt;D xsi:type="xsd:long"&gt;36710&lt;/D&gt;&lt;D xsi:type="xsd:long"&gt;36707&lt;/D&gt;&lt;D xsi:type="xsd:long"&gt;36706&lt;/D&gt;&lt;D xsi:type="xsd:long"&gt;36705&lt;/D&gt;&lt;D xsi:type="xsd:long"&gt;36704&lt;/D&gt;&lt;D xsi:type="xsd:long"&gt;36703&lt;/D&gt;&lt;D xsi:type="xsd:long"&gt;36700&lt;/D&gt;&lt;D xsi:type="xsd:long"&gt;36699&lt;/D&gt;&lt;D xsi:type="xsd:long"&gt;36698&lt;/D&gt;&lt;D xsi:type="xsd:long"&gt;36697&lt;/D&gt;&lt;D xsi:type="xsd:long"&gt;36696&lt;/D&gt;&lt;D xsi:type="xsd:long"&gt;36693&lt;/D&gt;&lt;D xsi:type="xsd:long"&gt;36692&lt;/D&gt;&lt;D xsi:type="xsd:long"&gt;36691&lt;/D&gt;&lt;D xsi:type="xsd:long"&gt;36690&lt;/D&gt;&lt;D xsi:type="xsd:long"&gt;36689&lt;/D&gt;&lt;D xsi:type="xsd:long"&gt;36686&lt;/D&gt;&lt;D xsi:type="xsd:long"&gt;36685&lt;/D&gt;&lt;D xsi:type="xsd:long"&gt;36684&lt;/D&gt;&lt;D xsi:type="xsd:long"&gt;36683&lt;/D&gt;&lt;D xsi:type="xsd:long"&gt;36682&lt;/D&gt;&lt;D xsi:type="xsd:long"&gt;36679&lt;/D&gt;&lt;D xsi:type="xsd:long"&gt;36678&lt;/D&gt;&lt;D xsi:type="xsd:long"&gt;36677&lt;/D&gt;&lt;D xsi:type="xsd:long"&gt;36676&lt;/D&gt;&lt;D xsi:type="xsd:long"&gt;36672&lt;/D&gt;&lt;D xsi:type="xsd:long"&gt;36671&lt;/D&gt;&lt;D xsi:type="xsd:long"&gt;36670&lt;/D&gt;&lt;D xsi:type="xsd:long"&gt;36669&lt;/D&gt;&lt;D xsi:type="xsd:long"&gt;36668&lt;/D&gt;&lt;D xsi:type="xsd:long"&gt;36665&lt;/D&gt;&lt;D xsi:type="xsd:long"&gt;36664&lt;/D&gt;&lt;D xsi:type="xsd:long"&gt;36663&lt;/D&gt;&lt;D xsi:type="xsd:long"&gt;36662&lt;/D&gt;&lt;D xsi:type="xsd:long"&gt;36661&lt;/D&gt;&lt;D xsi:type="xsd:long"&gt;36658&lt;/D&gt;&lt;D xsi:type="xsd:long"&gt;36657&lt;/D&gt;&lt;D xsi:type="xsd:long"&gt;36656&lt;/D&gt;&lt;D xsi:type="xsd:long"&gt;36655&lt;/D&gt;&lt;D xsi:type="xsd:long"&gt;36654&lt;/D&gt;&lt;D xsi:type="xsd:long"&gt;36651&lt;/D&gt;&lt;D xsi:type="xsd:long"&gt;36650&lt;/D&gt;&lt;D xsi:type="xsd:long"&gt;36649&lt;/D&gt;&lt;D xsi:type="xsd:long"&gt;36648&lt;/D&gt;&lt;D xsi:type="xsd:long"&gt;36647&lt;/D&gt;&lt;D xsi:type="xsd:long"&gt;36644&lt;/D&gt;&lt;D xsi:type="xsd:long"&gt;36643&lt;/D&gt;&lt;D xsi:type="xsd:long"&gt;36642&lt;/D&gt;&lt;D xsi:type="xsd:long"&gt;36641&lt;/D&gt;&lt;D xsi:type="xsd:long"&gt;36640&lt;/D&gt;&lt;D xsi:type="xsd:long"&gt;36636&lt;/D&gt;&lt;D xsi:type="xsd:long"&gt;36635&lt;/D&gt;&lt;D xsi:type="xsd:long"&gt;36634&lt;/D&gt;&lt;D xsi:type="xsd:long"&gt;36633&lt;/D&gt;&lt;D xsi:type="xsd:long"&gt;36630&lt;/D&gt;&lt;D xsi:type="xsd:long"&gt;36629&lt;/D&gt;&lt;D xsi:type="xsd:long"&gt;36628&lt;/D&gt;&lt;D xsi:type="xsd:long"&gt;36627&lt;/D&gt;&lt;D xsi:type="xsd:long"&gt;36626&lt;/D&gt;&lt;D xsi:type="xsd:long"&gt;36623&lt;/D&gt;&lt;D xsi:type="xsd:long"&gt;36622&lt;/D&gt;&lt;D xsi:type="xsd:long"&gt;36621&lt;/D&gt;&lt;D xsi:type="xsd:long"&gt;36620&lt;/D&gt;&lt;D xsi:type="xsd:long"&gt;36619&lt;/D&gt;&lt;D xsi:type="xsd:long"&gt;36616&lt;/D&gt;&lt;D xsi:type="xsd:long"&gt;36615&lt;/D&gt;&lt;D xsi:type="xsd:long"&gt;36614&lt;/D&gt;&lt;D xsi:type="xsd:long"&gt;36613&lt;/D&gt;&lt;D xsi:type="xsd:long"&gt;36612&lt;/D&gt;&lt;D xsi:type="xsd:long"&gt;36609&lt;/D&gt;&lt;D xsi:type="xsd:long"&gt;36608&lt;/D&gt;&lt;D xsi:type="xsd:long"&gt;36607&lt;/D&gt;&lt;D xsi:type="xsd:long"&gt;36606&lt;/D&gt;&lt;D xsi:type="xsd:long"&gt;36605&lt;/D&gt;&lt;D xsi:type="xsd:long"&gt;36602&lt;/D&gt;&lt;D xsi:type="xsd:long"&gt;36601&lt;/D&gt;&lt;D xsi:type="xsd:long"&gt;36600&lt;/D&gt;&lt;D xsi:type="xsd:long"&gt;36599&lt;/D&gt;&lt;D xsi:type="xsd:long"&gt;36598&lt;/D&gt;&lt;D xsi:type="xsd:long"&gt;36595&lt;/D&gt;&lt;D xsi:type="xsd:long"&gt;36594&lt;/D&gt;&lt;D xsi:type="xsd:long"&gt;36593&lt;/D&gt;&lt;D xsi:type="xsd:long"&gt;36592&lt;/D&gt;&lt;D xsi:type="xsd:long"&gt;36591&lt;/D&gt;&lt;D xsi:type="xsd:long"&gt;36588&lt;/D&gt;&lt;D xsi:type="xsd:long"&gt;36587&lt;/D&gt;&lt;D xsi:type="xsd:long"&gt;36586&lt;/D&gt;&lt;D xsi:type="xsd:long"&gt;36585&lt;/D&gt;&lt;D xsi:type="xsd:long"&gt;36584&lt;/D&gt;&lt;D xsi:type="xsd:long"&gt;36581&lt;/D&gt;&lt;D xsi:type="xsd:long"&gt;36580&lt;/D&gt;&lt;D xsi:type="xsd:long"&gt;36579&lt;/D&gt;&lt;D xsi:type="xsd:long"&gt;36578&lt;/D&gt;&lt;D xsi:type="xsd:long"&gt;36574&lt;/D&gt;&lt;D xsi:type="xsd:long"&gt;36573&lt;/D&gt;&lt;D xsi:type="xsd:long"&gt;36572&lt;/D&gt;&lt;D xsi:type="xsd:long"&gt;36571&lt;/D&gt;&lt;D xsi:type="xsd:long"&gt;36570&lt;/D&gt;&lt;D xsi:type="xsd:long"&gt;36567&lt;/D&gt;&lt;D xsi:type="xsd:long"&gt;36566&lt;/D&gt;&lt;D xsi:type="xsd:long"&gt;36565&lt;/D&gt;&lt;D xsi:type="xsd:long"&gt;36564&lt;/D&gt;&lt;D xsi:type="xsd:long"&gt;36563&lt;/D&gt;&lt;D xsi:type="xsd:long"&gt;36560&lt;/D&gt;&lt;D xsi:type="xsd:long"&gt;36559&lt;/D&gt;&lt;D xsi:type="xsd:long"&gt;36558&lt;/D&gt;&lt;D xsi:type="xsd:long"&gt;36557&lt;/D&gt;&lt;D xsi:type="xsd:long"&gt;36556&lt;/D&gt;&lt;/FQL&gt;&lt;FQL&gt;&lt;Q&gt;990100^FG_PRICE(2/27/2026,1/31/2000,M,USD)&lt;/Q&gt;&lt;R&gt;314&lt;/R&gt;&lt;C&gt;1&lt;/C&gt;&lt;D xsi:type="xsd:double"&gt;4556.789568&lt;/D&gt;&lt;D xsi:type="xsd:double"&gt;4527.589087&lt;/D&gt;&lt;D xsi:type="xsd:double"&gt;4430.381331&lt;/D&gt;&lt;D xsi:type="xsd:double"&gt;4398.435697&lt;/D&gt;&lt;D xsi:type="xsd:double"&gt;4390.422081&lt;/D&gt;&lt;D xsi:type="xsd:double"&gt;4306.703835&lt;/D&gt;&lt;D xsi:type="xsd:double"&gt;4177.716122&lt;/D&gt;&lt;D xsi:type="xsd:double"&gt;4076.038046&lt;/D&gt;&lt;D xsi:type="xsd:double"&gt;4026.443438&lt;/D&gt;&lt;D xsi:type="xsd:double"&gt;3863.483223&lt;/D&gt;&lt;D xsi:type="xsd:double"&gt;3655.523833&lt;/D&gt;&lt;D xsi:type="xsd:double"&gt;3628.642275&lt;/D&gt;&lt;D xsi:type="xsd:double"&gt;3805.325826&lt;/D&gt;&lt;D xsi:type="xsd:double"&gt;3836.583459&lt;/D&gt;&lt;D xsi:type="xsd:double"&gt;3707.837386&lt;/D&gt;&lt;D xsi:type="xsd:double"&gt;3810.141269&lt;/D&gt;&lt;D xsi:type="xsd:double"&gt;3647.137347&lt;/D&gt;&lt;D xsi:type="xsd:double"&gt;3723.032105&lt;/D&gt;&lt;D xsi:type="xsd:double"&gt;3661.241222&lt;/D&gt;&lt;D xsi:type="xsd:double"&gt;3571.574663&lt;/D&gt;&lt;D xsi:type="xsd:double"&gt;3511.781801&lt;/D&gt;&lt;D xsi:type="xsd:double"&gt;3445.172449&lt;/D&gt;&lt;D xsi:type="xsd:double"&gt;3305.295943&lt;/D&gt;&lt;D xsi:type="xsd:double"&gt;3436.780555&lt;/D&gt;&lt;D xsi:type="xsd:double"&gt;3337.204496&lt;/D&gt;&lt;D xsi:type="xsd:double"&gt;3205.316794&lt;/D&gt;&lt;D xsi:type="xsd:double"&gt;3169.179629&lt;/D&gt;&lt;D xsi:type="xsd:double"&gt;3023.629602&lt;/D&gt;&lt;D xsi:type="xsd:double"&gt;2768.62128&lt;/D&gt;&lt;D xsi:type="xsd:double"&gt;2853.235215&lt;/D&gt;&lt;D xsi:type="xsd:double"&gt;2986.023244&lt;/D&gt;&lt;D xsi:type="xsd:double"&gt;3064.296723&lt;/D&gt;&lt;D xsi:type="xsd:double"&gt;2966.723985&lt;/D&gt;&lt;D xsi:type="xsd:double"&gt;2800.557051&lt;/D&gt;&lt;D xsi:type="xsd:double"&gt;2835.928022&lt;/D&gt;&lt;D xsi:type="xsd:double"&gt;2791.438289&lt;/D&gt;&lt;D xsi:type="xsd:double"&gt;2714.571102&lt;/D&gt;&lt;D xsi:type="xsd:double"&gt;2784.995279&lt;/D&gt;&lt;D xsi:type="xsd:double"&gt;2602.685022&lt;/D&gt;&lt;D xsi:type="xsd:double"&gt;2720.888674&lt;/D&gt;&lt;D xsi:type="xsd:double"&gt;2547.715764&lt;/D&gt;&lt;D xsi:type="xsd:double"&gt;2378.645284&lt;/D&gt;&lt;D xsi:type="xsd:double"&gt;2627.320953&lt;/D&gt;&lt;D xsi:type="xsd:double"&gt;2746.364566&lt;/D&gt;&lt;D xsi:type="xsd:double"&gt;2546.185327&lt;/D&gt;&lt;D xsi:type="xsd:double"&gt;2791.012712&lt;/D&gt;&lt;D xsi:type="xsd:double"&gt;2795.615306&lt;/D&gt;&lt;D xsi:type="xsd:double"&gt;3053.07008&lt;/D&gt;&lt;D xsi:type="xsd:double"&gt;2977.953985&lt;/D&gt;&lt;D xsi:type="xsd:double"&gt;3059.047155&lt;/D&gt;&lt;D xsi:type="xsd:double"&gt;3231.726975&lt;/D&gt;&lt;D xsi:type="xsd:double"&gt;3101.795856&lt;/D&gt;&lt;D xsi:type="xsd:double"&gt;3174.72534&lt;/D&gt;&lt;D xsi:type="xsd:double"&gt;3006.604139&lt;/D&gt;&lt;D xsi:type="xsd:double"&gt;3141.350937&lt;/D&gt;&lt;D xsi:type="xsd:double"&gt;3069.249002&lt;/D&gt;&lt;D xsi:type="xsd:double"&gt;3017.222403&lt;/D&gt;&lt;D xsi:type="xsd:double"&gt;2979.297181&lt;/D&gt;&lt;D xsi:type="xsd:double"&gt;2938.763958&lt;/D&gt;&lt;D xsi:type="xsd:double"&gt;2811.698918&lt;/D&gt;&lt;D xsi:type="xsd:double"&gt;2726.909919&lt;/D&gt;&lt;D xsi:type="xsd:double"&gt;2661.69054&lt;/D&gt;&lt;D xsi:type="xsd:double"&gt;2690.044169&lt;/D&gt;&lt;D xsi:type="xsd:double"&gt;2583.143358&lt;/D&gt;&lt;D xsi:type="xsd:double"&gt;2292.925435&lt;/D&gt;&lt;D xsi:type="xsd:double"&gt;2367.270462&lt;/D&gt;&lt;D xsi:type="xsd:double"&gt;2455.512157&lt;/D&gt;&lt;D xsi:type="xsd:double"&gt;2304.982465&lt;/D&gt;&lt;D xsi:type="xsd:double"&gt;2201.788466&lt;/D&gt;&lt;D xsi:type="xsd:double"&gt;2147.882039&lt;/D&gt;&lt;D xsi:type="xsd:double"&gt;2052.845322&lt;/D&gt;&lt;D xsi:type="xsd:double"&gt;1852.726663&lt;/D&gt;&lt;D xsi:type="xsd:double"&gt;2141.123595&lt;/D&gt;&lt;D xsi:type="xsd:double"&gt;2342.413562&lt;/D&gt;&lt;D xsi:type="xsd:double"&gt;2358.468438&lt;/D&gt;&lt;D xsi:type="xsd:double"&gt;2292.259205&lt;/D&gt;&lt;D xsi:type="xsd:double"&gt;2233.525725&lt;/D&gt;&lt;D xsi:type="xsd:double"&gt;2180.018237&lt;/D&gt;&lt;D xsi:type="xsd:double"&gt;2138.521184&lt;/D&gt;&lt;D xsi:type="xsd:double"&gt;2187.563594&lt;/D&gt;&lt;D xsi:type="xsd:double"&gt;2178.346522&lt;/D&gt;&lt;D xsi:type="xsd:double"&gt;2046.245937&lt;/D&gt;&lt;D xsi:type="xsd:double"&gt;2178.67429&lt;/D&gt;&lt;D xsi:type="xsd:double"&gt;2107.742125&lt;/D&gt;&lt;D xsi:type="xsd:double"&gt;2085.844635&lt;/D&gt;&lt;D xsi:type="xsd:double"&gt;2028.492315&lt;/D&gt;&lt;D xsi:type="xsd:double"&gt;1883.901399&lt;/D&gt;&lt;D xsi:type="xsd:double"&gt;2041.358676&lt;/D&gt;&lt;D xsi:type="xsd:double"&gt;2021.982259&lt;/D&gt;&lt;D xsi:type="xsd:double"&gt;2184.008868&lt;/D&gt;&lt;D xsi:type="xsd:double"&gt;2175.498067&lt;/D&gt;&lt;D xsi:type="xsd:double"&gt;2153.096357&lt;/D&gt;&lt;D xsi:type="xsd:double"&gt;2089.30065&lt;/D&gt;&lt;D xsi:type="xsd:double"&gt;2092.922608&lt;/D&gt;&lt;D xsi:type="xsd:double"&gt;2086.513815&lt;/D&gt;&lt;D xsi:type="xsd:double"&gt;2065.529204&lt;/D&gt;&lt;D xsi:type="xsd:double"&gt;2117.993247&lt;/D&gt;&lt;D xsi:type="xsd:double"&gt;2213.237747&lt;/D&gt;&lt;D xsi:type="xsd:double"&gt;2103.448341&lt;/D&gt;&lt;D xsi:type="xsd:double"&gt;2077.360121&lt;/D&gt;&lt;D xsi:type="xsd:double"&gt;2036.804419&lt;/D&gt;&lt;D xsi:type="xsd:double"&gt;2000.552748&lt;/D&gt;&lt;D xsi:type="xsd:double"&gt;1959.743396&lt;/D&gt;&lt;D xsi:type="xsd:double"&gt;1961.100222&lt;/D&gt;&lt;D xsi:type="xsd:double"&gt;1916.426269&lt;/D&gt;&lt;D xsi:type="xsd:double"&gt;1911.739593&lt;/D&gt;&lt;D xsi:type="xsd:double"&gt;1878.276124&lt;/D&gt;&lt;D xsi:type="xsd:double"&gt;1853.689997&lt;/D&gt;&lt;D xsi:type="xsd:double"&gt;1838.69908&lt;/D&gt;&lt;D xsi:type="xsd:double"&gt;1792.402944&lt;/D&gt;&lt;D xsi:type="xsd:double"&gt;1751.218957&lt;/D&gt;&lt;D xsi:type="xsd:double"&gt;1712.088792&lt;/D&gt;&lt;D xsi:type="xsd:double"&gt;1690.921701&lt;/D&gt;&lt;D xsi:type="xsd:double"&gt;1725.665202&lt;/D&gt;&lt;D xsi:type="xsd:double"&gt;1719.523719&lt;/D&gt;&lt;D xsi:type="xsd:double"&gt;1721.787902&lt;/D&gt;&lt;D xsi:type="xsd:double"&gt;1653.229419&lt;/D&gt;&lt;D xsi:type="xsd:double"&gt;1674.612863&lt;/D&gt;&lt;D xsi:type="xsd:double"&gt;1670.796146&lt;/D&gt;&lt;D xsi:type="xsd:double"&gt;1648.118461&lt;/D&gt;&lt;D xsi:type="xsd:double"&gt;1547.173833&lt;/D&gt;&lt;D xsi:type="xsd:double"&gt;1562.178142&lt;/D&gt;&lt;D xsi:type="xsd:double"&gt;1662.794366&lt;/D&gt;&lt;D xsi:type="xsd:double"&gt;1694.396624&lt;/D&gt;&lt;D xsi:type="xsd:double"&gt;1705.803474&lt;/D&gt;&lt;D xsi:type="xsd:double"&gt;1581.921901&lt;/D&gt;&lt;D xsi:type="xsd:double"&gt;1645.429575&lt;/D&gt;&lt;D xsi:type="xsd:double"&gt;1765.603743&lt;/D&gt;&lt;D xsi:type="xsd:double"&gt;1735.613449&lt;/D&gt;&lt;D xsi:type="xsd:double"&gt;1779.307339&lt;/D&gt;&lt;D xsi:type="xsd:double"&gt;1778.400121&lt;/D&gt;&lt;D xsi:type="xsd:double"&gt;1740.813663&lt;/D&gt;&lt;D xsi:type="xsd:double"&gt;1772.861889&lt;/D&gt;&lt;D xsi:type="xsd:double"&gt;1677.536843&lt;/D&gt;&lt;D xsi:type="xsd:double"&gt;1709.672168&lt;/D&gt;&lt;D xsi:type="xsd:double"&gt;1739.497106&lt;/D&gt;&lt;D xsi:type="xsd:double"&gt;1708.092283&lt;/D&gt;&lt;D xsi:type="xsd:double"&gt;1698.40787&lt;/D&gt;&lt;D xsi:type="xsd:double"&gt;1748.688062&lt;/D&gt;&lt;D xsi:type="xsd:double"&gt;1714.353495&lt;/D&gt;&lt;D xsi:type="xsd:double"&gt;1743.415366&lt;/D&gt;&lt;D xsi:type="xsd:double"&gt;1715.184404&lt;/D&gt;&lt;D xsi:type="xsd:double"&gt;1687.741752&lt;/D&gt;&lt;D xsi:type="xsd:double"&gt;1673.87449&lt;/D&gt;&lt;D xsi:type="xsd:double"&gt;1675.399772&lt;/D&gt;&lt;D xsi:type="xsd:double"&gt;1598.456116&lt;/D&gt;&lt;D xsi:type="xsd:double"&gt;1661.068821&lt;/D&gt;&lt;D xsi:type="xsd:double"&gt;1628.424028&lt;/D&gt;&lt;D xsi:type="xsd:double"&gt;1602.860216&lt;/D&gt;&lt;D xsi:type="xsd:double"&gt;1543.672214&lt;/D&gt;&lt;D xsi:type="xsd:double"&gt;1472.738486&lt;/D&gt;&lt;D xsi:type="xsd:double"&gt;1507.912964&lt;/D&gt;&lt;D xsi:type="xsd:double"&gt;1433.547998&lt;/D&gt;&lt;D xsi:type="xsd:double"&gt;1471.932853&lt;/D&gt;&lt;D xsi:type="xsd:double"&gt;1476.139228&lt;/D&gt;&lt;D xsi:type="xsd:double"&gt;1434.619239&lt;/D&gt;&lt;D xsi:type="xsd:double"&gt;1405.180433&lt;/D&gt;&lt;D xsi:type="xsd:double"&gt;1405.4662&lt;/D&gt;&lt;D xsi:type="xsd:double"&gt;1338.499936&lt;/D&gt;&lt;D xsi:type="xsd:double"&gt;1315.492987&lt;/D&gt;&lt;D xsi:type="xsd:double"&gt;1301.521705&lt;/D&gt;&lt;D xsi:type="xsd:double"&gt;1311.504154&lt;/D&gt;&lt;D xsi:type="xsd:double"&gt;1279.208388&lt;/D&gt;&lt;D xsi:type="xsd:double"&gt;1250.568816&lt;/D&gt;&lt;D xsi:type="xsd:double"&gt;1235.715571&lt;/D&gt;&lt;D xsi:type="xsd:double"&gt;1177.644732&lt;/D&gt;&lt;D xsi:type="xsd:double"&gt;1293.991023&lt;/D&gt;&lt;D xsi:type="xsd:double"&gt;1312.010995&lt;/D&gt;&lt;D xsi:type="xsd:double"&gt;1298.720324&lt;/D&gt;&lt;D xsi:type="xsd:double"&gt;1240.893567&lt;/D&gt;&lt;D xsi:type="xsd:double"&gt;1182.594764&lt;/D&gt;&lt;D xsi:type="xsd:double"&gt;1184.604344&lt;/D&gt;&lt;D xsi:type="xsd:double"&gt;1217.296355&lt;/D&gt;&lt;D xsi:type="xsd:double"&gt;1104.06461&lt;/D&gt;&lt;D xsi:type="xsd:double"&gt;1211.224159&lt;/D&gt;&lt;D xsi:type="xsd:double"&gt;1306.054128&lt;/D&gt;&lt;D xsi:type="xsd:double"&gt;1331.182281&lt;/D&gt;&lt;D xsi:type="xsd:double"&gt;1354.607143&lt;/D&gt;&lt;D xsi:type="xsd:double"&gt;1388.620237&lt;/D&gt;&lt;D xsi:type="xsd:double"&gt;1334.92501&lt;/D&gt;&lt;D xsi:type="xsd:double"&gt;1351.647079&lt;/D&gt;&lt;D xsi:type="xsd:double"&gt;1308.083425&lt;/D&gt;&lt;D xsi:type="xsd:double"&gt;1280.071262&lt;/D&gt;&lt;D xsi:type="xsd:double"&gt;1193.558202&lt;/D&gt;&lt;D xsi:type="xsd:double"&gt;1222.225592&lt;/D&gt;&lt;D xsi:type="xsd:double"&gt;1179.194274&lt;/D&gt;&lt;D xsi:type="xsd:double"&gt;1080.699249&lt;/D&gt;&lt;D xsi:type="xsd:double"&gt;1124.825577&lt;/D&gt;&lt;D xsi:type="xsd:double"&gt;1041.322943&lt;/D&gt;&lt;D xsi:type="xsd:double"&gt;1080.297598&lt;/D&gt;&lt;D xsi:type="xsd:double"&gt;1198.563561&lt;/D&gt;&lt;D xsi:type="xsd:double"&gt;1200.530432&lt;/D&gt;&lt;D xsi:type="xsd:double"&gt;1133.347606&lt;/D&gt;&lt;D xsi:type="xsd:double"&gt;1119.536891&lt;/D&gt;&lt;D xsi:type="xsd:double"&gt;1168.467916&lt;/D&gt;&lt;D xsi:type="xsd:double"&gt;1149.00684&lt;/D&gt;&lt;D xsi:type="xsd:double"&gt;1106.170052&lt;/D&gt;&lt;D xsi:type="xsd:double"&gt;1126.984507&lt;/D&gt;&lt;D xsi:type="xsd:double"&gt;1085.598716&lt;/D&gt;&lt;D xsi:type="xsd:double"&gt;1044.753372&lt;/D&gt;&lt;D xsi:type="xsd:double"&gt;964.048079&lt;/D&gt;&lt;D xsi:type="xsd:double"&gt;970.003651&lt;/D&gt;&lt;D xsi:type="xsd:double"&gt;893.024719&lt;/D&gt;&lt;D xsi:type="xsd:double"&gt;805.216286&lt;/D&gt;&lt;D xsi:type="xsd:double"&gt;750.862829&lt;/D&gt;&lt;D xsi:type="xsd:double"&gt;838.82699&lt;/D&gt;&lt;D xsi:type="xsd:double"&gt;920.225651&lt;/D&gt;&lt;D xsi:type="xsd:double"&gt;892.925783&lt;/D&gt;&lt;D xsi:type="xsd:double"&gt;957.245207&lt;/D&gt;&lt;D xsi:type="xsd:double"&gt;1182.442745&lt;/D&gt;&lt;D xsi:type="xsd:double"&gt;1344.864992&lt;/D&gt;&lt;D xsi:type="xsd:double"&gt;1366.699466&lt;/D&gt;&lt;D xsi:type="xsd:double"&gt;1402.128633&lt;/D&gt;&lt;D xsi:type="xsd:double"&gt;1525.725874&lt;/D&gt;&lt;D xsi:type="xsd:double"&gt;1508.987728&lt;/D&gt;&lt;D xsi:type="xsd:double"&gt;1437.402631&lt;/D&gt;&lt;D xsi:type="xsd:double"&gt;1455.560154&lt;/D&gt;&lt;D xsi:type="xsd:double"&gt;1466.346317&lt;/D&gt;&lt;D xsi:type="xsd:double"&gt;1588.8025&lt;/D&gt;&lt;D xsi:type="xsd:double"&gt;1610.941816&lt;/D&gt;&lt;D xsi:type="xsd:double"&gt;1682.351432&lt;/D&gt;&lt;D xsi:type="xsd:double"&gt;1633.576446&lt;/D&gt;&lt;D xsi:type="xsd:double"&gt;1561.585133&lt;/D&gt;&lt;D xsi:type="xsd:double"&gt;1565.811315&lt;/D&gt;&lt;D xsi:type="xsd:double"&gt;1602.359909&lt;/D&gt;&lt;D xsi:type="xsd:double"&gt;1616.871376&lt;/D&gt;&lt;D xsi:type="xsd:double"&gt;1577.859595&lt;/D&gt;&lt;D xsi:type="xsd:double"&gt;1514.180641&lt;/D&gt;&lt;D xsi:type="xsd:double"&gt;1490.440282&lt;/D&gt;&lt;D xsi:type="xsd:double"&gt;1500.231671&lt;/D&gt;&lt;D xsi:type="xsd:double"&gt;1483.577994&lt;/D&gt;&lt;D xsi:type="xsd:double"&gt;1455.165743&lt;/D&gt;&lt;D xsi:type="xsd:double"&gt;1422.926482&lt;/D&gt;&lt;D xsi:type="xsd:double"&gt;1373.367672&lt;/D&gt;&lt;D xsi:type="xsd:double"&gt;1358.871581&lt;/D&gt;&lt;D xsi:type="xsd:double"&gt;1327.233159&lt;/D&gt;&lt;D xsi:type="xsd:double"&gt;1319.93448&lt;/D&gt;&lt;D xsi:type="xsd:double"&gt;1322.246057&lt;/D&gt;&lt;D xsi:type="xsd:double"&gt;1373.383507&lt;/D&gt;&lt;D xsi:type="xsd:double"&gt;1335.069312&lt;/D&gt;&lt;D xsi:type="xsd:double"&gt;1309.450996&lt;/D&gt;&lt;D xsi:type="xsd:double"&gt;1313.213624&lt;/D&gt;&lt;D xsi:type="xsd:double"&gt;1257.775395&lt;/D&gt;&lt;D xsi:type="xsd:double"&gt;1231.412414&lt;/D&gt;&lt;D xsi:type="xsd:double"&gt;1193.880108&lt;/D&gt;&lt;D xsi:type="xsd:double"&gt;1224.314012&lt;/D&gt;&lt;D xsi:type="xsd:double"&gt;1194.807033&lt;/D&gt;&lt;D xsi:type="xsd:double"&gt;1188.164757&lt;/D&gt;&lt;D xsi:type="xsd:double"&gt;1148.813064&lt;/D&gt;&lt;D xsi:type="xsd:double"&gt;1140.676843&lt;/D&gt;&lt;D xsi:type="xsd:double"&gt;1123.64164&lt;/D&gt;&lt;D xsi:type="xsd:double"&gt;1151.183791&lt;/D&gt;&lt;D xsi:type="xsd:double"&gt;1176.702634&lt;/D&gt;&lt;D xsi:type="xsd:double"&gt;1142.349958&lt;/D&gt;&lt;D xsi:type="xsd:double"&gt;1169.340622&lt;/D&gt;&lt;D xsi:type="xsd:double"&gt;1127.33914&lt;/D&gt;&lt;D xsi:type="xsd:double"&gt;1072.698343&lt;/D&gt;&lt;D xsi:type="xsd:double"&gt;1047.860626&lt;/D&gt;&lt;D xsi:type="xsd:double"&gt;1029.630751&lt;/D&gt;&lt;D xsi:type="xsd:double"&gt;1026.991246&lt;/D&gt;&lt;D xsi:type="xsd:double"&gt;1062.513508&lt;/D&gt;&lt;D xsi:type="xsd:double"&gt;1041.845393&lt;/D&gt;&lt;D xsi:type="xsd:double"&gt;1035.657355&lt;/D&gt;&lt;D xsi:type="xsd:double"&gt;1059.156753&lt;/D&gt;&lt;D xsi:type="xsd:double"&gt;1068.647596&lt;/D&gt;&lt;D xsi:type="xsd:double"&gt;1052.288549&lt;/D&gt;&lt;D xsi:type="xsd:double"&gt;1036.318265&lt;/D&gt;&lt;D xsi:type="xsd:double"&gt;976.019023&lt;/D&gt;&lt;D xsi:type="xsd:double"&gt;962.707074&lt;/D&gt;&lt;D xsi:type="xsd:double"&gt;909.64133&lt;/D&gt;&lt;D xsi:type="xsd:double"&gt;905.323801&lt;/D&gt;&lt;D xsi:type="xsd:double"&gt;887.780441&lt;/D&gt;&lt;D xsi:type="xsd:double"&gt;871.065708&lt;/D&gt;&lt;D xsi:type="xsd:double"&gt;857.649033&lt;/D&gt;&lt;D xsi:type="xsd:double"&gt;813.302452&lt;/D&gt;&lt;D xsi:type="xsd:double"&gt;748.628&lt;/D&gt;&lt;D xsi:type="xsd:double"&gt;752.864&lt;/D&gt;&lt;D xsi:type="xsd:double"&gt;767.478&lt;/D&gt;&lt;D xsi:type="xsd:double"&gt;792.215&lt;/D&gt;&lt;D xsi:type="xsd:double"&gt;833.471&lt;/D&gt;&lt;D xsi:type="xsd:double"&gt;791.883&lt;/D&gt;&lt;D xsi:type="xsd:double"&gt;738.179&lt;/D&gt;&lt;D xsi:type="xsd:double"&gt;830.582&lt;/D&gt;&lt;D xsi:type="xsd:double"&gt;830.549&lt;/D&gt;&lt;D xsi:type="xsd:double"&gt;907.81&lt;/D&gt;&lt;D xsi:type="xsd:double"&gt;967.847&lt;/D&gt;&lt;D xsi:type="xsd:double"&gt;968.25&lt;/D&gt;&lt;D xsi:type="xsd:double"&gt;1005.522&lt;/D&gt;&lt;D xsi:type="xsd:double"&gt;962.732&lt;/D&gt;&lt;D xsi:type="xsd:double"&gt;972.418&lt;/D&gt;&lt;D xsi:type="xsd:double"&gt;1003.516&lt;/D&gt;&lt;D xsi:type="xsd:double"&gt;997.928&lt;/D&gt;&lt;D xsi:type="xsd:double"&gt;943.2&lt;/D&gt;&lt;D xsi:type="xsd:double"&gt;926.023&lt;/D&gt;&lt;D xsi:type="xsd:double"&gt;1016.732&lt;/D&gt;&lt;D xsi:type="xsd:double"&gt;1069.669&lt;/D&gt;&lt;D xsi:type="xsd:double"&gt;1084.788&lt;/D&gt;&lt;D xsi:type="xsd:double"&gt;1121.088&lt;/D&gt;&lt;D xsi:type="xsd:double"&gt;1138.087&lt;/D&gt;&lt;D xsi:type="xsd:double"&gt;1061.262&lt;/D&gt;&lt;D xsi:type="xsd:double"&gt;1137.879&lt;/D&gt;&lt;D xsi:type="xsd:double"&gt;1244.222&lt;/D&gt;&lt;D xsi:type="xsd:double"&gt;1221.253&lt;/D&gt;&lt;D xsi:type="xsd:double"&gt;1203.054&lt;/D&gt;&lt;D xsi:type="xsd:double"&gt;1282.138&lt;/D&gt;&lt;D xsi:type="xsd:double"&gt;1305.245&lt;/D&gt;&lt;D xsi:type="xsd:double"&gt;1379.87&lt;/D&gt;&lt;D xsi:type="xsd:double"&gt;1337.647&lt;/D&gt;&lt;D xsi:type="xsd:double"&gt;1377.722&lt;/D&gt;&lt;D xsi:type="xsd:double"&gt;1334.136&lt;/D&gt;&lt;D xsi:type="xsd:double"&gt;1370.108&lt;/D&gt;&lt;D xsi:type="xsd:double"&gt;1431.938&lt;/D&gt;&lt;D xsi:type="xsd:double"&gt;1340.583&lt;/D&gt;&lt;D xsi:type="xsd:double"&gt;1338.246&lt;/D&gt;&lt;/FQL&gt;&lt;FQL&gt;&lt;Q&gt;990100^JULIAN(FG_PRICE(2/27/2026,1/31/2000,M,USD).DATES)&lt;/Q&gt;&lt;R&gt;314&lt;/R&gt;&lt;C&gt;1&lt;/C&gt;&lt;D xsi:type="xsd:long"&gt;46080&lt;/D&gt;&lt;D xsi:type="xsd:long"&gt;46052&lt;/D&gt;&lt;D xsi:type="xsd:long"&gt;46022&lt;/D&gt;&lt;D xsi:type="xsd:long"&gt;45989&lt;/D&gt;&lt;D xsi:type="xsd:long"&gt;45961&lt;/D&gt;&lt;D xsi:type="xsd:long"&gt;45930&lt;/D&gt;&lt;D xsi:type="xsd:long"&gt;45898&lt;/D&gt;&lt;D xsi:type="xsd:long"&gt;45869&lt;/D&gt;&lt;D xsi:type="xsd:long"&gt;45838&lt;/D&gt;&lt;D xsi:type="xsd:long"&gt;45807&lt;/D&gt;&lt;D xsi:type="xsd:long"&gt;45777&lt;/D&gt;&lt;D xsi:type="xsd:long"&gt;45747&lt;/D&gt;&lt;D xsi:type="xsd:long"&gt;45716&lt;/D&gt;&lt;D xsi:type="xsd:long"&gt;45688&lt;/D&gt;&lt;D xsi:type="xsd:long"&gt;45657&lt;/D&gt;&lt;D xsi:type="xsd:long"&gt;45625&lt;/D&gt;&lt;D xsi:type="xsd:long"&gt;45596&lt;/D&gt;&lt;D xsi:type="xsd:long"&gt;45565&lt;/D&gt;&lt;D xsi:type="xsd:long"&gt;45534&lt;/D&gt;&lt;D xsi:type="xsd:long"&gt;45504&lt;/D&gt;&lt;D xsi:type="xsd:long"&gt;45471&lt;/D&gt;&lt;D xsi:type="xsd:long"&gt;45443&lt;/D&gt;&lt;D xsi:type="xsd:long"&gt;45412&lt;/D&gt;&lt;D xsi:type="xsd:long"&gt;45379&lt;/D&gt;&lt;D xsi:type="xsd:long"&gt;45351&lt;/D&gt;&lt;D xsi:type="xsd:long"&gt;45322&lt;/D&gt;&lt;D xsi:type="xsd:long"&gt;45289&lt;/D&gt;&lt;D xsi:type="xsd:long"&gt;45260&lt;/D&gt;&lt;D xsi:type="xsd:long"&gt;45230&lt;/D&gt;&lt;D xsi:type="xsd:long"&gt;45198&lt;/D&gt;&lt;D xsi:type="xsd:long"&gt;45169&lt;/D&gt;&lt;D xsi:type="xsd:long"&gt;45138&lt;/D&gt;&lt;D xsi:type="xsd:long"&gt;45107&lt;/D&gt;&lt;D xsi:type="xsd:long"&gt;45077&lt;/D&gt;&lt;D xsi:type="xsd:long"&gt;45044&lt;/D&gt;&lt;D xsi:type="xsd:long"&gt;45016&lt;/D&gt;&lt;D xsi:type="xsd:long"&gt;44985&lt;/D&gt;&lt;D xsi:type="xsd:long"&gt;44957&lt;/D&gt;&lt;D xsi:type="xsd:long"&gt;44925&lt;/D&gt;&lt;D xsi:type="xsd:long"&gt;44895&lt;/D&gt;&lt;D xsi:type="xsd:long"&gt;44865&lt;/D&gt;&lt;D xsi:type="xsd:long"&gt;44834&lt;/D&gt;&lt;D xsi:type="xsd:long"&gt;44804&lt;/D&gt;&lt;D xsi:type="xsd:long"&gt;44771&lt;/D&gt;&lt;D xsi:type="xsd:long"&gt;44742&lt;/D&gt;&lt;D xsi:type="xsd:long"&gt;44712&lt;/D&gt;&lt;D xsi:type="xsd:long"&gt;44680&lt;/D&gt;&lt;D xsi:type="xsd:long"&gt;44651&lt;/D&gt;&lt;D xsi:type="xsd:long"&gt;44620&lt;/D&gt;&lt;D xsi:type="xsd:long"&gt;44592&lt;/D&gt;&lt;D xsi:type="xsd:long"&gt;44561&lt;/D&gt;&lt;D xsi:type="xsd:long"&gt;44530&lt;/D&gt;&lt;D xsi:type="xsd:long"&gt;44498&lt;/D&gt;&lt;D xsi:type="xsd:long"&gt;44469&lt;/D&gt;&lt;D xsi:type="xsd:long"&gt;44439&lt;/D&gt;&lt;D xsi:type="xsd:long"&gt;44407&lt;/D&gt;&lt;D xsi:type="xsd:long"&gt;44377&lt;/D&gt;&lt;D xsi:type="xsd:long"&gt;44344&lt;/D&gt;&lt;D xsi:type="xsd:long"&gt;44316&lt;/D&gt;&lt;D xsi:type="xsd:long"&gt;44286&lt;/D&gt;&lt;D xsi:type="xsd:long"&gt;44253&lt;/D&gt;&lt;D xsi:type="xsd:long"&gt;44225&lt;/D&gt;&lt;D xsi:type="xsd:long"&gt;44196&lt;/D&gt;&lt;D xsi:type="xsd:long"&gt;44165&lt;/D&gt;&lt;D xsi:type="xsd:long"&gt;44134&lt;/D&gt;&lt;D xsi:type="xsd:long"&gt;44104&lt;/D&gt;&lt;D xsi:type="xsd:long"&gt;44074&lt;/D&gt;&lt;D xsi:type="xsd:long"&gt;44043&lt;/D&gt;&lt;D xsi:type="xsd:long"&gt;44012&lt;/D&gt;&lt;D xsi:type="xsd:long"&gt;43980&lt;/D&gt;&lt;D xsi:type="xsd:long"&gt;43951&lt;/D&gt;&lt;D xsi:type="xsd:long"&gt;43921&lt;/D&gt;&lt;D xsi:type="xsd:long"&gt;43889&lt;/D&gt;&lt;D xsi:type="xsd:long"&gt;43861&lt;/D&gt;&lt;D xsi:type="xsd:long"&gt;43830&lt;/D&gt;&lt;D xsi:type="xsd:long"&gt;43798&lt;/D&gt;&lt;D xsi:type="xsd:long"&gt;43769&lt;/D&gt;&lt;D xsi:type="xsd:long"&gt;43738&lt;/D&gt;&lt;D xsi:type="xsd:long"&gt;43707&lt;/D&gt;&lt;D xsi:type="xsd:long"&gt;43677&lt;/D&gt;&lt;D xsi:type="xsd:long"&gt;43644&lt;/D&gt;&lt;D xsi:type="xsd:long"&gt;43616&lt;/D&gt;&lt;D xsi:type="xsd:long"&gt;43585&lt;/D&gt;&lt;D xsi:type="xsd:long"&gt;43553&lt;/D&gt;&lt;D xsi:type="xsd:long"&gt;43524&lt;/D&gt;&lt;D xsi:type="xsd:long"&gt;43496&lt;/D&gt;&lt;D xsi:type="xsd:long"&gt;43465&lt;/D&gt;&lt;D xsi:type="xsd:long"&gt;43434&lt;/D&gt;&lt;D xsi:type="xsd:long"&gt;43404&lt;/D&gt;&lt;D xsi:type="xsd:long"&gt;43371&lt;/D&gt;&lt;D xsi:type="xsd:long"&gt;43343&lt;/D&gt;&lt;D xsi:type="xsd:long"&gt;43312&lt;/D&gt;&lt;D xsi:type="xsd:long"&gt;43280&lt;/D&gt;&lt;D xsi:type="xsd:long"&gt;43251&lt;/D&gt;&lt;D xsi:type="xsd:long"&gt;43220&lt;/D&gt;&lt;D xsi:type="xsd:long"&gt;43188&lt;/D&gt;&lt;D xsi:type="xsd:long"&gt;43159&lt;/D&gt;&lt;D xsi:type="xsd:long"&gt;43131&lt;/D&gt;&lt;D xsi:type="xsd:long"&gt;43098&lt;/D&gt;&lt;D xsi:type="xsd:long"&gt;43069&lt;/D&gt;&lt;D xsi:type="xsd:long"&gt;43039&lt;/D&gt;&lt;D xsi:type="xsd:long"&gt;43007&lt;/D&gt;&lt;D xsi:type="xsd:long"&gt;42978&lt;/D&gt;&lt;D xsi:type="xsd:long"&gt;42947&lt;/D&gt;&lt;D xsi:type="xsd:long"&gt;42916&lt;/D&gt;&lt;D xsi:type="xsd:long"&gt;42886&lt;/D&gt;&lt;D xsi:type="xsd:long"&gt;42853&lt;/D&gt;&lt;D xsi:type="xsd:long"&gt;42825&lt;/D&gt;&lt;D xsi:type="xsd:long"&gt;42794&lt;/D&gt;&lt;D xsi:type="xsd:long"&gt;42766&lt;/D&gt;&lt;D xsi:type="xsd:long"&gt;42734&lt;/D&gt;&lt;D xsi:type="xsd:long"&gt;42704&lt;/D&gt;&lt;D xsi:type="xsd:long"&gt;42674&lt;/D&gt;&lt;D xsi:type="xsd:long"&gt;42643&lt;/D&gt;&lt;D xsi:type="xsd:long"&gt;42613&lt;/D&gt;&lt;D xsi:type="xsd:long"&gt;42580&lt;/D&gt;&lt;D xsi:type="xsd:long"&gt;42551&lt;/D&gt;&lt;D xsi:type="xsd:long"&gt;42521&lt;/D&gt;&lt;D xsi:type="xsd:long"&gt;42489&lt;/D&gt;&lt;D xsi:type="xsd:long"&gt;42460&lt;/D&gt;&lt;D xsi:type="xsd:long"&gt;42429&lt;/D&gt;&lt;D xsi:type="xsd:long"&gt;42398&lt;/D&gt;&lt;D xsi:type="xsd:long"&gt;42369&lt;/D&gt;&lt;D xsi:type="xsd:long"&gt;42338&lt;/D&gt;&lt;D xsi:type="xsd:long"&gt;42307&lt;/D&gt;&lt;D xsi:type="xsd:long"&gt;42277&lt;/D&gt;&lt;D xsi:type="xsd:long"&gt;42247&lt;/D&gt;&lt;D xsi:type="xsd:long"&gt;42216&lt;/D&gt;&lt;D xsi:type="xsd:long"&gt;42185&lt;/D&gt;&lt;D xsi:type="xsd:long"&gt;42153&lt;/D&gt;&lt;D xsi:type="xsd:long"&gt;42124&lt;/D&gt;&lt;D xsi:type="xsd:long"&gt;42094&lt;/D&gt;&lt;D xsi:type="xsd:long"&gt;42062&lt;/D&gt;&lt;D xsi:type="xsd:long"&gt;42034&lt;/D&gt;&lt;D xsi:type="xsd:long"&gt;42004&lt;/D&gt;&lt;D xsi:type="xsd:long"&gt;41971&lt;/D&gt;&lt;D xsi:type="xsd:long"&gt;41943&lt;/D&gt;&lt;D xsi:type="xsd:long"&gt;41912&lt;/D&gt;&lt;D xsi:type="xsd:long"&gt;41880&lt;/D&gt;&lt;D xsi:type="xsd:long"&gt;41851&lt;/D&gt;&lt;D xsi:type="xsd:long"&gt;41820&lt;/D&gt;&lt;D xsi:type="xsd:long"&gt;41789&lt;/D&gt;&lt;D xsi:type="xsd:long"&gt;41759&lt;/D&gt;&lt;D xsi:type="xsd:long"&gt;41729&lt;/D&gt;&lt;D xsi:type="xsd:long"&gt;41698&lt;/D&gt;&lt;D xsi:type="xsd:long"&gt;41670&lt;/D&gt;&lt;D xsi:type="xsd:long"&gt;41639&lt;/D&gt;&lt;D xsi:type="xsd:long"&gt;41607&lt;/D&gt;&lt;D xsi:type="xsd:long"&gt;41578&lt;/D&gt;&lt;D xsi:type="xsd:long"&gt;41547&lt;/D&gt;&lt;D xsi:type="xsd:long"&gt;41516&lt;/D&gt;&lt;D xsi:type="xsd:long"&gt;41486&lt;/D&gt;&lt;D xsi:type="xsd:long"&gt;41453&lt;/D&gt;&lt;D xsi:type="xsd:long"&gt;41425&lt;/D&gt;&lt;D xsi:type="xsd:long"&gt;41394&lt;/D&gt;&lt;D xsi:type="xsd:long"&gt;41361&lt;/D&gt;&lt;D xsi:type="xsd:long"&gt;41333&lt;/D&gt;&lt;D xsi:type="xsd:long"&gt;41305&lt;/D&gt;&lt;D xsi:type="xsd:long"&gt;41274&lt;/D&gt;&lt;D xsi:type="xsd:long"&gt;41243&lt;/D&gt;&lt;D xsi:type="xsd:long"&gt;41213&lt;/D&gt;&lt;D xsi:type="xsd:long"&gt;41180&lt;/D&gt;&lt;D xsi:type="xsd:long"&gt;41152&lt;/D&gt;&lt;D xsi:type="xsd:long"&gt;41121&lt;/D&gt;&lt;D xsi:type="xsd:long"&gt;41089&lt;/D&gt;&lt;D xsi:type="xsd:long"&gt;41060&lt;/D&gt;&lt;D xsi:type="xsd:long"&gt;41029&lt;/D&gt;&lt;D xsi:type="xsd:long"&gt;40998&lt;/D&gt;&lt;D xsi:type="xsd:long"&gt;40968&lt;/D&gt;&lt;D xsi:type="xsd:long"&gt;40939&lt;/D&gt;&lt;D xsi:type="xsd:long"&gt;40907&lt;/D&gt;&lt;D xsi:type="xsd:long"&gt;40877&lt;/D&gt;&lt;D xsi:type="xsd:long"&gt;40847&lt;/D&gt;&lt;D xsi:type="xsd:long"&gt;40816&lt;/D&gt;&lt;D xsi:type="xsd:long"&gt;40786&lt;/D&gt;&lt;D xsi:type="xsd:long"&gt;40753&lt;/D&gt;&lt;D xsi:type="xsd:long"&gt;40724&lt;/D&gt;&lt;D xsi:type="xsd:long"&gt;40694&lt;/D&gt;&lt;D xsi:type="xsd:long"&gt;40662&lt;/D&gt;&lt;D xsi:type="xsd:long"&gt;40633&lt;/D&gt;&lt;D xsi:type="xsd:long"&gt;40602&lt;/D&gt;&lt;D xsi:type="xsd:long"&gt;40574&lt;/D&gt;&lt;D xsi:type="xsd:long"&gt;40543&lt;/D&gt;&lt;D xsi:type="xsd:long"&gt;40512&lt;/D&gt;&lt;D xsi:type="xsd:long"&gt;40480&lt;/D&gt;&lt;D xsi:type="xsd:long"&gt;40451&lt;/D&gt;&lt;D xsi:type="xsd:long"&gt;40421&lt;/D&gt;&lt;D xsi:type="xsd:long"&gt;40389&lt;/D&gt;&lt;D xsi:type="xsd:long"&gt;40359&lt;/D&gt;&lt;D xsi:type="xsd:long"&gt;40326&lt;/D&gt;&lt;D xsi:type="xsd:long"&gt;40298&lt;/D&gt;&lt;D xsi:type="xsd:long"&gt;40268&lt;/D&gt;&lt;D xsi:type="xsd:long"&gt;40235&lt;/D&gt;&lt;D xsi:type="xsd:long"&gt;40207&lt;/D&gt;&lt;D xsi:type="xsd:long"&gt;40178&lt;/D&gt;&lt;D xsi:type="xsd:long"&gt;40147&lt;/D&gt;&lt;D xsi:type="xsd:long"&gt;40116&lt;/D&gt;&lt;D xsi:type="xsd:long"&gt;40086&lt;/D&gt;&lt;D xsi:type="xsd:long"&gt;40056&lt;/D&gt;&lt;D xsi:type="xsd:long"&gt;40025&lt;/D&gt;&lt;D xsi:type="xsd:long"&gt;39994&lt;/D&gt;&lt;D xsi:type="xsd:long"&gt;39962&lt;/D&gt;&lt;D xsi:type="xsd:long"&gt;39933&lt;/D&gt;&lt;D xsi:type="xsd:long"&gt;39903&lt;/D&gt;&lt;D xsi:type="xsd:long"&gt;39871&lt;/D&gt;&lt;D xsi:type="xsd:long"&gt;39843&lt;/D&gt;&lt;D xsi:type="xsd:long"&gt;39813&lt;/D&gt;&lt;D xsi:type="xsd:long"&gt;39780&lt;/D&gt;&lt;D xsi:type="xsd:long"&gt;39752&lt;/D&gt;&lt;D xsi:type="xsd:long"&gt;39721&lt;/D&gt;&lt;D xsi:type="xsd:long"&gt;39689&lt;/D&gt;&lt;D xsi:type="xsd:long"&gt;39660&lt;/D&gt;&lt;D xsi:type="xsd:long"&gt;39629&lt;/D&gt;&lt;D xsi:type="xsd:long"&gt;39598&lt;/D&gt;&lt;D xsi:type="xsd:long"&gt;39568&lt;/D&gt;&lt;D xsi:type="xsd:long"&gt;39538&lt;/D&gt;&lt;D xsi:type="xsd:long"&gt;39507&lt;/D&gt;&lt;D xsi:type="xsd:long"&gt;39478&lt;/D&gt;&lt;D xsi:type="xsd:long"&gt;39447&lt;/D&gt;&lt;D xsi:type="xsd:long"&gt;39416&lt;/D&gt;&lt;D xsi:type="xsd:long"&gt;39386&lt;/D&gt;&lt;D xsi:type="xsd:long"&gt;39353&lt;/D&gt;&lt;D xsi:type="xsd:long"&gt;39325&lt;/D&gt;&lt;D xsi:type="xsd:long"&gt;39294&lt;/D&gt;&lt;D xsi:type="xsd:long"&gt;39262&lt;/D&gt;&lt;D xsi:type="xsd:long"&gt;39233&lt;/D&gt;&lt;D xsi:type="xsd:long"&gt;39202&lt;/D&gt;&lt;D xsi:type="xsd:long"&gt;39171&lt;/D&gt;&lt;D xsi:type="xsd:long"&gt;39141&lt;/D&gt;&lt;D xsi:type="xsd:long"&gt;39113&lt;/D&gt;&lt;D xsi:type="xsd:long"&gt;39080&lt;/D&gt;&lt;D xsi:type="xsd:long"&gt;39051&lt;/D&gt;&lt;D xsi:type="xsd:long"&gt;39021&lt;/D&gt;&lt;D xsi:type="xsd:long"&gt;38989&lt;/D&gt;&lt;D xsi:type="xsd:long"&gt;38960&lt;/D&gt;&lt;D xsi:type="xsd:long"&gt;38929&lt;/D&gt;&lt;D xsi:type="xsd:long"&gt;38898&lt;/D&gt;&lt;D xsi:type="xsd:long"&gt;38868&lt;/D&gt;&lt;D xsi:type="xsd:long"&gt;38835&lt;/D&gt;&lt;D xsi:type="xsd:long"&gt;38807&lt;/D&gt;&lt;D xsi:type="xsd:long"&gt;38776&lt;/D&gt;&lt;D xsi:type="xsd:long"&gt;38748&lt;/D&gt;&lt;D xsi:type="xsd:long"&gt;38716&lt;/D&gt;&lt;D xsi:type="xsd:long"&gt;38686&lt;/D&gt;&lt;D xsi:type="xsd:long"&gt;38656&lt;/D&gt;&lt;D xsi:type="xsd:long"&gt;38625&lt;/D&gt;&lt;D xsi:type="xsd:long"&gt;38595&lt;/D&gt;&lt;D xsi:type="xsd:long"&gt;38562&lt;/D&gt;&lt;D xsi:type="xsd:long"&gt;38533&lt;/D&gt;&lt;D xsi:type="xsd:long"&gt;38503&lt;/D&gt;&lt;D xsi:type="xsd:long"&gt;38471&lt;/D&gt;&lt;D xsi:type="xsd:long"&gt;38442&lt;/D&gt;&lt;D xsi:type="xsd:long"&gt;38411&lt;/D&gt;&lt;D xsi:type="xsd:long"&gt;38383&lt;/D&gt;&lt;D xsi:type="xsd:long"&gt;38352&lt;/D&gt;&lt;D xsi:type="xsd:long"&gt;38321&lt;/D&gt;&lt;D xsi:type="xsd:long"&gt;38289&lt;/D&gt;&lt;D xsi:type="xsd:long"&gt;38260&lt;/D&gt;&lt;D xsi:type="xsd:long"&gt;38230&lt;/D&gt;&lt;D xsi:type="xsd:long"&gt;38198&lt;/D&gt;&lt;D xsi:type="xsd:long"&gt;38168&lt;/D&gt;&lt;D xsi:type="xsd:long"&gt;38135&lt;/D&gt;&lt;D xsi:type="xsd:long"&gt;38107&lt;/D&gt;&lt;D xsi:type="xsd:long"&gt;38077&lt;/D&gt;&lt;D xsi:type="xsd:long"&gt;38044&lt;/D&gt;&lt;D xsi:type="xsd:long"&gt;38016&lt;/D&gt;&lt;D xsi:type="xsd:long"&gt;37986&lt;/D&gt;&lt;D xsi:type="xsd:long"&gt;37953&lt;/D&gt;&lt;D xsi:type="xsd:long"&gt;37925&lt;/D&gt;&lt;D xsi:type="xsd:long"&gt;37894&lt;/D&gt;&lt;D xsi:type="xsd:long"&gt;37862&lt;/D&gt;&lt;D xsi:type="xsd:long"&gt;37833&lt;/D&gt;&lt;D xsi:type="xsd:long"&gt;37802&lt;/D&gt;&lt;D xsi:type="xsd:long"&gt;37771&lt;/D&gt;&lt;D xsi:type="xsd:long"&gt;37741&lt;/D&gt;&lt;D xsi:type="xsd:long"&gt;37711&lt;/D&gt;&lt;D xsi:type="xsd:long"&gt;37680&lt;/D&gt;&lt;D xsi:type="xsd:long"&gt;37652&lt;/D&gt;&lt;D xsi:type="xsd:long"&gt;37621&lt;/D&gt;&lt;D xsi:type="xsd:long"&gt;37589&lt;/D&gt;&lt;D xsi:type="xsd:long"&gt;37560&lt;/D&gt;&lt;D xsi:type="xsd:long"&gt;37529&lt;/D&gt;&lt;D xsi:type="xsd:long"&gt;37498&lt;/D&gt;&lt;D xsi:type="xsd:long"&gt;37468&lt;/D&gt;&lt;D xsi:type="xsd:long"&gt;37435&lt;/D&gt;&lt;D xsi:type="xsd:long"&gt;37407&lt;/D&gt;&lt;D xsi:type="xsd:long"&gt;37376&lt;/D&gt;&lt;D xsi:type="xsd:long"&gt;37343&lt;/D&gt;&lt;D xsi:type="xsd:long"&gt;37315&lt;/D&gt;&lt;D xsi:type="xsd:long"&gt;37287&lt;/D&gt;&lt;D xsi:type="xsd:long"&gt;37256&lt;/D&gt;&lt;D xsi:type="xsd:long"&gt;37225&lt;/D&gt;&lt;D xsi:type="xsd:long"&gt;37195&lt;/D&gt;&lt;D xsi:type="xsd:long"&gt;37162&lt;/D&gt;&lt;D xsi:type="xsd:long"&gt;37134&lt;/D&gt;&lt;D xsi:type="xsd:long"&gt;37103&lt;/D&gt;&lt;D xsi:type="xsd:long"&gt;37071&lt;/D&gt;&lt;D xsi:type="xsd:long"&gt;37042&lt;/D&gt;&lt;D xsi:type="xsd:long"&gt;37011&lt;/D&gt;&lt;D xsi:type="xsd:long"&gt;36980&lt;/D&gt;&lt;D xsi:type="xsd:long"&gt;36950&lt;/D&gt;&lt;D xsi:type="xsd:long"&gt;36922&lt;/D&gt;&lt;D xsi:type="xsd:long"&gt;36889&lt;/D&gt;&lt;D xsi:type="xsd:long"&gt;36860&lt;/D&gt;&lt;D xsi:type="xsd:long"&gt;36830&lt;/D&gt;&lt;D xsi:type="xsd:long"&gt;36798&lt;/D&gt;&lt;D xsi:type="xsd:long"&gt;36769&lt;/D&gt;&lt;D xsi:type="xsd:long"&gt;36738&lt;/D&gt;&lt;D xsi:type="xsd:long"&gt;36707&lt;/D&gt;&lt;D xsi:type="xsd:long"&gt;36677&lt;/D&gt;&lt;D xsi:type="xsd:long"&gt;36644&lt;/D&gt;&lt;D xsi:type="xsd:long"&gt;36616&lt;/D&gt;&lt;D xsi:type="xsd:long"&gt;36585&lt;/D&gt;&lt;D xsi:type="xsd:long"&gt;36556&lt;/D&gt;&lt;/FQL&gt;&lt;FQL&gt;&lt;Q&gt;991000^FG_PRICE(2/27/2026,1/31/2000,M,USD)&lt;/Q&gt;&lt;R&gt;314&lt;/R&gt;&lt;C&gt;1&lt;/C&gt;&lt;D xsi:type="xsd:double"&gt;3244.755968&lt;/D&gt;&lt;D xsi:type="xsd:double"&gt;3099.576387&lt;/D&gt;&lt;D xsi:type="xsd:double"&gt;2961.080596&lt;/D&gt;&lt;D xsi:type="xsd:double"&gt;2877.338766&lt;/D&gt;&lt;D xsi:type="xsd:double"&gt;2851.936459&lt;/D&gt;&lt;D xsi:type="xsd:double"&gt;2823.832778&lt;/D&gt;&lt;D xsi:type="xsd:double"&gt;2772.275826&lt;/D&gt;&lt;D xsi:type="xsd:double"&gt;2660.354032&lt;/D&gt;&lt;D xsi:type="xsd:double"&gt;2694.580821&lt;/D&gt;&lt;D xsi:type="xsd:double"&gt;2635.971988&lt;/D&gt;&lt;D xsi:type="xsd:double"&gt;2530.837046&lt;/D&gt;&lt;D xsi:type="xsd:double"&gt;2429.429686&lt;/D&gt;&lt;D xsi:type="xsd:double"&gt;2455.139294&lt;/D&gt;&lt;D xsi:type="xsd:double"&gt;2415.923741&lt;/D&gt;&lt;D xsi:type="xsd:double"&gt;2302.710493&lt;/D&gt;&lt;D xsi:type="xsd:double"&gt;2368.033343&lt;/D&gt;&lt;D xsi:type="xsd:double"&gt;2366.325674&lt;/D&gt;&lt;D xsi:type="xsd:double"&gt;2495.321405&lt;/D&gt;&lt;D xsi:type="xsd:double"&gt;2475.251605&lt;/D&gt;&lt;D xsi:type="xsd:double"&gt;2400.4661&lt;/D&gt;&lt;D xsi:type="xsd:double"&gt;2328.850393&lt;/D&gt;&lt;D xsi:type="xsd:double"&gt;2371.463907&lt;/D&gt;&lt;D xsi:type="xsd:double"&gt;2295.938134&lt;/D&gt;&lt;D xsi:type="xsd:double"&gt;2364.655551&lt;/D&gt;&lt;D xsi:type="xsd:double"&gt;2300.558867&lt;/D&gt;&lt;D xsi:type="xsd:double"&gt;2265.285349&lt;/D&gt;&lt;D xsi:type="xsd:double"&gt;2256.807538&lt;/D&gt;&lt;D xsi:type="xsd:double"&gt;2141.738251&lt;/D&gt;&lt;D xsi:type="xsd:double"&gt;1961.285429&lt;/D&gt;&lt;D xsi:type="xsd:double"&gt;2049.037407&lt;/D&gt;&lt;D xsi:type="xsd:double"&gt;2126.585017&lt;/D&gt;&lt;D xsi:type="xsd:double"&gt;2218.204749&lt;/D&gt;&lt;D xsi:type="xsd:double"&gt;2150.290632&lt;/D&gt;&lt;D xsi:type="xsd:double"&gt;2055.807315&lt;/D&gt;&lt;D xsi:type="xsd:double"&gt;2160.609692&lt;/D&gt;&lt;D xsi:type="xsd:double"&gt;2108.256297&lt;/D&gt;&lt;D xsi:type="xsd:double"&gt;2073.608237&lt;/D&gt;&lt;D xsi:type="xsd:double"&gt;2126.172509&lt;/D&gt;&lt;D xsi:type="xsd:double"&gt;1966.335803&lt;/D&gt;&lt;D xsi:type="xsd:double"&gt;1977.939763&lt;/D&gt;&lt;D xsi:type="xsd:double"&gt;1790.447757&lt;/D&gt;&lt;D xsi:type="xsd:double"&gt;1698.022509&lt;/D&gt;&lt;D xsi:type="xsd:double"&gt;1878.578274&lt;/D&gt;&lt;D xsi:type="xsd:double"&gt;1975.688116&lt;/D&gt;&lt;D xsi:type="xsd:double"&gt;1883.42902&lt;/D&gt;&lt;D xsi:type="xsd:double"&gt;2082.105441&lt;/D&gt;&lt;D xsi:type="xsd:double"&gt;2075.28321&lt;/D&gt;&lt;D xsi:type="xsd:double"&gt;2228.137617&lt;/D&gt;&lt;D xsi:type="xsd:double"&gt;2213.424243&lt;/D&gt;&lt;D xsi:type="xsd:double"&gt;2252.413331&lt;/D&gt;&lt;D xsi:type="xsd:double"&gt;2357.514612&lt;/D&gt;&lt;D xsi:type="xsd:double"&gt;2245.389283&lt;/D&gt;&lt;D xsi:type="xsd:double"&gt;2358.908318&lt;/D&gt;&lt;D xsi:type="xsd:double"&gt;2292.77085&lt;/D&gt;&lt;D xsi:type="xsd:double"&gt;2367.317672&lt;/D&gt;&lt;D xsi:type="xsd:double"&gt;2335.232802&lt;/D&gt;&lt;D xsi:type="xsd:double"&gt;2321.283034&lt;/D&gt;&lt;D xsi:type="xsd:double"&gt;2356.610145&lt;/D&gt;&lt;D xsi:type="xsd:double"&gt;2277.009386&lt;/D&gt;&lt;D xsi:type="xsd:double"&gt;2213.440899&lt;/D&gt;&lt;D xsi:type="xsd:double"&gt;2168.051795&lt;/D&gt;&lt;D xsi:type="xsd:double"&gt;2116.955146&lt;/D&gt;&lt;D xsi:type="xsd:double"&gt;2140.705997&lt;/D&gt;&lt;D xsi:type="xsd:double"&gt;2049.537193&lt;/D&gt;&lt;D xsi:type="xsd:double"&gt;1778.886936&lt;/D&gt;&lt;D xsi:type="xsd:double"&gt;1853.140633&lt;/D&gt;&lt;D xsi:type="xsd:double"&gt;1911.945889&lt;/D&gt;&lt;D xsi:type="xsd:double"&gt;1821.676119&lt;/D&gt;&lt;D xsi:type="xsd:double"&gt;1776.440732&lt;/D&gt;&lt;D xsi:type="xsd:double"&gt;1720.853628&lt;/D&gt;&lt;D xsi:type="xsd:double"&gt;1655.075271&lt;/D&gt;&lt;D xsi:type="xsd:double"&gt;1549.77954&lt;/D&gt;&lt;D xsi:type="xsd:double"&gt;1814.20683&lt;/D&gt;&lt;D xsi:type="xsd:double"&gt;1994.984806&lt;/D&gt;&lt;D xsi:type="xsd:double"&gt;2035.383152&lt;/D&gt;&lt;D xsi:type="xsd:double"&gt;1974.385273&lt;/D&gt;&lt;D xsi:type="xsd:double"&gt;1953.037236&lt;/D&gt;&lt;D xsi:type="xsd:double"&gt;1893.701955&lt;/D&gt;&lt;D xsi:type="xsd:double"&gt;1847.803758&lt;/D&gt;&lt;D xsi:type="xsd:double"&gt;1899.671434&lt;/D&gt;&lt;D xsi:type="xsd:double"&gt;1923.860946&lt;/D&gt;&lt;D xsi:type="xsd:double"&gt;1818.88851&lt;/D&gt;&lt;D xsi:type="xsd:double"&gt;1920.739615&lt;/D&gt;&lt;D xsi:type="xsd:double"&gt;1874.070387&lt;/D&gt;&lt;D xsi:type="xsd:double"&gt;1874.152718&lt;/D&gt;&lt;D xsi:type="xsd:double"&gt;1831.021454&lt;/D&gt;&lt;D xsi:type="xsd:double"&gt;1710.882961&lt;/D&gt;&lt;D xsi:type="xsd:double"&gt;1806.323123&lt;/D&gt;&lt;D xsi:type="xsd:double"&gt;1811.272908&lt;/D&gt;&lt;D xsi:type="xsd:double"&gt;1969.331767&lt;/D&gt;&lt;D xsi:type="xsd:double"&gt;1959.319983&lt;/D&gt;&lt;D xsi:type="xsd:double"&gt;2002.270682&lt;/D&gt;&lt;D xsi:type="xsd:double"&gt;1955.227117&lt;/D&gt;&lt;D xsi:type="xsd:double"&gt;1980.355748&lt;/D&gt;&lt;D xsi:type="xsd:double"&gt;2029.636851&lt;/D&gt;&lt;D xsi:type="xsd:double"&gt;1988.258782&lt;/D&gt;&lt;D xsi:type="xsd:double"&gt;2035.270505&lt;/D&gt;&lt;D xsi:type="xsd:double"&gt;2140.968981&lt;/D&gt;&lt;D xsi:type="xsd:double"&gt;2046.466912&lt;/D&gt;&lt;D xsi:type="xsd:double"&gt;2012.303798&lt;/D&gt;&lt;D xsi:type="xsd:double"&gt;1995.507768&lt;/D&gt;&lt;D xsi:type="xsd:double"&gt;1970.060663&lt;/D&gt;&lt;D xsi:type="xsd:double"&gt;1925.04556&lt;/D&gt;&lt;D xsi:type="xsd:double"&gt;1930.657734&lt;/D&gt;&lt;D xsi:type="xsd:double"&gt;1875.647105&lt;/D&gt;&lt;D xsi:type="xsd:double"&gt;1877.475273&lt;/D&gt;&lt;D xsi:type="xsd:double"&gt;1826.758292&lt;/D&gt;&lt;D xsi:type="xsd:double"&gt;1793.337892&lt;/D&gt;&lt;D xsi:type="xsd:double"&gt;1756.785989&lt;/D&gt;&lt;D xsi:type="xsd:double"&gt;1740.544677&lt;/D&gt;&lt;D xsi:type="xsd:double"&gt;1690.925351&lt;/D&gt;&lt;D xsi:type="xsd:double"&gt;1638.98502&lt;/D&gt;&lt;D xsi:type="xsd:double"&gt;1668.576478&lt;/D&gt;&lt;D xsi:type="xsd:double"&gt;1702.978475&lt;/D&gt;&lt;D xsi:type="xsd:double"&gt;1686.98747&lt;/D&gt;&lt;D xsi:type="xsd:double"&gt;1689.937578&lt;/D&gt;&lt;D xsi:type="xsd:double"&gt;1611.700289&lt;/D&gt;&lt;D xsi:type="xsd:doubl</t>
        </r>
      </text>
    </comment>
    <comment ref="A59" authorId="0" shapeId="0">
      <text>
        <r>
          <rPr>
            <b/>
            <sz val="9"/>
            <color indexed="81"/>
            <rFont val="Tahoma"/>
            <family val="2"/>
          </rPr>
          <t>e"&gt;1665.792375&lt;/D&gt;&lt;D xsi:type="xsd:double"&gt;1694.213114&lt;/D&gt;&lt;D xsi:type="xsd:double"&gt;1647.687143&lt;/D&gt;&lt;D xsi:type="xsd:double"&gt;1549.657151&lt;/D&gt;&lt;D xsi:type="xsd:double"&gt;1575.600804&lt;/D&gt;&lt;D xsi:type="xsd:double"&gt;1693.055084&lt;/D&gt;&lt;D xsi:type="xsd:double"&gt;1725.475637&lt;/D&gt;&lt;D xsi:type="xsd:double"&gt;1756.448541&lt;/D&gt;&lt;D xsi:type="xsd:double"&gt;1634.945173&lt;/D&gt;&lt;D xsi:type="xsd:double"&gt;1726.219386&lt;/D&gt;&lt;D xsi:type="xsd:double"&gt;1866.642236&lt;/D&gt;&lt;D xsi:type="xsd:double"&gt;1838.714665&lt;/D&gt;&lt;D xsi:type="xsd:double"&gt;1895.39387&lt;/D&gt;&lt;D xsi:type="xsd:double"&gt;1920.996765&lt;/D&gt;&lt;D xsi:type="xsd:double"&gt;1847.266714&lt;/D&gt;&lt;D xsi:type="xsd:double"&gt;1886.64412&lt;/D&gt;&lt;D xsi:type="xsd:double"&gt;1783.035327&lt;/D&gt;&lt;D xsi:type="xsd:double"&gt;1790.535076&lt;/D&gt;&lt;D xsi:type="xsd:double"&gt;1853.541727&lt;/D&gt;&lt;D xsi:type="xsd:double"&gt;1834.240354&lt;/D&gt;&lt;D xsi:type="xsd:double"&gt;1865.118781&lt;/D&gt;&lt;D xsi:type="xsd:double"&gt;1949.698345&lt;/D&gt;&lt;D xsi:type="xsd:double"&gt;1952.986&lt;/D&gt;&lt;D xsi:type="xsd:double"&gt;1989.427817&lt;/D&gt;&lt;D xsi:type="xsd:double"&gt;1965.025361&lt;/D&gt;&lt;D xsi:type="xsd:double"&gt;1945.638382&lt;/D&gt;&lt;D xsi:type="xsd:double"&gt;1921.734019&lt;/D&gt;&lt;D xsi:type="xsd:double"&gt;1938.00413&lt;/D&gt;&lt;D xsi:type="xsd:double"&gt;1841.29883&lt;/D&gt;&lt;D xsi:type="xsd:double"&gt;1919.916847&lt;/D&gt;&lt;D xsi:type="xsd:double"&gt;1893.167124&lt;/D&gt;&lt;D xsi:type="xsd:double"&gt;1885.382059&lt;/D&gt;&lt;D xsi:type="xsd:double"&gt;1825.327777&lt;/D&gt;&lt;D xsi:type="xsd:double"&gt;1709.130468&lt;/D&gt;&lt;D xsi:type="xsd:double"&gt;1735.944465&lt;/D&gt;&lt;D xsi:type="xsd:double"&gt;1649.12209&lt;/D&gt;&lt;D xsi:type="xsd:double"&gt;1716.394355&lt;/D&gt;&lt;D xsi:type="xsd:double"&gt;1764.429362&lt;/D&gt;&lt;D xsi:type="xsd:double"&gt;1695.005324&lt;/D&gt;&lt;D xsi:type="xsd:double"&gt;1688.35972&lt;/D&gt;&lt;D xsi:type="xsd:double"&gt;1708.831144&lt;/D&gt;&lt;D xsi:type="xsd:double"&gt;1630.094175&lt;/D&gt;&lt;D xsi:type="xsd:double"&gt;1583.972941&lt;/D&gt;&lt;D xsi:type="xsd:double"&gt;1554.517659&lt;/D&gt;&lt;D xsi:type="xsd:double"&gt;1544.967963&lt;/D&gt;&lt;D xsi:type="xsd:double"&gt;1504.510211&lt;/D&gt;&lt;D xsi:type="xsd:double"&gt;1467.19307&lt;/D&gt;&lt;D xsi:type="xsd:double"&gt;1450.255457&lt;/D&gt;&lt;D xsi:type="xsd:double"&gt;1363.978347&lt;/D&gt;&lt;D xsi:type="xsd:double"&gt;1549.290698&lt;/D&gt;&lt;D xsi:type="xsd:double"&gt;1582.65965&lt;/D&gt;&lt;D xsi:type="xsd:double"&gt;1601.262108&lt;/D&gt;&lt;D xsi:type="xsd:double"&gt;1521.750783&lt;/D&gt;&lt;D xsi:type="xsd:double"&gt;1445.065833&lt;/D&gt;&lt;D xsi:type="xsd:double"&gt;1462.498107&lt;/D&gt;&lt;D xsi:type="xsd:double"&gt;1538.102797&lt;/D&gt;&lt;D xsi:type="xsd:double"&gt;1402.613671&lt;/D&gt;&lt;D xsi:type="xsd:double"&gt;1564.715268&lt;/D&gt;&lt;D xsi:type="xsd:double"&gt;1714.031542&lt;/D&gt;&lt;D xsi:type="xsd:double"&gt;1744.037416&lt;/D&gt;&lt;D xsi:type="xsd:double"&gt;1772.492139&lt;/D&gt;&lt;D xsi:type="xsd:double"&gt;1837.775489&lt;/D&gt;&lt;D xsi:type="xsd:double"&gt;1749.015759&lt;/D&gt;&lt;D xsi:type="xsd:double"&gt;1791.899683&lt;/D&gt;&lt;D xsi:type="xsd:double"&gt;1730.911811&lt;/D&gt;&lt;D xsi:type="xsd:double"&gt;1695.575803&lt;/D&gt;&lt;D xsi:type="xsd:double"&gt;1570.528186&lt;/D&gt;&lt;D xsi:type="xsd:double"&gt;1643.51917&lt;/D&gt;&lt;D xsi:type="xsd:double"&gt;1588.119123&lt;/D&gt;&lt;D xsi:type="xsd:double"&gt;1453.045472&lt;/D&gt;&lt;D xsi:type="xsd:double"&gt;1501.211625&lt;/D&gt;&lt;D xsi:type="xsd:double"&gt;1375.320208&lt;/D&gt;&lt;D xsi:type="xsd:double"&gt;1399.130244&lt;/D&gt;&lt;D xsi:type="xsd:double"&gt;1580.340876&lt;/D&gt;&lt;D xsi:type="xsd:double"&gt;1608.794059&lt;/D&gt;&lt;D xsi:type="xsd:double"&gt;1517.400127&lt;/D&gt;&lt;D xsi:type="xsd:double"&gt;1521.729227&lt;/D&gt;&lt;D xsi:type="xsd:double"&gt;1597.280622&lt;/D&gt;&lt;D xsi:type="xsd:double"&gt;1573.659131&lt;/D&gt;&lt;D xsi:type="xsd:double"&gt;1539.338106&lt;/D&gt;&lt;D xsi:type="xsd:double"&gt;1565.318254&lt;/D&gt;&lt;D xsi:type="xsd:double"&gt;1506.64248&lt;/D&gt;&lt;D xsi:type="xsd:double"&gt;1441.328286&lt;/D&gt;&lt;D xsi:type="xsd:double"&gt;1318.73581&lt;/D&gt;&lt;D xsi:type="xsd:double"&gt;1335.224259&lt;/D&gt;&lt;D xsi:type="xsd:double"&gt;1192.715162&lt;/D&gt;&lt;D xsi:type="xsd:double"&gt;1061.261163&lt;/D&gt;&lt;D xsi:type="xsd:double"&gt;999.87919&lt;/D&gt;&lt;D xsi:type="xsd:double"&gt;1115.838771&lt;/D&gt;&lt;D xsi:type="xsd:double"&gt;1231.743112&lt;/D&gt;&lt;D xsi:type="xsd:double"&gt;1171.21798&lt;/D&gt;&lt;D xsi:type="xsd:double"&gt;1242.112432&lt;/D&gt;&lt;D xsi:type="xsd:double"&gt;1569.736469&lt;/D&gt;&lt;D xsi:type="xsd:double"&gt;1839.808912&lt;/D&gt;&lt;D xsi:type="xsd:double"&gt;1918.442337&lt;/D&gt;&lt;D xsi:type="xsd:double"&gt;1990.709754&lt;/D&gt;&lt;D xsi:type="xsd:double"&gt;2161.756395&lt;/D&gt;&lt;D xsi:type="xsd:double"&gt;2143.181871&lt;/D&gt;&lt;D xsi:type="xsd:double"&gt;2039.000739&lt;/D&gt;&lt;D xsi:type="xsd:double"&gt;2077.853143&lt;/D&gt;&lt;D xsi:type="xsd:double"&gt;2044.09173&lt;/D&gt;&lt;D xsi:type="xsd:double"&gt;2247.967004&lt;/D&gt;&lt;D xsi:type="xsd:double"&gt;2292.321407&lt;/D&gt;&lt;D xsi:type="xsd:double"&gt;2389.568769&lt;/D&gt;&lt;D xsi:type="xsd:double"&gt;2291.97811&lt;/D&gt;&lt;D xsi:type="xsd:double"&gt;2172.444724&lt;/D&gt;&lt;D xsi:type="xsd:double"&gt;2209.640143&lt;/D&gt;&lt;D xsi:type="xsd:double"&gt;2242.060277&lt;/D&gt;&lt;D xsi:type="xsd:double"&gt;2243.518279&lt;/D&gt;&lt;D xsi:type="xsd:double"&gt;2205.28965&lt;/D&gt;&lt;D xsi:type="xsd:double"&gt;2116.008511&lt;/D&gt;&lt;D xsi:type="xsd:double"&gt;2070.829621&lt;/D&gt;&lt;D xsi:type="xsd:double"&gt;2056.608985&lt;/D&gt;&lt;D xsi:type="xsd:double"&gt;2045.035763&lt;/D&gt;&lt;D xsi:type="xsd:double"&gt;1989.162997&lt;/D&gt;&lt;D xsi:type="xsd:double"&gt;1935.247204&lt;/D&gt;&lt;D xsi:type="xsd:double"&gt;1862.596686&lt;/D&gt;&lt;D xsi:type="xsd:double"&gt;1867.185374&lt;/D&gt;&lt;D xsi:type="xsd:double"&gt;1820.013953&lt;/D&gt;&lt;D xsi:type="xsd:double"&gt;1804.388483&lt;/D&gt;&lt;D xsi:type="xsd:double"&gt;1810.365827&lt;/D&gt;&lt;D xsi:type="xsd:double"&gt;1890.895913&lt;/D&gt;&lt;D xsi:type="xsd:double"&gt;1808.869333&lt;/D&gt;&lt;D xsi:type="xsd:double"&gt;1759.960758&lt;/D&gt;&lt;D xsi:type="xsd:double"&gt;1768.043627&lt;/D&gt;&lt;D xsi:type="xsd:double"&gt;1663.543421&lt;/D&gt;&lt;D xsi:type="xsd:double"&gt;1590.651343&lt;/D&gt;&lt;D xsi:type="xsd:double"&gt;1552.556399&lt;/D&gt;&lt;D xsi:type="xsd:double"&gt;1605.146426&lt;/D&gt;&lt;D xsi:type="xsd:double"&gt;1537.705969&lt;/D&gt;&lt;D xsi:type="xsd:double"&gt;1500.109307&lt;/D&gt;&lt;D xsi:type="xsd:double"&gt;1453.887553&lt;/D&gt;&lt;D xsi:type="xsd:double"&gt;1433.364736&lt;/D&gt;&lt;D xsi:type="xsd:double"&gt;1436.585186&lt;/D&gt;&lt;D xsi:type="xsd:double"&gt;1479.570494&lt;/D&gt;&lt;D xsi:type="xsd:double"&gt;1519.57431&lt;/D&gt;&lt;D xsi:type="xsd:double"&gt;1457.264646&lt;/D&gt;&lt;D xsi:type="xsd:double"&gt;1487.234457&lt;/D&gt;&lt;D xsi:type="xsd:double"&gt;1427.833631&lt;/D&gt;&lt;D xsi:type="xsd:double"&gt;1341.196955&lt;/D&gt;&lt;D xsi:type="xsd:double"&gt;1295.439113&lt;/D&gt;&lt;D xsi:type="xsd:double"&gt;1260.488983&lt;/D&gt;&lt;D xsi:type="xsd:double"&gt;1258.460196&lt;/D&gt;&lt;D xsi:type="xsd:double"&gt;1298.989693&lt;/D&gt;&lt;D xsi:type="xsd:double"&gt;1269.982597&lt;/D&gt;&lt;D xsi:type="xsd:double"&gt;1271.116171&lt;/D&gt;&lt;D xsi:type="xsd:double"&gt;1309.035845&lt;/D&gt;&lt;D xsi:type="xsd:double"&gt;1307.568189&lt;/D&gt;&lt;D xsi:type="xsd:double"&gt;1279.701908&lt;/D&gt;&lt;D xsi:type="xsd:double"&gt;1262.710154&lt;/D&gt;&lt;D xsi:type="xsd:double"&gt;1173.28544&lt;/D&gt;&lt;D xsi:type="xsd:double"&gt;1148.890601&lt;/D&gt;&lt;D xsi:type="xsd:double"&gt;1081.844796&lt;/D&gt;&lt;D xsi:type="xsd:double"&gt;1052.010359&lt;/D&gt;&lt;D xsi:type="xsd:double"&gt;1028.06194&lt;/D&gt;&lt;D xsi:type="xsd:double"&gt;1006.031259&lt;/D&gt;&lt;D xsi:type="xsd:double"&gt;984.339157&lt;/D&gt;&lt;D xsi:type="xsd:double"&gt;930.24678&lt;/D&gt;&lt;D xsi:type="xsd:double"&gt;851.892&lt;/D&gt;&lt;D xsi:type="xsd:double"&gt;872.293&lt;/D&gt;&lt;D xsi:type="xsd:double"&gt;891.439&lt;/D&gt;&lt;D xsi:type="xsd:double"&gt;927.278&lt;/D&gt;&lt;D xsi:type="xsd:double"&gt;958.859&lt;/D&gt;&lt;D xsi:type="xsd:double"&gt;917.691&lt;/D&gt;&lt;D xsi:type="xsd:double"&gt;872.493&lt;/D&gt;&lt;D xsi:type="xsd:double"&gt;977.546&lt;/D&gt;&lt;D xsi:type="xsd:double"&gt;981.421&lt;/D&gt;&lt;D xsi:type="xsd:double"&gt;1090.626&lt;/D&gt;&lt;D xsi:type="xsd:double"&gt;1138.761&lt;/D&gt;&lt;D xsi:type="xsd:double"&gt;1127.691&lt;/D&gt;&lt;D xsi:type="xsd:double"&gt;1128.331&lt;/D&gt;&lt;D xsi:type="xsd:double"&gt;1069.65&lt;/D&gt;&lt;D xsi:type="xsd:double"&gt;1064.496&lt;/D&gt;&lt;D xsi:type="xsd:double"&gt;1122.051&lt;/D&gt;&lt;D xsi:type="xsd:double"&gt;1115.179&lt;/D&gt;&lt;D xsi:type="xsd:double"&gt;1073.807&lt;/D&gt;&lt;D xsi:type="xsd:double"&gt;1048.444&lt;/D&gt;&lt;D xsi:type="xsd:double"&gt;1167.798&lt;/D&gt;&lt;D xsi:type="xsd:double"&gt;1201.945&lt;/D&gt;&lt;D xsi:type="xsd:double"&gt;1223.964&lt;/D&gt;&lt;D xsi:type="xsd:double"&gt;1277.88&lt;/D&gt;&lt;D xsi:type="xsd:double"&gt;1325.205&lt;/D&gt;&lt;D xsi:type="xsd:double"&gt;1241.334&lt;/D&gt;&lt;D xsi:type="xsd:double"&gt;1335.023&lt;/D&gt;&lt;D xsi:type="xsd:double"&gt;1451.202&lt;/D&gt;&lt;D xsi:type="xsd:double"&gt;1448.888&lt;/D&gt;&lt;D xsi:type="xsd:double"&gt;1401.389&lt;/D&gt;&lt;D xsi:type="xsd:double"&gt;1461.792&lt;/D&gt;&lt;D xsi:type="xsd:double"&gt;1504.294&lt;/D&gt;&lt;D xsi:type="xsd:double"&gt;1588.111&lt;/D&gt;&lt;D xsi:type="xsd:double"&gt;1569.162&lt;/D&gt;&lt;D xsi:type="xsd:double"&gt;1633.145&lt;/D&gt;&lt;D xsi:type="xsd:double"&gt;1567.088&lt;/D&gt;&lt;D xsi:type="xsd:double"&gt;1607.601&lt;/D&gt;&lt;D xsi:type="xsd:double"&gt;1697.192&lt;/D&gt;&lt;D xsi:type="xsd:double"&gt;1631.812&lt;/D&gt;&lt;D xsi:type="xsd:double"&gt;1588.323&lt;/D&gt;&lt;/FQL&gt;&lt;FQL&gt;&lt;Q&gt;991000^JULIAN(FG_PRICE(2/27/2026,1/31/2000,M,USD).DATES)&lt;/Q&gt;&lt;R&gt;314&lt;/R&gt;&lt;C&gt;1&lt;/C&gt;&lt;D xsi:type="xsd:long"&gt;46080&lt;/D&gt;&lt;D xsi:type="xsd:long"&gt;46052&lt;/D&gt;&lt;D xsi:type="xsd:long"&gt;46022&lt;/D&gt;&lt;D xsi:type="xsd:long"&gt;45989&lt;/D&gt;&lt;D xsi:type="xsd:long"&gt;45961&lt;/D&gt;&lt;D xsi:type="xsd:long"&gt;45930&lt;/D&gt;&lt;D xsi:type="xsd:long"&gt;45898&lt;/D&gt;&lt;D xsi:type="xsd:long"&gt;45869&lt;/D&gt;&lt;D xsi:type="xsd:long"&gt;45838&lt;/D&gt;&lt;D xsi:type="xsd:long"&gt;45807&lt;/D&gt;&lt;D xsi:type="xsd:long"&gt;45777&lt;/D&gt;&lt;D xsi:type="xsd:long"&gt;45747&lt;/D&gt;&lt;D xsi:type="xsd:long"&gt;45716&lt;/D&gt;&lt;D xsi:type="xsd:long"&gt;45688&lt;/D&gt;&lt;D xsi:type="xsd:long"&gt;45657&lt;/D&gt;&lt;D xsi:type="xsd:long"&gt;45625&lt;/D&gt;&lt;D xsi:type="xsd:long"&gt;45596&lt;/D&gt;&lt;D xsi:type="xsd:long"&gt;45565&lt;/D&gt;&lt;D xsi:type="xsd:long"&gt;45534&lt;/D&gt;&lt;D xsi:type="xsd:long"&gt;45504&lt;/D&gt;&lt;D xsi:type="xsd:long"&gt;45471&lt;/D&gt;&lt;D xsi:type="xsd:long"&gt;45443&lt;/D&gt;&lt;D xsi:type="xsd:long"&gt;45412&lt;/D&gt;&lt;D xsi:type="xsd:long"&gt;45379&lt;/D&gt;&lt;D xsi:type="xsd:long"&gt;45351&lt;/D&gt;&lt;D xsi:type="xsd:long"&gt;45322&lt;/D&gt;&lt;D xsi:type="xsd:long"&gt;45289&lt;/D&gt;&lt;D xsi:type="xsd:long"&gt;45260&lt;/D&gt;&lt;D xsi:type="xsd:long"&gt;45230&lt;/D&gt;&lt;D xsi:type="xsd:long"&gt;45198&lt;/D&gt;&lt;D xsi:type="xsd:long"&gt;45169&lt;/D&gt;&lt;D xsi:type="xsd:long"&gt;45138&lt;/D&gt;&lt;D xsi:type="xsd:long"&gt;45107&lt;/D&gt;&lt;D xsi:type="xsd:long"&gt;45077&lt;/D&gt;&lt;D xsi:type="xsd:long"&gt;45044&lt;/D&gt;&lt;D xsi:type="xsd:long"&gt;45016&lt;/D&gt;&lt;D xsi:type="xsd:long"&gt;44985&lt;/D&gt;&lt;D xsi:type="xsd:long"&gt;44957&lt;/D&gt;&lt;D xsi:type="xsd:long"&gt;44925&lt;/D&gt;&lt;D xsi:type="xsd:long"&gt;44895&lt;/D&gt;&lt;D xsi:type="xsd:long"&gt;44865&lt;/D&gt;&lt;D xsi:type="xsd:long"&gt;44834&lt;/D&gt;&lt;D xsi:type="xsd:long"&gt;44804&lt;/D&gt;&lt;D xsi:type="xsd:long"&gt;44771&lt;/D&gt;&lt;D xsi:type="xsd:long"&gt;44742&lt;/D&gt;&lt;D xsi:type="xsd:long"&gt;44712&lt;/D&gt;&lt;D xsi:type="xsd:long"&gt;44680&lt;/D&gt;&lt;D xsi:type="xsd:long"&gt;44651&lt;/D&gt;&lt;D xsi:type="xsd:long"&gt;44620&lt;/D&gt;&lt;D xsi:type="xsd:long"&gt;44592&lt;/D&gt;&lt;D xsi:type="xsd:long"&gt;44561&lt;/D&gt;&lt;D xsi:type="xsd:long"&gt;44530&lt;/D&gt;&lt;D xsi:type="xsd:long"&gt;44498&lt;/D&gt;&lt;D xsi:type="xsd:long"&gt;44469&lt;/D&gt;&lt;D xsi:type="xsd:long"&gt;44439&lt;/D&gt;&lt;D xsi:type="xsd:long"&gt;44407&lt;/D&gt;&lt;D xsi:type="xsd:long"&gt;44377&lt;/D&gt;&lt;D xsi:type="xsd:long"&gt;44344&lt;/D&gt;&lt;D xsi:type="xsd:long"&gt;44316&lt;/D&gt;&lt;D xsi:type="xsd:long"&gt;44286&lt;/D&gt;&lt;D xsi:type="xsd:long"&gt;44253&lt;/D&gt;&lt;D xsi:type="xsd:long"&gt;44225&lt;/D&gt;&lt;D xsi:type="xsd:long"&gt;44196&lt;/D&gt;&lt;D xsi:type="xsd:long"&gt;44165&lt;/D&gt;&lt;D xsi:type="xsd:long"&gt;44134&lt;/D&gt;&lt;D xsi:type="xsd:long"&gt;44104&lt;/D&gt;&lt;D xsi:type="xsd:long"&gt;44074&lt;/D&gt;&lt;D xsi:type="xsd:long"&gt;44043&lt;/D&gt;&lt;D xsi:type="xsd:long"&gt;44012&lt;/D&gt;&lt;D xsi:type="xsd:long"&gt;43980&lt;/D&gt;&lt;D xsi:type="xsd:long"&gt;43951&lt;/D&gt;&lt;D xsi:type="xsd:long"&gt;43921&lt;/D&gt;&lt;D xsi:type="xsd:long"&gt;43889&lt;/D&gt;&lt;D xsi:type="xsd:long"&gt;43861&lt;/D&gt;&lt;D xsi:type="xsd:long"&gt;43830&lt;/D&gt;&lt;D xsi:type="xsd:long"&gt;43798&lt;/D&gt;&lt;D xsi:type="xsd:long"&gt;43769&lt;/D&gt;&lt;D xsi:type="xsd:long"&gt;43738&lt;/D&gt;&lt;D xsi:type="xsd:long"&gt;43707&lt;/D&gt;&lt;D xsi:type="xsd:long"&gt;43677&lt;/D&gt;&lt;D xsi:type="xsd:long"&gt;43644&lt;/D&gt;&lt;D xsi:type="xsd:long"&gt;43616&lt;/D&gt;&lt;D xsi:type="xsd:long"&gt;43585&lt;/D&gt;&lt;D xsi:type="xsd:long"&gt;43553&lt;/D&gt;&lt;D xsi:type="xsd:long"&gt;43524&lt;/D&gt;&lt;D xsi:type="xsd:long"&gt;43496&lt;/D&gt;&lt;D xsi:type="xsd:long"&gt;43465&lt;/D&gt;&lt;D xsi:type="xsd:long"&gt;43434&lt;/D&gt;&lt;D xsi:type="xsd:long"&gt;43404&lt;/D&gt;&lt;D xsi:type="xsd:long"&gt;43371&lt;/D&gt;&lt;D xsi:type="xsd:long"&gt;43343&lt;/D&gt;&lt;D xsi:type="xsd:long"&gt;43312&lt;/D&gt;&lt;D xsi:type="xsd:long"&gt;43280&lt;/D&gt;&lt;D xsi:type="xsd:long"&gt;43251&lt;/D&gt;&lt;D xsi:type="xsd:long"&gt;43220&lt;/D&gt;&lt;D xsi:type="xsd:long"&gt;43188&lt;/D&gt;&lt;D xsi:type="xsd:long"&gt;43159&lt;/D&gt;&lt;D xsi:type="xsd:long"&gt;43131&lt;/D&gt;&lt;D xsi:type="xsd:long"&gt;43098&lt;/D&gt;&lt;D xsi:type="xsd:long"&gt;43069&lt;/D&gt;&lt;D xsi:type="xsd:long"&gt;43039&lt;/D&gt;&lt;D xsi:type="xsd:long"&gt;43007&lt;/D&gt;&lt;D xsi:type="xsd:long"&gt;42978&lt;/D&gt;&lt;D xsi:type="xsd:long"&gt;42947&lt;/D&gt;&lt;D xsi:type="xsd:long"&gt;42916&lt;/D&gt;&lt;D xsi:type="xsd:long"&gt;42886&lt;/D&gt;&lt;D xsi:type="xsd:long"&gt;42853&lt;/D&gt;&lt;D xsi:type="xsd:long"&gt;42825&lt;/D&gt;&lt;D xsi:type="xsd:long"&gt;42794&lt;/D&gt;&lt;D xsi:type="xsd:long"&gt;42766&lt;/D&gt;&lt;D xsi:type="xsd:long"&gt;42734&lt;/D&gt;&lt;D xsi:type="xsd:long"&gt;42704&lt;/D&gt;&lt;D xsi:type="xsd:long"&gt;42674&lt;/D&gt;&lt;D xsi:type="xsd:long"&gt;42643&lt;/D&gt;&lt;D xsi:type="xsd:long"&gt;42613&lt;/D&gt;&lt;D xsi:type="xsd:long"&gt;42580&lt;/D&gt;&lt;D xsi:type="xsd:long"&gt;42551&lt;/D&gt;&lt;D xsi:type="xsd:long"&gt;42521&lt;/D&gt;&lt;D xsi:type="xsd:long"&gt;42489&lt;/D&gt;&lt;D xsi:type="xsd:long"&gt;42460&lt;/D&gt;&lt;D xsi:type="xsd:long"&gt;42429&lt;/D&gt;&lt;D xsi:type="xsd:long"&gt;42398&lt;/D&gt;&lt;D xsi:type="xsd:long"&gt;42369&lt;/D&gt;&lt;D xsi:type="xsd:long"&gt;42338&lt;/D&gt;&lt;D xsi:type="xsd:long"&gt;42307&lt;/D&gt;&lt;D xsi:type="xsd:long"&gt;42277&lt;/D&gt;&lt;D xsi:type="xsd:long"&gt;42247&lt;/D&gt;&lt;D xsi:type="xsd:long"&gt;42216&lt;/D&gt;&lt;D xsi:type="xsd:long"&gt;42185&lt;/D&gt;&lt;D xsi:type="xsd:long"&gt;42153&lt;/D&gt;&lt;D xsi:type="xsd:long"&gt;42124&lt;/D&gt;&lt;D xsi:type="xsd:long"&gt;42094&lt;/D&gt;&lt;D xsi:type="xsd:long"&gt;42062&lt;/D&gt;&lt;D xsi:type="xsd:long"&gt;42034&lt;/D&gt;&lt;D xsi:type="xsd:long"&gt;42004&lt;/D&gt;&lt;D xsi:type="xsd:long"&gt;41971&lt;/D&gt;&lt;D xsi:type="xsd:long"&gt;41943&lt;/D&gt;&lt;D xsi:type="xsd:long"&gt;41912&lt;/D&gt;&lt;D xsi:type="xsd:long"&gt;41880&lt;/D&gt;&lt;D xsi:type="xsd:long"&gt;41851&lt;/D&gt;&lt;D xsi:type="xsd:long"&gt;41820&lt;/D&gt;&lt;D xsi:type="xsd:long"&gt;41789&lt;/D&gt;&lt;D xsi:type="xsd:long"&gt;41759&lt;/D&gt;&lt;D xsi:type="xsd:long"&gt;41729&lt;/D&gt;&lt;D xsi:type="xsd:long"&gt;41698&lt;/D&gt;&lt;D xsi:type="xsd:long"&gt;41670&lt;/D&gt;&lt;D xsi:type="xsd:long"&gt;41639&lt;/D&gt;&lt;D xsi:type="xsd:long"&gt;41607&lt;/D&gt;&lt;D xsi:type="xsd:long"&gt;41578&lt;/D&gt;&lt;D xsi:type="xsd:long"&gt;41547&lt;/D&gt;&lt;D xsi:type="xsd:long"&gt;41516&lt;/D&gt;&lt;D xsi:type="xsd:long"&gt;41486&lt;/D&gt;&lt;D xsi:type="xsd:long"&gt;41453&lt;/D&gt;&lt;D xsi:type="xsd:long"&gt;41425&lt;/D&gt;&lt;D xsi:type="xsd:long"&gt;41394&lt;/D&gt;&lt;D xsi:type="xsd:long"&gt;41361&lt;/D&gt;&lt;D xsi:type="xsd:long"&gt;41333&lt;/D&gt;&lt;D xsi:type="xsd:long"&gt;41305&lt;/D&gt;&lt;D xsi:type="xsd:long"&gt;41274&lt;/D&gt;&lt;D xsi:type="xsd:long"&gt;41243&lt;/D&gt;&lt;D xsi:type="xsd:long"&gt;41213&lt;/D&gt;&lt;D xsi:type="xsd:long"&gt;41180&lt;/D&gt;&lt;D xsi:type="xsd:long"&gt;41152&lt;/D&gt;&lt;D xsi:type="xsd:long"&gt;41121&lt;/D&gt;&lt;D xsi:type="xsd:long"&gt;41089&lt;/D&gt;&lt;D xsi:type="xsd:long"&gt;41060&lt;/D&gt;&lt;D xsi:type="xsd:long"&gt;41029&lt;/D&gt;&lt;D xsi:type="xsd:long"&gt;40998&lt;/D&gt;&lt;D xsi:type="xsd:long"&gt;40968&lt;/D&gt;&lt;D xsi:type="xsd:long"&gt;40939&lt;/D&gt;&lt;D xsi:type="xsd:long"&gt;40907&lt;/D&gt;&lt;D xsi:type="xsd:long"&gt;40877&lt;/D&gt;&lt;D xsi:type="xsd:long"&gt;40847&lt;/D&gt;&lt;D xsi:type="xsd:long"&gt;40816&lt;/D&gt;&lt;D xsi:type="xsd:long"&gt;40786&lt;/D&gt;&lt;D xsi:type="xsd:long"&gt;40753&lt;/D&gt;&lt;D xsi:type="xsd:long"&gt;40724&lt;/D&gt;&lt;D xsi:type="xsd:long"&gt;40694&lt;/D&gt;&lt;D xsi:type="xsd:long"&gt;40662&lt;/D&gt;&lt;D xsi:type="xsd:long"&gt;40633&lt;/D&gt;&lt;D xsi:type="xsd:long"&gt;40602&lt;/D&gt;&lt;D xsi:type="xsd:long"&gt;40574&lt;/D&gt;&lt;D xsi:type="xsd:long"&gt;40543&lt;/D&gt;&lt;D xsi:type="xsd:long"&gt;40512&lt;/D&gt;&lt;D xsi:type="xsd:long"&gt;40480&lt;/D&gt;&lt;D xsi:type="xsd:long"&gt;40451&lt;/D&gt;&lt;D xsi:type="xsd:long"&gt;40421&lt;/D&gt;&lt;D xsi:type="xsd:long"&gt;40389&lt;/D&gt;&lt;D xsi:type="xsd:long"&gt;40359&lt;/D&gt;&lt;D xsi:type="xsd:long"&gt;40326&lt;/D&gt;&lt;D xsi:type="xsd:long"&gt;40298&lt;/D&gt;&lt;D xsi:type="xsd:long"&gt;40268&lt;/D&gt;&lt;D xsi:type="xsd:long"&gt;40235&lt;/D&gt;&lt;D xsi:type="xsd:long"&gt;40207&lt;/D&gt;&lt;D xsi:type="xsd:long"&gt;40178&lt;/D&gt;&lt;D xsi:type="xsd:long"&gt;40147&lt;/D&gt;&lt;D xsi:type="xsd:long"&gt;40116&lt;/D&gt;&lt;D xsi:type="xsd:long"&gt;40086&lt;/D&gt;&lt;D xsi:type="xsd:long"&gt;40056&lt;/D&gt;&lt;D xsi:type="xsd:long"&gt;40025&lt;/D&gt;&lt;D xsi:type="xsd:long"&gt;39994&lt;/D&gt;&lt;D xsi:type="xsd:long"&gt;39962&lt;/D&gt;&lt;D xsi:type="xsd:long"&gt;39933&lt;/D&gt;&lt;D xsi:type="xsd:long"&gt;39903&lt;/D&gt;&lt;D xsi:type="xsd:long"&gt;39871&lt;/D&gt;&lt;D xsi:type="xsd:long"&gt;39843&lt;/D&gt;&lt;D xsi:type="xsd:long"&gt;39813&lt;/D&gt;&lt;D xsi:type="xsd:long"&gt;39780&lt;/D&gt;&lt;D xsi:type="xsd:long"&gt;39752&lt;/D&gt;&lt;D xsi:type="xsd:long"&gt;39721&lt;/D&gt;&lt;D xsi:type="xsd:long"&gt;39689&lt;/D&gt;&lt;D xsi:type="xsd:long"&gt;39660&lt;/D&gt;&lt;D xsi:type="xsd:long"&gt;39629&lt;/D&gt;&lt;D xsi:type="xsd:long"&gt;39598&lt;/D&gt;&lt;D xsi:type="xsd:long"&gt;39568&lt;/D&gt;&lt;D xsi:type="xsd:long"&gt;39538&lt;/D&gt;&lt;D xsi:type="xsd:long"&gt;39507&lt;/D&gt;&lt;D xsi:type="xsd:long"&gt;39478&lt;/D&gt;&lt;D xsi:type="xsd:long"&gt;39447&lt;/D&gt;&lt;D xsi:type="xsd:long"&gt;39416&lt;/D&gt;&lt;D xsi:type="xsd:long"&gt;39386&lt;/D&gt;&lt;D xsi:type="xsd:long"&gt;39353&lt;/D&gt;&lt;D xsi:type="xsd:long"&gt;39325&lt;/D&gt;&lt;D xsi:type="xsd:long"&gt;39294&lt;/D&gt;&lt;D xsi:type="xsd:long"&gt;39262&lt;/D&gt;&lt;D xsi:type="xsd:long"&gt;39233&lt;/D&gt;&lt;D xsi:type="xsd:long"&gt;39202&lt;/D&gt;&lt;D xsi:type="xsd:long"&gt;39171&lt;/D&gt;&lt;D xsi:type="xsd:long"&gt;39141&lt;/D&gt;&lt;D xsi:type="xsd:long"&gt;39113&lt;/D&gt;&lt;D xsi:type="xsd:long"&gt;39080&lt;/D&gt;&lt;D xsi:type="xsd:long"&gt;39051&lt;/D&gt;&lt;D xsi:type="xsd:long"&gt;39021&lt;/D&gt;&lt;D xsi:type="xsd:long"&gt;38989&lt;/D&gt;&lt;D xsi:type="xsd:long"&gt;38960&lt;/D&gt;&lt;D xsi:type="xsd:long"&gt;38929&lt;/D&gt;&lt;D xsi:type="xsd:long"&gt;38898&lt;/D&gt;&lt;D xsi:type="xsd:long"&gt;38868&lt;/D&gt;&lt;D xsi:type="xsd:long"&gt;38835&lt;/D&gt;&lt;D xsi:type="xsd:long"&gt;38807&lt;/D&gt;&lt;D xsi:type="xsd:long"&gt;38776&lt;/D&gt;&lt;D xsi:type="xsd:long"&gt;38748&lt;/D&gt;&lt;D xsi:type="xsd:long"&gt;38716&lt;/D&gt;&lt;D xsi:type="xsd:long"&gt;38686&lt;/D&gt;&lt;D xsi:type="xsd:long"&gt;38656&lt;/D&gt;&lt;D xsi:type="xsd:long"&gt;38625&lt;/D&gt;&lt;D xsi:type="xsd:long"&gt;38595&lt;/D&gt;&lt;D xsi:type="xsd:long"&gt;38562&lt;/D&gt;&lt;D xsi:type="xsd:long"&gt;38533&lt;/D&gt;&lt;D xsi:type="xsd:long"&gt;38503&lt;/D&gt;&lt;D xsi:type="xsd:long"&gt;38471&lt;/D&gt;&lt;D xsi:type="xsd:long"&gt;38442&lt;/D&gt;&lt;D xsi:type="xsd:long"&gt;38411&lt;/D&gt;&lt;D xsi:type="xsd:long"&gt;38383&lt;/D&gt;&lt;D xsi:type="xsd:long"&gt;38352&lt;/D&gt;&lt;D xsi:type="xsd:long"&gt;38321&lt;/D&gt;&lt;D xsi:type="xsd:long"&gt;38289&lt;/D&gt;&lt;D xsi:type="xsd:long"&gt;38260&lt;/D&gt;&lt;D xsi:type="xsd:long"&gt;38230&lt;/D&gt;&lt;D xsi:type="xsd:long"&gt;38198&lt;/D&gt;&lt;D xsi:type="xsd:long"&gt;38168&lt;/D&gt;&lt;D xsi:type="xsd:long"&gt;38135&lt;/D&gt;&lt;D xsi:type="xsd:long"&gt;38107&lt;/D&gt;&lt;D xsi:type="xsd:long"&gt;38077&lt;/D&gt;&lt;D xsi:type="xsd:long"&gt;38044&lt;/D&gt;&lt;D xsi:type="xsd:long"&gt;38016&lt;/D&gt;&lt;D xsi:type="xsd:long"&gt;37986&lt;/D&gt;&lt;D xsi:type="xsd:long"&gt;37953&lt;/D&gt;&lt;D xsi:type="xsd:long"&gt;37925&lt;/D&gt;&lt;D xsi:type="xsd:long"&gt;37894&lt;/D&gt;&lt;D xsi:type="xsd:long"&gt;37862&lt;/D&gt;&lt;D xsi:type="xsd:long"&gt;37833&lt;/D&gt;&lt;D xsi:type="xsd:long"&gt;37802&lt;/D&gt;&lt;D xsi:type="xsd:long"&gt;37771&lt;/D&gt;&lt;D xsi:type="xsd:long"&gt;37741&lt;/D&gt;&lt;D xsi:type="xsd:long"&gt;37711&lt;/D&gt;&lt;D xsi:type="xsd:long"&gt;37680&lt;/D&gt;&lt;D xsi:type="xsd:long"&gt;37652&lt;/D&gt;&lt;D xsi:type="xsd:long"&gt;37621&lt;/D&gt;&lt;D xsi:type="xsd:long"&gt;37589&lt;/D&gt;&lt;D xsi:type="xsd:long"&gt;37560&lt;/D&gt;&lt;D xsi:type="xsd:long"&gt;37529&lt;/D&gt;&lt;D xsi:type="xsd:long"&gt;37498&lt;/D&gt;&lt;D xsi:type="xsd:long"&gt;37468&lt;/D&gt;&lt;D xsi:type="xsd:long"&gt;37435&lt;/D&gt;&lt;D xsi:type="xsd:long"&gt;37407&lt;/D&gt;&lt;D xsi:type="xsd:long"&gt;37376&lt;/D&gt;&lt;D xsi:type="xsd:long"&gt;37343&lt;/D&gt;&lt;D xsi:type="xsd:long"&gt;37315&lt;/D&gt;&lt;D xsi:type="xsd:long"&gt;37287&lt;/D&gt;&lt;D xsi:type="xsd:long"&gt;37256&lt;/D&gt;&lt;D xsi:type="xsd:long"&gt;37225&lt;/D&gt;&lt;D xsi:type="xsd:long"&gt;37195&lt;/D&gt;&lt;D xsi:type="xsd:long"&gt;37162&lt;/D&gt;&lt;D xsi:type="xsd:long"&gt;37134&lt;/D&gt;&lt;D xsi:type="xsd:long"&gt;37103&lt;/D&gt;&lt;D xsi:type="xsd:long"&gt;37071&lt;/D&gt;&lt;D xsi:type="xsd:long"&gt;37042&lt;/D&gt;&lt;D xsi:type="xsd:long"&gt;37011&lt;/D&gt;&lt;D xsi:type="xsd:long"&gt;36980&lt;/D&gt;&lt;D xsi:type="xsd:long"&gt;36950&lt;/D&gt;&lt;D xsi:type="xsd:long"&gt;36922&lt;/D&gt;&lt;D xsi:type="xsd:long"&gt;36889&lt;/D&gt;&lt;D xsi:type="xsd:long"&gt;36860&lt;/D&gt;&lt;D xsi:type="xsd:long"&gt;36830&lt;/D&gt;&lt;D xsi:type="xsd:long"&gt;36798&lt;/D&gt;&lt;D xsi:type="xsd:long"&gt;36769&lt;/D&gt;&lt;D xsi:type="xsd:long"&gt;36738&lt;/D&gt;&lt;D xsi:type="xsd:long"&gt;36707&lt;/D&gt;&lt;D xsi:type="xsd:long"&gt;36677&lt;/D&gt;&lt;D xsi:type="xsd:long"&gt;36644&lt;/D&gt;&lt;D xsi:type="xsd:long"&gt;36616&lt;/D&gt;&lt;D xsi:type="xsd:long"&gt;36585&lt;/D&gt;&lt;D xsi:type="xsd:long"&gt;36556&lt;/D&gt;&lt;/FQL&gt;&lt;FQL&gt;&lt;Q&gt;892400^FG_PRICE(2/27/2026,1/31/2000,M,USD)&lt;/Q&gt;&lt;R&gt;314&lt;/R&gt;&lt;C&gt;1&lt;/C&gt;&lt;D xsi:type="xsd:double"&gt;1056.764821&lt;/D&gt;&lt;D xsi:type="xsd:double"&gt;1044.257064&lt;/D&gt;&lt;D xsi:type="xsd:double"&gt;1014.623331&lt;/D&gt;&lt;D xsi:type="xsd:double"&gt;1005.138919&lt;/D&gt;&lt;D xsi:type="xsd:double"&gt;1006.23243&lt;/D&gt;&lt;D xsi:type="xsd:double"&gt;984.781269&lt;/D&gt;&lt;D xsi:type="xsd:double"&gt;951.56782&lt;/D&gt;&lt;D xsi:type="xsd:double"&gt;929.620497&lt;/D&gt;&lt;D xsi:type="xsd:double"&gt;917.893023&lt;/D&gt;&lt;D xsi:type="xsd:double"&gt;879.495992&lt;/D&gt;&lt;D xsi:type="xsd:double"&gt;833.537528&lt;/D&gt;&lt;D xsi:type="xsd:double"&gt;827.154603&lt;/D&gt;&lt;D xsi:type="xsd:double"&gt;862.948986&lt;/D&gt;&lt;D xsi:type="xsd:double"&gt;869.039821&lt;/D&gt;&lt;D xsi:type="xsd:double"&gt;841.332072&lt;/D&gt;&lt;D xsi:type="xsd:double"&gt;862.488884&lt;/D&gt;&lt;D xsi:type="xsd:double"&gt;832.302823&lt;/D&gt;&lt;D xsi:type="xsd:double"&gt;851.783138&lt;/D&gt;&lt;D xsi:type="xsd:double"&gt;833.681831&lt;/D&gt;&lt;D xsi:type="xsd:double"&gt;814.155372&lt;/D&gt;&lt;D xsi:type="xsd:double"&gt;802.009859&lt;/D&gt;&lt;D xsi:type="xsd:double"&gt;785.536924&lt;/D&gt;&lt;D xsi:type="xsd:double"&gt;756.608886&lt;/D&gt;&lt;D xsi:type="xsd:double"&gt;783.172134&lt;/D&gt;&lt;D xsi:type="xsd:double"&gt;761.282046&lt;/D&gt;&lt;D xsi:type="xsd:double"&gt;730.838256&lt;/D&gt;&lt;D xsi:type="xsd:double"&gt;726.995723&lt;/D&gt;&lt;D xsi:type="xsd:double"&gt;694.379875&lt;/D&gt;&lt;D xsi:type="xsd:double"&gt;636.654588&lt;/D&gt;&lt;D xsi:type="xsd:double"&gt;656.820133&lt;/D&gt;&lt;D xsi:type="xsd:double"&gt;686.150393&lt;/D&gt;&lt;D xsi:type="xsd:double"&gt;707.109431&lt;/D&gt;&lt;D xsi:type="xsd:double"&gt;682.841342&lt;/D&gt;&lt;D xsi:type="xsd:double"&gt;646.374663&lt;/D&gt;&lt;D xsi:type="xsd:double"&gt;654.996704&lt;/D&gt;&lt;D xsi:type="xsd:double"&gt;646.762076&lt;/D&gt;&lt;D xsi:type="xsd:double"&gt;629.022887&lt;/D&gt;&lt;D xsi:type="xsd:double"&gt;648.365288&lt;/D&gt;&lt;D xsi:type="xsd:double"&gt;605.382332&lt;/D&gt;&lt;D xsi:type="xsd:double"&gt;630.91839&lt;/D&gt;&lt;D xsi:type="xsd:double"&gt;586.37446&lt;/D&gt;&lt;D xsi:type="xsd:double"&gt;553.371279&lt;/D&gt;&lt;D xsi:type="xsd:double"&gt;613.106716&lt;/D&gt;&lt;D xsi:type="xsd:double"&gt;637.717121&lt;/D&gt;&lt;D xsi:type="xsd:double"&gt;596.773933&lt;/D&gt;&lt;D xsi:type="xsd:double"&gt;652.814217&lt;/D&gt;&lt;D xsi:type="xsd:double"&gt;653.667041&lt;/D&gt;&lt;D xsi:type="xsd:double"&gt;711.557718&lt;/D&gt;&lt;D xsi:type="xsd:double"&gt;698.020195&lt;/D&gt;&lt;D xsi:type="xsd:double"&gt;717.375482&lt;/D&gt;&lt;D xsi:type="xsd:double"&gt;754.828116&lt;/D&gt;&lt;D xsi:type="xsd:double"&gt;726.531441&lt;/D&gt;&lt;D xsi:type="xsd:double"&gt;745.228628&lt;/D&gt;&lt;D xsi:type="xsd:double"&gt;709.511987&lt;/D&gt;&lt;D xsi:type="xsd:double"&gt;741.270534&lt;/D&gt;&lt;D xsi:type="xsd:double"&gt;724.208978&lt;/D&gt;&lt;D xsi:type="xsd:double"&gt;719.969961&lt;/D&gt;&lt;D xsi:type="xsd:double"&gt;711.151893&lt;/D&gt;&lt;D xsi:type="xsd:double"&gt;701.830048&lt;/D&gt;&lt;D xsi:type="xsd:double"&gt;673.28772&lt;/D&gt;&lt;D xsi:type="xsd:double"&gt;657.146234&lt;/D&gt;&lt;D xsi:type="xsd:double"&gt;642.906565&lt;/D&gt;&lt;D xsi:type="xsd:double"&gt;646.268342&lt;/D&gt;&lt;D xsi:type="xsd:double"&gt;618.265741&lt;/D&gt;&lt;D xsi:type="xsd:double"&gt;550.99536&lt;/D&gt;&lt;D xsi:type="xsd:double"&gt;565.148482&lt;/D&gt;&lt;D xsi:type="xsd:double"&gt;584.863934&lt;/D&gt;&lt;D xsi:type="xsd:double"&gt;551.894367&lt;/D&gt;&lt;D xsi:type="xsd:double"&gt;524.90763&lt;/D&gt;&lt;D xsi:type="xsd:double"&gt;509.470339&lt;/D&gt;&lt;D xsi:type="xsd:double"&gt;489.168665&lt;/D&gt;&lt;D xsi:type="xsd:double"&gt;442.346476&lt;/D&gt;&lt;D xsi:type="xsd:double"&gt;512.757315&lt;/D&gt;&lt;D xsi:type="xsd:double"&gt;558.621185&lt;/D&gt;&lt;D xsi:type="xsd:double"&gt;565.243908&lt;/D&gt;&lt;D xsi:type="xsd:double"&gt;546.694995&lt;/D&gt;&lt;D xsi:type="xsd:double"&gt;534.411202&lt;/D&gt;&lt;D xsi:type="xsd:double"&gt;520.650885&lt;/D&gt;&lt;D xsi:type="xsd:double"&gt;510.877078&lt;/D&gt;&lt;D xsi:type="xsd:double"&gt;524.350295&lt;/D&gt;&lt;D xsi:type="xsd:double"&gt;523.442032&lt;/D&gt;&lt;D xsi:type="xsd:double"&gt;492.115297&lt;/D&gt;&lt;D xsi:type="xsd:double"&gt;524.843809&lt;/D&gt;&lt;D xsi:type="xsd:double"&gt;508.54849&lt;/D&gt;&lt;D xsi:type="xsd:double"&gt;503.480569&lt;/D&gt;&lt;D xsi:type="xsd:double"&gt;491.194144&lt;/D&gt;&lt;D xsi:type="xsd:double"&gt;455.662175&lt;/D&gt;&lt;D xsi:type="xsd:double"&gt;490.857326&lt;/D&gt;&lt;D xsi:type="xsd:double"&gt;484.570966&lt;/D&gt;&lt;D xsi:type="xsd:double"&gt;524.252671&lt;/D&gt;&lt;D xsi:type="xsd:double"&gt;522.881007&lt;/D&gt;&lt;D xsi:type="xsd:double"&gt;519.817935&lt;/D&gt;&lt;D xsi:type="xsd:double"&gt;505.198233&lt;/D&gt;&lt;D xsi:type="xsd:double"&gt;508.769038&lt;/D&gt;&lt;D xsi:type="xsd:double"&gt;509.693782&lt;/D&gt;&lt;D xsi:type="xsd:double"&gt;505.440105&lt;/D&gt;&lt;D xsi:type="xsd:double"&gt;518.079101&lt;/D&gt;&lt;D xsi:type="xsd:double"&gt;541.673257&lt;/D&gt;&lt;D xsi:type="xsd:double"&gt;513.025948&lt;/D&gt;&lt;D xsi:type="xsd:double"&gt;505.442384&lt;/D&gt;&lt;D xsi:type="xsd:double"&gt;496.624669&lt;/D&gt;&lt;D xsi:type="xsd:double"&gt;486.878674&lt;/D&gt;&lt;D xsi:type="xsd:double"&gt;478.405615&lt;/D&gt;&lt;D xsi:type="xsd:double"&gt;477.583466&lt;/D&gt;&lt;D xsi:type="xsd:double"&gt;465.087899&lt;/D&gt;&lt;D xsi:type="xsd:double"&gt;463.794072&lt;/D&gt;&lt;D xsi:type="xsd:double"&gt;455.173439&lt;/D&gt;&lt;D xsi:type="xsd:double"&gt;448.866378&lt;/D&gt;&lt;D xsi:type="xsd:double"&gt;444.5033&lt;/D&gt;&lt;D xsi:type="xsd:double"&gt;433.128319&lt;/D&gt;&lt;D xsi:type="xsd:double"&gt;421.839407&lt;/D&gt;&lt;D xsi:type="xsd:double"&gt;413.429691&lt;/D&gt;&lt;D xsi:type="xsd:double"&gt;411.014994&lt;/D&gt;&lt;D xsi:type="xsd:double"&gt;418.43435&lt;/D&gt;&lt;D xsi:type="xsd:double"&gt;416.613462&lt;/D&gt;&lt;D xsi:type="xsd:double"&gt;416.08836&lt;/D&gt;&lt;D xsi:type="xsd:double"&gt;399.289731&lt;/D&gt;&lt;D xsi:type="xsd:double"&gt;402.574386&lt;/D&gt;&lt;D xsi:type="xsd:double"&gt;403.339675&lt;/D&gt;&lt;D xsi:type="xsd:double"&gt;398.255485&lt;/D&gt;&lt;D xsi:type="xsd:double"&gt;371.66232&lt;/D&gt;&lt;D xsi:type="xsd:double"&gt;375.016737&lt;/D&gt;&lt;D xsi:type="xsd:double"&gt;399.362433&lt;/D&gt;&lt;D xsi:type="xsd:double"&gt;407.197126&lt;/D&gt;&lt;D xsi:type="xsd:double"&gt;411.249061&lt;/D&gt;&lt;D xsi:type="xsd:double"&gt;381.651191&lt;/D&gt;&lt;D xsi:type="xsd:double"&gt;396.733306&lt;/D&gt;&lt;D xsi:type="xsd:double"&gt;426.781417&lt;/D&gt;&lt;D xsi:type="xsd:double"&gt;423.509388&lt;/D&gt;&lt;D xsi:type="xsd:double"&gt;434.514758&lt;/D&gt;&lt;D xsi:type="xsd:double"&gt;436.296098&lt;/D&gt;&lt;D xsi:type="xsd:double"&gt;424.758438&lt;/D&gt;&lt;D xsi:type="xsd:double"&gt;432.474304&lt;/D&gt;&lt;D xsi:type="xsd:double"&gt;410.327879&lt;/D&gt;&lt;D xsi:type="xsd:double"&gt;417.120335&lt;/D&gt;&lt;D xsi:type="xsd:double"&gt;425.821425&lt;/D&gt;&lt;D xsi:type="xsd:double"&gt;419.450861&lt;/D&gt;&lt;D xsi:type="xsd:double"&gt;416.850208&lt;/D&gt;&lt;D xsi:type="xsd:double"&gt;431.549445&lt;/D&gt;&lt;D xsi:type="xsd:double"&gt;423.043056&lt;/D&gt;&lt;D xsi:type="xsd:double"&gt;428.746303&lt;/D&gt;&lt;D xsi:type="xsd:double"&gt;421.534151&lt;/D&gt;&lt;D xsi:type="xsd:double"&gt;414.094018&lt;/D&gt;&lt;D xsi:type="xsd:double"&gt;411.021308&lt;/D&gt;&lt;D xsi:type="xsd:double"&gt;410.129422&lt;/D&gt;&lt;D xsi:type="xsd:double"&gt;391.921084&lt;/D&gt;&lt;D xsi:type="xsd:double"&gt;408.548765&lt;/D&gt;&lt;D xsi:type="xsd:double"&gt;402.047494&lt;/D&gt;&lt;D xsi:type="xsd:double"&gt;397.109359&lt;/D&gt;&lt;D xsi:type="xsd:double"&gt;382.069953&lt;/D&gt;&lt;D xsi:type="xsd:double"&gt;363.976137&lt;/D&gt;&lt;D xsi:type="xsd:double"&gt;372.489791&lt;/D&gt;&lt;D xsi:type="xsd:double"&gt;355.811311&lt;/D&gt;&lt;D xsi:type="xsd:double"&gt;367.1948&lt;/D&gt;&lt;D xsi:type="xsd:double"&gt;369.422027&lt;/D&gt;&lt;D xsi:type="xsd:double"&gt;359.982493&lt;/D&gt;&lt;D xsi:type="xsd:double"&gt;354.430356&lt;/D&gt;&lt;D xsi:type="xsd:double"&gt;355.101601&lt;/D&gt;&lt;D xsi:type="xsd:double"&gt;339.749192&lt;/D&gt;&lt;D xsi:type="xsd:double"&gt;332.641809&lt;/D&gt;&lt;D xsi:type="xsd:double"&gt;329.067024&lt;/D&gt;&lt;D xsi:type="xsd:double"&gt;331.577595&lt;/D&gt;&lt;D xsi:type="xsd:double"&gt;322.13655&lt;/D&gt;&lt;D xsi:type="xsd:double"&gt;316.023655&lt;/D&gt;&lt;D xsi:type="xsd:double"&gt;312.110836&lt;/D&gt;&lt;D xsi:type="xsd:double"&gt;297.984611&lt;/D&gt;&lt;D xsi:type="xsd:double"&gt;328.67259&lt;/D&gt;&lt;D xsi:type="xsd:double"&gt;333.297311&lt;/D&gt;&lt;D xsi:type="xsd:double"&gt;331.927427&lt;/D&gt;&lt;D xsi:type="xsd:double"&gt;316.654852&lt;/D&gt;&lt;D xsi:type="xsd:double"&gt;299.510738&lt;/D&gt;&lt;D xsi:type="xsd:double"&gt;300.446747&lt;/D&gt;&lt;D xsi:type="xsd:double"&gt;310.434215&lt;/D&gt;&lt;D xsi:type="xsd:double"&gt;280.639409&lt;/D&gt;&lt;D xsi:type="xsd:double"&gt;310.617982&lt;/D&gt;&lt;D xsi:type="xsd:double"&gt;335.896061&lt;/D&gt;&lt;D xsi:type="xsd:double"&gt;341.817036&lt;/D&gt;&lt;D xsi:type="xsd:double"&gt;347.895734&lt;/D&gt;&lt;D xsi:type="xsd:double"&gt;356.902207&lt;/D&gt;&lt;D xsi:type="xsd:double"&gt;343.640481&lt;/D&gt;&lt;D xsi:type="xsd:double"&gt;344.822572&lt;/D&gt;&lt;D xsi:type="xsd:double"&gt;335.58085&lt;/D&gt;&lt;D xsi:type="xsd:double"&gt;330.63638&lt;/D&gt;&lt;D xsi:type="xsd:double"&gt;308.381103&lt;/D&gt;&lt;D xsi:type="xsd:double"&gt;315.946653&lt;/D&gt;&lt;D xsi:type="xsd:double"&gt;305.163525&lt;/D&gt;&lt;D xsi:type="xsd:double"&gt;279.064262&lt;/D&gt;&lt;D xsi:type="xsd:double"&gt;289.751058&lt;/D&gt;&lt;D xsi:type="xsd:double"&gt;268.247293&lt;/D&gt;&lt;D xsi:type="xsd:double"&gt;276.921406&lt;/D&gt;&lt;D xsi:type="xsd:double"&gt;307.347819&lt;/D&gt;&lt;D xsi:type="xsd:double"&gt;307.404434&lt;/D&gt;&lt;D xsi:type="xsd:double"&gt;289.497382&lt;/D&gt;&lt;D xsi:type="xsd:double"&gt;286.327287&lt;/D&gt;&lt;D xsi:type="xsd:double"&gt;299.435157&lt;/D&gt;&lt;D xsi:type="xsd:double"&gt;293.666632&lt;/D&gt;&lt;D xsi:type="xsd:double"&gt;282.588492&lt;/D&gt;&lt;D xsi:type="xsd:double"&gt;287.232419&lt;/D&gt;&lt;D xsi:type="xsd:double"&gt;275.09561&lt;/D&gt;&lt;D xsi:type="xsd:double"&gt;266.14184&lt;/D&gt;&lt;D xsi:type="xsd:double"&gt;244.904905&lt;/D&gt;&lt;D xsi:type="xsd:double"&gt;246.693769&lt;/D&gt;&lt;D xsi:type="xsd:double"&gt;225.240834&lt;/D&gt;&lt;D xsi:type="xsd:double"&gt;202.036078&lt;/D&gt;&lt;D xsi:type="xsd:double"&gt;187.167649&lt;/D&gt;&lt;D xsi:type="xsd:double"&gt;208.022741&lt;/D&gt;&lt;D xsi:type="xsd:double"&gt;227.6834&lt;/D&gt;&lt;D xsi:type="xsd:double"&gt;220.049573&lt;/D&gt;&lt;D xsi:type="xsd:double"&gt;236.111398&lt;/D&gt;&lt;D xsi:type="xsd:double"&gt;294.790289&lt;/D&gt;&lt;D xsi:type="xsd:double"&gt;337.612025&lt;/D&gt;&lt;D xsi:type="xsd:double"&gt;345.745524&lt;/D&gt;&lt;D xsi:type="xsd:double"&gt;355.397974&lt;/D&gt;&lt;D xsi:type="xsd:double"&gt;387.748348&lt;/D&gt;&lt;D xsi:type="xsd:double"&gt;383.299953&lt;/D&gt;&lt;D xsi:type="xsd:double"&gt;363.985082&lt;/D&gt;&lt;D xsi:type="xsd:double"&gt;370.41087&lt;/D&gt;&lt;D xsi:type="xsd:double"&gt;369.934914&lt;/D&gt;&lt;D xsi:type="xsd:double"&gt;403.251031&lt;/D&gt;&lt;D xsi:type="xsd:double"&gt;408.104941&lt;/D&gt;&lt;D xsi:type="xsd:double"&gt;427.634226&lt;/D&gt;&lt;D xsi:type="xsd:double"&gt;411.922735&lt;/D&gt;&lt;D xsi:type="xsd:double"&gt;391.493732&lt;/D&gt;&lt;D xsi:type="xsd:double"&gt;393.343983&lt;/D&gt;&lt;D xsi:type="xsd:double"&gt;399.786765&lt;/D&gt;&lt;D xsi:type="xsd:double"&gt;401.520069&lt;/D&gt;&lt;D xsi:type="xsd:double"&gt;391.143711&lt;/D&gt;&lt;D xsi:type="xsd:double"&gt;375.299506&lt;/D&gt;&lt;D xsi:type="xsd:double"&gt;368.777039&lt;/D&gt;&lt;D xsi:type="xsd:double"&gt;371.202209&lt;/D&gt;&lt;D xsi:type="xsd:double"&gt;367.783807&lt;/D&gt;&lt;D xsi:type="xsd:double"&gt;360.042929&lt;/D&gt;&lt;D xsi:type="xsd:double"&gt;350.749546&lt;/D&gt;&lt;D xsi:type="xsd:double"&gt;338.275888&lt;/D&gt;&lt;D xsi:type="xsd:double"&gt;334.809047&lt;/D&gt;&lt;D xsi:type="xsd:double"&gt;327.036802&lt;/D&gt;&lt;D xsi:type="xsd:double"&gt;325.107967&lt;/D&gt;&lt;D xsi:type="xsd:double"&gt;325.738174&lt;/D&gt;&lt;D xsi:type="xsd:double"&gt;340.189841&lt;/D&gt;&lt;D xsi:type="xsd:double"&gt;329.790669&lt;/D&gt;&lt;D xsi:type="xsd:double"&gt;323.744612&lt;/D&gt;&lt;D xsi:type="xsd:double"&gt;324.658133&lt;/D&gt;&lt;D xsi:type="xsd:double"&gt;309.630121&lt;/D&gt;&lt;D xsi:type="xsd:double"&gt;302.432444&lt;/D&gt;&lt;D xsi:type="xsd:double"&gt;292.318924&lt;/D&gt;&lt;D xsi:type="xsd:double"&gt;300.60397&lt;/D&gt;&lt;D xsi:type="xsd:double"&gt;292.202123&lt;/D&gt;&lt;D xsi:type="xsd:double"&gt;290.570387&lt;/D&gt;&lt;D xsi:type="xsd:double"&gt;280.437913&lt;/D&gt;&lt;D xsi:type="xsd:double"&gt;278.073808&lt;/D&gt;&lt;D xsi:type="xsd:double"&gt;273.702214&lt;/D&gt;&lt;D xsi:type="xsd:double"&gt;280.511691&lt;/D&gt;&lt;D xsi:type="xsd:double"&gt;287.494051&lt;/D&gt;&lt;D xsi:type="xsd:double"&gt;278.299376&lt;/D&gt;&lt;D xsi:type="xsd:double"&gt;284.520521&lt;/D&gt;&lt;D xsi:type="xsd:double"&gt;274.170483&lt;/D&gt;&lt;D xsi:type="xsd:double"&gt;260.379094&lt;/D&gt;&lt;D xsi:type="xsd:double"&gt;254.373356&lt;/D&gt;&lt;D xsi:type="xsd:double"&gt;249.506809&lt;/D&gt;&lt;D xsi:type="xsd:double"&gt;248.450893&lt;/D&gt;&lt;D xsi:type="xsd:double"&gt;256.894805&lt;/D&gt;&lt;D xsi:type="xsd:double"&gt;252.174303&lt;/D&gt;&lt;D xsi:type="xsd:double"&gt;250.931966&lt;/D&gt;&lt;D xsi:type="xsd:double"&gt;257.43039&lt;/D&gt;&lt;D xsi:type="xsd:double"&gt;259.511149&lt;/D&gt;&lt;D xsi:type="xsd:double"&gt;255.195006&lt;/D&gt;&lt;D xsi:type="xsd:double"&gt;251.131118&lt;/D&gt;&lt;D xsi:type="xsd:double"&gt;236.42411&lt;/D&gt;&lt;D xsi:type="xsd:double"&gt;233.23615&lt;/D&gt;&lt;D xsi:type="xsd:double"&gt;220.151284&lt;/D&gt;&lt;D xsi:type="xsd:double"&gt;219.098102&lt;/D&gt;&lt;D xsi:type="xsd:double"&gt;214.455124&lt;/D&gt;&lt;D xsi:type="xsd:double"&gt;210.07926&lt;/D&gt;&lt;D xsi:type="xsd:double"&gt;206.535303&lt;/D&gt;&lt;D xsi:type="xsd:double"&gt;195.752801&lt;/D&gt;&lt;D xsi:type="xsd:double"&gt;180.201&lt;/D&gt;&lt;D xsi:type="xsd:double"&gt;181.416&lt;/D&gt;&lt;D xsi:type="xsd:double"&gt;185.033&lt;/D&gt;&lt;D xsi:type="xsd:double"&gt;190.797&lt;/D&gt;&lt;D xsi:type="xsd:double"&gt;200.604&lt;/D&gt;&lt;D xsi:type="xsd:double"&gt;190.489&lt;/D&gt;&lt;D xsi:type="xsd:double"&gt;177.625&lt;/D&gt;&lt;D xsi:type="xsd:double"&gt;199.846&lt;/D&gt;&lt;D xsi:type="xsd:double"&gt;199.729&lt;/D&gt;&lt;D xsi:type="xsd:double"&gt;218.252&lt;/D&gt;&lt;D xsi:type="xsd:double"&gt;232.824&lt;/D&gt;&lt;D xsi:type="xsd:double"&gt;233.131&lt;/D&gt;&lt;D xsi:type="xsd:double"&gt;241.613&lt;/D&gt;&lt;D xsi:type="xsd:double"&gt;231.208&lt;/D&gt;&lt;D xsi:type="xsd:double"&gt;233.258&lt;/D&gt;&lt;D xsi:type="xsd:double"&gt;240.033&lt;/D&gt;&lt;D xsi:type="xsd:double"&gt;238&lt;/D&gt;&lt;D xsi:type="xsd:double"&gt;224.482&lt;/D&gt;&lt;D xsi:type="xsd:double"&gt;219.961&lt;/D&gt;&lt;D xsi:type="xsd:double"&gt;242.414&lt;/D&gt;&lt;D xsi:type="xsd:double"&gt;254.542&lt;/D&gt;&lt;D xsi:type="xsd:double"&gt;258.844&lt;/D&gt;&lt;D xsi:type="xsd:double"&gt;267.374&lt;/D&gt;&lt;D xsi:type="xsd:double"&gt;271.089&lt;/D&gt;&lt;D xsi:type="xsd:double"&gt;253.117&lt;/D&gt;&lt;D xsi:type="xsd:double"&gt;271.968&lt;/D&gt;&lt;D xsi:type="xsd:double"&gt;297.271&lt;/D&gt;&lt;D xsi:type="xsd:double"&gt;290.113&lt;/D&gt;&lt;D xsi:type="xsd:double"&gt;285.682&lt;/D&gt;&lt;D xsi:type="xsd:double"&gt;304.895&lt;/D&gt;&lt;D xsi:type="xsd:double"&gt;311.309&lt;/D&gt;&lt;D xsi:type="xsd:double"&gt;329.761&lt;/D&gt;&lt;D xsi:type="xsd:double"&gt;320.16&lt;/D&gt;&lt;D xsi:type="xsd:double"&gt;330.209&lt;/D&gt;&lt;D xsi:type="xsd:double"&gt;319.776&lt;/D&gt;&lt;D xsi:type="xsd:double"&gt;328.684&lt;/D&gt;&lt;D xsi:type="xsd:double"&gt;344.498&lt;/D&gt;&lt;D xsi:type="xsd:double"&gt;323.592&lt;/D&gt;&lt;D xsi:type="xsd:double"&gt;322.834&lt;/D&gt;&lt;/FQL&gt;&lt;FQL&gt;&lt;Q&gt;892400^JULIAN(FG_PRICE(2/27/2026,1/31/2000,M,USD).DATES)&lt;/Q&gt;&lt;R&gt;314&lt;/R&gt;&lt;C&gt;1&lt;/C&gt;&lt;D xsi:type="xsd:long"&gt;46080&lt;/D&gt;&lt;D xsi:type="xsd:long"&gt;46052&lt;/D&gt;&lt;D xsi:type="xsd:long"&gt;46022&lt;/D&gt;&lt;D xsi:type="xsd:long"&gt;45989&lt;/D&gt;&lt;D xsi:type="xsd:long"&gt;45961&lt;/D&gt;&lt;D xsi:type="xsd:long"&gt;45930&lt;/D&gt;&lt;D xsi:type="xsd:long"&gt;45898&lt;/D&gt;&lt;D xsi:type="xsd:long"&gt;45869&lt;/D&gt;&lt;D xsi:type="xsd:long"&gt;45838&lt;/D&gt;&lt;D xsi:type="xsd:long"&gt;45807&lt;/D&gt;&lt;D xsi:type="xsd:long"&gt;45777&lt;/D&gt;&lt;D xsi:type="xsd:long"&gt;45747&lt;/D&gt;&lt;D xsi:type="xsd:long"&gt;45716&lt;/D&gt;&lt;D xsi:type="xsd:long"&gt;45688&lt;/D&gt;&lt;D xsi:type="xsd:long"&gt;45657&lt;/D&gt;&lt;D xsi:type="xsd:long"&gt;45625&lt;/D&gt;&lt;D xsi:type="xsd:long"&gt;45596&lt;/D&gt;&lt;D xsi:type="xsd:long"&gt;45565&lt;/D&gt;&lt;D xsi:type="xsd:long"&gt;45534&lt;/D&gt;&lt;D xsi:type="xsd:long"&gt;45504&lt;/D&gt;&lt;D xsi:type="xsd:long"&gt;45471&lt;/D&gt;&lt;D xsi:type="xsd:long"&gt;45443&lt;/D&gt;&lt;D xsi:type="xsd:long"&gt;45412&lt;/D&gt;&lt;D xsi:type="xsd:long"&gt;45379&lt;/D&gt;&lt;D xsi:type="xsd:long"&gt;45351&lt;/D&gt;&lt;D xsi:type="xsd:long"&gt;45322&lt;/D&gt;&lt;D xsi:type="xsd:long"&gt;45289&lt;/D&gt;&lt;D xsi:type="xsd:long"&gt;45260&lt;/D&gt;&lt;D xsi:type="xsd:long"&gt;45230&lt;/D&gt;&lt;D xsi:type="xsd:long"&gt;45198&lt;/D&gt;&lt;D xsi:type="xsd:long"&gt;45169&lt;/D&gt;&lt;D xsi:type="xsd:long"&gt;45138&lt;/D&gt;&lt;D xsi:type="xsd:long"&gt;45107&lt;/D&gt;&lt;D xsi:type="xsd:long"&gt;45077&lt;/D&gt;&lt;D xsi:type="xsd:long"&gt;45044&lt;/D&gt;&lt;D xsi:type="xsd:long"&gt;45016&lt;/D&gt;&lt;D xsi:type="xsd:long"&gt;44985&lt;/D&gt;&lt;D xsi:type="xsd:long"&gt;44957&lt;/D&gt;&lt;D xsi:type="xsd:long"&gt;44925&lt;/D&gt;&lt;D xsi:type="xsd:long"&gt;44895&lt;/D&gt;&lt;D xsi:type="xsd:long"&gt;44865&lt;/D&gt;&lt;D xsi:type="xsd:long"&gt;44834&lt;/D&gt;&lt;D xsi:type="xsd:long"&gt;44804&lt;/D&gt;&lt;D xsi:type="xsd:long"&gt;44771&lt;/D&gt;&lt;D xsi:type="xsd:long"&gt;44742&lt;/D&gt;&lt;D xsi:type="xsd:long"&gt;44712&lt;/D&gt;&lt;D xsi:type="xsd:long"&gt;44680&lt;/D&gt;&lt;D xsi:type="xsd:long"&gt;44651&lt;/D&gt;&lt;D xsi:type="xsd:long"&gt;44620&lt;/D&gt;&lt;D xsi:type="xsd:long"&gt;44592&lt;/D&gt;&lt;D xsi:type="xsd:long"&gt;44561&lt;/D&gt;&lt;D xsi:type="xsd:long"&gt;44530&lt;/D&gt;&lt;D xsi:type="xsd:long"&gt;44498&lt;/D&gt;&lt;D xsi:type="xsd:long"&gt;44469&lt;/D&gt;&lt;D xsi:type="xsd:long"&gt;44439&lt;/D&gt;&lt;D xsi:type="xsd:long"&gt;44407&lt;/D&gt;&lt;D xsi:type="xsd:long"&gt;44377&lt;/D&gt;&lt;D xsi:type="xsd:long"&gt;44344&lt;/D&gt;&lt;D xsi:type="xsd:long"&gt;44316&lt;/D&gt;&lt;D xsi:type="xsd:long"&gt;44286&lt;/D&gt;&lt;D xsi:type="xsd:long"&gt;44253&lt;/D&gt;&lt;D xsi:type="xsd:long"&gt;44225&lt;/D&gt;&lt;D xsi:type="xsd:long"&gt;44196&lt;/D&gt;&lt;D xsi:type="xsd:long"&gt;44165&lt;/D&gt;&lt;D xsi:type="xsd:long"&gt;44134&lt;/D&gt;&lt;D xsi:type="xsd:long"&gt;44104&lt;/D&gt;&lt;D xsi:type="xsd:long"&gt;44074&lt;/D&gt;&lt;D xsi:type="xsd:long"&gt;44043&lt;/D&gt;&lt;D xsi:type="xsd:long"&gt;44012&lt;/D&gt;&lt;D xsi:type="xsd:long"&gt;43980&lt;/D&gt;&lt;D xsi:type="xsd:long"&gt;43951&lt;/D&gt;&lt;D xsi:type="xsd:long"&gt;43921&lt;/D&gt;&lt;D xsi:type="xsd:long"&gt;43889&lt;/D&gt;&lt;D xsi:type="xsd:long"&gt;43861&lt;/D&gt;&lt;D xsi:type="xsd:long"&gt;43830&lt;/D&gt;&lt;D xsi:type="xsd:long"&gt;43798&lt;/D&gt;&lt;D xsi:type="xsd:long"&gt;43769&lt;/D&gt;&lt;D xsi:type="xsd:long"&gt;43738&lt;/D&gt;&lt;D xsi:type="xsd:long"&gt;43707&lt;/D&gt;&lt;D xsi:type="xsd:long"&gt;43677&lt;/D&gt;&lt;D xsi:type="xsd:long"&gt;43644&lt;/D&gt;&lt;D xsi:type="xsd:long"&gt;43616&lt;/D&gt;&lt;D xsi:type="xsd:long"&gt;43585</t>
        </r>
      </text>
    </comment>
    <comment ref="A60" authorId="0" shapeId="0">
      <text>
        <r>
          <rPr>
            <b/>
            <sz val="9"/>
            <color indexed="81"/>
            <rFont val="Tahoma"/>
            <family val="2"/>
          </rPr>
          <t>&lt;/D&gt;&lt;D xsi:type="xsd:long"&gt;43553&lt;/D&gt;&lt;D xsi:type="xsd:long"&gt;43524&lt;/D&gt;&lt;D xsi:type="xsd:long"&gt;43496&lt;/D&gt;&lt;D xsi:type="xsd:long"&gt;43465&lt;/D&gt;&lt;D xsi:type="xsd:long"&gt;43434&lt;/D&gt;&lt;D xsi:type="xsd:long"&gt;43404&lt;/D&gt;&lt;D xsi:type="xsd:long"&gt;43371&lt;/D&gt;&lt;D xsi:type="xsd:long"&gt;43343&lt;/D&gt;&lt;D xsi:type="xsd:long"&gt;43312&lt;/D&gt;&lt;D xsi:type="xsd:long"&gt;43280&lt;/D&gt;&lt;D xsi:type="xsd:long"&gt;43251&lt;/D&gt;&lt;D xsi:type="xsd:long"&gt;43220&lt;/D&gt;&lt;D xsi:type="xsd:long"&gt;43188&lt;/D&gt;&lt;D xsi:type="xsd:long"&gt;43159&lt;/D&gt;&lt;D xsi:type="xsd:long"&gt;43131&lt;/D&gt;&lt;D xsi:type="xsd:long"&gt;43098&lt;/D&gt;&lt;D xsi:type="xsd:long"&gt;43069&lt;/D&gt;&lt;D xsi:type="xsd:long"&gt;43039&lt;/D&gt;&lt;D xsi:type="xsd:long"&gt;43007&lt;/D&gt;&lt;D xsi:type="xsd:long"&gt;42978&lt;/D&gt;&lt;D xsi:type="xsd:long"&gt;42947&lt;/D&gt;&lt;D xsi:type="xsd:long"&gt;42916&lt;/D&gt;&lt;D xsi:type="xsd:long"&gt;42886&lt;/D&gt;&lt;D xsi:type="xsd:long"&gt;42853&lt;/D&gt;&lt;D xsi:type="xsd:long"&gt;42825&lt;/D&gt;&lt;D xsi:type="xsd:long"&gt;42794&lt;/D&gt;&lt;D xsi:type="xsd:long"&gt;42766&lt;/D&gt;&lt;D xsi:type="xsd:long"&gt;42734&lt;/D&gt;&lt;D xsi:type="xsd:long"&gt;42704&lt;/D&gt;&lt;D xsi:type="xsd:long"&gt;42674&lt;/D&gt;&lt;D xsi:type="xsd:long"&gt;42643&lt;/D&gt;&lt;D xsi:type="xsd:long"&gt;42613&lt;/D&gt;&lt;D xsi:type="xsd:long"&gt;42580&lt;/D&gt;&lt;D xsi:type="xsd:long"&gt;42551&lt;/D&gt;&lt;D xsi:type="xsd:long"&gt;42521&lt;/D&gt;&lt;D xsi:type="xsd:long"&gt;42489&lt;/D&gt;&lt;D xsi:type="xsd:long"&gt;42460&lt;/D&gt;&lt;D xsi:type="xsd:long"&gt;42429&lt;/D&gt;&lt;D xsi:type="xsd:long"&gt;42398&lt;/D&gt;&lt;D xsi:type="xsd:long"&gt;42369&lt;/D&gt;&lt;D xsi:type="xsd:long"&gt;42338&lt;/D&gt;&lt;D xsi:type="xsd:long"&gt;42307&lt;/D&gt;&lt;D xsi:type="xsd:long"&gt;42277&lt;/D&gt;&lt;D xsi:type="xsd:long"&gt;42247&lt;/D&gt;&lt;D xsi:type="xsd:long"&gt;42216&lt;/D&gt;&lt;D xsi:type="xsd:long"&gt;42185&lt;/D&gt;&lt;D xsi:type="xsd:long"&gt;42153&lt;/D&gt;&lt;D xsi:type="xsd:long"&gt;42124&lt;/D&gt;&lt;D xsi:type="xsd:long"&gt;42094&lt;/D&gt;&lt;D xsi:type="xsd:long"&gt;42062&lt;/D&gt;&lt;D xsi:type="xsd:long"&gt;42034&lt;/D&gt;&lt;D xsi:type="xsd:long"&gt;42004&lt;/D&gt;&lt;D xsi:type="xsd:long"&gt;41971&lt;/D&gt;&lt;D xsi:type="xsd:long"&gt;41943&lt;/D&gt;&lt;D xsi:type="xsd:long"&gt;41912&lt;/D&gt;&lt;D xsi:type="xsd:long"&gt;41880&lt;/D&gt;&lt;D xsi:type="xsd:long"&gt;41851&lt;/D&gt;&lt;D xsi:type="xsd:long"&gt;41820&lt;/D&gt;&lt;D xsi:type="xsd:long"&gt;41789&lt;/D&gt;&lt;D xsi:type="xsd:long"&gt;41759&lt;/D&gt;&lt;D xsi:type="xsd:long"&gt;41729&lt;/D&gt;&lt;D xsi:type="xsd:long"&gt;41698&lt;/D&gt;&lt;D xsi:type="xsd:long"&gt;41670&lt;/D&gt;&lt;D xsi:type="xsd:long"&gt;41639&lt;/D&gt;&lt;D xsi:type="xsd:long"&gt;41607&lt;/D&gt;&lt;D xsi:type="xsd:long"&gt;41578&lt;/D&gt;&lt;D xsi:type="xsd:long"&gt;41547&lt;/D&gt;&lt;D xsi:type="xsd:long"&gt;41516&lt;/D&gt;&lt;D xsi:type="xsd:long"&gt;41486&lt;/D&gt;&lt;D xsi:type="xsd:long"&gt;41453&lt;/D&gt;&lt;D xsi:type="xsd:long"&gt;41425&lt;/D&gt;&lt;D xsi:type="xsd:long"&gt;41394&lt;/D&gt;&lt;D xsi:type="xsd:long"&gt;41361&lt;/D&gt;&lt;D xsi:type="xsd:long"&gt;41333&lt;/D&gt;&lt;D xsi:type="xsd:long"&gt;41305&lt;/D&gt;&lt;D xsi:type="xsd:long"&gt;41274&lt;/D&gt;&lt;D xsi:type="xsd:long"&gt;41243&lt;/D&gt;&lt;D xsi:type="xsd:long"&gt;41213&lt;/D&gt;&lt;D xsi:type="xsd:long"&gt;41180&lt;/D&gt;&lt;D xsi:type="xsd:long"&gt;41152&lt;/D&gt;&lt;D xsi:type="xsd:long"&gt;41121&lt;/D&gt;&lt;D xsi:type="xsd:long"&gt;41089&lt;/D&gt;&lt;D xsi:type="xsd:long"&gt;41060&lt;/D&gt;&lt;D xsi:type="xsd:long"&gt;41029&lt;/D&gt;&lt;D xsi:type="xsd:long"&gt;40998&lt;/D&gt;&lt;D xsi:type="xsd:long"&gt;40968&lt;/D&gt;&lt;D xsi:type="xsd:long"&gt;40939&lt;/D&gt;&lt;D xsi:type="xsd:long"&gt;40907&lt;/D&gt;&lt;D xsi:type="xsd:long"&gt;40877&lt;/D&gt;&lt;D xsi:type="xsd:long"&gt;40847&lt;/D&gt;&lt;D xsi:type="xsd:long"&gt;40816&lt;/D&gt;&lt;D xsi:type="xsd:long"&gt;40786&lt;/D&gt;&lt;D xsi:type="xsd:long"&gt;40753&lt;/D&gt;&lt;D xsi:type="xsd:long"&gt;40724&lt;/D&gt;&lt;D xsi:type="xsd:long"&gt;40694&lt;/D&gt;&lt;D xsi:type="xsd:long"&gt;40662&lt;/D&gt;&lt;D xsi:type="xsd:long"&gt;40633&lt;/D&gt;&lt;D xsi:type="xsd:long"&gt;40602&lt;/D&gt;&lt;D xsi:type="xsd:long"&gt;40574&lt;/D&gt;&lt;D xsi:type="xsd:long"&gt;40543&lt;/D&gt;&lt;D xsi:type="xsd:long"&gt;40512&lt;/D&gt;&lt;D xsi:type="xsd:long"&gt;40480&lt;/D&gt;&lt;D xsi:type="xsd:long"&gt;40451&lt;/D&gt;&lt;D xsi:type="xsd:long"&gt;40421&lt;/D&gt;&lt;D xsi:type="xsd:long"&gt;40389&lt;/D&gt;&lt;D xsi:type="xsd:long"&gt;40359&lt;/D&gt;&lt;D xsi:type="xsd:long"&gt;40326&lt;/D&gt;&lt;D xsi:type="xsd:long"&gt;40298&lt;/D&gt;&lt;D xsi:type="xsd:long"&gt;40268&lt;/D&gt;&lt;D xsi:type="xsd:long"&gt;40235&lt;/D&gt;&lt;D xsi:type="xsd:long"&gt;40207&lt;/D&gt;&lt;D xsi:type="xsd:long"&gt;40178&lt;/D&gt;&lt;D xsi:type="xsd:long"&gt;40147&lt;/D&gt;&lt;D xsi:type="xsd:long"&gt;40116&lt;/D&gt;&lt;D xsi:type="xsd:long"&gt;40086&lt;/D&gt;&lt;D xsi:type="xsd:long"&gt;40056&lt;/D&gt;&lt;D xsi:type="xsd:long"&gt;40025&lt;/D&gt;&lt;D xsi:type="xsd:long"&gt;39994&lt;/D&gt;&lt;D xsi:type="xsd:long"&gt;39962&lt;/D&gt;&lt;D xsi:type="xsd:long"&gt;39933&lt;/D&gt;&lt;D xsi:type="xsd:long"&gt;39903&lt;/D&gt;&lt;D xsi:type="xsd:long"&gt;39871&lt;/D&gt;&lt;D xsi:type="xsd:long"&gt;39843&lt;/D&gt;&lt;D xsi:type="xsd:long"&gt;39813&lt;/D&gt;&lt;D xsi:type="xsd:long"&gt;39780&lt;/D&gt;&lt;D xsi:type="xsd:long"&gt;39752&lt;/D&gt;&lt;D xsi:type="xsd:long"&gt;39721&lt;/D&gt;&lt;D xsi:type="xsd:long"&gt;39689&lt;/D&gt;&lt;D xsi:type="xsd:long"&gt;39660&lt;/D&gt;&lt;D xsi:type="xsd:long"&gt;39629&lt;/D&gt;&lt;D xsi:type="xsd:long"&gt;39598&lt;/D&gt;&lt;D xsi:type="xsd:long"&gt;39568&lt;/D&gt;&lt;D xsi:type="xsd:long"&gt;39538&lt;/D&gt;&lt;D xsi:type="xsd:long"&gt;39507&lt;/D&gt;&lt;D xsi:type="xsd:long"&gt;39478&lt;/D&gt;&lt;D xsi:type="xsd:long"&gt;39447&lt;/D&gt;&lt;D xsi:type="xsd:long"&gt;39416&lt;/D&gt;&lt;D xsi:type="xsd:long"&gt;39386&lt;/D&gt;&lt;D xsi:type="xsd:long"&gt;39353&lt;/D&gt;&lt;D xsi:type="xsd:long"&gt;39325&lt;/D&gt;&lt;D xsi:type="xsd:long"&gt;39294&lt;/D&gt;&lt;D xsi:type="xsd:long"&gt;39262&lt;/D&gt;&lt;D xsi:type="xsd:long"&gt;39233&lt;/D&gt;&lt;D xsi:type="xsd:long"&gt;39202&lt;/D&gt;&lt;D xsi:type="xsd:long"&gt;39171&lt;/D&gt;&lt;D xsi:type="xsd:long"&gt;39141&lt;/D&gt;&lt;D xsi:type="xsd:long"&gt;39113&lt;/D&gt;&lt;D xsi:type="xsd:long"&gt;39080&lt;/D&gt;&lt;D xsi:type="xsd:long"&gt;39051&lt;/D&gt;&lt;D xsi:type="xsd:long"&gt;39021&lt;/D&gt;&lt;D xsi:type="xsd:long"&gt;38989&lt;/D&gt;&lt;D xsi:type="xsd:long"&gt;38960&lt;/D&gt;&lt;D xsi:type="xsd:long"&gt;38929&lt;/D&gt;&lt;D xsi:type="xsd:long"&gt;38898&lt;/D&gt;&lt;D xsi:type="xsd:long"&gt;38868&lt;/D&gt;&lt;D xsi:type="xsd:long"&gt;38835&lt;/D&gt;&lt;D xsi:type="xsd:long"&gt;38807&lt;/D&gt;&lt;D xsi:type="xsd:long"&gt;38776&lt;/D&gt;&lt;D xsi:type="xsd:long"&gt;38748&lt;/D&gt;&lt;D xsi:type="xsd:long"&gt;38716&lt;/D&gt;&lt;D xsi:type="xsd:long"&gt;38686&lt;/D&gt;&lt;D xsi:type="xsd:long"&gt;38656&lt;/D&gt;&lt;D xsi:type="xsd:long"&gt;38625&lt;/D&gt;&lt;D xsi:type="xsd:long"&gt;38595&lt;/D&gt;&lt;D xsi:type="xsd:long"&gt;38562&lt;/D&gt;&lt;D xsi:type="xsd:long"&gt;38533&lt;/D&gt;&lt;D xsi:type="xsd:long"&gt;38503&lt;/D&gt;&lt;D xsi:type="xsd:long"&gt;38471&lt;/D&gt;&lt;D xsi:type="xsd:long"&gt;38442&lt;/D&gt;&lt;D xsi:type="xsd:long"&gt;38411&lt;/D&gt;&lt;D xsi:type="xsd:long"&gt;38383&lt;/D&gt;&lt;D xsi:type="xsd:long"&gt;38352&lt;/D&gt;&lt;D xsi:type="xsd:long"&gt;38321&lt;/D&gt;&lt;D xsi:type="xsd:long"&gt;38289&lt;/D&gt;&lt;D xsi:type="xsd:long"&gt;38260&lt;/D&gt;&lt;D xsi:type="xsd:long"&gt;38230&lt;/D&gt;&lt;D xsi:type="xsd:long"&gt;38198&lt;/D&gt;&lt;D xsi:type="xsd:long"&gt;38168&lt;/D&gt;&lt;D xsi:type="xsd:long"&gt;38135&lt;/D&gt;&lt;D xsi:type="xsd:long"&gt;38107&lt;/D&gt;&lt;D xsi:type="xsd:long"&gt;38077&lt;/D&gt;&lt;D xsi:type="xsd:long"&gt;38044&lt;/D&gt;&lt;D xsi:type="xsd:long"&gt;38016&lt;/D&gt;&lt;D xsi:type="xsd:long"&gt;37986&lt;/D&gt;&lt;D xsi:type="xsd:long"&gt;37953&lt;/D&gt;&lt;D xsi:type="xsd:long"&gt;37925&lt;/D&gt;&lt;D xsi:type="xsd:long"&gt;37894&lt;/D&gt;&lt;D xsi:type="xsd:long"&gt;37862&lt;/D&gt;&lt;D xsi:type="xsd:long"&gt;37833&lt;/D&gt;&lt;D xsi:type="xsd:long"&gt;37802&lt;/D&gt;&lt;D xsi:type="xsd:long"&gt;37771&lt;/D&gt;&lt;D xsi:type="xsd:long"&gt;37741&lt;/D&gt;&lt;D xsi:type="xsd:long"&gt;37711&lt;/D&gt;&lt;D xsi:type="xsd:long"&gt;37680&lt;/D&gt;&lt;D xsi:type="xsd:long"&gt;37652&lt;/D&gt;&lt;D xsi:type="xsd:long"&gt;37621&lt;/D&gt;&lt;D xsi:type="xsd:long"&gt;37589&lt;/D&gt;&lt;D xsi:type="xsd:long"&gt;37560&lt;/D&gt;&lt;D xsi:type="xsd:long"&gt;37529&lt;/D&gt;&lt;D xsi:type="xsd:long"&gt;37498&lt;/D&gt;&lt;D xsi:type="xsd:long"&gt;37468&lt;/D&gt;&lt;D xsi:type="xsd:long"&gt;37435&lt;/D&gt;&lt;D xsi:type="xsd:long"&gt;37407&lt;/D&gt;&lt;D xsi:type="xsd:long"&gt;37376&lt;/D&gt;&lt;D xsi:type="xsd:long"&gt;37343&lt;/D&gt;&lt;D xsi:type="xsd:long"&gt;37315&lt;/D&gt;&lt;D xsi:type="xsd:long"&gt;37287&lt;/D&gt;&lt;D xsi:type="xsd:long"&gt;37256&lt;/D&gt;&lt;D xsi:type="xsd:long"&gt;37225&lt;/D&gt;&lt;D xsi:type="xsd:long"&gt;37195&lt;/D&gt;&lt;D xsi:type="xsd:long"&gt;37162&lt;/D&gt;&lt;D xsi:type="xsd:long"&gt;37134&lt;/D&gt;&lt;D xsi:type="xsd:long"&gt;37103&lt;/D&gt;&lt;D xsi:type="xsd:long"&gt;37071&lt;/D&gt;&lt;D xsi:type="xsd:long"&gt;37042&lt;/D&gt;&lt;D xsi:type="xsd:long"&gt;37011&lt;/D&gt;&lt;D xsi:type="xsd:long"&gt;36980&lt;/D&gt;&lt;D xsi:type="xsd:long"&gt;36950&lt;/D&gt;&lt;D xsi:type="xsd:long"&gt;36922&lt;/D&gt;&lt;D xsi:type="xsd:long"&gt;36889&lt;/D&gt;&lt;D xsi:type="xsd:long"&gt;36860&lt;/D&gt;&lt;D xsi:type="xsd:long"&gt;36830&lt;/D&gt;&lt;D xsi:type="xsd:long"&gt;36798&lt;/D&gt;&lt;D xsi:type="xsd:long"&gt;36769&lt;/D&gt;&lt;D xsi:type="xsd:long"&gt;36738&lt;/D&gt;&lt;D xsi:type="xsd:long"&gt;36707&lt;/D&gt;&lt;D xsi:type="xsd:long"&gt;36677&lt;/D&gt;&lt;D xsi:type="xsd:long"&gt;36644&lt;/D&gt;&lt;D xsi:type="xsd:long"&gt;36616&lt;/D&gt;&lt;D xsi:type="xsd:long"&gt;36585&lt;/D&gt;&lt;D xsi:type="xsd:long"&gt;36556&lt;/D&gt;&lt;/FQL&gt;&lt;FQL&gt;&lt;Q&gt;891800^FG_PRICE(2/27/2026,1/31/2000,M,USD)&lt;/Q&gt;&lt;R&gt;314&lt;/R&gt;&lt;C&gt;1&lt;/C&gt;&lt;D xsi:type="xsd:double"&gt;1610.700504&lt;/D&gt;&lt;D xsi:type="xsd:double"&gt;1528.08557&lt;/D&gt;&lt;D xsi:type="xsd:double"&gt;1404.374696&lt;/D&gt;&lt;D xsi:type="xsd:double"&gt;1366.924047&lt;/D&gt;&lt;D xsi:type="xsd:double"&gt;1401.546163&lt;/D&gt;&lt;D xsi:type="xsd:double"&gt;1346.045887&lt;/D&gt;&lt;D xsi:type="xsd:double"&gt;1258.438919&lt;/D&gt;&lt;D xsi:type="xsd:double"&gt;1243.227779&lt;/D&gt;&lt;D xsi:type="xsd:double"&gt;1222.778785&lt;/D&gt;&lt;D xsi:type="xsd:double"&gt;1157.338548&lt;/D&gt;&lt;D xsi:type="xsd:double"&gt;1112.841711&lt;/D&gt;&lt;D xsi:type="xsd:double"&gt;1101.399501&lt;/D&gt;&lt;D xsi:type="xsd:double"&gt;1097.253995&lt;/D&gt;&lt;D xsi:type="xsd:double"&gt;1093.365461&lt;/D&gt;&lt;D xsi:type="xsd:double"&gt;1075.47512&lt;/D&gt;&lt;D xsi:type="xsd:double"&gt;1078.569525&lt;/D&gt;&lt;D xsi:type="xsd:double"&gt;1119.522196&lt;/D&gt;&lt;D xsi:type="xsd:double"&gt;1170.853143&lt;/D&gt;&lt;D xsi:type="xsd:double"&gt;1099.92266&lt;/D&gt;&lt;D xsi:type="xsd:double"&gt;1084.769484&lt;/D&gt;&lt;D xsi:type="xsd:double"&gt;1086.24999&lt;/D&gt;&lt;D xsi:type="xsd:double"&gt;1048.962257&lt;/D&gt;&lt;D xsi:type="xsd:double"&gt;1045.9479&lt;/D&gt;&lt;D xsi:type="xsd:double"&gt;1040.393012&lt;/D&gt;&lt;D xsi:type="xsd:double"&gt;1020.939696&lt;/D&gt;&lt;D xsi:type="xsd:double"&gt;975.798654&lt;/D&gt;&lt;D xsi:type="xsd:double"&gt;1023.740854&lt;/D&gt;&lt;D xsi:type="xsd:double"&gt;987.099289&lt;/D&gt;&lt;D xsi:type="xsd:double"&gt;915.196318&lt;/D&gt;&lt;D xsi:type="xsd:double"&gt;952.784054&lt;/D&gt;&lt;D xsi:type="xsd:double"&gt;980.325256&lt;/D&gt;&lt;D xsi:type="xsd:double"&gt;1046.911652&lt;/D&gt;&lt;D xsi:type="xsd:double"&gt;989.47508&lt;/D&gt;&lt;D xsi:type="xsd:double"&gt;958.527204&lt;/D&gt;&lt;D xsi:type="xsd:double"&gt;977.046261&lt;/D&gt;&lt;D xsi:type="xsd:double"&gt;990.284402&lt;/D&gt;&lt;D xsi:type="xsd:double"&gt;964.005572&lt;/D&gt;&lt;D xsi:type="xsd:double"&gt;1031.497108&lt;/D&gt;&lt;D xsi:type="xsd:double"&gt;956.377603&lt;/D&gt;&lt;D xsi:type="xsd:double"&gt;972.285337&lt;/D&gt;&lt;D xsi:type="xsd:double"&gt;848.162834&lt;/D&gt;&lt;D xsi:type="xsd:double"&gt;875.78565&lt;/D&gt;&lt;D xsi:type="xsd:double"&gt;994.114388&lt;/D&gt;&lt;D xsi:type="xsd:double"&gt;993.781563&lt;/D&gt;&lt;D xsi:type="xsd:double"&gt;1000.668125&lt;/D&gt;&lt;D xsi:type="xsd:double"&gt;1077.665885&lt;/D&gt;&lt;D xsi:type="xsd:double"&gt;1076.189978&lt;/D&gt;&lt;D xsi:type="xsd:double"&gt;1141.787235&lt;/D&gt;&lt;D xsi:type="xsd:double"&gt;1171.309916&lt;/D&gt;&lt;D xsi:type="xsd:double"&gt;1208.231564&lt;/D&gt;&lt;D xsi:type="xsd:double"&gt;1232.007862&lt;/D&gt;&lt;D xsi:type="xsd:double"&gt;1212.417771&lt;/D&gt;&lt;D xsi:type="xsd:double"&gt;1264.754127&lt;/D&gt;&lt;D xsi:type="xsd:double"&gt;1253.097343&lt;/D&gt;&lt;D xsi:type="xsd:double"&gt;1308.670457&lt;/D&gt;&lt;D xsi:type="xsd:double"&gt;1277.804958&lt;/D&gt;&lt;D xsi:type="xsd:double"&gt;1374.637403&lt;/D&gt;&lt;D xsi:type="xsd:double"&gt;1360.782132&lt;/D&gt;&lt;D xsi:type="xsd:double"&gt;1347.611538&lt;/D&gt;&lt;D xsi:type="xsd:double"&gt;1316.425392&lt;/D&gt;&lt;D xsi:type="xsd:double"&gt;1339.258698&lt;/D&gt;&lt;D xsi:type="xsd:double"&gt;1329.565794&lt;/D&gt;&lt;D xsi:type="xsd:double"&gt;1291.263514&lt;/D&gt;&lt;D xsi:type="xsd:double"&gt;1205.067741&lt;/D&gt;&lt;D xsi:type="xsd:double"&gt;1103.458245&lt;/D&gt;&lt;D xsi:type="xsd:double"&gt;1081.996075&lt;/D&gt;&lt;D xsi:type="xsd:double"&gt;1101.498665&lt;/D&gt;&lt;D xsi:type="xsd:double"&gt;1078.918666&lt;/D&gt;&lt;D xsi:type="xsd:double"&gt;995.098332&lt;/D&gt;&lt;D xsi:type="xsd:double"&gt;930.353774&lt;/D&gt;&lt;D xsi:type="xsd:double"&gt;924.936512&lt;/D&gt;&lt;D xsi:type="xsd:double"&gt;848.576929&lt;/D&gt;&lt;D xsi:type="xsd:double"&gt;1005.515796&lt;/D&gt;&lt;D xsi:type="xsd:double"&gt;1062.342529&lt;/D&gt;&lt;D xsi:type="xsd:double"&gt;1114.659873&lt;/D&gt;&lt;D xsi:type="xsd:double"&gt;1040.045391&lt;/D&gt;&lt;D xsi:type="xsd:double"&gt;1041.980986&lt;/D&gt;&lt;D xsi:type="xsd:double"&gt;1000.996227&lt;/D&gt;&lt;D xsi:type="xsd:double"&gt;984.334048&lt;/D&gt;&lt;D xsi:type="xsd:double"&gt;1037.009265&lt;/D&gt;&lt;D xsi:type="xsd:double"&gt;1054.855844&lt;/D&gt;&lt;D xsi:type="xsd:double"&gt;997.997713&lt;/D&gt;&lt;D xsi:type="xsd:double"&gt;1079.235079&lt;/D&gt;&lt;D xsi:type="xsd:double"&gt;1058.127161&lt;/D&gt;&lt;D xsi:type="xsd:double"&gt;1050.950782&lt;/D&gt;&lt;D xsi:type="xsd:double"&gt;1049.926638&lt;/D&gt;&lt;D xsi:type="xsd:double"&gt;965.776258&lt;/D&gt;&lt;D xsi:type="xsd:double"&gt;994.717429&lt;/D&gt;&lt;D xsi:type="xsd:double"&gt;955.92361&lt;/D&gt;&lt;D xsi:type="xsd:double"&gt;1047.908071&lt;/D&gt;&lt;D xsi:type="xsd:double"&gt;1055.959837&lt;/D&gt;&lt;D xsi:type="xsd:double"&gt;1087.455898&lt;/D&gt;&lt;D xsi:type="xsd:double"&gt;1069.517238&lt;/D&gt;&lt;D xsi:type="xsd:double"&gt;1120.710137&lt;/D&gt;&lt;D xsi:type="xsd:double"&gt;1164.427585&lt;/D&gt;&lt;D xsi:type="xsd:double"&gt;1169.265645&lt;/D&gt;&lt;D xsi:type="xsd:double"&gt;1195.192883&lt;/D&gt;&lt;D xsi:type="xsd:double"&gt;1254.587321&lt;/D&gt;&lt;D xsi:type="xsd:double"&gt;1158.454167&lt;/D&gt;&lt;D xsi:type="xsd:double"&gt;1120.793023&lt;/D&gt;&lt;D xsi:type="xsd:double"&gt;1119.078809&lt;/D&gt;&lt;D xsi:type="xsd:double"&gt;1081.721778&lt;/D&gt;&lt;D xsi:type="xsd:double"&gt;1087.697609&lt;/D&gt;&lt;D xsi:type="xsd:double"&gt;1066.233316&lt;/D&gt;&lt;D xsi:type="xsd:double"&gt;1010.800247&lt;/D&gt;&lt;D xsi:type="xsd:double"&gt;1005.325509&lt;/D&gt;&lt;D xsi:type="xsd:double"&gt;977.958508&lt;/D&gt;&lt;D xsi:type="xsd:double"&gt;958.368557&lt;/D&gt;&lt;D xsi:type="xsd:double"&gt;936.371428&lt;/D&gt;&lt;D xsi:type="xsd:double"&gt;909.228195&lt;/D&gt;&lt;D xsi:type="xsd:double"&gt;862.274838&lt;/D&gt;&lt;D xsi:type="xsd:double"&gt;862.831824&lt;/D&gt;&lt;D xsi:type="xsd:double"&gt;905.089445&lt;/D&gt;&lt;D xsi:type="xsd:double"&gt;903.459731&lt;/D&gt;&lt;D xsi:type="xsd:double"&gt;893.67757&lt;/D&gt;&lt;D xsi:type="xsd:double"&gt;873.470986&lt;/D&gt;&lt;D xsi:type="xsd:double"&gt;834.102962&lt;/D&gt;&lt;D xsi:type="xsd:double"&gt;807.454029&lt;/D&gt;&lt;D xsi:type="xsd:double"&gt;840.189967&lt;/D&gt;&lt;D xsi:type="xsd:double"&gt;836.803096&lt;/D&gt;&lt;D xsi:type="xsd:double"&gt;740.326851&lt;/D&gt;&lt;D xsi:type="xsd:double"&gt;742.370947&lt;/D&gt;&lt;D xsi:type="xsd:double"&gt;794.139377&lt;/D&gt;&lt;D xsi:type="xsd:double"&gt;814.296969&lt;/D&gt;&lt;D xsi:type="xsd:double"&gt;847.839247&lt;/D&gt;&lt;D xsi:type="xsd:double"&gt;792.049119&lt;/D&gt;&lt;D xsi:type="xsd:double"&gt;818.730345&lt;/D&gt;&lt;D xsi:type="xsd:double"&gt;901.676361&lt;/D&gt;&lt;D xsi:type="xsd:double"&gt;972.254488&lt;/D&gt;&lt;D xsi:type="xsd:double"&gt;1004.217517&lt;/D&gt;&lt;D xsi:type="xsd:double"&gt;1047.780817&lt;/D&gt;&lt;D xsi:type="xsd:double"&gt;974.571623&lt;/D&gt;&lt;D xsi:type="xsd:double"&gt;990.275259&lt;/D&gt;&lt;D xsi:type="xsd:double"&gt;961.605254&lt;/D&gt;&lt;D xsi:type="xsd:double"&gt;956.307803&lt;/D&gt;&lt;D xsi:type="xsd:double"&gt;1004.715233&lt;/D&gt;&lt;D xsi:type="xsd:double"&gt;1016.071532&lt;/D&gt;&lt;D xsi:type="xsd:double"&gt;1005.325643&lt;/D&gt;&lt;D xsi:type="xsd:double"&gt;1087.88001&lt;/D&gt;&lt;D xsi:type="xsd:double"&gt;1065.774528&lt;/D&gt;&lt;D xsi:type="xsd:double"&gt;1050.777839&lt;/D&gt;&lt;D xsi:type="xsd:double"&gt;1027.692992&lt;/D&gt;&lt;D xsi:type="xsd:double"&gt;995.282946&lt;/D&gt;&lt;D xsi:type="xsd:double"&gt;994.652683&lt;/D&gt;&lt;D xsi:type="xsd:double"&gt;966.42077&lt;/D&gt;&lt;D xsi:type="xsd:double"&gt;936.526604&lt;/D&gt;&lt;D xsi:type="xsd:double"&gt;1002.69277&lt;/D&gt;&lt;D xsi:type="xsd:double"&gt;1018.283733&lt;/D&gt;&lt;D xsi:type="xsd:double"&gt;1034.420003&lt;/D&gt;&lt;D xsi:type="xsd:double"&gt;987.458423&lt;/D&gt;&lt;D xsi:type="xsd:double"&gt;929.536364&lt;/D&gt;&lt;D xsi:type="xsd:double"&gt;947.553421&lt;/D&gt;&lt;D xsi:type="xsd:double"&gt;940.329502&lt;/D&gt;&lt;D xsi:type="xsd:double"&gt;1008.878469&lt;/D&gt;&lt;D xsi:type="xsd:double"&gt;1039.452122&lt;/D&gt;&lt;D xsi:type="xsd:double"&gt;1032.615182&lt;/D&gt;&lt;D xsi:type="xsd:double"&gt;1054.615879&lt;/D&gt;&lt;D xsi:type="xsd:double"&gt;1069.009786&lt;/D&gt;&lt;D xsi:type="xsd:double"&gt;1055.196343&lt;/D&gt;&lt;D xsi:type="xsd:double"&gt;1007.022489&lt;/D&gt;&lt;D xsi:type="xsd:double"&gt;995.325633&lt;/D&gt;&lt;D xsi:type="xsd:double"&gt;1002.656112&lt;/D&gt;&lt;D xsi:type="xsd:double"&gt;947.328386&lt;/D&gt;&lt;D xsi:type="xsd:double"&gt;952.487512&lt;/D&gt;&lt;D xsi:type="xsd:double"&gt;937.353867&lt;/D&gt;&lt;D xsi:type="xsd:double"&gt;906.295682&lt;/D&gt;&lt;D xsi:type="xsd:double"&gt;1026.015587&lt;/D&gt;&lt;D xsi:type="xsd:double"&gt;1041.447461&lt;/D&gt;&lt;D xsi:type="xsd:double"&gt;1079.443335&lt;/D&gt;&lt;D xsi:type="xsd:double"&gt;1019.3944&lt;/D&gt;&lt;D xsi:type="xsd:double"&gt;916.38682&lt;/D&gt;&lt;D xsi:type="xsd:double"&gt;928.324818&lt;/D&gt;&lt;D xsi:type="xsd:double"&gt;995.562451&lt;/D&gt;&lt;D xsi:type="xsd:double"&gt;880.434214&lt;/D&gt;&lt;D xsi:type="xsd:double"&gt;1033.14968&lt;/D&gt;&lt;D xsi:type="xsd:double"&gt;1137.731265&lt;/D&gt;&lt;D xsi:type="xsd:double"&gt;1146.21862&lt;/D&gt;&lt;D xsi:type="xsd:double"&gt;1167.972217&lt;/D&gt;&lt;D xsi:type="xsd:double"&gt;1204.027833&lt;/D&gt;&lt;D xsi:type="xsd:double"&gt;1170.870233&lt;/D&gt;&lt;D xsi:type="xsd:double"&gt;1107.767316&lt;/D&gt;&lt;D xsi:type="xsd:double"&gt;1119.079273&lt;/D&gt;&lt;D xsi:type="xsd:double"&gt;1151.384661&lt;/D&gt;&lt;D xsi:type="xsd:double"&gt;1075.853252&lt;/D&gt;&lt;D xsi:type="xsd:double"&gt;1105.753609&lt;/D&gt;&lt;D xsi:type="xsd:double"&gt;1075.529114&lt;/D&gt;&lt;D xsi:type="xsd:double"&gt;970.046017&lt;/D&gt;&lt;D xsi:type="xsd:double"&gt;991.409701&lt;/D&gt;&lt;D xsi:type="xsd:double"&gt;917.985187&lt;/D&gt;&lt;D xsi:type="xsd:double"&gt;917.046585&lt;/D&gt;&lt;D xsi:type="xsd:double"&gt;1020.033087&lt;/D&gt;&lt;D xsi:type="xsd:double"&gt;1010.333899&lt;/D&gt;&lt;D xsi:type="xsd:double"&gt;935.92941&lt;/D&gt;&lt;D xsi:type="xsd:double"&gt;933.589677&lt;/D&gt;&lt;D xsi:type="xsd:double"&gt;989.46945&lt;/D&gt;&lt;D xsi:type="xsd:double"&gt;953.127978&lt;/D&gt;&lt;D xsi:type="xsd:double"&gt;914.258746&lt;/D&gt;&lt;D xsi:type="xsd:double"&gt;914.045364&lt;/D&gt;&lt;D xsi:type="xsd:double"&gt;839.459719&lt;/D&gt;&lt;D xsi:type="xsd:double"&gt;844.024329&lt;/D&gt;&lt;D xsi:type="xsd:double"&gt;761.295181&lt;/D&gt;&lt;D xsi:type="xsd:double"&gt;773.121257&lt;/D&gt;&lt;D xsi:type="xsd:double"&gt;662.730425&lt;/D&gt;&lt;D xsi:type="xsd:double"&gt;569.966602&lt;/D&gt;&lt;D xsi:type="xsd:double"&gt;499.303823&lt;/D&gt;&lt;D xsi:type="xsd:double"&gt;529.5321&lt;/D&gt;&lt;D xsi:type="xsd:double"&gt;567.042121&lt;/D&gt;&lt;D xsi:type="xsd:double"&gt;526.97212&lt;/D&gt;&lt;D xsi:type="xsd:double"&gt;570.521254&lt;/D&gt;&lt;D xsi:type="xsd:double"&gt;786.924149&lt;/D&gt;&lt;D xsi:type="xsd:double"&gt;956.253169&lt;/D&gt;&lt;D xsi:type="xsd:double"&gt;1041.856372&lt;/D&gt;&lt;D xsi:type="xsd:double"&gt;1087.118872&lt;/D&gt;&lt;D xsi:type="xsd:double"&gt;1209.869872&lt;/D&gt;&lt;D xsi:type="xsd:double"&gt;1191.365065&lt;/D&gt;&lt;D xsi:type="xsd:double"&gt;1104.430144&lt;/D&gt;&lt;D xsi:type="xsd:double"&gt;1167.497475&lt;/D&gt;&lt;D xsi:type="xsd:double"&gt;1088.569848&lt;/D&gt;&lt;D xsi:type="xsd:double"&gt;1245.422356&lt;/D&gt;&lt;D xsi:type="xsd:double"&gt;1241.869309&lt;/D&gt;&lt;D xsi:type="xsd:double"&gt;1337.447993&lt;/D&gt;&lt;D xsi:type="xsd:double"&gt;1204.739755&lt;/D&gt;&lt;D xsi:type="xsd:double"&gt;1086.825322&lt;/D&gt;&lt;D xsi:type="xsd:double"&gt;1112.613824&lt;/D&gt;&lt;D xsi:type="xsd:double"&gt;1059.543882&lt;/D&gt;&lt;D xsi:type="xsd:double"&gt;1014.641244&lt;/D&gt;&lt;D xsi:type="xsd:double"&gt;970.856257&lt;/D&gt;&lt;D xsi:type="xsd:double"&gt;928.903234&lt;/D&gt;&lt;D xsi:type="xsd:double"&gt;895.542327&lt;/D&gt;&lt;D xsi:type="xsd:double"&gt;901.477258&lt;/D&gt;&lt;D xsi:type="xsd:double"&gt;912.648379&lt;/D&gt;&lt;D xsi:type="xsd:double"&gt;874.079805&lt;/D&gt;&lt;D xsi:type="xsd:double"&gt;814.438166&lt;/D&gt;&lt;D xsi:type="xsd:double"&gt;778.160855&lt;/D&gt;&lt;D xsi:type="xsd:double"&gt;773.123544&lt;/D&gt;&lt;D xsi:type="xsd:double"&gt;755.836306&lt;/D&gt;&lt;D xsi:type="xsd:double"&gt;747.539438&lt;/D&gt;&lt;D xsi:type="xsd:double"&gt;750.995526&lt;/D&gt;&lt;D xsi:type="xsd:double"&gt;841.580232&lt;/D&gt;&lt;D xsi:type="xsd:double"&gt;787.802428&lt;/D&gt;&lt;D xsi:type="xsd:double"&gt;782.106198&lt;/D&gt;&lt;D xsi:type="xsd:double"&gt;783.771474&lt;/D&gt;&lt;D xsi:type="xsd:double"&gt;706.48329&lt;/D&gt;&lt;D xsi:type="xsd:double"&gt;667.994232&lt;/D&gt;&lt;D xsi:type="xsd:double"&gt;617.411884&lt;/D&gt;&lt;D xsi:type="xsd:double"&gt;661.317928&lt;/D&gt;&lt;D xsi:type="xsd:double"&gt;606.22993&lt;/D&gt;&lt;D xsi:type="xsd:double"&gt;602.563653&lt;/D&gt;&lt;D xsi:type="xsd:double"&gt;565.167694&lt;/D&gt;&lt;D xsi:type="xsd:double"&gt;548.154875&lt;/D&gt;&lt;D xsi:type="xsd:double"&gt;531.989693&lt;/D&gt;&lt;D xsi:type="xsd:double"&gt;548.689389&lt;/D&gt;&lt;D xsi:type="xsd:double"&gt;588.681423&lt;/D&gt;&lt;D xsi:type="xsd:double"&gt;542.281917&lt;/D&gt;&lt;D xsi:type="xsd:double"&gt;542.174491&lt;/D&gt;&lt;D xsi:type="xsd:double"&gt;517.950194&lt;/D&gt;&lt;D xsi:type="xsd:double"&gt;474.271212&lt;/D&gt;&lt;D xsi:type="xsd:double"&gt;464.151045&lt;/D&gt;&lt;D xsi:type="xsd:double"&gt;439.746434&lt;/D&gt;&lt;D xsi:type="xsd:double"&gt;423.140287&lt;/D&gt;&lt;D xsi:type="xsd:double"&gt;432.199623&lt;/D&gt;&lt;D xsi:type="xsd:double"&gt;434.125943&lt;/D&gt;&lt;D xsi:type="xsd:double"&gt;441.298512&lt;/D&gt;&lt;D xsi:type="xsd:double"&gt;482.062352&lt;/D&gt;&lt;D xsi:type="xsd:double"&gt;477.73243&lt;/D&gt;&lt;D xsi:type="xsd:double"&gt;457.191197&lt;/D&gt;&lt;D xsi:type="xsd:double"&gt;442.778084&lt;/D&gt;&lt;D xsi:type="xsd:double"&gt;413.325281&lt;/D&gt;&lt;D xsi:type="xsd:double"&gt;409.114632&lt;/D&gt;&lt;D xsi:type="xsd:double"&gt;377.633905&lt;/D&gt;&lt;D xsi:type="xsd:double"&gt;375.518425&lt;/D&gt;&lt;D xsi:type="xsd:double"&gt;352.624149&lt;/D&gt;&lt;D xsi:type="xsd:double"&gt;332.684155&lt;/D&gt;&lt;D xsi:type="xsd:double"&gt;315.435593&lt;/D&gt;&lt;D xsi:type="xsd:double"&gt;295.165903&lt;/D&gt;&lt;D xsi:type="xsd:double"&gt;272.267&lt;/D&gt;&lt;D xsi:type="xsd:double"&gt;281.288&lt;/D&gt;&lt;D xsi:type="xsd:double"&gt;290.438&lt;/D&gt;&lt;D xsi:type="xsd:double"&gt;292.09&lt;/D&gt;&lt;D xsi:type="xsd:double"&gt;302.358&lt;/D&gt;&lt;D xsi:type="xsd:double"&gt;283.161&lt;/D&gt;&lt;D xsi:type="xsd:double"&gt;266.106&lt;/D&gt;&lt;D xsi:type="xsd:double"&gt;298.886&lt;/D&gt;&lt;D xsi:type="xsd:double"&gt;294.623&lt;/D&gt;&lt;D xsi:type="xsd:double"&gt;319.752&lt;/D&gt;&lt;D xsi:type="xsd:double"&gt;346.28&lt;/D&gt;&lt;D xsi:type="xsd:double"&gt;352.838&lt;/D&gt;&lt;D xsi:type="xsd:double"&gt;351.461&lt;/D&gt;&lt;D xsi:type="xsd:double"&gt;332.765&lt;/D&gt;&lt;D xsi:type="xsd:double"&gt;327.746&lt;/D&gt;&lt;D xsi:type="xsd:double"&gt;317.4&lt;/D&gt;&lt;D xsi:type="xsd:double"&gt;294.426&lt;/D&gt;&lt;D xsi:type="xsd:double"&gt;266.861&lt;/D&gt;&lt;D xsi:type="xsd:double"&gt;251.395&lt;/D&gt;&lt;D xsi:type="xsd:double"&gt;298.169&lt;/D&gt;&lt;D xsi:type="xsd:double"&gt;301.666&lt;/D&gt;&lt;D xsi:type="xsd:double"&gt;322.888&lt;/D&gt;&lt;D xsi:type="xsd:double"&gt;330.545&lt;/D&gt;&lt;D xsi:type="xsd:double"&gt;327.709&lt;/D&gt;&lt;D xsi:type="xsd:double"&gt;313.138&lt;/D&gt;&lt;D xsi:type="xsd:double"&gt;349.024&lt;/D&gt;&lt;D xsi:type="xsd:double"&gt;379.022&lt;/D&gt;&lt;D xsi:type="xsd:double"&gt;333.793&lt;/D&gt;&lt;D xsi:type="xsd:double"&gt;326.356&lt;/D&gt;&lt;D xsi:type="xsd:double"&gt;357.847&lt;/D&gt;&lt;D xsi:type="xsd:double"&gt;386.031&lt;/D&gt;&lt;D xsi:type="xsd:double"&gt;423.56&lt;/D&gt;&lt;D xsi:type="xsd:double"&gt;422.082&lt;/D&gt;&lt;D xsi:type="xsd:double"&gt;445.518&lt;/D&gt;&lt;D xsi:type="xsd:double"&gt;431.703&lt;/D&gt;&lt;D xsi:type="xsd:double"&gt;451.359&lt;/D&gt;&lt;D xsi:type="xsd:double"&gt;499.404&lt;/D&gt;&lt;D xsi:type="xsd:double"&gt;497.741&lt;/D&gt;&lt;D xsi:type="xsd:double"&gt;491.393&lt;/D&gt;&lt;/FQL&gt;&lt;FQL&gt;&lt;Q&gt;891800^JULIAN(FG_PRICE(2/27/2026,1/31/2000,M,USD).DATES)&lt;/Q&gt;&lt;R&gt;314&lt;/R&gt;&lt;C&gt;1&lt;/C&gt;&lt;D xsi:type="xsd:long"&gt;46080&lt;/D&gt;&lt;D xsi:type="xsd:long"&gt;46052&lt;/D&gt;&lt;D xsi:type="xsd:long"&gt;46022&lt;/D&gt;&lt;D xsi:type="xsd:long"&gt;45989&lt;/D&gt;&lt;D xsi:type="xsd:long"&gt;45961&lt;/D&gt;&lt;D xsi:type="xsd:long"&gt;45930&lt;/D&gt;&lt;D xsi:type="xsd:long"&gt;45898&lt;/D&gt;&lt;D xsi:type="xsd:long"&gt;45869&lt;/D&gt;&lt;D xsi:type="xsd:long"&gt;45838&lt;/D&gt;&lt;D xsi:type="xsd:long"&gt;45807&lt;/D&gt;&lt;D xsi:type="xsd:long"&gt;45777&lt;/D&gt;&lt;D xsi:type="xsd:long"&gt;45747&lt;/D&gt;&lt;D xsi:type="xsd:long"&gt;45716&lt;/D&gt;&lt;D xsi:type="xsd:long"&gt;45688&lt;/D&gt;&lt;D xsi:type="xsd:long"&gt;45657&lt;/D&gt;&lt;D xsi:type="xsd:long"&gt;45625&lt;/D&gt;&lt;D xsi:type="xsd:long"&gt;45596&lt;/D&gt;&lt;D xsi:type="xsd:long"&gt;45565&lt;/D&gt;&lt;D xsi:type="xsd:long"&gt;45534&lt;/D&gt;&lt;D xsi:type="xsd:long"&gt;45504&lt;/D&gt;&lt;D xsi:type="xsd:long"&gt;45471&lt;/D&gt;&lt;D xsi:type="xsd:long"&gt;45443&lt;/D&gt;&lt;D xsi:type="xsd:long"&gt;45412&lt;/D&gt;&lt;D xsi:type="xsd:long"&gt;45379&lt;/D&gt;&lt;D xsi:type="xsd:long"&gt;45351&lt;/D&gt;&lt;D xsi:type="xsd:long"&gt;45322&lt;/D&gt;&lt;D xsi:type="xsd:long"&gt;45289&lt;/D&gt;&lt;D xsi:type="xsd:long"&gt;45260&lt;/D&gt;&lt;D xsi:type="xsd:long"&gt;45230&lt;/D&gt;&lt;D xsi:type="xsd:long"&gt;45198&lt;/D&gt;&lt;D xsi:type="xsd:long"&gt;45169&lt;/D&gt;&lt;D xsi:type="xsd:long"&gt;45138&lt;/D&gt;&lt;D xsi:type="xsd:long"&gt;45107&lt;/D&gt;&lt;D xsi:type="xsd:long"&gt;45077&lt;/D&gt;&lt;D xsi:type="xsd:long"&gt;45044&lt;/D&gt;&lt;D xsi:type="xsd:long"&gt;45016&lt;/D&gt;&lt;D xsi:type="xsd:long"&gt;44985&lt;/D&gt;&lt;D xsi:type="xsd:long"&gt;44957&lt;/D&gt;&lt;D xsi:type="xsd:long"&gt;44925&lt;/D&gt;&lt;D xsi:type="xsd:long"&gt;44895&lt;/D&gt;&lt;D xsi:type="xsd:long"&gt;44865&lt;/D&gt;&lt;D xsi:type="xsd:long"&gt;44834&lt;/D&gt;&lt;D xsi:type="xsd:long"&gt;44804&lt;/D&gt;&lt;D xsi:type="xsd:long"&gt;44771&lt;/D&gt;&lt;D xsi:type="xsd:long"&gt;44742&lt;/D&gt;&lt;D xsi:type="xsd:long"&gt;44712&lt;/D&gt;&lt;D xsi:type="xsd:long"&gt;44680&lt;/D&gt;&lt;D xsi:type="xsd:long"&gt;44651&lt;/D&gt;&lt;D xsi:type="xsd:long"&gt;44620&lt;/D&gt;&lt;D xsi:type="xsd:long"&gt;44592&lt;/D&gt;&lt;D xsi:type="xsd:long"&gt;44561&lt;/D&gt;&lt;D xsi:type="xsd:long"&gt;44530&lt;/D&gt;&lt;D xsi:type="xsd:long"&gt;44498&lt;/D&gt;&lt;D xsi:type="xsd:long"&gt;44469&lt;/D&gt;&lt;D xsi:type="xsd:long"&gt;44439&lt;/D&gt;&lt;D xsi:type="xsd:long"&gt;44407&lt;/D&gt;&lt;D xsi:type="xsd:long"&gt;44377&lt;/D&gt;&lt;D xsi:type="xsd:long"&gt;44344&lt;/D&gt;&lt;D xsi:type="xsd:long"&gt;44316&lt;/D&gt;&lt;D xsi:type="xsd:long"&gt;44286&lt;/D&gt;&lt;D xsi:type="xsd:long"&gt;44253&lt;/D&gt;&lt;D xsi:type="xsd:long"&gt;44225&lt;/D&gt;&lt;D xsi:type="xsd:long"&gt;44196&lt;/D&gt;&lt;D xsi:type="xsd:long"&gt;44165&lt;/D&gt;&lt;D xsi:type="xsd:long"&gt;44134&lt;/D&gt;&lt;D xsi:type="xsd:long"&gt;44104&lt;/D&gt;&lt;D xsi:type="xsd:long"&gt;44074&lt;/D&gt;&lt;D xsi:type="xsd:long"&gt;44043&lt;/D&gt;&lt;D xsi:type="xsd:long"&gt;44012&lt;/D&gt;&lt;D xsi:type="xsd:long"&gt;43980&lt;/D&gt;&lt;D xsi:type="xsd:long"&gt;43951&lt;/D&gt;&lt;D xsi:type="xsd:long"&gt;43921&lt;/D&gt;&lt;D xsi:type="xsd:long"&gt;43889&lt;/D&gt;&lt;D xsi:type="xsd:long"&gt;43861&lt;/D&gt;&lt;D xsi:type="xsd:long"&gt;43830&lt;/D&gt;&lt;D xsi:type="xsd:long"&gt;43798&lt;/D&gt;&lt;D xsi:type="xsd:long"&gt;43769&lt;/D&gt;&lt;D xsi:type="xsd:long"&gt;43738&lt;/D&gt;&lt;D xsi:type="xsd:long"&gt;43707&lt;/D&gt;&lt;D xsi:type="xsd:long"&gt;43677&lt;/D&gt;&lt;D xsi:type="xsd:long"&gt;43644&lt;/D&gt;&lt;D xsi:type="xsd:long"&gt;43616&lt;/D&gt;&lt;D xsi:type="xsd:long"&gt;43585&lt;/D&gt;&lt;D xsi:type="xsd:long"&gt;43553&lt;/D&gt;&lt;D xsi:type="xsd:long"&gt;43524&lt;/D&gt;&lt;D xsi:type="xsd:long"&gt;43496&lt;/D&gt;&lt;D xsi:type="xsd:long"&gt;43465&lt;/D&gt;&lt;D xsi:type="xsd:long"&gt;43434&lt;/D&gt;&lt;D xsi:type="xsd:long"&gt;43404&lt;/D&gt;&lt;D xsi:type="xsd:long"&gt;43371&lt;/D&gt;&lt;D xsi:type="xsd:long"&gt;43343&lt;/D&gt;&lt;D xsi:type="xsd:long"&gt;43312&lt;/D&gt;&lt;D xsi:type="xsd:long"&gt;43280&lt;/D&gt;&lt;D xsi:type="xsd:long"&gt;43251&lt;/D&gt;&lt;D xsi:type="xsd:long"&gt;43220&lt;/D&gt;&lt;D xsi:type="xsd:long"&gt;43188&lt;/D&gt;&lt;D xsi:type="xsd:long"&gt;43159&lt;/D&gt;&lt;D xsi:type="xsd:long"&gt;43131&lt;/D&gt;&lt;D xsi:type="xsd:long"&gt;43098&lt;/D&gt;&lt;D xsi:type="xsd:long"&gt;43069&lt;/D&gt;&lt;D xsi:type="xsd:long"&gt;43039&lt;/D&gt;&lt;D xsi:type="xsd:long"&gt;43007&lt;/D&gt;&lt;D xsi:type="xsd:long"&gt;42978&lt;/D&gt;&lt;D xsi:type="xsd:long"&gt;42947&lt;/D&gt;&lt;D xsi:type="xsd:long"&gt;42916&lt;/D&gt;&lt;D xsi:type="xsd:long"&gt;42886&lt;/D&gt;&lt;D xsi:type="xsd:long"&gt;42853&lt;/D&gt;&lt;D xsi:type="xsd:long"&gt;42825&lt;/D&gt;&lt;D xsi:type="xsd:long"&gt;42794&lt;/D&gt;&lt;D xsi:type="xsd:long"&gt;42766&lt;/D&gt;&lt;D xsi:type="xsd:long"&gt;42734&lt;/D&gt;&lt;D xsi:type="xsd:long"&gt;42704&lt;/D&gt;&lt;D xsi:type="xsd:long"&gt;42674&lt;/D&gt;&lt;D xsi:type="xsd:long"&gt;42643&lt;/D&gt;&lt;D xsi:type="xsd:long"&gt;42613&lt;/D&gt;&lt;D xsi:type="xsd:long"&gt;42580&lt;/D&gt;&lt;D xsi:type="xsd:long"&gt;42551&lt;/D&gt;&lt;D xsi:type="xsd:long"&gt;42521&lt;/D&gt;&lt;D xsi:type="xsd:long"&gt;42489&lt;/D&gt;&lt;D xsi:type="xsd:long"&gt;42460&lt;/D&gt;&lt;D xsi:type="xsd:long"&gt;42429&lt;/D&gt;&lt;D xsi:type="xsd:long"&gt;42398&lt;/D&gt;&lt;D xsi:type="xsd:long"&gt;42369&lt;/D&gt;&lt;D xsi:type="xsd:long"&gt;42338&lt;/D&gt;&lt;D xsi:type="xsd:long"&gt;42307&lt;/D&gt;&lt;D xsi:type="xsd:long"&gt;42277&lt;/D&gt;&lt;D xsi:type="xsd:long"&gt;42247&lt;/D&gt;&lt;D xsi:type="xsd:long"&gt;42216&lt;/D&gt;&lt;D xsi:type="xsd:long"&gt;42185&lt;/D&gt;&lt;D xsi:type="xsd:long"&gt;42153&lt;/D&gt;&lt;D xsi:type="xsd:long"&gt;42124&lt;/D&gt;&lt;D xsi:type="xsd:long"&gt;42094&lt;/D&gt;&lt;D xsi:type="xsd:long"&gt;42062&lt;/D&gt;&lt;D xsi:type="xsd:long"&gt;42034&lt;/D&gt;&lt;D xsi:type="xsd:long"&gt;42004&lt;/D&gt;&lt;D xsi:type="xsd:long"&gt;41971&lt;/D&gt;&lt;D xsi:type="xsd:long"&gt;41943&lt;/D&gt;&lt;D xsi:type="xsd:long"&gt;41912&lt;/D&gt;&lt;D xsi:type="xsd:long"&gt;41880&lt;/D&gt;&lt;D xsi:type="xsd:long"&gt;41851&lt;/D&gt;&lt;D xsi:type="xsd:long"&gt;41820&lt;/D&gt;&lt;D xsi:type="xsd:long"&gt;41789&lt;/D&gt;&lt;D xsi:type="xsd:long"&gt;41759&lt;/D&gt;&lt;D xsi:type="xsd:long"&gt;41729&lt;/D&gt;&lt;D xsi:type="xsd:long"&gt;41698&lt;/D&gt;&lt;D xsi:type="xsd:long"&gt;41670&lt;/D&gt;&lt;D xsi:type="xsd:long"&gt;41639&lt;/D&gt;&lt;D xsi:type="xsd:long"&gt;41607&lt;/D&gt;&lt;D xsi:type="xsd:long"&gt;41578&lt;/D&gt;&lt;D xsi:type="xsd:long"&gt;41547&lt;/D&gt;&lt;D xsi:type="xsd:long"&gt;41516&lt;/D&gt;&lt;D xsi:type="xsd:long"&gt;41486&lt;/D&gt;&lt;D xsi:type="xsd:long"&gt;41453&lt;/D&gt;&lt;D xsi:type="xsd:long"&gt;41425&lt;/D&gt;&lt;D xsi:type="xsd:long"&gt;41394&lt;/D&gt;&lt;D xsi:type="xsd:long"&gt;41361&lt;/D&gt;&lt;D xsi:type="xsd:long"&gt;41333&lt;/D&gt;&lt;D xsi:type="xsd:long"&gt;41305&lt;/D&gt;&lt;D xsi:type="xsd:long"&gt;41274&lt;/D&gt;&lt;D xsi:type="xsd:long"&gt;41243&lt;/D&gt;&lt;D xsi:type="xsd:long"&gt;41213&lt;/D&gt;&lt;D xsi:type="xsd:long"&gt;41180&lt;/D&gt;&lt;D xsi:type="xsd:long"&gt;41152&lt;/D&gt;&lt;D xsi:type="xsd:long"&gt;41121&lt;/D&gt;&lt;D xsi:type="xsd:long"&gt;41089&lt;/D&gt;&lt;D xsi:type="xsd:long"&gt;41060&lt;/D&gt;&lt;D xsi:type="xsd:long"&gt;41029&lt;/D&gt;&lt;D xsi:type="xsd:long"&gt;40998&lt;/D&gt;&lt;D xsi:type="xsd:long"&gt;40968&lt;/D&gt;&lt;D xsi:type="xsd:long"&gt;40939&lt;/D&gt;&lt;D xsi:type="xsd:long"&gt;40907&lt;/D&gt;&lt;D xsi:type="xsd:long"&gt;40877&lt;/D&gt;&lt;D xsi:type="xsd:long"&gt;40847&lt;/D&gt;&lt;D xsi:type="xsd:long"&gt;40816&lt;/D&gt;&lt;D xsi:type="xsd:long"&gt;40786&lt;/D&gt;&lt;D xsi:type="xsd:long"&gt;40753&lt;/D&gt;&lt;D xsi:type="xsd:long"&gt;40724&lt;/D&gt;&lt;D xsi:type="xsd:long"&gt;40694&lt;/D&gt;&lt;D xsi:type="xsd:long"&gt;40662&lt;/D&gt;&lt;D xsi:type="xsd:long"&gt;40633&lt;/D&gt;&lt;D xsi:type="xsd:long"&gt;40602&lt;/D&gt;&lt;D xsi:type="xsd:long"&gt;40574&lt;/D&gt;&lt;D xsi:type="xsd:long"&gt;40543&lt;/D&gt;&lt;D xsi:type="xsd:long"&gt;40512&lt;/D&gt;&lt;D xsi:type="xsd:long"&gt;40480&lt;/D&gt;&lt;D xsi:type="xsd:long"&gt;40451&lt;/D&gt;&lt;D xsi:type="xsd:long"&gt;40421&lt;/D&gt;&lt;D xsi:type="xsd:long"&gt;40389&lt;/D&gt;&lt;D xsi:type="xsd:long"&gt;40359&lt;/D&gt;&lt;D xsi:type="xsd:long"&gt;40326&lt;/D&gt;&lt;D xsi:type="xsd:long"&gt;40298&lt;/D&gt;&lt;D xsi:type="xsd:long"&gt;40268&lt;/D&gt;&lt;D xsi:type="xsd:long"&gt;40235&lt;/D&gt;&lt;D xsi:type="xsd:long"&gt;40207&lt;/D&gt;&lt;D xsi:type="xsd:long"&gt;40178&lt;/D&gt;&lt;D xsi:type="xsd:long"&gt;40147&lt;/D&gt;&lt;D xsi:type="xsd:long"&gt;40116&lt;/D&gt;&lt;D xsi:type="xsd:long"&gt;40086&lt;/D&gt;&lt;D xsi:type="xsd:long"&gt;40056&lt;/D&gt;&lt;D xsi:type="xsd:long"&gt;40025&lt;/D&gt;&lt;D xsi:type="xsd:long"&gt;39994&lt;/D&gt;&lt;D xsi:type="xsd:long"&gt;39962&lt;/D&gt;&lt;D xsi:type="xsd:long"&gt;39933&lt;/D&gt;&lt;D xsi:type="xsd:long"&gt;39903&lt;/D&gt;&lt;D xsi:type="xsd:long"&gt;39871&lt;/D&gt;&lt;D xsi:type="xsd:long"&gt;39843&lt;/D&gt;&lt;D xsi:type="xsd:long"&gt;39813&lt;/D&gt;&lt;D xsi:type="xsd:long"&gt;39780&lt;/D&gt;&lt;D xsi:type="xsd:long"&gt;39752&lt;/D&gt;&lt;D xsi:type="xsd:long"&gt;39721&lt;/D&gt;&lt;D xsi:type="xsd:long"&gt;39689&lt;/D&gt;&lt;D xsi:type="xsd:long"&gt;39660&lt;/D&gt;&lt;D xsi:type="xsd:long"&gt;39629&lt;/D&gt;&lt;D xsi:type="xsd:long"&gt;39598&lt;/D&gt;&lt;D xsi:type="xsd:long"&gt;39568&lt;/D&gt;&lt;D xsi:type="xsd:long"&gt;39538&lt;/D&gt;&lt;D xsi:type="xsd:long"&gt;39507&lt;/D&gt;&lt;D xsi:type="xsd:long"&gt;39478&lt;/D&gt;&lt;D xsi:type="xsd:long"&gt;39447&lt;/D&gt;&lt;D xsi:type="xsd:long"&gt;39416&lt;/D&gt;&lt;D xsi:type="xsd:long"&gt;39386&lt;/D&gt;&lt;D xsi:type="xsd:long"&gt;39353&lt;/D&gt;&lt;D xsi:type="xsd:long"&gt;39325&lt;/D&gt;&lt;D xsi:type="xsd:long"&gt;39294&lt;/D&gt;&lt;D xsi:type="xsd:long"&gt;39262&lt;/D&gt;&lt;D xsi:type="xsd:long"&gt;39233&lt;/D&gt;&lt;D xsi:type="xsd:long"&gt;39202&lt;/D&gt;&lt;D xsi:type="xsd:long"&gt;39171&lt;/D&gt;&lt;D xsi:type="xsd:long"&gt;39141&lt;/D&gt;&lt;D xsi:type="xsd:long"&gt;39113&lt;/D&gt;&lt;D xsi:type="xsd:long"&gt;39080&lt;/D&gt;&lt;D xsi:type="xsd:long"&gt;39051&lt;/D&gt;&lt;D xsi:type="xsd:long"&gt;39021&lt;/D&gt;&lt;D xsi:type="xsd:long"&gt;38989&lt;/D&gt;&lt;D xsi:type="xsd:long"&gt;38960&lt;/D&gt;&lt;D xsi:type="xsd:long"&gt;38929&lt;/D&gt;&lt;D xsi:type="xsd:long"&gt;38898&lt;/D&gt;&lt;D xsi:type="xsd:long"&gt;38868&lt;/D&gt;&lt;D xsi:type="xsd:long"&gt;38835&lt;/D&gt;&lt;D xsi:type="xsd:long"&gt;38807&lt;/D&gt;&lt;D xsi:type="xsd:long"&gt;38776&lt;/D&gt;&lt;D xsi:type="xsd:long"&gt;38748&lt;/D&gt;&lt;D xsi:type="xsd:long"&gt;38716&lt;/D&gt;&lt;D xsi:type="xsd:long"&gt;38686&lt;/D&gt;&lt;D xsi:type="xsd:long"&gt;38656&lt;/D&gt;&lt;D xsi:type="xsd:long"&gt;38625&lt;/D&gt;&lt;D xsi:type="xsd:long"&gt;38595&lt;/D&gt;&lt;D xsi:type="xsd:long"&gt;38562&lt;/D&gt;&lt;D xsi:type="xsd:long"&gt;38533&lt;/D&gt;&lt;D xsi:type="xsd:long"&gt;38503&lt;/D&gt;&lt;D xsi:type="xsd:long"&gt;38471&lt;/D&gt;&lt;D xsi:type="xsd:long"&gt;38442&lt;/D&gt;&lt;D xsi:type="xsd:long"&gt;38411&lt;/D&gt;&lt;D xsi:type="xsd:long"&gt;38383&lt;/D&gt;&lt;D xsi:type="xsd:long"&gt;38352&lt;/D&gt;&lt;D xsi:type="xsd:long"&gt;38321&lt;/D&gt;&lt;D xsi:type="xsd:long"&gt;38289&lt;/D&gt;&lt;D xsi:type="xsd:long"&gt;38260&lt;/D&gt;&lt;D xsi:type="xsd:long"&gt;38230&lt;/D&gt;&lt;D xsi:type="xsd:long"&gt;38198&lt;/D&gt;&lt;D xsi:type="xsd:long"&gt;38168&lt;/D&gt;&lt;D xsi:type="xsd:long"&gt;38135&lt;/D&gt;&lt;D xsi:type="xsd:long"&gt;38107&lt;/D&gt;&lt;D xsi:type="xsd:long"&gt;38077&lt;/D&gt;&lt;D xsi:type="xsd:long"&gt;38044&lt;/D&gt;&lt;D xsi:type="xsd:long"&gt;38016&lt;/D&gt;&lt;D xsi:type="xsd:long"&gt;37986&lt;/D&gt;&lt;D xsi:type="xsd:long"&gt;37953&lt;/D&gt;&lt;D xsi:type="xsd:long"&gt;37925&lt;/D&gt;&lt;D xsi:type="xsd:long"&gt;37894&lt;/D&gt;&lt;D xsi:type="xsd:long"&gt;37862&lt;/D&gt;&lt;D xsi:type="xsd:long"&gt;37833&lt;/D&gt;&lt;D xsi:type="xsd:long"&gt;37802&lt;/D&gt;&lt;D xsi:type="xsd:long"&gt;37771&lt;/D&gt;&lt;D xsi:type="xsd:long"&gt;37741&lt;/D&gt;&lt;D xsi:type="xsd:long"&gt;37711&lt;/D&gt;&lt;D xsi:type="xsd:long"&gt;37680&lt;/D&gt;&lt;D xsi:type="xsd:long"&gt;37652&lt;/D&gt;&lt;D xsi:type="xsd:long"&gt;37621&lt;/D&gt;&lt;D xsi:type="xsd:long"&gt;37589&lt;/D&gt;&lt;D xsi:type="xsd:long"&gt;37560&lt;/D&gt;&lt;D xsi:type="xsd:long"&gt;37529&lt;/D&gt;&lt;D xsi:type="xsd:long"&gt;37498&lt;/D&gt;&lt;D xsi:type="xsd:long"&gt;37468&lt;/D&gt;&lt;D xsi:type="xsd:long"&gt;37435&lt;/D&gt;&lt;D xsi:type="xsd:long"&gt;37407&lt;/D&gt;&lt;D xsi:type="xsd:long"&gt;37376&lt;/D&gt;&lt;D xsi:type="xsd:long"&gt;37343&lt;/D&gt;&lt;D xsi:type="xsd:long"&gt;37315&lt;/D&gt;&lt;D xsi:type="xsd:long"&gt;37287&lt;/D&gt;&lt;D xsi:type="xsd:long"&gt;37256&lt;/D&gt;&lt;D xsi:type="xsd:long"&gt;37225&lt;/D&gt;&lt;D xsi:type="xsd:long"&gt;37195&lt;/D&gt;&lt;D xsi:type="xsd:long"&gt;37162&lt;/D&gt;&lt;D xsi:type="xsd:long"&gt;37134&lt;/D&gt;&lt;D xsi:type="xsd:long"&gt;37103&lt;/D&gt;&lt;D xsi:type="xsd:long"&gt;37071&lt;/D&gt;&lt;D xsi:type="xsd:long"&gt;37042&lt;/D&gt;&lt;D xsi:type="xsd:long"&gt;37011&lt;/D&gt;&lt;D xsi:type="xsd:long"&gt;36980&lt;/D&gt;&lt;D xsi:type="xsd:long"&gt;36950&lt;/D&gt;&lt;D xsi:type="xsd:long"&gt;36922&lt;/D&gt;&lt;D xsi:type="xsd:long"&gt;36889&lt;/D&gt;&lt;D xsi:type="xsd:long"&gt;36860&lt;/D&gt;&lt;D xsi:type="xsd:long"&gt;36830&lt;/D&gt;&lt;D xsi:type="xsd:long"&gt;36798&lt;/D&gt;&lt;D xsi:type="xsd:long"&gt;36769&lt;/D&gt;&lt;D xsi:type="xsd:long"&gt;36738&lt;/D&gt;&lt;D xsi:type="xsd:long"&gt;36707&lt;/D&gt;&lt;D xsi:type="xsd:long"&gt;36677&lt;/D&gt;&lt;D xsi:type="xsd:long"&gt;36644&lt;/D&gt;&lt;D xsi:type="xsd:long"&gt;36616&lt;/D&gt;&lt;D xsi:type="xsd:long"&gt;36585&lt;/D&gt;&lt;D xsi:type="xsd:long"&gt;36556&lt;/D&gt;&lt;/FQL&gt;&lt;FQL&gt;&lt;Q&gt;990100^P_DATE(2/27/2026,1/31/2000,M)&lt;/Q&gt;&lt;R&gt;314&lt;/R&gt;&lt;C&gt;1&lt;/C&gt;&lt;D xsi:type="xsd:string"&gt;02/27/2026&lt;/D&gt;&lt;D xsi:type="xsd:string"&gt;01/30/2026&lt;/D&gt;&lt;D xsi:type="xsd:string"&gt;12/31/2025&lt;/D&gt;&lt;D xsi:type="xsd:string"&gt;11/28/2025&lt;/D&gt;&lt;D xsi:type="xsd:string"&gt;10/31/2025&lt;/D&gt;&lt;D xsi:type="xsd:string"&gt;09/30/2025&lt;/D&gt;&lt;D xsi:type="xsd:string"&gt;08/29/2025&lt;/D&gt;&lt;D xsi:type="xsd:string"&gt;07/31/2025&lt;/D&gt;&lt;D xsi:type="xsd:string"&gt;06/30/2025&lt;/D&gt;&lt;D xsi:type="xsd:string"&gt;05/30/2025&lt;/D&gt;&lt;D xsi:type="xsd:string"&gt;04/30/2025&lt;/D&gt;&lt;D xsi:type="xsd:string"&gt;03/31/2025&lt;/D&gt;&lt;D xsi:type="xsd:string"&gt;02/28/2025&lt;/D&gt;&lt;D xsi:type="xsd:string"&gt;01/31/2025&lt;/D&gt;&lt;D xsi:type="xsd:string"&gt;12/31/2024&lt;/D&gt;&lt;D xsi:type="xsd:string"&gt;11/29/2024&lt;/D&gt;&lt;D xsi:type="xsd:string"&gt;10/31/2024&lt;/D&gt;&lt;D xsi:type="xsd:string"&gt;09/30/2024&lt;/D&gt;&lt;D xsi:type="xsd:string"&gt;08/30/2024&lt;/D&gt;&lt;D xsi:type="xsd:string"&gt;07/31/2024&lt;/D&gt;&lt;D xsi:type="xsd:string"&gt;06/28/2024&lt;/D&gt;&lt;D xsi:type="xsd:string"&gt;05/31/2024&lt;/D&gt;&lt;D xsi:type="xsd:string"&gt;04/30/2024&lt;/D&gt;&lt;D xsi:type="xsd:string"&gt;03/28/2024&lt;/D&gt;&lt;D xsi:type="xsd:string"&gt;02/29/2024&lt;/D&gt;&lt;D xsi:type="xsd:string"&gt;01/31/2024&lt;/D&gt;&lt;D xsi:type="xsd:string"&gt;12/29/2023&lt;/D&gt;&lt;D xsi:type="xsd:string"&gt;11/30/2023&lt;/D&gt;&lt;D xsi:type="xsd:string"&gt;10/31/2023&lt;/D&gt;&lt;D xsi:type="xsd:string"&gt;09/29/2023&lt;/D&gt;&lt;D xsi:type="xsd:string"&gt;08/31/2023&lt;/D&gt;&lt;D xsi:type="xsd:string"&gt;07/31/2023&lt;/D&gt;&lt;D xsi:type="xsd:string"&gt;06/30/2023&lt;/D&gt;&lt;D xsi:type="xsd:string"&gt;05/31/2023&lt;/D&gt;&lt;D xsi:type="xsd:string"&gt;04/28/2023&lt;/D&gt;&lt;D xsi:type="xsd:string"&gt;03/31/2023&lt;/D&gt;&lt;D xsi:type="xsd:string"&gt;02/28/2023&lt;/D&gt;&lt;D xsi:type="xsd:string"&gt;01/31/2023&lt;/D&gt;&lt;D xsi:type="xsd:string"&gt;12/30/2022&lt;/D&gt;&lt;D xsi:type="xsd:string"&gt;11/30/2022&lt;/D&gt;&lt;D xsi:type="xsd:string"&gt;10/31/2022&lt;/D&gt;&lt;D xsi:type="xsd:string"&gt;09/30/2022&lt;/D&gt;&lt;D xsi:type="xsd:string"&gt;08/31/2022&lt;/D&gt;&lt;D xsi:type="xsd:string"&gt;07/29/2022&lt;/D&gt;&lt;D xsi:type="xsd:string"&gt;06/30/2022&lt;/D&gt;&lt;D xsi:type="xsd:string"&gt;05/31/2022&lt;/D&gt;&lt;D xsi:type="xsd:string"&gt;04/29/2022&lt;/D&gt;&lt;D xsi:type="xsd:string"&gt;03/31/2022&lt;/D&gt;&lt;D xsi:type="xsd:string"&gt;02/28/2022&lt;/D&gt;&lt;D xsi:type="xsd:string"&gt;01/31/2022&lt;/D&gt;&lt;D xsi:type="xsd:string"&gt;12/31/2021&lt;/D&gt;&lt;D xsi:type="xsd:string"&gt;11/30/2021&lt;/D&gt;&lt;D xsi:type="xsd:string"&gt;10/29/2021&lt;/D&gt;&lt;D xsi:type="xsd:string"&gt;09/30/2021&lt;/D&gt;&lt;D xsi:type="xsd:string"&gt;08/31/2021&lt;/D&gt;&lt;D xsi:type="xsd:string"&gt;07/30/2021&lt;/D&gt;&lt;D xsi:type="xsd:string"&gt;06/30/2021&lt;/D&gt;&lt;D xsi:type="xsd:string"&gt;05/28/2021&lt;/D&gt;&lt;D xsi:type="xsd:string"&gt;04/30/2021&lt;/D&gt;&lt;D xsi:type="xsd:string"&gt;03/31/2021&lt;/D&gt;&lt;D xsi:type="xsd:string"&gt;02/26/2021&lt;/D&gt;&lt;D xsi:type="xsd:string"&gt;01/29/2021&lt;/D&gt;&lt;D xsi:type="xsd:string"&gt;12/31/2020&lt;/D&gt;&lt;D xsi:type="xsd:string"&gt;11/30/2020&lt;/D&gt;&lt;D xsi:type="xsd:string"&gt;10/30/2020&lt;/D&gt;&lt;D xsi:type="xsd:string"&gt;09/30/2020&lt;/D&gt;&lt;D xsi:type="xsd:string"&gt;08/31/2020&lt;/D&gt;&lt;D xsi:type="xsd:string"&gt;07/31/2020&lt;/D&gt;&lt;D xsi:type="xsd:string"&gt;06/30/2020&lt;/D&gt;&lt;D xsi:type="xsd:string"&gt;05/29/2020&lt;/D&gt;&lt;D xsi:type="xsd:string"&gt;04/30/2020&lt;/D&gt;&lt;D xsi:type="xsd:string"&gt;03/31/2020&lt;/D&gt;&lt;D xsi:type="xsd:string"&gt;02/28/2020&lt;/D&gt;&lt;</t>
        </r>
      </text>
    </comment>
    <comment ref="A61" authorId="0" shapeId="0">
      <text>
        <r>
          <rPr>
            <b/>
            <sz val="9"/>
            <color indexed="81"/>
            <rFont val="Tahoma"/>
            <family val="2"/>
          </rPr>
          <t>D xsi:type="xsd:string"&gt;01/31/2020&lt;/D&gt;&lt;D xsi:type="xsd:string"&gt;12/31/2019&lt;/D&gt;&lt;D xsi:type="xsd:string"&gt;11/29/2019&lt;/D&gt;&lt;D xsi:type="xsd:string"&gt;10/31/2019&lt;/D&gt;&lt;D xsi:type="xsd:string"&gt;09/30/2019&lt;/D&gt;&lt;D xsi:type="xsd:string"&gt;08/30/2019&lt;/D&gt;&lt;D xsi:type="xsd:string"&gt;07/31/2019&lt;/D&gt;&lt;D xsi:type="xsd:string"&gt;06/28/2019&lt;/D&gt;&lt;D xsi:type="xsd:string"&gt;05/31/2019&lt;/D&gt;&lt;D xsi:type="xsd:string"&gt;04/30/2019&lt;/D&gt;&lt;D xsi:type="xsd:string"&gt;03/29/2019&lt;/D&gt;&lt;D xsi:type="xsd:string"&gt;02/28/2019&lt;/D&gt;&lt;D xsi:type="xsd:string"&gt;01/31/2019&lt;/D&gt;&lt;D xsi:type="xsd:string"&gt;12/31/2018&lt;/D&gt;&lt;D xsi:type="xsd:string"&gt;11/30/2018&lt;/D&gt;&lt;D xsi:type="xsd:string"&gt;10/31/2018&lt;/D&gt;&lt;D xsi:type="xsd:string"&gt;09/28/2018&lt;/D&gt;&lt;D xsi:type="xsd:string"&gt;08/31/2018&lt;/D&gt;&lt;D xsi:type="xsd:string"&gt;07/31/2018&lt;/D&gt;&lt;D xsi:type="xsd:string"&gt;06/29/2018&lt;/D&gt;&lt;D xsi:type="xsd:string"&gt;05/31/2018&lt;/D&gt;&lt;D xsi:type="xsd:string"&gt;04/30/2018&lt;/D&gt;&lt;D xsi:type="xsd:string"&gt;03/29/2018&lt;/D&gt;&lt;D xsi:type="xsd:string"&gt;02/28/2018&lt;/D&gt;&lt;D xsi:type="xsd:string"&gt;01/31/2018&lt;/D&gt;&lt;D xsi:type="xsd:string"&gt;12/29/2017&lt;/D&gt;&lt;D xsi:type="xsd:string"&gt;11/30/2017&lt;/D&gt;&lt;D xsi:type="xsd:string"&gt;10/31/2017&lt;/D&gt;&lt;D xsi:type="xsd:string"&gt;09/29/2017&lt;/D&gt;&lt;D xsi:type="xsd:string"&gt;08/31/2017&lt;/D&gt;&lt;D xsi:type="xsd:string"&gt;07/31/2017&lt;/D&gt;&lt;D xsi:type="xsd:string"&gt;06/30/2017&lt;/D&gt;&lt;D xsi:type="xsd:string"&gt;05/31/2017&lt;/D&gt;&lt;D xsi:type="xsd:string"&gt;04/28/2017&lt;/D&gt;&lt;D xsi:type="xsd:string"&gt;03/31/2017&lt;/D&gt;&lt;D xsi:type="xsd:string"&gt;02/28/2017&lt;/D&gt;&lt;D xsi:type="xsd:string"&gt;01/31/2017&lt;/D&gt;&lt;D xsi:type="xsd:string"&gt;12/30/2016&lt;/D&gt;&lt;D xsi:type="xsd:string"&gt;11/30/2016&lt;/D&gt;&lt;D xsi:type="xsd:string"&gt;10/31/2016&lt;/D&gt;&lt;D xsi:type="xsd:string"&gt;09/30/2016&lt;/D&gt;&lt;D xsi:type="xsd:string"&gt;08/31/2016&lt;/D&gt;&lt;D xsi:type="xsd:string"&gt;07/29/2016&lt;/D&gt;&lt;D xsi:type="xsd:string"&gt;06/30/2016&lt;/D&gt;&lt;D xsi:type="xsd:string"&gt;05/31/2016&lt;/D&gt;&lt;D xsi:type="xsd:string"&gt;04/29/2016&lt;/D&gt;&lt;D xsi:type="xsd:string"&gt;03/31/2016&lt;/D&gt;&lt;D xsi:type="xsd:string"&gt;02/29/2016&lt;/D&gt;&lt;D xsi:type="xsd:string"&gt;01/29/2016&lt;/D&gt;&lt;D xsi:type="xsd:string"&gt;12/31/2015&lt;/D&gt;&lt;D xsi:type="xsd:string"&gt;11/30/2015&lt;/D&gt;&lt;D xsi:type="xsd:string"&gt;10/30/2015&lt;/D&gt;&lt;D xsi:type="xsd:string"&gt;09/30/2015&lt;/D&gt;&lt;D xsi:type="xsd:string"&gt;08/31/2015&lt;/D&gt;&lt;D xsi:type="xsd:string"&gt;07/31/2015&lt;/D&gt;&lt;D xsi:type="xsd:string"&gt;06/30/2015&lt;/D&gt;&lt;D xsi:type="xsd:string"&gt;05/29/2015&lt;/D&gt;&lt;D xsi:type="xsd:string"&gt;04/30/2015&lt;/D&gt;&lt;D xsi:type="xsd:string"&gt;03/31/2015&lt;/D&gt;&lt;D xsi:type="xsd:string"&gt;02/27/2015&lt;/D&gt;&lt;D xsi:type="xsd:string"&gt;01/30/2015&lt;/D&gt;&lt;D xsi:type="xsd:string"&gt;12/31/2014&lt;/D&gt;&lt;D xsi:type="xsd:string"&gt;11/28/2014&lt;/D&gt;&lt;D xsi:type="xsd:string"&gt;10/31/2014&lt;/D&gt;&lt;D xsi:type="xsd:string"&gt;09/30/2014&lt;/D&gt;&lt;D xsi:type="xsd:string"&gt;08/29/2014&lt;/D&gt;&lt;D xsi:type="xsd:string"&gt;07/31/2014&lt;/D&gt;&lt;D xsi:type="xsd:string"&gt;06/30/2014&lt;/D&gt;&lt;D xsi:type="xsd:string"&gt;05/30/2014&lt;/D&gt;&lt;D xsi:type="xsd:string"&gt;04/30/2014&lt;/D&gt;&lt;D xsi:type="xsd:string"&gt;03/31/2014&lt;/D&gt;&lt;D xsi:type="xsd:string"&gt;02/28/2014&lt;/D&gt;&lt;D xsi:type="xsd:string"&gt;01/31/2014&lt;/D&gt;&lt;D xsi:type="xsd:string"&gt;12/31/2013&lt;/D&gt;&lt;D xsi:type="xsd:string"&gt;11/29/2013&lt;/D&gt;&lt;D xsi:type="xsd:string"&gt;10/31/2013&lt;/D&gt;&lt;D xsi:type="xsd:string"&gt;09/30/2013&lt;/D&gt;&lt;D xsi:type="xsd:string"&gt;08/30/2013&lt;/D&gt;&lt;D xsi:type="xsd:string"&gt;07/31/2013&lt;/D&gt;&lt;D xsi:type="xsd:string"&gt;06/28/2013&lt;/D&gt;&lt;D xsi:type="xsd:string"&gt;05/31/2013&lt;/D&gt;&lt;D xsi:type="xsd:string"&gt;04/30/2013&lt;/D&gt;&lt;D xsi:type="xsd:string"&gt;03/28/2013&lt;/D&gt;&lt;D xsi:type="xsd:string"&gt;02/28/2013&lt;/D&gt;&lt;D xsi:type="xsd:string"&gt;01/31/2013&lt;/D&gt;&lt;D xsi:type="xsd:string"&gt;12/31/2012&lt;/D&gt;&lt;D xsi:type="xsd:string"&gt;11/30/2012&lt;/D&gt;&lt;D xsi:type="xsd:string"&gt;10/31/2012&lt;/D&gt;&lt;D xsi:type="xsd:string"&gt;09/28/2012&lt;/D&gt;&lt;D xsi:type="xsd:string"&gt;08/31/2012&lt;/D&gt;&lt;D xsi:type="xsd:string"&gt;07/31/2012&lt;/D&gt;&lt;D xsi:type="xsd:string"&gt;06/29/2012&lt;/D&gt;&lt;D xsi:type="xsd:string"&gt;05/31/2012&lt;/D&gt;&lt;D xsi:type="xsd:string"&gt;04/30/2012&lt;/D&gt;&lt;D xsi:type="xsd:string"&gt;03/30/2012&lt;/D&gt;&lt;D xsi:type="xsd:string"&gt;02/29/2012&lt;/D&gt;&lt;D xsi:type="xsd:string"&gt;01/31/2012&lt;/D&gt;&lt;D xsi:type="xsd:string"&gt;12/30/2011&lt;/D&gt;&lt;D xsi:type="xsd:string"&gt;11/30/2011&lt;/D&gt;&lt;D xsi:type="xsd:string"&gt;10/31/2011&lt;/D&gt;&lt;D xsi:type="xsd:string"&gt;09/30/2011&lt;/D&gt;&lt;D xsi:type="xsd:string"&gt;08/31/2011&lt;/D&gt;&lt;D xsi:type="xsd:string"&gt;07/29/2011&lt;/D&gt;&lt;D xsi:type="xsd:string"&gt;06/30/2011&lt;/D&gt;&lt;D xsi:type="xsd:string"&gt;05/31/2011&lt;/D&gt;&lt;D xsi:type="xsd:string"&gt;04/29/2011&lt;/D&gt;&lt;D xsi:type="xsd:string"&gt;03/31/2011&lt;/D&gt;&lt;D xsi:type="xsd:string"&gt;02/28/2011&lt;/D&gt;&lt;D xsi:type="xsd:string"&gt;01/31/2011&lt;/D&gt;&lt;D xsi:type="xsd:string"&gt;12/31/2010&lt;/D&gt;&lt;D xsi:type="xsd:string"&gt;11/30/2010&lt;/D&gt;&lt;D xsi:type="xsd:string"&gt;10/29/2010&lt;/D&gt;&lt;D xsi:type="xsd:string"&gt;09/30/2010&lt;/D&gt;&lt;D xsi:type="xsd:string"&gt;08/31/2010&lt;/D&gt;&lt;D xsi:type="xsd:string"&gt;07/30/2010&lt;/D&gt;&lt;D xsi:type="xsd:string"&gt;06/30/2010&lt;/D&gt;&lt;D xsi:type="xsd:string"&gt;05/28/2010&lt;/D&gt;&lt;D xsi:type="xsd:string"&gt;04/30/2010&lt;/D&gt;&lt;D xsi:type="xsd:string"&gt;03/31/2010&lt;/D&gt;&lt;D xsi:type="xsd:string"&gt;02/26/2010&lt;/D&gt;&lt;D xsi:type="xsd:string"&gt;01/29/2010&lt;/D&gt;&lt;D xsi:type="xsd:string"&gt;12/31/2009&lt;/D&gt;&lt;D xsi:type="xsd:string"&gt;11/30/2009&lt;/D&gt;&lt;D xsi:type="xsd:string"&gt;10/30/2009&lt;/D&gt;&lt;D xsi:type="xsd:string"&gt;09/30/2009&lt;/D&gt;&lt;D xsi:type="xsd:string"&gt;08/31/2009&lt;/D&gt;&lt;D xsi:type="xsd:string"&gt;07/31/2009&lt;/D&gt;&lt;D xsi:type="xsd:string"&gt;06/30/2009&lt;/D&gt;&lt;D xsi:type="xsd:string"&gt;05/29/2009&lt;/D&gt;&lt;D xsi:type="xsd:string"&gt;04/30/2009&lt;/D&gt;&lt;D xsi:type="xsd:string"&gt;03/31/2009&lt;/D&gt;&lt;D xsi:type="xsd:string"&gt;02/27/2009&lt;/D&gt;&lt;D xsi:type="xsd:string"&gt;01/30/2009&lt;/D&gt;&lt;D xsi:type="xsd:string"&gt;12/31/2008&lt;/D&gt;&lt;D xsi:type="xsd:string"&gt;11/28/2008&lt;/D&gt;&lt;D xsi:type="xsd:string"&gt;10/31/2008&lt;/D&gt;&lt;D xsi:type="xsd:string"&gt;09/30/2008&lt;/D&gt;&lt;D xsi:type="xsd:string"&gt;08/29/2008&lt;/D&gt;&lt;D xsi:type="xsd:string"&gt;07/31/2008&lt;/D&gt;&lt;D xsi:type="xsd:string"&gt;06/30/2008&lt;/D&gt;&lt;D xsi:type="xsd:string"&gt;05/30/2008&lt;/D&gt;&lt;D xsi:type="xsd:string"&gt;04/30/2008&lt;/D&gt;&lt;D xsi:type="xsd:string"&gt;03/31/2008&lt;/D&gt;&lt;D xsi:type="xsd:string"&gt;02/29/2008&lt;/D&gt;&lt;D xsi:type="xsd:string"&gt;01/31/2008&lt;/D&gt;&lt;D xsi:type="xsd:string"&gt;12/31/2007&lt;/D&gt;&lt;D xsi:type="xsd:string"&gt;11/30/2007&lt;/D&gt;&lt;D xsi:type="xsd:string"&gt;10/31/2007&lt;/D&gt;&lt;D xsi:type="xsd:string"&gt;09/28/2007&lt;/D&gt;&lt;D xsi:type="xsd:string"&gt;08/31/2007&lt;/D&gt;&lt;D xsi:type="xsd:string"&gt;07/31/2007&lt;/D&gt;&lt;D xsi:type="xsd:string"&gt;06/29/2007&lt;/D&gt;&lt;D xsi:type="xsd:string"&gt;05/31/2007&lt;/D&gt;&lt;D xsi:type="xsd:string"&gt;04/30/2007&lt;/D&gt;&lt;D xsi:type="xsd:string"&gt;03/30/2007&lt;/D&gt;&lt;D xsi:type="xsd:string"&gt;02/28/2007&lt;/D&gt;&lt;D xsi:type="xsd:string"&gt;01/31/2007&lt;/D&gt;&lt;D xsi:type="xsd:string"&gt;12/29/2006&lt;/D&gt;&lt;D xsi:type="xsd:string"&gt;11/30/2006&lt;/D&gt;&lt;D xsi:type="xsd:string"&gt;10/31/2006&lt;/D&gt;&lt;D xsi:type="xsd:string"&gt;09/29/2006&lt;/D&gt;&lt;D xsi:type="xsd:string"&gt;08/31/2006&lt;/D&gt;&lt;D xsi:type="xsd:string"&gt;07/31/2006&lt;/D&gt;&lt;D xsi:type="xsd:string"&gt;06/30/2006&lt;/D&gt;&lt;D xsi:type="xsd:string"&gt;05/31/2006&lt;/D&gt;&lt;D xsi:type="xsd:string"&gt;04/28/2006&lt;/D&gt;&lt;D xsi:type="xsd:string"&gt;03/31/2006&lt;/D&gt;&lt;D xsi:type="xsd:string"&gt;02/28/2006&lt;/D&gt;&lt;D xsi:type="xsd:string"&gt;01/31/2006&lt;/D&gt;&lt;D xsi:type="xsd:string"&gt;12/30/2005&lt;/D&gt;&lt;D xsi:type="xsd:string"&gt;11/30/2005&lt;/D&gt;&lt;D xsi:type="xsd:string"&gt;10/31/2005&lt;/D&gt;&lt;D xsi:type="xsd:string"&gt;09/30/2005&lt;/D&gt;&lt;D xsi:type="xsd:string"&gt;08/31/2005&lt;/D&gt;&lt;D xsi:type="xsd:string"&gt;07/29/2005&lt;/D&gt;&lt;D xsi:type="xsd:string"&gt;06/30/2005&lt;/D&gt;&lt;D xsi:type="xsd:string"&gt;05/31/2005&lt;/D&gt;&lt;D xsi:type="xsd:string"&gt;04/29/2005&lt;/D&gt;&lt;D xsi:type="xsd:string"&gt;03/31/2005&lt;/D&gt;&lt;D xsi:type="xsd:string"&gt;02/28/2005&lt;/D&gt;&lt;D xsi:type="xsd:string"&gt;01/31/2005&lt;/D&gt;&lt;D xsi:type="xsd:string"&gt;12/31/2004&lt;/D&gt;&lt;D xsi:type="xsd:string"&gt;11/30/2004&lt;/D&gt;&lt;D xsi:type="xsd:string"&gt;10/29/2004&lt;/D&gt;&lt;D xsi:type="xsd:string"&gt;09/30/2004&lt;/D&gt;&lt;D xsi:type="xsd:string"&gt;08/31/2004&lt;/D&gt;&lt;D xsi:type="xsd:string"&gt;07/30/2004&lt;/D&gt;&lt;D xsi:type="xsd:string"&gt;06/30/2004&lt;/D&gt;&lt;D xsi:type="xsd:string"&gt;05/28/2004&lt;/D&gt;&lt;D xsi:type="xsd:string"&gt;04/30/2004&lt;/D&gt;&lt;D xsi:type="xsd:string"&gt;03/31/2004&lt;/D&gt;&lt;D xsi:type="xsd:string"&gt;02/27/2004&lt;/D&gt;&lt;D xsi:type="xsd:string"&gt;01/30/2004&lt;/D&gt;&lt;D xsi:type="xsd:string"&gt;12/31/2003&lt;/D&gt;&lt;D xsi:type="xsd:string"&gt;11/28/2003&lt;/D&gt;&lt;D xsi:type="xsd:string"&gt;10/31/2003&lt;/D&gt;&lt;D xsi:type="xsd:string"&gt;09/30/2003&lt;/D&gt;&lt;D xsi:type="xsd:string"&gt;08/29/2003&lt;/D&gt;&lt;D xsi:type="xsd:string"&gt;07/31/2003&lt;/D&gt;&lt;D xsi:type="xsd:string"&gt;06/30/2003&lt;/D&gt;&lt;D xsi:type="xsd:string"&gt;05/30/2003&lt;/D&gt;&lt;D xsi:type="xsd:string"&gt;04/30/2003&lt;/D&gt;&lt;D xsi:type="xsd:string"&gt;03/31/2003&lt;/D&gt;&lt;D xsi:type="xsd:string"&gt;02/28/2003&lt;/D&gt;&lt;D xsi:type="xsd:string"&gt;01/31/2003&lt;/D&gt;&lt;D xsi:type="xsd:string"&gt;12/31/2002&lt;/D&gt;&lt;D xsi:type="xsd:string"&gt;11/29/2002&lt;/D&gt;&lt;D xsi:type="xsd:string"&gt;10/31/2002&lt;/D&gt;&lt;D xsi:type="xsd:string"&gt;09/30/2002&lt;/D&gt;&lt;D xsi:type="xsd:string"&gt;08/30/2002&lt;/D&gt;&lt;D xsi:type="xsd:string"&gt;07/31/2002&lt;/D&gt;&lt;D xsi:type="xsd:string"&gt;06/28/2002&lt;/D&gt;&lt;D xsi:type="xsd:string"&gt;05/31/2002&lt;/D&gt;&lt;D xsi:type="xsd:string"&gt;04/30/2002&lt;/D&gt;&lt;D xsi:type="xsd:string"&gt;03/28/2002&lt;/D&gt;&lt;D xsi:type="xsd:string"&gt;02/28/2002&lt;/D&gt;&lt;D xsi:type="xsd:string"&gt;01/31/2002&lt;/D&gt;&lt;D xsi:type="xsd:string"&gt;12/31/2001&lt;/D&gt;&lt;D xsi:type="xsd:string"&gt;11/30/2001&lt;/D&gt;&lt;D xsi:type="xsd:string"&gt;10/31/2001&lt;/D&gt;&lt;D xsi:type="xsd:string"&gt;09/28/2001&lt;/D&gt;&lt;D xsi:type="xsd:string"&gt;08/31/2001&lt;/D&gt;&lt;D xsi:type="xsd:string"&gt;07/31/2001&lt;/D&gt;&lt;D xsi:type="xsd:string"&gt;06/29/2001&lt;/D&gt;&lt;D xsi:type="xsd:string"&gt;05/31/2001&lt;/D&gt;&lt;D xsi:type="xsd:string"&gt;04/30/2001&lt;/D&gt;&lt;D xsi:type="xsd:string"&gt;03/30/2001&lt;/D&gt;&lt;D xsi:type="xsd:string"&gt;02/28/2001&lt;/D&gt;&lt;D xsi:type="xsd:string"&gt;01/31/2001&lt;/D&gt;&lt;D xsi:type="xsd:string"&gt;12/29/2000&lt;/D&gt;&lt;D xsi:type="xsd:string"&gt;11/30/2000&lt;/D&gt;&lt;D xsi:type="xsd:string"&gt;10/31/2000&lt;/D&gt;&lt;D xsi:type="xsd:string"&gt;09/29/2000&lt;/D&gt;&lt;D xsi:type="xsd:string"&gt;08/31/2000&lt;/D&gt;&lt;D xsi:type="xsd:string"&gt;07/31/2000&lt;/D&gt;&lt;D xsi:type="xsd:string"&gt;06/30/2000&lt;/D&gt;&lt;D xsi:type="xsd:string"&gt;05/31/2000&lt;/D&gt;&lt;D xsi:type="xsd:string"&gt;04/28/2000&lt;/D&gt;&lt;D xsi:type="xsd:string"&gt;03/31/2000&lt;/D&gt;&lt;D xsi:type="xsd:string"&gt;02/29/2000&lt;/D&gt;&lt;D xsi:type="xsd:string"&gt;01/31/2000&lt;/D&gt;&lt;/FQL&gt;&lt;FQL&gt;&lt;Q&gt;990100^JULIAN(P_DATE(2/27/2026,1/31/2000,M).DATES)&lt;/Q&gt;&lt;R&gt;314&lt;/R&gt;&lt;C&gt;1&lt;/C&gt;&lt;D xsi:type="xsd:long"&gt;46080&lt;/D&gt;&lt;D xsi:type="xsd:long"&gt;46052&lt;/D&gt;&lt;D xsi:type="xsd:long"&gt;46022&lt;/D&gt;&lt;D xsi:type="xsd:long"&gt;45989&lt;/D&gt;&lt;D xsi:type="xsd:long"&gt;45961&lt;/D&gt;&lt;D xsi:type="xsd:long"&gt;45930&lt;/D&gt;&lt;D xsi:type="xsd:long"&gt;45898&lt;/D&gt;&lt;D xsi:type="xsd:long"&gt;45869&lt;/D&gt;&lt;D xsi:type="xsd:long"&gt;45838&lt;/D&gt;&lt;D xsi:type="xsd:long"&gt;45807&lt;/D&gt;&lt;D xsi:type="xsd:long"&gt;45777&lt;/D&gt;&lt;D xsi:type="xsd:long"&gt;45747&lt;/D&gt;&lt;D xsi:type="xsd:long"&gt;45716&lt;/D&gt;&lt;D xsi:type="xsd:long"&gt;45688&lt;/D&gt;&lt;D xsi:type="xsd:long"&gt;45657&lt;/D&gt;&lt;D xsi:type="xsd:long"&gt;45625&lt;/D&gt;&lt;D xsi:type="xsd:long"&gt;45596&lt;/D&gt;&lt;D xsi:type="xsd:long"&gt;45565&lt;/D&gt;&lt;D xsi:type="xsd:long"&gt;45534&lt;/D&gt;&lt;D xsi:type="xsd:long"&gt;45504&lt;/D&gt;&lt;D xsi:type="xsd:long"&gt;45471&lt;/D&gt;&lt;D xsi:type="xsd:long"&gt;45443&lt;/D&gt;&lt;D xsi:type="xsd:long"&gt;45412&lt;/D&gt;&lt;D xsi:type="xsd:long"&gt;45379&lt;/D&gt;&lt;D xsi:type="xsd:long"&gt;45351&lt;/D&gt;&lt;D xsi:type="xsd:long"&gt;45322&lt;/D&gt;&lt;D xsi:type="xsd:long"&gt;45289&lt;/D&gt;&lt;D xsi:type="xsd:long"&gt;45260&lt;/D&gt;&lt;D xsi:type="xsd:long"&gt;45230&lt;/D&gt;&lt;D xsi:type="xsd:long"&gt;45198&lt;/D&gt;&lt;D xsi:type="xsd:long"&gt;45169&lt;/D&gt;&lt;D xsi:type="xsd:long"&gt;45138&lt;/D&gt;&lt;D xsi:type="xsd:long"&gt;45107&lt;/D&gt;&lt;D xsi:type="xsd:long"&gt;45077&lt;/D&gt;&lt;D xsi:type="xsd:long"&gt;45044&lt;/D&gt;&lt;D xsi:type="xsd:long"&gt;45016&lt;/D&gt;&lt;D xsi:type="xsd:long"&gt;44985&lt;/D&gt;&lt;D xsi:type="xsd:long"&gt;44957&lt;/D&gt;&lt;D xsi:type="xsd:long"&gt;44925&lt;/D&gt;&lt;D xsi:type="xsd:long"&gt;44895&lt;/D&gt;&lt;D xsi:type="xsd:long"&gt;44865&lt;/D&gt;&lt;D xsi:type="xsd:long"&gt;44834&lt;/D&gt;&lt;D xsi:type="xsd:long"&gt;44804&lt;/D&gt;&lt;D xsi:type="xsd:long"&gt;44771&lt;/D&gt;&lt;D xsi:type="xsd:long"&gt;44742&lt;/D&gt;&lt;D xsi:type="xsd:long"&gt;44712&lt;/D&gt;&lt;D xsi:type="xsd:long"&gt;44680&lt;/D&gt;&lt;D xsi:type="xsd:long"&gt;44651&lt;/D&gt;&lt;D xsi:type="xsd:long"&gt;44620&lt;/D&gt;&lt;D xsi:type="xsd:long"&gt;44592&lt;/D&gt;&lt;D xsi:type="xsd:long"&gt;44561&lt;/D&gt;&lt;D xsi:type="xsd:long"&gt;44530&lt;/D&gt;&lt;D xsi:type="xsd:long"&gt;44498&lt;/D&gt;&lt;D xsi:type="xsd:long"&gt;44469&lt;/D&gt;&lt;D xsi:type="xsd:long"&gt;44439&lt;/D&gt;&lt;D xsi:type="xsd:long"&gt;44407&lt;/D&gt;&lt;D xsi:type="xsd:long"&gt;44377&lt;/D&gt;&lt;D xsi:type="xsd:long"&gt;44344&lt;/D&gt;&lt;D xsi:type="xsd:long"&gt;44316&lt;/D&gt;&lt;D xsi:type="xsd:long"&gt;44286&lt;/D&gt;&lt;D xsi:type="xsd:long"&gt;44253&lt;/D&gt;&lt;D xsi:type="xsd:long"&gt;44225&lt;/D&gt;&lt;D xsi:type="xsd:long"&gt;44196&lt;/D&gt;&lt;D xsi:type="xsd:long"&gt;44165&lt;/D&gt;&lt;D xsi:type="xsd:long"&gt;44134&lt;/D&gt;&lt;D xsi:type="xsd:long"&gt;44104&lt;/D&gt;&lt;D xsi:type="xsd:long"&gt;44074&lt;/D&gt;&lt;D xsi:type="xsd:long"&gt;44043&lt;/D&gt;&lt;D xsi:type="xsd:long"&gt;44012&lt;/D&gt;&lt;D xsi:type="xsd:long"&gt;43980&lt;/D&gt;&lt;D xsi:type="xsd:long"&gt;43951&lt;/D&gt;&lt;D xsi:type="xsd:long"&gt;43921&lt;/D&gt;&lt;D xsi:type="xsd:long"&gt;43889&lt;/D&gt;&lt;D xsi:type="xsd:long"&gt;43861&lt;/D&gt;&lt;D xsi:type="xsd:long"&gt;43830&lt;/D&gt;&lt;D xsi:type="xsd:long"&gt;43798&lt;/D&gt;&lt;D xsi:type="xsd:long"&gt;43769&lt;/D&gt;&lt;D xsi:type="xsd:long"&gt;43738&lt;/D&gt;&lt;D xsi:type="xsd:long"&gt;43707&lt;/D&gt;&lt;D xsi:type="xsd:long"&gt;43677&lt;/D&gt;&lt;D xsi:type="xsd:long"&gt;43644&lt;/D&gt;&lt;D xsi:type="xsd:long"&gt;43616&lt;/D&gt;&lt;D xsi:type="xsd:long"&gt;43585&lt;/D&gt;&lt;D xsi:type="xsd:long"&gt;43553&lt;/D&gt;&lt;D xsi:type="xsd:long"&gt;43524&lt;/D&gt;&lt;D xsi:type="xsd:long"&gt;43496&lt;/D&gt;&lt;D xsi:type="xsd:long"&gt;43465&lt;/D&gt;&lt;D xsi:type="xsd:long"&gt;43434&lt;/D&gt;&lt;D xsi:type="xsd:long"&gt;43404&lt;/D&gt;&lt;D xsi:type="xsd:long"&gt;43371&lt;/D&gt;&lt;D xsi:type="xsd:long"&gt;43343&lt;/D&gt;&lt;D xsi:type="xsd:long"&gt;43312&lt;/D&gt;&lt;D xsi:type="xsd:long"&gt;43280&lt;/D&gt;&lt;D xsi:type="xsd:long"&gt;43251&lt;/D&gt;&lt;D xsi:type="xsd:long"&gt;43220&lt;/D&gt;&lt;D xsi:type="xsd:long"&gt;43188&lt;/D&gt;&lt;D xsi:type="xsd:long"&gt;43159&lt;/D&gt;&lt;D xsi:type="xsd:long"&gt;43131&lt;/D&gt;&lt;D xsi:type="xsd:long"&gt;43098&lt;/D&gt;&lt;D xsi:type="xsd:long"&gt;43069&lt;/D&gt;&lt;D xsi:type="xsd:long"&gt;43039&lt;/D&gt;&lt;D xsi:type="xsd:long"&gt;43007&lt;/D&gt;&lt;D xsi:type="xsd:long"&gt;42978&lt;/D&gt;&lt;D xsi:type="xsd:long"&gt;42947&lt;/D&gt;&lt;D xsi:type="xsd:long"&gt;42916&lt;/D&gt;&lt;D xsi:type="xsd:long"&gt;42886&lt;/D&gt;&lt;D xsi:type="xsd:long"&gt;42853&lt;/D&gt;&lt;D xsi:type="xsd:long"&gt;42825&lt;/D&gt;&lt;D xsi:type="xsd:long"&gt;42794&lt;/D&gt;&lt;D xsi:type="xsd:long"&gt;42766&lt;/D&gt;&lt;D xsi:type="xsd:long"&gt;42734&lt;/D&gt;&lt;D xsi:type="xsd:long"&gt;42704&lt;/D&gt;&lt;D xsi:type="xsd:long"&gt;42674&lt;/D&gt;&lt;D xsi:type="xsd:long"&gt;42643&lt;/D&gt;&lt;D xsi:type="xsd:long"&gt;42613&lt;/D&gt;&lt;D xsi:type="xsd:long"&gt;42580&lt;/D&gt;&lt;D xsi:type="xsd:long"&gt;42551&lt;/D&gt;&lt;D xsi:type="xsd:long"&gt;42521&lt;/D&gt;&lt;D xsi:type="xsd:long"&gt;42489&lt;/D&gt;&lt;D xsi:type="xsd:long"&gt;42460&lt;/D&gt;&lt;D xsi:type="xsd:long"&gt;42429&lt;/D&gt;&lt;D xsi:type="xsd:long"&gt;42398&lt;/D&gt;&lt;D xsi:type="xsd:long"&gt;42369&lt;/D&gt;&lt;D xsi:type="xsd:long"&gt;42338&lt;/D&gt;&lt;D xsi:type="xsd:long"&gt;42307&lt;/D&gt;&lt;D xsi:type="xsd:long"&gt;42277&lt;/D&gt;&lt;D xsi:type="xsd:long"&gt;42247&lt;/D&gt;&lt;D xsi:type="xsd:long"&gt;42216&lt;/D&gt;&lt;D xsi:type="xsd:long"&gt;42185&lt;/D&gt;&lt;D xsi:type="xsd:long"&gt;42153&lt;/D&gt;&lt;D xsi:type="xsd:long"&gt;42124&lt;/D&gt;&lt;D xsi:type="xsd:long"&gt;42094&lt;/D&gt;&lt;D xsi:type="xsd:long"&gt;42062&lt;/D&gt;&lt;D xsi:type="xsd:long"&gt;42034&lt;/D&gt;&lt;D xsi:type="xsd:long"&gt;42004&lt;/D&gt;&lt;D xsi:type="xsd:long"&gt;41971&lt;/D&gt;&lt;D xsi:type="xsd:long"&gt;41943&lt;/D&gt;&lt;D xsi:type="xsd:long"&gt;41912&lt;/D&gt;&lt;D xsi:type="xsd:long"&gt;41880&lt;/D&gt;&lt;D xsi:type="xsd:long"&gt;41851&lt;/D&gt;&lt;D xsi:type="xsd:long"&gt;41820&lt;/D&gt;&lt;D xsi:type="xsd:long"&gt;41789&lt;/D&gt;&lt;D xsi:type="xsd:long"&gt;41759&lt;/D&gt;&lt;D xsi:type="xsd:long"&gt;41729&lt;/D&gt;&lt;D xsi:type="xsd:long"&gt;41698&lt;/D&gt;&lt;D xsi:type="xsd:long"&gt;41670&lt;/D&gt;&lt;D xsi:type="xsd:long"&gt;41639&lt;/D&gt;&lt;D xsi:type="xsd:long"&gt;41607&lt;/D&gt;&lt;D xsi:type="xsd:long"&gt;41578&lt;/D&gt;&lt;D xsi:type="xsd:long"&gt;41547&lt;/D&gt;&lt;D xsi:type="xsd:long"&gt;41516&lt;/D&gt;&lt;D xsi:type="xsd:long"&gt;41486&lt;/D&gt;&lt;D xsi:type="xsd:long"&gt;41453&lt;/D&gt;&lt;D xsi:type="xsd:long"&gt;41425&lt;/D&gt;&lt;D xsi:type="xsd:long"&gt;41394&lt;/D&gt;&lt;D xsi:type="xsd:long"&gt;41361&lt;/D&gt;&lt;D xsi:type="xsd:long"&gt;41333&lt;/D&gt;&lt;D xsi:type="xsd:long"&gt;41305&lt;/D&gt;&lt;D xsi:type="xsd:long"&gt;41274&lt;/D&gt;&lt;D xsi:type="xsd:long"&gt;41243&lt;/D&gt;&lt;D xsi:type="xsd:long"&gt;41213&lt;/D&gt;&lt;D xsi:type="xsd:long"&gt;41180&lt;/D&gt;&lt;D xsi:type="xsd:long"&gt;41152&lt;/D&gt;&lt;D xsi:type="xsd:long"&gt;41121&lt;/D&gt;&lt;D xsi:type="xsd:long"&gt;41089&lt;/D&gt;&lt;D xsi:type="xsd:long"&gt;41060&lt;/D&gt;&lt;D xsi:type="xsd:long"&gt;41029&lt;/D&gt;&lt;D xsi:type="xsd:long"&gt;40998&lt;/D&gt;&lt;D xsi:type="xsd:long"&gt;40968&lt;/D&gt;&lt;D xsi:type="xsd:long"&gt;40939&lt;/D&gt;&lt;D xsi:type="xsd:long"&gt;40907&lt;/D&gt;&lt;D xsi:type="xsd:long"&gt;40877&lt;/D&gt;&lt;D xsi:type="xsd:long"&gt;40847&lt;/D&gt;&lt;D xsi:type="xsd:long"&gt;40816&lt;/D&gt;&lt;D xsi:type="xsd:long"&gt;40786&lt;/D&gt;&lt;D xsi:type="xsd:long"&gt;40753&lt;/D&gt;&lt;D xsi:type="xsd:long"&gt;40724&lt;/D&gt;&lt;D xsi:type="xsd:long"&gt;40694&lt;/D&gt;&lt;D xsi:type="xsd:long"&gt;40662&lt;/D&gt;&lt;D xsi:type="xsd:long"&gt;40633&lt;/D&gt;&lt;D xsi:type="xsd:long"&gt;40602&lt;/D&gt;&lt;D xsi:type="xsd:long"&gt;40574&lt;/D&gt;&lt;D xsi:type="xsd:long"&gt;40543&lt;/D&gt;&lt;D xsi:type="xsd:long"&gt;40512&lt;/D&gt;&lt;D xsi:type="xsd:long"&gt;40480&lt;/D&gt;&lt;D xsi:type="xsd:long"&gt;40451&lt;/D&gt;&lt;D xsi:type="xsd:long"&gt;40421&lt;/D&gt;&lt;D xsi:type="xsd:long"&gt;40389&lt;/D&gt;&lt;D xsi:type="xsd:long"&gt;40359&lt;/D&gt;&lt;D xsi:type="xsd:long"&gt;40326&lt;/D&gt;&lt;D xsi:type="xsd:long"&gt;40298&lt;/D&gt;&lt;D xsi:type="xsd:long"&gt;40268&lt;/D&gt;&lt;D xsi:type="xsd:long"&gt;40235&lt;/D&gt;&lt;D xsi:type="xsd:long"&gt;40207&lt;/D&gt;&lt;D xsi:type="xsd:long"&gt;40178&lt;/D&gt;&lt;D xsi:type="xsd:long"&gt;40147&lt;/D&gt;&lt;D xsi:type="xsd:long"&gt;40116&lt;/D&gt;&lt;D xsi:type="xsd:long"&gt;40086&lt;/D&gt;&lt;D xsi:type="xsd:long"&gt;40056&lt;/D&gt;&lt;D xsi:type="xsd:long"&gt;40025&lt;/D&gt;&lt;D xsi:type="xsd:long"&gt;39994&lt;/D&gt;&lt;D xsi:type="xsd:long"&gt;39962&lt;/D&gt;&lt;D xsi:type="xsd:long"&gt;39933&lt;/D&gt;&lt;D xsi:type="xsd:long"&gt;39903&lt;/D&gt;&lt;D xsi:type="xsd:long"&gt;39871&lt;/D&gt;&lt;D xsi:type="xsd:long"&gt;39843&lt;/D&gt;&lt;D xsi:type="xsd:long"&gt;39813&lt;/D&gt;&lt;D xsi:type="xsd:long"&gt;39780&lt;/D&gt;&lt;D xsi:type="xsd:long"&gt;39752&lt;/D&gt;&lt;D xsi:type="xsd:long"&gt;39721&lt;/D&gt;&lt;D xsi:type="xsd:long"&gt;39689&lt;/D&gt;&lt;D xsi:type="xsd:long"&gt;39660&lt;/D&gt;&lt;D xsi:type="xsd:long"&gt;39629&lt;/D&gt;&lt;D xsi:type="xsd:long"&gt;39598&lt;/D&gt;&lt;D xsi:type="xsd:long"&gt;39568&lt;/D&gt;&lt;D xsi:type="xsd:long"&gt;39538&lt;/D&gt;&lt;D xsi:type="xsd:long"&gt;39507&lt;/D&gt;&lt;D xsi:type="xsd:long"&gt;39478&lt;/D&gt;&lt;D xsi:type="xsd:long"&gt;39447&lt;/D&gt;&lt;D xsi:type="xsd:long"&gt;39416&lt;/D&gt;&lt;D xsi:type="xsd:long"&gt;39386&lt;/D&gt;&lt;D xsi:type="xsd:long"&gt;39353&lt;/D&gt;&lt;D xsi:type="xsd:long"&gt;39325&lt;/D&gt;&lt;D xsi:type="xsd:long"&gt;39294&lt;/D&gt;&lt;D xsi:type="xsd:long"&gt;39262&lt;/D&gt;&lt;D xsi:type="xsd:long"&gt;39233&lt;/D&gt;&lt;D xsi:type="xsd:long"&gt;39202&lt;/D&gt;&lt;D xsi:type="xsd:long"&gt;39171&lt;/D&gt;&lt;D xsi:type="xsd:long"&gt;39141&lt;/D&gt;&lt;D xsi:type="xsd:long"&gt;39113&lt;/D&gt;&lt;D xsi:type="xsd:long"&gt;39080&lt;/D&gt;&lt;D xsi:type="xsd:long"&gt;39051&lt;/D&gt;&lt;D xsi:type="xsd:long"&gt;39021&lt;/D&gt;&lt;D xsi:type="xsd:long"&gt;38989&lt;/D&gt;&lt;D xsi:type="xsd:long"&gt;38960&lt;/D&gt;&lt;D xsi:type="xsd:long"&gt;38929&lt;/D&gt;&lt;D xsi:type="xsd:long"&gt;38898&lt;/D&gt;&lt;D xsi:type="xsd:long"&gt;38868&lt;/D&gt;&lt;D xsi:type="xsd:long"&gt;38835&lt;/D&gt;&lt;D xsi:type="xsd:long"&gt;38807&lt;/D&gt;&lt;D xsi:type="xsd:long"&gt;38776&lt;/D&gt;&lt;D xsi:type="xsd:long"&gt;38748&lt;/D&gt;&lt;D xsi:type="xsd:long"&gt;38716&lt;/D&gt;&lt;D xsi:type="xsd:long"&gt;38686&lt;/D&gt;&lt;D xsi:type="xsd:long"&gt;38656&lt;/D&gt;&lt;D xsi:type="xsd:long"&gt;38625&lt;/D&gt;&lt;D xsi:type="xsd:long"&gt;38595&lt;/D&gt;&lt;D xsi:type="xsd:long"&gt;38562&lt;/D&gt;&lt;D xsi:type="xsd:long"&gt;38533&lt;/D&gt;&lt;D xsi:type="xsd:long"&gt;38503&lt;/D&gt;&lt;D xsi:type="xsd:long"&gt;38471&lt;/D&gt;&lt;D xsi:type="xsd:long"&gt;38442&lt;/D&gt;&lt;D xsi:type="xsd:long"&gt;38411&lt;/D&gt;&lt;D xsi:type="xsd:long"&gt;38383&lt;/D&gt;&lt;D xsi:type="xsd:long"&gt;38352&lt;/D&gt;&lt;D xsi:type="xsd:long"&gt;38321&lt;/D&gt;&lt;D xsi:type="xsd:long"&gt;38289&lt;/D&gt;&lt;D xsi:type="xsd:long"&gt;38260&lt;/D&gt;&lt;D xsi:type="xsd:long"&gt;38230&lt;/D&gt;&lt;D xsi:type="xsd:long"&gt;38198&lt;/D&gt;&lt;D xsi:type="xsd:long"&gt;38168&lt;/D&gt;&lt;D xsi:type="xsd:long"&gt;38135&lt;/D&gt;&lt;D xsi:type="xsd:long"&gt;38107&lt;/D&gt;&lt;D xsi:type="xsd:long"&gt;38077&lt;/D&gt;&lt;D xsi:type="xsd:long"&gt;38044&lt;/D&gt;&lt;D xsi:type="xsd:long"&gt;38016&lt;/D&gt;&lt;D xsi:type="xsd:long"&gt;37986&lt;/D&gt;&lt;D xsi:type="xsd:long"&gt;37953&lt;/D&gt;&lt;D xsi:type="xsd:long"&gt;37925&lt;/D&gt;&lt;D xsi:type="xsd:long"&gt;37894&lt;/D&gt;&lt;D xsi:type="xsd:long"&gt;37862&lt;/D&gt;&lt;D xsi:type="xsd:long"&gt;37833&lt;/D&gt;&lt;D xsi:type="xsd:long"&gt;37802&lt;/D&gt;&lt;D xsi:type="xsd:long"&gt;37771&lt;/D&gt;&lt;D xsi:type="xsd:long"&gt;37741&lt;/D&gt;&lt;D xsi:type="xsd:long"&gt;37711&lt;/D&gt;&lt;D xsi:type="xsd:long"&gt;37680&lt;/D&gt;&lt;D xsi:type="xsd:long"&gt;37652&lt;/D&gt;&lt;D xsi:type="xsd:long"&gt;37621&lt;/D&gt;&lt;D xsi:type="xsd:long"&gt;37589&lt;/D&gt;&lt;D xsi:type="xsd:long"&gt;37560&lt;/D&gt;&lt;D xsi:type="xsd:long"&gt;37529&lt;/D&gt;&lt;D xsi:type="xsd:long"&gt;37498&lt;/D&gt;&lt;D xsi:type="xsd:long"&gt;37468&lt;/D&gt;&lt;D xsi:type="xsd:long"&gt;37435&lt;/D&gt;&lt;D xsi:type="xsd:long"&gt;37407&lt;/D&gt;&lt;D xsi:type="xsd:long"&gt;37376&lt;/D&gt;&lt;D xsi:type="xsd:long"&gt;37343&lt;/D&gt;&lt;D xsi:type="xsd:long"&gt;37315&lt;/D&gt;&lt;D xsi:type="xsd:long"&gt;37287&lt;/D&gt;&lt;D xsi:type="xsd:long"&gt;37256&lt;/D&gt;&lt;D xsi:type="xsd:long"&gt;37225&lt;/D&gt;&lt;D xsi:type="xsd:long"&gt;37195&lt;/D&gt;&lt;D xsi:type="xsd:long"&gt;37162&lt;/D&gt;&lt;D xsi:type="xsd:long"&gt;37134&lt;/D&gt;&lt;D xsi:type="xsd:long"&gt;37103&lt;/D&gt;&lt;D xsi:type="xsd:long"&gt;37071&lt;/D&gt;&lt;D xsi:type="xsd:long"&gt;37042&lt;/D&gt;&lt;D xsi:type="xsd:long"&gt;37011&lt;/D&gt;&lt;D xsi:type="xsd:long"&gt;36980&lt;/D&gt;&lt;D xsi:type="xsd:long"&gt;36950&lt;/D&gt;&lt;D xsi:type="xsd:long"&gt;36922&lt;/D&gt;&lt;D xsi:type="xsd:long"&gt;36889&lt;/D&gt;&lt;D xsi:type="xsd:long"&gt;36860&lt;/D&gt;&lt;D xsi:type="xsd:long"&gt;36830&lt;/D&gt;&lt;D xsi:type="xsd:long"&gt;36798&lt;/D&gt;&lt;D xsi:type="xsd:long"&gt;36769&lt;/D&gt;&lt;D xsi:type="xsd:long"&gt;36738&lt;/D&gt;&lt;D xsi:type="xsd:long"&gt;36707&lt;/D&gt;&lt;D xsi:type="xsd:long"&gt;36677&lt;/D&gt;&lt;D xsi:type="xsd:long"&gt;36644&lt;/D&gt;&lt;D xsi:type="xsd:long"&gt;36616&lt;/D&gt;&lt;D xsi:type="xsd:long"&gt;36585&lt;/D&gt;&lt;D xsi:type="xsd:long"&gt;36556&lt;/D&gt;&lt;/FQL&gt;&lt;FQL&gt;&lt;Q&gt;991000^P_DATE(2/27/2026,1/31/2000,M)&lt;/Q&gt;&lt;R&gt;314&lt;/R&gt;&lt;C&gt;1&lt;/C&gt;&lt;D xsi:type="xsd:string"&gt;02/27/2026&lt;/D&gt;&lt;D xsi:type="xsd:string"&gt;01/30/2026&lt;/D&gt;&lt;D xsi:type="xsd:string"&gt;12/31/2025&lt;/D&gt;&lt;D xsi:type="xsd:string"&gt;11/28/2025&lt;/D&gt;&lt;D xsi:type="xsd:string"&gt;10/31/2025&lt;/D&gt;&lt;D xsi:type="xsd:string"&gt;09/30/2025&lt;/D&gt;&lt;D xsi:type="xsd:string"&gt;08/29/2025&lt;/D&gt;&lt;D xsi:type="xsd:string"&gt;07/31/2025&lt;/D&gt;&lt;D xsi:type="xsd:string"&gt;06/30/2025&lt;/D&gt;&lt;D xsi:type="xsd:string"&gt;05/30/2025&lt;/D&gt;&lt;D xsi:type="xsd:string"&gt;04/30/2025&lt;/D&gt;&lt;D xsi:type="xsd:string"&gt;03/31/2025&lt;/D&gt;&lt;D xsi:type="xsd:string"&gt;02/28/2025&lt;/D&gt;&lt;D xsi:type="xsd:string"&gt;01/31/2025&lt;/D&gt;&lt;D xsi:type="xsd:string"&gt;12/31/2024&lt;/D&gt;&lt;D xsi:type="xsd:string"&gt;11/29/2024&lt;/D&gt;&lt;D xsi:type="xsd:string"&gt;10/31/2024&lt;/D&gt;&lt;D xsi:type="xsd:string"&gt;09/30/2024&lt;/D&gt;&lt;D xsi:type="xsd:string"&gt;08/30/2024&lt;/D&gt;&lt;D xsi:type="xsd:string"&gt;07/31/2024&lt;/D&gt;&lt;D xsi:type="xsd:string"&gt;06/28/2024&lt;/D&gt;&lt;D xsi:type="xsd:string"&gt;05/31/2024&lt;/D&gt;&lt;D xsi:type="xsd:string"&gt;04/30/2024&lt;/D&gt;&lt;D xsi:type="xsd:string"&gt;03/28/2024&lt;/D&gt;&lt;D xsi:type="xsd:string"&gt;02/29/2024&lt;/D&gt;&lt;D xsi:type="xsd:string"&gt;01/31/2024&lt;/D&gt;&lt;D xsi:type="xsd:string"&gt;12/29/2023&lt;/D&gt;&lt;D xsi:type="xsd:string"&gt;11/30/2023&lt;/D&gt;&lt;D xsi:type="xsd:string"&gt;10/31/2023&lt;/D&gt;&lt;D xsi:type="xsd:string"&gt;09/29/2023&lt;/D&gt;&lt;D xsi:type="xsd:string"&gt;08/31/2023&lt;/D&gt;&lt;D xsi:type="xsd:string"&gt;07/31/2023&lt;/D&gt;&lt;D xsi:type="xsd:string"&gt;06/30/2023&lt;/D&gt;&lt;D xsi:type="xsd:string"&gt;05/31/2023&lt;/D&gt;&lt;D xsi:type="xsd:string"&gt;04/28/2023&lt;/D&gt;&lt;D xsi:type="xsd:string"&gt;03/31/2023&lt;/D&gt;&lt;D xsi:type="xsd:string"&gt;02/28/2023&lt;/D&gt;&lt;D xsi:type="xsd:string"&gt;01/31/2023&lt;/D&gt;&lt;D xsi:type="xsd:string"&gt;12/30/2022&lt;/D&gt;&lt;D xsi:type="xsd:string"&gt;11/30/2022&lt;/D&gt;&lt;D xsi:type="xsd:string"&gt;10/31/2022&lt;/D&gt;&lt;D xsi:type="xsd:string"&gt;09/30/2022&lt;/D&gt;&lt;D xsi:type="xsd:string"&gt;08/31/2022&lt;/D&gt;&lt;D xsi:type="xsd:string"&gt;07/29/2022&lt;/D&gt;&lt;D xsi:type="xsd:string"&gt;06/30/2022&lt;/D&gt;&lt;D xsi:type="xsd:string"&gt;05/31/2022&lt;/D&gt;&lt;D xsi:type="xsd:string"&gt;04/29/2022&lt;/D&gt;&lt;D xsi:type="xsd:string"&gt;03/31/2022&lt;/D&gt;&lt;D xsi:type="xsd:string"&gt;02/28/2022&lt;/D&gt;&lt;D xsi:type="xsd:string"&gt;01/31/2022&lt;/D&gt;&lt;D xsi:type="xsd:string"&gt;12/31/2021&lt;/D&gt;&lt;D xsi:type="xsd:string"&gt;11/30/2021&lt;/D&gt;&lt;D xsi:type="xsd:string"&gt;10/29/2021&lt;/D&gt;&lt;D xsi:type="xsd:string"&gt;09/30/2021&lt;/D&gt;&lt;D xsi:type="xsd:string"&gt;08/31/2021&lt;/D&gt;&lt;D xsi:type="xsd:string"&gt;07/30/2021&lt;/D&gt;&lt;D xsi:type="xsd:string"&gt;06/30/2021&lt;/D&gt;&lt;D xsi:type="xsd:string"&gt;05/28/2021&lt;/D&gt;&lt;D xsi:type="xsd:string"&gt;04/30/2021&lt;/D&gt;&lt;D xsi:type="xsd:string"&gt;03/31/2021&lt;/D&gt;&lt;D xsi:type="xsd:string"&gt;02/26/2021&lt;/D&gt;&lt;D xsi:type="xsd:string"&gt;01/29/2021&lt;/D&gt;&lt;D xsi:type="xsd:string"&gt;12/31/2020&lt;/D&gt;&lt;D xsi:type="xsd:string"&gt;11/30/2020&lt;/D&gt;&lt;D xsi:type="xsd:string"&gt;10/30/2020&lt;/D&gt;&lt;D xsi:type="xsd:string"&gt;09/30/2020&lt;/D&gt;&lt;D xsi:type="xsd:string"&gt;08/31/2020&lt;/D&gt;&lt;D xsi:type="xsd:string"&gt;07/31/2020&lt;/D&gt;&lt;D xsi:type="xsd:string"&gt;06/30/2020&lt;/D&gt;&lt;D xsi:type="xsd:string"&gt;05/29/2020&lt;/D&gt;&lt;D xsi:type="xsd:string"&gt;04/30/2020&lt;/D&gt;&lt;D xsi:type="xsd:string"&gt;03/31/2020&lt;/D&gt;&lt;D xsi:type="xsd:string"&gt;02/28/2020&lt;/D&gt;&lt;D xsi:type="xsd:string"&gt;01/31/2020&lt;/D&gt;&lt;D xsi:type="xsd:string"&gt;12/31/2019&lt;/D&gt;&lt;D xsi:type="xsd:string"&gt;11/29/2019&lt;/D&gt;&lt;D xsi:type="xsd:string"&gt;10/31/2019&lt;/D&gt;&lt;D xsi:type="xsd:string"&gt;09/30/2019&lt;/D&gt;&lt;D xsi:type="xsd:string"&gt;08/30/2019&lt;/D&gt;&lt;D xsi:type="xsd:string"&gt;07/31/2019&lt;/D&gt;&lt;D xsi:type="xsd:string"&gt;06/28/2019&lt;/D&gt;&lt;D xsi:type="xsd:string"&gt;05/31/2019&lt;/D&gt;&lt;D xsi:type="xsd:string"&gt;04/30/2019&lt;/D&gt;&lt;D xsi:type="xsd:string"&gt;03/29/2019&lt;/D&gt;&lt;D xsi:type="xsd:string"&gt;02/28/2019&lt;/D&gt;&lt;D xsi:type="xsd:string"&gt;01/31/2019&lt;/D&gt;&lt;D xsi:type="xsd:string"&gt;12/31/2018&lt;/D&gt;&lt;D xsi:type="xsd:string"&gt;11/30/2018&lt;/D&gt;&lt;D xsi:type="xsd:string"&gt;10/31/2018&lt;/D&gt;&lt;D xsi:type="xsd:string"&gt;09/28/2018&lt;/D&gt;&lt;D xsi:type="xsd:string"&gt;08/31/2018&lt;/D&gt;&lt;D xsi:type="xsd:string"&gt;07/31/2018&lt;/D&gt;&lt;D xsi:type="xsd:string"&gt;06/29/2018&lt;/D&gt;&lt;D xsi:type="xsd:string"&gt;05/31/2018&lt;/D&gt;&lt;D xsi:type="xsd:string"&gt;04/30/2018&lt;/D&gt;&lt;D xsi:type="xsd:string"&gt;03/29/2018&lt;/D&gt;&lt;D xsi:type="xsd:string"&gt;02/28/2018&lt;/D&gt;&lt;D xsi:type="xsd:string"&gt;01/31/2018&lt;/D&gt;&lt;D xsi:type="xsd:string"&gt;12/29/2017&lt;/D&gt;&lt;D xsi:type="xsd:string"&gt;11/30/2017&lt;/D&gt;&lt;D xsi:type="xsd:string"&gt;10/31/2017&lt;/D&gt;&lt;D xsi:type="xsd:string"&gt;09/29/2017&lt;/D&gt;&lt;D xsi:type="xsd:string"&gt;08/31/2017&lt;/D&gt;&lt;D xsi:type="xsd:string"&gt;07/31/2017&lt;/D&gt;&lt;D xsi:type="xsd:string"&gt;06/30/2017&lt;/D&gt;&lt;D xsi:type="xsd:string"&gt;05/31/2017&lt;/D&gt;&lt;D xsi:type="xsd:string"&gt;04/28/2017&lt;/D&gt;&lt;D xsi:type="xsd:string"&gt;03/31/2017&lt;/D&gt;&lt;D xsi:type="xsd:string"&gt;02/28/2017&lt;/D&gt;&lt;D xsi:type="xsd:string"&gt;01/31/2017&lt;/D&gt;&lt;D xsi:type="xsd:string"&gt;12/30/2016&lt;/D&gt;&lt;D xsi:type="xsd:string"&gt;11/30/2016&lt;/D&gt;&lt;D xsi:type="xsd:string"&gt;10/31/2016&lt;/D&gt;&lt;D xsi:type="xsd:string"&gt;09/30/2016&lt;/D&gt;&lt;D xsi:type="xsd:string"&gt;08/31/2016&lt;/D&gt;&lt;D xsi:type="xsd:string"&gt;07/29/2016&lt;/D&gt;&lt;D xsi:type="xsd:string"&gt;06/30/2016&lt;/D&gt;&lt;D xsi:type="xsd:string"&gt;05/31/2016&lt;/D&gt;&lt;D xsi:type="xsd:string"&gt;04/29/2016&lt;/D&gt;&lt;D xsi:type="xsd:string"&gt;03/31/2016&lt;/D&gt;&lt;D xsi:type="xsd:string"&gt;02/29/2016&lt;/D&gt;&lt;D xsi:type="xsd:string"&gt;01/29/2016&lt;/D&gt;&lt;D xsi:type="xsd:string"&gt;12/31/2015&lt;/D&gt;&lt;D xsi:type="xsd:string"&gt;11/30/2015&lt;/D&gt;&lt;D xsi:type="xsd:string"&gt;10/30/2015&lt;/D&gt;&lt;D xsi:type="xsd:string"&gt;09/30/2015&lt;/D&gt;&lt;D xsi:type="xsd:string"&gt;08/31/2015&lt;/D&gt;&lt;D xsi:type="xsd:string"&gt;07/31/2015&lt;/D&gt;&lt;D xsi:type="xsd:string"&gt;06/30/2015&lt;/D&gt;&lt;D xsi:type="xsd:string"&gt;05/29/2015&lt;/D&gt;&lt;D xsi:type="xsd:string"&gt;04/30/2015&lt;/D&gt;&lt;D xsi:type="xsd:string"&gt;03/31/2015&lt;/D&gt;&lt;D xsi:type="xsd:string"&gt;02/27/2015&lt;/D&gt;&lt;D xsi:type="xsd:string"&gt;01/30/2015&lt;/D&gt;&lt;D xsi:type="xsd:string"&gt;12/31/2014&lt;/D&gt;&lt;D xsi:type="xsd:string"&gt;11/28/2014&lt;/D&gt;&lt;D xsi:type="xsd:string"&gt;10/31/2014&lt;/D&gt;&lt;D xsi:type="xsd:string"&gt;09/30/2014&lt;/D&gt;&lt;D xsi:type="xsd:string"&gt;08/29/2014&lt;/D&gt;&lt;D xsi:type="xsd:string"&gt;07/31/2014&lt;/D&gt;&lt;D xsi:type="xsd:string"&gt;06/30/2014&lt;/D&gt;&lt;D xsi:type="xsd:string"&gt;05/30/2014&lt;/D&gt;&lt;D xsi:type="xsd:string"&gt;04/30/2014&lt;/D&gt;&lt;D xsi:type="xsd:string"&gt;03/31/2014&lt;/D&gt;&lt;D xsi:type="xsd:string"&gt;02/28/2014&lt;/D&gt;&lt;D xsi:type="xsd:string"&gt;01/31/2014&lt;/D&gt;&lt;D xsi:type="xsd:string"&gt;12/31/2013&lt;/D&gt;&lt;D xsi:type="xsd:string"&gt;11/29/2013&lt;/D&gt;&lt;D xsi:type="xsd:string"&gt;10/31/2013&lt;/D&gt;&lt;D xsi:type="xsd:string"&gt;09/30/2013&lt;/D&gt;&lt;D xsi:type="xsd:string"&gt;08/30/2013&lt;/D&gt;&lt;D xsi:type="xsd:string"&gt;07/31/2013&lt;/D&gt;&lt;D xsi:type="xsd:string"&gt;06/28/2013&lt;/D&gt;&lt;D xsi:type="xsd:string"&gt;05/31/2013&lt;/D&gt;&lt;D xsi:type="xsd:string"&gt;04/30/2013&lt;/D&gt;&lt;D xsi:type="xsd:string"&gt;03/28/2013&lt;/D&gt;&lt;D xsi:type="xsd:string"&gt;02/28/2013&lt;/D&gt;&lt;D xsi:type="xsd:string"&gt;01/31/2013&lt;/D&gt;&lt;D xsi:type="xsd:string"&gt;12/31/2012&lt;/D&gt;&lt;D xsi:type="xsd:string"&gt;11/30/2012&lt;/D&gt;&lt;D xsi:type="xsd:string"&gt;10/31/2012&lt;/D&gt;&lt;D xsi:type="xsd:string"&gt;09/28/2012&lt;/D&gt;&lt;D xsi:type="xsd:string"&gt;08/31/2012&lt;/D&gt;&lt;D xsi:type="xsd:string"&gt;07/31/2012&lt;/D&gt;&lt;D xsi:type="xsd:string"&gt;06/29/2012&lt;/D&gt;&lt;D xsi:type="xsd:string"&gt;05/31/2012&lt;/D&gt;&lt;D xsi:type="xsd:string"&gt;04/30/2012&lt;/D&gt;&lt;D xsi:type="xsd:string"&gt;03/30/2012&lt;/D&gt;&lt;D xsi:type="xsd:string"&gt;02/29/2012&lt;/D&gt;&lt;D xsi:type="xsd:string"&gt;01/31/2012&lt;/D&gt;&lt;D xsi:type="xsd:string"&gt;12/30/2011&lt;/D&gt;&lt;D xsi:type="xsd:string"&gt;11/30/2011&lt;/D&gt;&lt;D xsi:type="xsd:string"&gt;10/31/2011&lt;/D&gt;&lt;D xsi:type="xsd:string"&gt;09/30/2011&lt;/D&gt;&lt;D xsi:type="xsd:string"&gt;08/31/2011&lt;/D&gt;&lt;D xsi:type="xsd:string"&gt;07/29/2011&lt;/D&gt;&lt;D xsi:type="xsd:string"&gt;06/30/2011&lt;/D&gt;&lt;D xsi:type="xsd:string"&gt;05/31/2011&lt;/D&gt;&lt;D xsi:type="xsd:string"&gt;04/29/2011&lt;/D&gt;&lt;D xsi:type="xsd:string"&gt;03/31/2011&lt;/D&gt;&lt;D xsi:type="xsd:string"&gt;02/28/2011&lt;/D&gt;&lt;D xsi:type="xsd:string"&gt;01/31/2011&lt;/D&gt;&lt;D xsi:type="xsd:string"&gt;12/31/2010&lt;/D&gt;&lt;D xsi:type="xsd:string"&gt;11/30/2010&lt;/D&gt;&lt;D xsi:type="xsd:string"&gt;10/29/2010&lt;/D&gt;&lt;D xsi:type="xsd:string"&gt;09/30/2010&lt;/D&gt;&lt;D xsi:type="xsd:string"&gt;08/31/2010&lt;/D&gt;&lt;D xsi:type="xsd:string"&gt;07/30/2010&lt;/D&gt;&lt;D xsi:type="xsd:string"&gt;06/30/2010&lt;/D&gt;&lt;D xsi:type="xsd:string"&gt;05/28/2010&lt;/D&gt;&lt;D xsi:type="xsd:string"&gt;04/30/2010&lt;/D&gt;&lt;D xsi:type="xsd:string"&gt;03/31/2010&lt;/D&gt;&lt;D xsi:type="xsd:string"&gt;02/26/2010&lt;/D&gt;&lt;D xsi:type="xsd:string"&gt;01/29/2010&lt;/D&gt;&lt;D xsi:type="xsd:string"&gt;12/31/2009&lt;/D&gt;&lt;D xsi:type="xsd:string"&gt;11/30/2009&lt;/D&gt;&lt;D xsi:type="xsd:string"&gt;10/30/2009&lt;/D&gt;&lt;D xsi:type="xsd:string"&gt;09/30/2009&lt;/D&gt;&lt;D xsi:type="xsd:string"&gt;08/31/2009&lt;/D&gt;&lt;D xsi:type="xsd:string"&gt;07/31/2009&lt;/D&gt;&lt;D xsi:type="xsd:string"&gt;06/30/2009&lt;/D&gt;&lt;D xsi:type="xsd:string"&gt;05/29/2009&lt;/D&gt;&lt;D xsi:type="xsd:string"&gt;04/30/2009&lt;/D&gt;&lt;D xsi:type="xsd:string"&gt;03/31/2009&lt;/D&gt;&lt;D xsi:type="xsd:string"&gt;02/27/2009&lt;/D&gt;&lt;D xsi:type="xsd:string"&gt;01/30/2009&lt;/D&gt;&lt;D xsi:type="xsd:string"&gt;12/31/2008&lt;/D&gt;&lt;D xsi:type="xsd:string"&gt;11/28/2008&lt;/D&gt;&lt;D xsi:type="xsd:string"&gt;10/31/2008&lt;/D&gt;&lt;D xsi:type="xsd:string"&gt;09/30/2008&lt;/D&gt;&lt;D xsi:type="xsd:string"&gt;08/29/2008&lt;/D&gt;&lt;D xsi:type="xsd:string"&gt;07/31/2008&lt;/D&gt;&lt;D xsi:type="xsd:string"&gt;06/30/2008&lt;/D&gt;&lt;D xsi:type="xsd:string"&gt;05/30/2008&lt;/D&gt;&lt;D xsi:type="xsd:string"&gt;04/30/2008&lt;/D&gt;&lt;D xsi:type="xsd:string"&gt;03/31/2008&lt;/D&gt;&lt;D xsi:type="xsd:string"&gt;02/29/2008&lt;/D&gt;&lt;D xsi:type="xsd:string"&gt;01/31/2008&lt;/D&gt;&lt;D xsi:type="xsd:string"&gt;12/31/2007&lt;/D&gt;&lt;D xsi:type="xsd:string"&gt;11/30/2007&lt;/D&gt;&lt;D xsi:type="xsd:string"&gt;10/31/2007&lt;/D&gt;&lt;D xsi:type="xsd:string"&gt;09/28/2007&lt;/D&gt;&lt;D xsi:type="xsd:string"&gt;08/31/2007&lt;/D&gt;&lt;D xsi:type="xsd:string"&gt;07/31/2007&lt;/D&gt;&lt;D xsi:type="xsd:string"&gt;06/29/2007&lt;/D&gt;&lt;D xsi:type="xsd:string"&gt;05/31/2007&lt;/D&gt;&lt;D xsi:type="xsd:string"&gt;04/30/2007&lt;/D&gt;&lt;D xsi:type="xsd:string"&gt;03/30/2007&lt;/D&gt;&lt;D xsi:type="xsd:string"&gt;02/28/2007&lt;/D&gt;&lt;D xsi:type="xsd:string"&gt;01/31/2007&lt;/D&gt;&lt;D xsi:type="xsd:string"&gt;12/29/2006&lt;/D&gt;&lt;D xsi:type="xsd:string"&gt;11/30/2006&lt;/D&gt;&lt;D xsi:type="xsd:string"&gt;10/31/2006&lt;/D&gt;&lt;D xsi:type="xsd:string"&gt;09/29/2006&lt;/D&gt;&lt;D xsi:type="xsd:string"&gt;08/31/2006&lt;/D&gt;&lt;D xsi:type="xsd:string"&gt;07/31/2006&lt;/D&gt;&lt;D xsi:type="xsd:string"&gt;06/30/2006&lt;/D&gt;&lt;D xsi:type="xsd:string"&gt;05/31/2006&lt;/D&gt;&lt;D xsi:type="xsd:string"&gt;04/28/2006&lt;/D&gt;&lt;D xsi:type="xsd:string"&gt;03/31/2006&lt;/D&gt;&lt;D xsi:type="xsd:string"&gt;02/28/2006&lt;/D&gt;&lt;D xsi:type="xsd:string"&gt;01/31/2006&lt;/D&gt;&lt;D xsi:type="xsd:string"&gt;12/30/2005&lt;/D&gt;&lt;D xsi:type="xsd:string"&gt;11/30/2005&lt;/D&gt;&lt;D xsi:type="xsd:string"&gt;10/31/2005&lt;/D&gt;&lt;D xsi:type="xsd:string"&gt;09/30/2005&lt;/D&gt;&lt;D xsi:type="xsd:string"&gt;08/31/2005&lt;/D&gt;&lt;D xsi:type="xsd:string"&gt;07/29/2005&lt;/D&gt;&lt;D xsi:type="xsd:string"&gt;06/30/2005&lt;/D&gt;&lt;D xsi:type="xsd:string"&gt;05/31/2005&lt;/D&gt;&lt;D xsi:type="xsd:string"&gt;04/29/2005&lt;/D&gt;&lt;D xsi:type="xsd:string"&gt;03/31/2005&lt;/D&gt;&lt;D xsi:type="xsd:string"&gt;02/28/2005&lt;/D&gt;&lt;D xsi:type="xsd:string"&gt;01/31/2005&lt;/D&gt;&lt;D xsi:type="xsd:string"&gt;12/31/2004&lt;/D&gt;&lt;D xsi:type="xsd:string"&gt;11/30/2004&lt;/D&gt;&lt;D xsi:type="xsd:string"&gt;10/29/2004&lt;/D&gt;&lt;D xsi:type="xsd:string"&gt;09/30/2004&lt;/D&gt;&lt;D xsi:type="xsd:string"&gt;08/31/2004&lt;/D&gt;&lt;D xsi:type="xsd:string"&gt;07/30/2004&lt;/D&gt;&lt;D xsi:type="xsd:string"&gt;06/30/2004&lt;/D&gt;&lt;D xsi:type="xsd:string"&gt;05/28/2004&lt;/D&gt;&lt;D xsi:type="xsd:string"&gt;04/30/2004&lt;/D&gt;&lt;D xsi:type="xsd:string"&gt;03/31/2004&lt;/D&gt;&lt;D xsi:type="xsd:string"&gt;02/27/2004&lt;/D&gt;&lt;D xsi:type="xsd:string"&gt;01/30/2004&lt;/D&gt;&lt;D xsi:type="xsd:string"&gt;12/31/2003&lt;/D&gt;&lt;D xsi:type="xsd:string"&gt;11/28/2003&lt;/D&gt;&lt;D xsi:type="xsd:string"&gt;10/31/2003&lt;/D&gt;&lt;D xsi:type="xsd:string"&gt;09/30/2003&lt;/D&gt;&lt;D xsi:type="xsd:string"&gt;08/29/2003&lt;/D&gt;&lt;D xsi:type="xsd:string"&gt;07/31/2003&lt;/D&gt;&lt;D xsi:type="xsd:string"&gt;06/30/2003&lt;/D&gt;&lt;D xsi:type="xsd:string"&gt;05/30/2003&lt;/D&gt;&lt;D xsi:type="xsd:string"&gt;04/30/2003&lt;/D&gt;&lt;D xsi:type="xsd:string"&gt;03/31/2003&lt;/D&gt;&lt;D xsi:type="xsd:string"&gt;02/28/2003&lt;/D&gt;&lt;D xsi:type="xsd:string"&gt;01/31/2003&lt;/D&gt;&lt;D xsi:type="xsd:string"&gt;12/31/2002&lt;/D&gt;&lt;D xsi:type="xsd:string"&gt;11/29/2002&lt;/D&gt;&lt;D xsi:type="xsd:string"&gt;10/31/2002&lt;/D&gt;&lt;D xsi:type="xsd:string"&gt;09/30/2002&lt;/D&gt;&lt;D xsi:type="xsd:string"&gt;08/30/2002&lt;/D&gt;&lt;D xsi:type="xsd:string"&gt;07/31/2002&lt;/D&gt;&lt;D xsi:type="xsd:string"&gt;06/28/2002&lt;/D&gt;&lt;D xsi:type="xsd:string"&gt;05/31/2002&lt;/D&gt;&lt;D xsi:type="xsd:string"&gt;04/30/2002&lt;/D&gt;&lt;D xsi:type="xsd:string"&gt;03/28/2002&lt;/D&gt;&lt;D xsi:type="xsd:string"&gt;02/28/2002&lt;/D&gt;&lt;D xsi:type="xsd:string"&gt;01/31/2002&lt;/D&gt;&lt;D xsi:type="xsd:string"&gt;12/31/2001&lt;/D&gt;&lt;D xsi:type="xsd:string"&gt;11/30/2001&lt;/D&gt;&lt;D xsi:type="xsd:string"&gt;10/31/2001&lt;/D&gt;&lt;D xsi:type="xsd:string"&gt;09/28/2001&lt;/D&gt;&lt;D xsi:type="xsd:string"&gt;08/31/2001&lt;/D&gt;&lt;D xsi:type="xsd:string"&gt;07/31/2001&lt;/D&gt;&lt;D xsi:type="xsd:string"&gt;06/29/2001&lt;/D&gt;&lt;D xsi:type="xsd:string"&gt;05/31/2001&lt;/D&gt;&lt;D xsi:type="xsd:string"&gt;04/30/2001&lt;/D&gt;&lt;D xsi:type="xsd:string"&gt;03/30/2001&lt;/D&gt;&lt;D xsi:type="xsd:string"&gt;02/28/2001&lt;/D&gt;&lt;D xsi:type="xsd:string"&gt;01/31/2001&lt;/D&gt;&lt;D xsi:type="xsd:string"&gt;12/29/2000&lt;/D&gt;&lt;D xsi:type="xsd:string"&gt;11/30/2000&lt;/D&gt;&lt;D xsi:type="xsd:string"&gt;10/31/2000&lt;/D&gt;&lt;D xsi:type="xsd:string"&gt;09/29/2000&lt;/D&gt;&lt;D xsi:type="xsd:string"&gt;08/31/2000&lt;/D&gt;&lt;D xsi:type="xsd:string"&gt;07/31/2000&lt;/D&gt;&lt;D xsi:type="xsd:string"&gt;06/30/2000&lt;/D&gt;&lt;D xsi:type="xsd:string"&gt;05/31/2000&lt;/D&gt;&lt;D xsi:type="xsd:string"&gt;04/28/2000&lt;/D&gt;&lt;D xsi:type="xsd:string"&gt;03/31/2000&lt;/D&gt;&lt;D xsi:type="xsd:string"&gt;02/29/2000&lt;/D&gt;&lt;D xsi:type="xsd:string"&gt;01/31/2000&lt;/D&gt;&lt;/FQL&gt;&lt;FQL&gt;&lt;Q&gt;991000^JULIAN(P_DATE(2/27/2026,1/31/2000,M).DATES)&lt;/Q&gt;&lt;R&gt;314&lt;/R&gt;&lt;C&gt;1&lt;/C&gt;&lt;D xsi:type="xsd:long"&gt;46080&lt;/D&gt;&lt;D xsi:type="xsd:long"&gt;46052&lt;/D&gt;&lt;D xsi:type="xsd:long"&gt;46022&lt;/D&gt;&lt;D xsi:type="xsd:long"&gt;45989&lt;/D&gt;&lt;D xsi:type="xsd:long"&gt;45961&lt;/D&gt;&lt;D xsi:type="xsd:long"&gt;45930&lt;/D&gt;&lt;D xsi:type="xsd:long"&gt;45898&lt;/D&gt;&lt;D xsi:type="xsd:long"&gt;45869&lt;/D&gt;&lt;D xsi:type="xsd:long"&gt;45838&lt;/D&gt;&lt;D xsi:type="xsd:long"&gt;45807&lt;/D&gt;&lt;D xsi:type="xsd:long"&gt;45777&lt;/D&gt;&lt;D xsi:type="xsd:long"&gt;45747&lt;/D&gt;&lt;D xsi:type="xsd:long"&gt;45716&lt;/D&gt;&lt;D xsi:type="xsd:long"&gt;45688&lt;/D&gt;&lt;D xsi:type="xsd:long"&gt;45657&lt;/D&gt;&lt;D xsi:type="xsd:long"&gt;45625&lt;/D&gt;&lt;D xsi:type="xsd:long"&gt;45596&lt;/D&gt;&lt;D xsi:type="xsd:long"&gt;45565&lt;/D&gt;&lt;D xsi:type="xsd:long"&gt;45534&lt;/D&gt;&lt;D xsi:type="xsd:long"&gt;45504&lt;/D&gt;&lt;D xsi:type="xsd:long"&gt;45471&lt;/D&gt;&lt;D xsi:type="xsd:long"&gt;45443&lt;/D&gt;&lt;D xsi:type="xsd:long"&gt;45412&lt;/D&gt;&lt;D xsi:type="xsd:long"&gt;45379&lt;/D&gt;&lt;D xsi:type="xsd:long"&gt;45351&lt;/D&gt;&lt;D xsi:type="xsd:long"&gt;45322&lt;/</t>
        </r>
      </text>
    </comment>
    <comment ref="A62" authorId="0" shapeId="0">
      <text>
        <r>
          <rPr>
            <b/>
            <sz val="9"/>
            <color indexed="81"/>
            <rFont val="Tahoma"/>
            <family val="2"/>
          </rPr>
          <t>D&gt;&lt;D xsi:type="xsd:long"&gt;45289&lt;/D&gt;&lt;D xsi:type="xsd:long"&gt;45260&lt;/D&gt;&lt;D xsi:type="xsd:long"&gt;45230&lt;/D&gt;&lt;D xsi:type="xsd:long"&gt;45198&lt;/D&gt;&lt;D xsi:type="xsd:long"&gt;45169&lt;/D&gt;&lt;D xsi:type="xsd:long"&gt;45138&lt;/D&gt;&lt;D xsi:type="xsd:long"&gt;45107&lt;/D&gt;&lt;D xsi:type="xsd:long"&gt;45077&lt;/D&gt;&lt;D xsi:type="xsd:long"&gt;45044&lt;/D&gt;&lt;D xsi:type="xsd:long"&gt;45016&lt;/D&gt;&lt;D xsi:type="xsd:long"&gt;44985&lt;/D&gt;&lt;D xsi:type="xsd:long"&gt;44957&lt;/D&gt;&lt;D xsi:type="xsd:long"&gt;44925&lt;/D&gt;&lt;D xsi:type="xsd:long"&gt;44895&lt;/D&gt;&lt;D xsi:type="xsd:long"&gt;44865&lt;/D&gt;&lt;D xsi:type="xsd:long"&gt;44834&lt;/D&gt;&lt;D xsi:type="xsd:long"&gt;44804&lt;/D&gt;&lt;D xsi:type="xsd:long"&gt;44771&lt;/D&gt;&lt;D xsi:type="xsd:long"&gt;44742&lt;/D&gt;&lt;D xsi:type="xsd:long"&gt;44712&lt;/D&gt;&lt;D xsi:type="xsd:long"&gt;44680&lt;/D&gt;&lt;D xsi:type="xsd:long"&gt;44651&lt;/D&gt;&lt;D xsi:type="xsd:long"&gt;44620&lt;/D&gt;&lt;D xsi:type="xsd:long"&gt;44592&lt;/D&gt;&lt;D xsi:type="xsd:long"&gt;44561&lt;/D&gt;&lt;D xsi:type="xsd:long"&gt;44530&lt;/D&gt;&lt;D xsi:type="xsd:long"&gt;44498&lt;/D&gt;&lt;D xsi:type="xsd:long"&gt;44469&lt;/D&gt;&lt;D xsi:type="xsd:long"&gt;44439&lt;/D&gt;&lt;D xsi:type="xsd:long"&gt;44407&lt;/D&gt;&lt;D xsi:type="xsd:long"&gt;44377&lt;/D&gt;&lt;D xsi:type="xsd:long"&gt;44344&lt;/D&gt;&lt;D xsi:type="xsd:long"&gt;44316&lt;/D&gt;&lt;D xsi:type="xsd:long"&gt;44286&lt;/D&gt;&lt;D xsi:type="xsd:long"&gt;44253&lt;/D&gt;&lt;D xsi:type="xsd:long"&gt;44225&lt;/D&gt;&lt;D xsi:type="xsd:long"&gt;44196&lt;/D&gt;&lt;D xsi:type="xsd:long"&gt;44165&lt;/D&gt;&lt;D xsi:type="xsd:long"&gt;44134&lt;/D&gt;&lt;D xsi:type="xsd:long"&gt;44104&lt;/D&gt;&lt;D xsi:type="xsd:long"&gt;44074&lt;/D&gt;&lt;D xsi:type="xsd:long"&gt;44043&lt;/D&gt;&lt;D xsi:type="xsd:long"&gt;44012&lt;/D&gt;&lt;D xsi:type="xsd:long"&gt;43980&lt;/D&gt;&lt;D xsi:type="xsd:long"&gt;43951&lt;/D&gt;&lt;D xsi:type="xsd:long"&gt;43921&lt;/D&gt;&lt;D xsi:type="xsd:long"&gt;43889&lt;/D&gt;&lt;D xsi:type="xsd:long"&gt;43861&lt;/D&gt;&lt;D xsi:type="xsd:long"&gt;43830&lt;/D&gt;&lt;D xsi:type="xsd:long"&gt;43798&lt;/D&gt;&lt;D xsi:type="xsd:long"&gt;43769&lt;/D&gt;&lt;D xsi:type="xsd:long"&gt;43738&lt;/D&gt;&lt;D xsi:type="xsd:long"&gt;43707&lt;/D&gt;&lt;D xsi:type="xsd:long"&gt;43677&lt;/D&gt;&lt;D xsi:type="xsd:long"&gt;43644&lt;/D&gt;&lt;D xsi:type="xsd:long"&gt;43616&lt;/D&gt;&lt;D xsi:type="xsd:long"&gt;43585&lt;/D&gt;&lt;D xsi:type="xsd:long"&gt;43553&lt;/D&gt;&lt;D xsi:type="xsd:long"&gt;43524&lt;/D&gt;&lt;D xsi:type="xsd:long"&gt;43496&lt;/D&gt;&lt;D xsi:type="xsd:long"&gt;43465&lt;/D&gt;&lt;D xsi:type="xsd:long"&gt;43434&lt;/D&gt;&lt;D xsi:type="xsd:long"&gt;43404&lt;/D&gt;&lt;D xsi:type="xsd:long"&gt;43371&lt;/D&gt;&lt;D xsi:type="xsd:long"&gt;43343&lt;/D&gt;&lt;D xsi:type="xsd:long"&gt;43312&lt;/D&gt;&lt;D xsi:type="xsd:long"&gt;43280&lt;/D&gt;&lt;D xsi:type="xsd:long"&gt;43251&lt;/D&gt;&lt;D xsi:type="xsd:long"&gt;43220&lt;/D&gt;&lt;D xsi:type="xsd:long"&gt;43188&lt;/D&gt;&lt;D xsi:type="xsd:long"&gt;43159&lt;/D&gt;&lt;D xsi:type="xsd:long"&gt;43131&lt;/D&gt;&lt;D xsi:type="xsd:long"&gt;43098&lt;/D&gt;&lt;D xsi:type="xsd:long"&gt;43069&lt;/D&gt;&lt;D xsi:type="xsd:long"&gt;43039&lt;/D&gt;&lt;D xsi:type="xsd:long"&gt;43007&lt;/D&gt;&lt;D xsi:type="xsd:long"&gt;42978&lt;/D&gt;&lt;D xsi:type="xsd:long"&gt;42947&lt;/D&gt;&lt;D xsi:type="xsd:long"&gt;42916&lt;/D&gt;&lt;D xsi:type="xsd:long"&gt;42886&lt;/D&gt;&lt;D xsi:type="xsd:long"&gt;42853&lt;/D&gt;&lt;D xsi:type="xsd:long"&gt;42825&lt;/D&gt;&lt;D xsi:type="xsd:long"&gt;42794&lt;/D&gt;&lt;D xsi:type="xsd:long"&gt;42766&lt;/D&gt;&lt;D xsi:type="xsd:long"&gt;42734&lt;/D&gt;&lt;D xsi:type="xsd:long"&gt;42704&lt;/D&gt;&lt;D xsi:type="xsd:long"&gt;42674&lt;/D&gt;&lt;D xsi:type="xsd:long"&gt;42643&lt;/D&gt;&lt;D xsi:type="xsd:long"&gt;42613&lt;/D&gt;&lt;D xsi:type="xsd:long"&gt;42580&lt;/D&gt;&lt;D xsi:type="xsd:long"&gt;42551&lt;/D&gt;&lt;D xsi:type="xsd:long"&gt;42521&lt;/D&gt;&lt;D xsi:type="xsd:long"&gt;42489&lt;/D&gt;&lt;D xsi:type="xsd:long"&gt;42460&lt;/D&gt;&lt;D xsi:type="xsd:long"&gt;42429&lt;/D&gt;&lt;D xsi:type="xsd:long"&gt;42398&lt;/D&gt;&lt;D xsi:type="xsd:long"&gt;42369&lt;/D&gt;&lt;D xsi:type="xsd:long"&gt;42338&lt;/D&gt;&lt;D xsi:type="xsd:long"&gt;42307&lt;/D&gt;&lt;D xsi:type="xsd:long"&gt;42277&lt;/D&gt;&lt;D xsi:type="xsd:long"&gt;42247&lt;/D&gt;&lt;D xsi:type="xsd:long"&gt;42216&lt;/D&gt;&lt;D xsi:type="xsd:long"&gt;42185&lt;/D&gt;&lt;D xsi:type="xsd:long"&gt;42153&lt;/D&gt;&lt;D xsi:type="xsd:long"&gt;42124&lt;/D&gt;&lt;D xsi:type="xsd:long"&gt;42094&lt;/D&gt;&lt;D xsi:type="xsd:long"&gt;42062&lt;/D&gt;&lt;D xsi:type="xsd:long"&gt;42034&lt;/D&gt;&lt;D xsi:type="xsd:long"&gt;42004&lt;/D&gt;&lt;D xsi:type="xsd:long"&gt;41971&lt;/D&gt;&lt;D xsi:type="xsd:long"&gt;41943&lt;/D&gt;&lt;D xsi:type="xsd:long"&gt;41912&lt;/D&gt;&lt;D xsi:type="xsd:long"&gt;41880&lt;/D&gt;&lt;D xsi:type="xsd:long"&gt;41851&lt;/D&gt;&lt;D xsi:type="xsd:long"&gt;41820&lt;/D&gt;&lt;D xsi:type="xsd:long"&gt;41789&lt;/D&gt;&lt;D xsi:type="xsd:long"&gt;41759&lt;/D&gt;&lt;D xsi:type="xsd:long"&gt;41729&lt;/D&gt;&lt;D xsi:type="xsd:long"&gt;41698&lt;/D&gt;&lt;D xsi:type="xsd:long"&gt;41670&lt;/D&gt;&lt;D xsi:type="xsd:long"&gt;41639&lt;/D&gt;&lt;D xsi:type="xsd:long"&gt;41607&lt;/D&gt;&lt;D xsi:type="xsd:long"&gt;41578&lt;/D&gt;&lt;D xsi:type="xsd:long"&gt;41547&lt;/D&gt;&lt;D xsi:type="xsd:long"&gt;41516&lt;/D&gt;&lt;D xsi:type="xsd:long"&gt;41486&lt;/D&gt;&lt;D xsi:type="xsd:long"&gt;41453&lt;/D&gt;&lt;D xsi:type="xsd:long"&gt;41425&lt;/D&gt;&lt;D xsi:type="xsd:long"&gt;41394&lt;/D&gt;&lt;D xsi:type="xsd:long"&gt;41361&lt;/D&gt;&lt;D xsi:type="xsd:long"&gt;41333&lt;/D&gt;&lt;D xsi:type="xsd:long"&gt;41305&lt;/D&gt;&lt;D xsi:type="xsd:long"&gt;41274&lt;/D&gt;&lt;D xsi:type="xsd:long"&gt;41243&lt;/D&gt;&lt;D xsi:type="xsd:long"&gt;41213&lt;/D&gt;&lt;D xsi:type="xsd:long"&gt;41180&lt;/D&gt;&lt;D xsi:type="xsd:long"&gt;41152&lt;/D&gt;&lt;D xsi:type="xsd:long"&gt;41121&lt;/D&gt;&lt;D xsi:type="xsd:long"&gt;41089&lt;/D&gt;&lt;D xsi:type="xsd:long"&gt;41060&lt;/D&gt;&lt;D xsi:type="xsd:long"&gt;41029&lt;/D&gt;&lt;D xsi:type="xsd:long"&gt;40998&lt;/D&gt;&lt;D xsi:type="xsd:long"&gt;40968&lt;/D&gt;&lt;D xsi:type="xsd:long"&gt;40939&lt;/D&gt;&lt;D xsi:type="xsd:long"&gt;40907&lt;/D&gt;&lt;D xsi:type="xsd:long"&gt;40877&lt;/D&gt;&lt;D xsi:type="xsd:long"&gt;40847&lt;/D&gt;&lt;D xsi:type="xsd:long"&gt;40816&lt;/D&gt;&lt;D xsi:type="xsd:long"&gt;40786&lt;/D&gt;&lt;D xsi:type="xsd:long"&gt;40753&lt;/D&gt;&lt;D xsi:type="xsd:long"&gt;40724&lt;/D&gt;&lt;D xsi:type="xsd:long"&gt;40694&lt;/D&gt;&lt;D xsi:type="xsd:long"&gt;40662&lt;/D&gt;&lt;D xsi:type="xsd:long"&gt;40633&lt;/D&gt;&lt;D xsi:type="xsd:long"&gt;40602&lt;/D&gt;&lt;D xsi:type="xsd:long"&gt;40574&lt;/D&gt;&lt;D xsi:type="xsd:long"&gt;40543&lt;/D&gt;&lt;D xsi:type="xsd:long"&gt;40512&lt;/D&gt;&lt;D xsi:type="xsd:long"&gt;40480&lt;/D&gt;&lt;D xsi:type="xsd:long"&gt;40451&lt;/D&gt;&lt;D xsi:type="xsd:long"&gt;40421&lt;/D&gt;&lt;D xsi:type="xsd:long"&gt;40389&lt;/D&gt;&lt;D xsi:type="xsd:long"&gt;40359&lt;/D&gt;&lt;D xsi:type="xsd:long"&gt;40326&lt;/D&gt;&lt;D xsi:type="xsd:long"&gt;40298&lt;/D&gt;&lt;D xsi:type="xsd:long"&gt;40268&lt;/D&gt;&lt;D xsi:type="xsd:long"&gt;40235&lt;/D&gt;&lt;D xsi:type="xsd:long"&gt;40207&lt;/D&gt;&lt;D xsi:type="xsd:long"&gt;40178&lt;/D&gt;&lt;D xsi:type="xsd:long"&gt;40147&lt;/D&gt;&lt;D xsi:type="xsd:long"&gt;40116&lt;/D&gt;&lt;D xsi:type="xsd:long"&gt;40086&lt;/D&gt;&lt;D xsi:type="xsd:long"&gt;40056&lt;/D&gt;&lt;D xsi:type="xsd:long"&gt;40025&lt;/D&gt;&lt;D xsi:type="xsd:long"&gt;39994&lt;/D&gt;&lt;D xsi:type="xsd:long"&gt;39962&lt;/D&gt;&lt;D xsi:type="xsd:long"&gt;39933&lt;/D&gt;&lt;D xsi:type="xsd:long"&gt;39903&lt;/D&gt;&lt;D xsi:type="xsd:long"&gt;39871&lt;/D&gt;&lt;D xsi:type="xsd:long"&gt;39843&lt;/D&gt;&lt;D xsi:type="xsd:long"&gt;39813&lt;/D&gt;&lt;D xsi:type="xsd:long"&gt;39780&lt;/D&gt;&lt;D xsi:type="xsd:long"&gt;39752&lt;/D&gt;&lt;D xsi:type="xsd:long"&gt;39721&lt;/D&gt;&lt;D xsi:type="xsd:long"&gt;39689&lt;/D&gt;&lt;D xsi:type="xsd:long"&gt;39660&lt;/D&gt;&lt;D xsi:type="xsd:long"&gt;39629&lt;/D&gt;&lt;D xsi:type="xsd:long"&gt;39598&lt;/D&gt;&lt;D xsi:type="xsd:long"&gt;39568&lt;/D&gt;&lt;D xsi:type="xsd:long"&gt;39538&lt;/D&gt;&lt;D xsi:type="xsd:long"&gt;39507&lt;/D&gt;&lt;D xsi:type="xsd:long"&gt;39478&lt;/D&gt;&lt;D xsi:type="xsd:long"&gt;39447&lt;/D&gt;&lt;D xsi:type="xsd:long"&gt;39416&lt;/D&gt;&lt;D xsi:type="xsd:long"&gt;39386&lt;/D&gt;&lt;D xsi:type="xsd:long"&gt;39353&lt;/D&gt;&lt;D xsi:type="xsd:long"&gt;39325&lt;/D&gt;&lt;D xsi:type="xsd:long"&gt;39294&lt;/D&gt;&lt;D xsi:type="xsd:long"&gt;39262&lt;/D&gt;&lt;D xsi:type="xsd:long"&gt;39233&lt;/D&gt;&lt;D xsi:type="xsd:long"&gt;39202&lt;/D&gt;&lt;D xsi:type="xsd:long"&gt;39171&lt;/D&gt;&lt;D xsi:type="xsd:long"&gt;39141&lt;/D&gt;&lt;D xsi:type="xsd:long"&gt;39113&lt;/D&gt;&lt;D xsi:type="xsd:long"&gt;39080&lt;/D&gt;&lt;D xsi:type="xsd:long"&gt;39051&lt;/D&gt;&lt;D xsi:type="xsd:long"&gt;39021&lt;/D&gt;&lt;D xsi:type="xsd:long"&gt;38989&lt;/D&gt;&lt;D xsi:type="xsd:long"&gt;38960&lt;/D&gt;&lt;D xsi:type="xsd:long"&gt;38929&lt;/D&gt;&lt;D xsi:type="xsd:long"&gt;38898&lt;/D&gt;&lt;D xsi:type="xsd:long"&gt;38868&lt;/D&gt;&lt;D xsi:type="xsd:long"&gt;38835&lt;/D&gt;&lt;D xsi:type="xsd:long"&gt;38807&lt;/D&gt;&lt;D xsi:type="xsd:long"&gt;38776&lt;/D&gt;&lt;D xsi:type="xsd:long"&gt;38748&lt;/D&gt;&lt;D xsi:type="xsd:long"&gt;38716&lt;/D&gt;&lt;D xsi:type="xsd:long"&gt;38686&lt;/D&gt;&lt;D xsi:type="xsd:long"&gt;38656&lt;/D&gt;&lt;D xsi:type="xsd:long"&gt;38625&lt;/D&gt;&lt;D xsi:type="xsd:long"&gt;38595&lt;/D&gt;&lt;D xsi:type="xsd:long"&gt;38562&lt;/D&gt;&lt;D xsi:type="xsd:long"&gt;38533&lt;/D&gt;&lt;D xsi:type="xsd:long"&gt;38503&lt;/D&gt;&lt;D xsi:type="xsd:long"&gt;38471&lt;/D&gt;&lt;D xsi:type="xsd:long"&gt;38442&lt;/D&gt;&lt;D xsi:type="xsd:long"&gt;38411&lt;/D&gt;&lt;D xsi:type="xsd:long"&gt;38383&lt;/D&gt;&lt;D xsi:type="xsd:long"&gt;38352&lt;/D&gt;&lt;D xsi:type="xsd:long"&gt;38321&lt;/D&gt;&lt;D xsi:type="xsd:long"&gt;38289&lt;/D&gt;&lt;D xsi:type="xsd:long"&gt;38260&lt;/D&gt;&lt;D xsi:type="xsd:long"&gt;38230&lt;/D&gt;&lt;D xsi:type="xsd:long"&gt;38198&lt;/D&gt;&lt;D xsi:type="xsd:long"&gt;38168&lt;/D&gt;&lt;D xsi:type="xsd:long"&gt;38135&lt;/D&gt;&lt;D xsi:type="xsd:long"&gt;38107&lt;/D&gt;&lt;D xsi:type="xsd:long"&gt;38077&lt;/D&gt;&lt;D xsi:type="xsd:long"&gt;38044&lt;/D&gt;&lt;D xsi:type="xsd:long"&gt;38016&lt;/D&gt;&lt;D xsi:type="xsd:long"&gt;37986&lt;/D&gt;&lt;D xsi:type="xsd:long"&gt;37953&lt;/D&gt;&lt;D xsi:type="xsd:long"&gt;37925&lt;/D&gt;&lt;D xsi:type="xsd:long"&gt;37894&lt;/D&gt;&lt;D xsi:type="xsd:long"&gt;37862&lt;/D&gt;&lt;D xsi:type="xsd:long"&gt;37833&lt;/D&gt;&lt;D xsi:type="xsd:long"&gt;37802&lt;/D&gt;&lt;D xsi:type="xsd:long"&gt;37771&lt;/D&gt;&lt;D xsi:type="xsd:long"&gt;37741&lt;/D&gt;&lt;D xsi:type="xsd:long"&gt;37711&lt;/D&gt;&lt;D xsi:type="xsd:long"&gt;37680&lt;/D&gt;&lt;D xsi:type="xsd:long"&gt;37652&lt;/D&gt;&lt;D xsi:type="xsd:long"&gt;37621&lt;/D&gt;&lt;D xsi:type="xsd:long"&gt;37589&lt;/D&gt;&lt;D xsi:type="xsd:long"&gt;37560&lt;/D&gt;&lt;D xsi:type="xsd:long"&gt;37529&lt;/D&gt;&lt;D xsi:type="xsd:long"&gt;37498&lt;/D&gt;&lt;D xsi:type="xsd:long"&gt;37468&lt;/D&gt;&lt;D xsi:type="xsd:long"&gt;37435&lt;/D&gt;&lt;D xsi:type="xsd:long"&gt;37407&lt;/D&gt;&lt;D xsi:type="xsd:long"&gt;37376&lt;/D&gt;&lt;D xsi:type="xsd:long"&gt;37343&lt;/D&gt;&lt;D xsi:type="xsd:long"&gt;37315&lt;/D&gt;&lt;D xsi:type="xsd:long"&gt;37287&lt;/D&gt;&lt;D xsi:type="xsd:long"&gt;37256&lt;/D&gt;&lt;D xsi:type="xsd:long"&gt;37225&lt;/D&gt;&lt;D xsi:type="xsd:long"&gt;37195&lt;/D&gt;&lt;D xsi:type="xsd:long"&gt;37162&lt;/D&gt;&lt;D xsi:type="xsd:long"&gt;37134&lt;/D&gt;&lt;D xsi:type="xsd:long"&gt;37103&lt;/D&gt;&lt;D xsi:type="xsd:long"&gt;37071&lt;/D&gt;&lt;D xsi:type="xsd:long"&gt;37042&lt;/D&gt;&lt;D xsi:type="xsd:long"&gt;37011&lt;/D&gt;&lt;D xsi:type="xsd:long"&gt;36980&lt;/D&gt;&lt;D xsi:type="xsd:long"&gt;36950&lt;/D&gt;&lt;D xsi:type="xsd:long"&gt;36922&lt;/D&gt;&lt;D xsi:type="xsd:long"&gt;36889&lt;/D&gt;&lt;D xsi:type="xsd:long"&gt;36860&lt;/D&gt;&lt;D xsi:type="xsd:long"&gt;36830&lt;/D&gt;&lt;D xsi:type="xsd:long"&gt;36798&lt;/D&gt;&lt;D xsi:type="xsd:long"&gt;36769&lt;/D&gt;&lt;D xsi:type="xsd:long"&gt;36738&lt;/D&gt;&lt;D xsi:type="xsd:long"&gt;36707&lt;/D&gt;&lt;D xsi:type="xsd:long"&gt;36677&lt;/D&gt;&lt;D xsi:type="xsd:long"&gt;36644&lt;/D&gt;&lt;D xsi:type="xsd:long"&gt;36616&lt;/D&gt;&lt;D xsi:type="xsd:long"&gt;36585&lt;/D&gt;&lt;D xsi:type="xsd:long"&gt;36556&lt;/D&gt;&lt;/FQL&gt;&lt;FQL&gt;&lt;Q&gt;892400^P_DATE(2/27/2026,1/31/2000,M)&lt;/Q&gt;&lt;R&gt;314&lt;/R&gt;&lt;C&gt;1&lt;/C&gt;&lt;D xsi:type="xsd:string"&gt;02/27/2026&lt;/D&gt;&lt;D xsi:type="xsd:string"&gt;01/30/2026&lt;/D&gt;&lt;D xsi:type="xsd:string"&gt;12/31/2025&lt;/D&gt;&lt;D xsi:type="xsd:string"&gt;11/28/2025&lt;/D&gt;&lt;D xsi:type="xsd:string"&gt;10/31/2025&lt;/D&gt;&lt;D xsi:type="xsd:string"&gt;09/30/2025&lt;/D&gt;&lt;D xsi:type="xsd:string"&gt;08/29/2025&lt;/D&gt;&lt;D xsi:type="xsd:string"&gt;07/31/2025&lt;/D&gt;&lt;D xsi:type="xsd:string"&gt;06/30/2025&lt;/D&gt;&lt;D xsi:type="xsd:string"&gt;05/30/2025&lt;/D&gt;&lt;D xsi:type="xsd:string"&gt;04/30/2025&lt;/D&gt;&lt;D xsi:type="xsd:string"&gt;03/31/2025&lt;/D&gt;&lt;D xsi:type="xsd:string"&gt;02/28/2025&lt;/D&gt;&lt;D xsi:type="xsd:string"&gt;01/31/2025&lt;/D&gt;&lt;D xsi:type="xsd:string"&gt;12/31/2024&lt;/D&gt;&lt;D xsi:type="xsd:string"&gt;11/29/2024&lt;/D&gt;&lt;D xsi:type="xsd:string"&gt;10/31/2024&lt;/D&gt;&lt;D xsi:type="xsd:string"&gt;09/30/2024&lt;/D&gt;&lt;D xsi:type="xsd:string"&gt;08/30/2024&lt;/D&gt;&lt;D xsi:type="xsd:string"&gt;07/31/2024&lt;/D&gt;&lt;D xsi:type="xsd:string"&gt;06/28/2024&lt;/D&gt;&lt;D xsi:type="xsd:string"&gt;05/31/2024&lt;/D&gt;&lt;D xsi:type="xsd:string"&gt;04/30/2024&lt;/D&gt;&lt;D xsi:type="xsd:string"&gt;03/28/2024&lt;/D&gt;&lt;D xsi:type="xsd:string"&gt;02/29/2024&lt;/D&gt;&lt;D xsi:type="xsd:string"&gt;01/31/2024&lt;/D&gt;&lt;D xsi:type="xsd:string"&gt;12/29/2023&lt;/D&gt;&lt;D xsi:type="xsd:string"&gt;11/30/2023&lt;/D&gt;&lt;D xsi:type="xsd:string"&gt;10/31/2023&lt;/D&gt;&lt;D xsi:type="xsd:string"&gt;09/29/2023&lt;/D&gt;&lt;D xsi:type="xsd:string"&gt;08/31/2023&lt;/D&gt;&lt;D xsi:type="xsd:string"&gt;07/31/2023&lt;/D&gt;&lt;D xsi:type="xsd:string"&gt;06/30/2023&lt;/D&gt;&lt;D xsi:type="xsd:string"&gt;05/31/2023&lt;/D&gt;&lt;D xsi:type="xsd:string"&gt;04/28/2023&lt;/D&gt;&lt;D xsi:type="xsd:string"&gt;03/31/2023&lt;/D&gt;&lt;D xsi:type="xsd:string"&gt;02/28/2023&lt;/D&gt;&lt;D xsi:type="xsd:string"&gt;01/31/2023&lt;/D&gt;&lt;D xsi:type="xsd:string"&gt;12/30/2022&lt;/D&gt;&lt;D xsi:type="xsd:string"&gt;11/30/2022&lt;/D&gt;&lt;D xsi:type="xsd:string"&gt;10/31/2022&lt;/D&gt;&lt;D xsi:type="xsd:string"&gt;09/30/2022&lt;/D&gt;&lt;D xsi:type="xsd:string"&gt;08/31/2022&lt;/D&gt;&lt;D xsi:type="xsd:string"&gt;07/29/2022&lt;/D&gt;&lt;D xsi:type="xsd:string"&gt;06/30/2022&lt;/D&gt;&lt;D xsi:type="xsd:string"&gt;05/31/2022&lt;/D&gt;&lt;D xsi:type="xsd:string"&gt;04/29/2022&lt;/D&gt;&lt;D xsi:type="xsd:string"&gt;03/31/2022&lt;/D&gt;&lt;D xsi:type="xsd:string"&gt;02/28/2022&lt;/D&gt;&lt;D xsi:type="xsd:string"&gt;01/31/2022&lt;/D&gt;&lt;D xsi:type="xsd:string"&gt;12/31/2021&lt;/D&gt;&lt;D xsi:type="xsd:string"&gt;11/30/2021&lt;/D&gt;&lt;D xsi:type="xsd:string"&gt;10/29/2021&lt;/D&gt;&lt;D xsi:type="xsd:string"&gt;09/30/2021&lt;/D&gt;&lt;D xsi:type="xsd:string"&gt;08/31/2021&lt;/D&gt;&lt;D xsi:type="xsd:string"&gt;07/30/2021&lt;/D&gt;&lt;D xsi:type="xsd:string"&gt;06/30/2021&lt;/D&gt;&lt;D xsi:type="xsd:string"&gt;05/28/2021&lt;/D&gt;&lt;D xsi:type="xsd:string"&gt;04/30/2021&lt;/D&gt;&lt;D xsi:type="xsd:string"&gt;03/31/2021&lt;/D&gt;&lt;D xsi:type="xsd:string"&gt;02/26/2021&lt;/D&gt;&lt;D xsi:type="xsd:string"&gt;01/29/2021&lt;/D&gt;&lt;D xsi:type="xsd:string"&gt;12/31/2020&lt;/D&gt;&lt;D xsi:type="xsd:string"&gt;11/30/2020&lt;/D&gt;&lt;D xsi:type="xsd:string"&gt;10/30/2020&lt;/D&gt;&lt;D xsi:type="xsd:string"&gt;09/30/2020&lt;/D&gt;&lt;D xsi:type="xsd:string"&gt;08/31/2020&lt;/D&gt;&lt;D xsi:type="xsd:string"&gt;07/31/2020&lt;/D&gt;&lt;D xsi:type="xsd:string"&gt;06/30/2020&lt;/D&gt;&lt;D xsi:type="xsd:string"&gt;05/29/2020&lt;/D&gt;&lt;D xsi:type="xsd:string"&gt;04/30/2020&lt;/D&gt;&lt;D xsi:type="xsd:string"&gt;03/31/2020&lt;/D&gt;&lt;D xsi:type="xsd:string"&gt;02/28/2020&lt;/D&gt;&lt;D xsi:type="xsd:string"&gt;01/31/2020&lt;/D&gt;&lt;D xsi:type="xsd:string"&gt;12/31/2019&lt;/D&gt;&lt;D xsi:type="xsd:string"&gt;11/29/2019&lt;/D&gt;&lt;D xsi:type="xsd:string"&gt;10/31/2019&lt;/D&gt;&lt;D xsi:type="xsd:string"&gt;09/30/2019&lt;/D&gt;&lt;D xsi:type="xsd:string"&gt;08/30/2019&lt;/D&gt;&lt;D xsi:type="xsd:string"&gt;07/31/2019&lt;/D&gt;&lt;D xsi:type="xsd:string"&gt;06/28/2019&lt;/D&gt;&lt;D xsi:type="xsd:string"&gt;05/31/2019&lt;/D&gt;&lt;D xsi:type="xsd:string"&gt;04/30/2019&lt;/D&gt;&lt;D xsi:type="xsd:string"&gt;03/29/2019&lt;/D&gt;&lt;D xsi:type="xsd:string"&gt;02/28/2019&lt;/D&gt;&lt;D xsi:type="xsd:string"&gt;01/31/2019&lt;/D&gt;&lt;D xsi:type="xsd:string"&gt;12/31/2018&lt;/D&gt;&lt;D xsi:type="xsd:string"&gt;11/30/2018&lt;/D&gt;&lt;D xsi:type="xsd:string"&gt;10/31/2018&lt;/D&gt;&lt;D xsi:type="xsd:string"&gt;09/28/2018&lt;/D&gt;&lt;D xsi:type="xsd:string"&gt;08/31/2018&lt;/D&gt;&lt;D xsi:type="xsd:string"&gt;07/31/2018&lt;/D&gt;&lt;D xsi:type="xsd:string"&gt;06/29/2018&lt;/D&gt;&lt;D xsi:type="xsd:string"&gt;05/31/2018&lt;/D&gt;&lt;D xsi:type="xsd:string"&gt;04/30/2018&lt;/D&gt;&lt;D xsi:type="xsd:string"&gt;03/29/2018&lt;/D&gt;&lt;D xsi:type="xsd:string"&gt;02/28/2018&lt;/D&gt;&lt;D xsi:type="xsd:string"&gt;01/31/2018&lt;/D&gt;&lt;D xsi:type="xsd:string"&gt;12/29/2017&lt;/D&gt;&lt;D xsi:type="xsd:string"&gt;11/30/2017&lt;/D&gt;&lt;D xsi:type="xsd:string"&gt;10/31/2017&lt;/D&gt;&lt;D xsi:type="xsd:string"&gt;09/29/2017&lt;/D&gt;&lt;D xsi:type="xsd:string"&gt;08/31/2017&lt;/D&gt;&lt;D xsi:type="xsd:string"&gt;07/31/2017&lt;/D&gt;&lt;D xsi:type="xsd:string"&gt;06/30/2017&lt;/D&gt;&lt;D xsi:type="xsd:string"&gt;05/31/2017&lt;/D&gt;&lt;D xsi:type="xsd:string"&gt;04/28/2017&lt;/D&gt;&lt;D xsi:type="xsd:string"&gt;03/31/2017&lt;/D&gt;&lt;D xsi:type="xsd:string"&gt;02/28/2017&lt;/D&gt;&lt;D xsi:type="xsd:string"&gt;01/31/2017&lt;/D&gt;&lt;D xsi:type="xsd:string"&gt;12/30/2016&lt;/D&gt;&lt;D xsi:type="xsd:string"&gt;11/30/2016&lt;/D&gt;&lt;D xsi:type="xsd:string"&gt;10/31/2016&lt;/D&gt;&lt;D xsi:type="xsd:string"&gt;09/30/2016&lt;/D&gt;&lt;D xsi:type="xsd:string"&gt;08/31/2016&lt;/D&gt;&lt;D xsi:type="xsd:string"&gt;07/29/2016&lt;/D&gt;&lt;D xsi:type="xsd:string"&gt;06/30/2016&lt;/D&gt;&lt;D xsi:type="xsd:string"&gt;05/31/2016&lt;/D&gt;&lt;D xsi:type="xsd:string"&gt;04/29/2016&lt;/D&gt;&lt;D xsi:type="xsd:string"&gt;03/31/2016&lt;/D&gt;&lt;D xsi:type="xsd:string"&gt;02/29/2016&lt;/D&gt;&lt;D xsi:type="xsd:string"&gt;01/29/2016&lt;/D&gt;&lt;D xsi:type="xsd:string"&gt;12/31/2015&lt;/D&gt;&lt;D xsi:type="xsd:string"&gt;11/30/2015&lt;/D&gt;&lt;D xsi:type="xsd:string"&gt;10/30/2015&lt;/D&gt;&lt;D xsi:type="xsd:string"&gt;09/30/2015&lt;/D&gt;&lt;D xsi:type="xsd:string"&gt;08/31/2015&lt;/D&gt;&lt;D xsi:type="xsd:string"&gt;07/31/2015&lt;/D&gt;&lt;D xsi:type="xsd:string"&gt;06/30/2015&lt;/D&gt;&lt;D xsi:type="xsd:string"&gt;05/29/2015&lt;/D&gt;&lt;D xsi:type="xsd:string"&gt;04/30/2015&lt;/D&gt;&lt;D xsi:type="xsd:string"&gt;03/31/2015&lt;/D&gt;&lt;D xsi:type="xsd:string"&gt;02/27/2015&lt;/D&gt;&lt;D xsi:type="xsd:string"&gt;01/30/2015&lt;/D&gt;&lt;D xsi:type="xsd:string"&gt;12/31/2014&lt;/D&gt;&lt;D xsi:type="xsd:string"&gt;11/28/2014&lt;/D&gt;&lt;D xsi:type="xsd:string"&gt;10/31/2014&lt;/D&gt;&lt;D xsi:type="xsd:string"&gt;09/30/2014&lt;/D&gt;&lt;D xsi:type="xsd:string"&gt;08/29/2014&lt;/D&gt;&lt;D xsi:type="xsd:string"&gt;07/31/2014&lt;/D&gt;&lt;D xsi:type="xsd:string"&gt;06/30/2014&lt;/D&gt;&lt;D xsi:type="xsd:string"&gt;05/30/2014&lt;/D&gt;&lt;D xsi:type="xsd:string"&gt;04/30/2014&lt;/D&gt;&lt;D xsi:type="xsd:string"&gt;03/31/2014&lt;/D&gt;&lt;D xsi:type="xsd:string"&gt;02/28/2014&lt;/D&gt;&lt;D xsi:type="xsd:string"&gt;01/31/2014&lt;/D&gt;&lt;D xsi:type="xsd:string"&gt;12/31/2013&lt;/D&gt;&lt;D xsi:type="xsd:string"&gt;11/29/2013&lt;/D&gt;&lt;D xsi:type="xsd:string"&gt;10/31/2013&lt;/D&gt;&lt;D xsi:type="xsd:string"&gt;09/30/2013&lt;/D&gt;&lt;D xsi:type="xsd:string"&gt;08/30/2013&lt;/D&gt;&lt;D xsi:type="xsd:string"&gt;07/31/2013&lt;/D&gt;&lt;D xsi:type="xsd:string"&gt;06/28/2013&lt;/D&gt;&lt;D xsi:type="xsd:string"&gt;05/31/2013&lt;/D&gt;&lt;D xsi:type="xsd:string"&gt;04/30/2013&lt;/D&gt;&lt;D xsi:type="xsd:string"&gt;03/28/2013&lt;/D&gt;&lt;D xsi:type="xsd:string"&gt;02/28/2013&lt;/D&gt;&lt;D xsi:type="xsd:string"&gt;01/31/2013&lt;/D&gt;&lt;D xsi:type="xsd:string"&gt;12/31/2012&lt;/D&gt;&lt;D xsi:type="xsd:string"&gt;11/30/2012&lt;/D&gt;&lt;D xsi:type="xsd:string"&gt;10/31/2012&lt;/D&gt;&lt;D xsi:type="xsd:string"&gt;09/28/2012&lt;/D&gt;&lt;D xsi:type="xsd:string"&gt;08/31/2012&lt;/D&gt;&lt;D xsi:type="xsd:string"&gt;07/31/2012&lt;/D&gt;&lt;D xsi:type="xsd:string"&gt;06/29/2012&lt;/D&gt;&lt;D xsi:type="xsd:string"&gt;05/31/2012&lt;/D&gt;&lt;D xsi:type="xsd:string"&gt;04/30/2012&lt;/D&gt;&lt;D xsi:type="xsd:string"&gt;03/30/2012&lt;/D&gt;&lt;D xsi:type="xsd:string"&gt;02/29/2012&lt;/D&gt;&lt;D xsi:type="xsd:string"&gt;01/31/2012&lt;/D&gt;&lt;D xsi:type="xsd:string"&gt;12/30/2011&lt;/D&gt;&lt;D xsi:type="xsd:string"&gt;11/30/2011&lt;/D&gt;&lt;D xsi:type="xsd:string"&gt;10/31/2011&lt;/D&gt;&lt;D xsi:type="xsd:string"&gt;09/30/2011&lt;/D&gt;&lt;D xsi:type="xsd:string"&gt;08/31/2011&lt;/D&gt;&lt;D xsi:type="xsd:string"&gt;07/29/2011&lt;/D&gt;&lt;D xsi:type="xsd:string"&gt;06/30/2011&lt;/D&gt;&lt;D xsi:type="xsd:string"&gt;05/31/2011&lt;/D&gt;&lt;D xsi:type="xsd:string"&gt;04/29/2011&lt;/D&gt;&lt;D xsi:type="xsd:string"&gt;03/31/2011&lt;/D&gt;&lt;D xsi:type="xsd:string"&gt;02/28/2011&lt;/D&gt;&lt;D xsi:type="xsd:string"&gt;01/31/2011&lt;/D&gt;&lt;D xsi:type="xsd:string"&gt;12/31/2010&lt;/D&gt;&lt;D xsi:type="xsd:string"&gt;11/30/2010&lt;/D&gt;&lt;D xsi:type="xsd:string"&gt;10/29/2010&lt;/D&gt;&lt;D xsi:type="xsd:string"&gt;09/30/2010&lt;/D&gt;&lt;D xsi:type="xsd:string"&gt;08/31/2010&lt;/D&gt;&lt;D xsi:type="xsd:string"&gt;07/30/2010&lt;/D&gt;&lt;D xsi:type="xsd:string"&gt;06/30/2010&lt;/D&gt;&lt;D xsi:type="xsd:string"&gt;05/28/2010&lt;/D&gt;&lt;D xsi:type="xsd:string"&gt;04/30/2010&lt;/D&gt;&lt;D xsi:type="xsd:string"&gt;03/31/2010&lt;/D&gt;&lt;D xsi:type="xsd:string"&gt;02/26/2010&lt;/D&gt;&lt;D xsi:type="xsd:string"&gt;01/29/2010&lt;/D&gt;&lt;D xsi:type="xsd:string"&gt;12/31/2009&lt;/D&gt;&lt;D xsi:type="xsd:string"&gt;11/30/2009&lt;/D&gt;&lt;D xsi:type="xsd:string"&gt;10/30/2009&lt;/D&gt;&lt;D xsi:type="xsd:string"&gt;09/30/2009&lt;/D&gt;&lt;D xsi:type="xsd:string"&gt;08/31/2009&lt;/D&gt;&lt;D xsi:type="xsd:string"&gt;07/31/2009&lt;/D&gt;&lt;D xsi:type="xsd:string"&gt;06/30/2009&lt;/D&gt;&lt;D xsi:type="xsd:string"&gt;05/29/2009&lt;/D&gt;&lt;D xsi:type="xsd:string"&gt;04/30/2009&lt;/D&gt;&lt;D xsi:type="xsd:string"&gt;03/31/2009&lt;/D&gt;&lt;D xsi:type="xsd:string"&gt;02/27/2009&lt;/D&gt;&lt;D xsi:type="xsd:string"&gt;01/30/2009&lt;/D&gt;&lt;D xsi:type="xsd:string"&gt;12/31/2008&lt;/D&gt;&lt;D xsi:type="xsd:string"&gt;11/28/2008&lt;/D&gt;&lt;D xsi:type="xsd:string"&gt;10/31/2008&lt;/D&gt;&lt;D xsi:type="xsd:string"&gt;09/30/2008&lt;/D&gt;&lt;D xsi:type="xsd:string"&gt;08/29/2008&lt;/D&gt;&lt;D xsi:type="xsd:string"&gt;07/31/2008&lt;/D&gt;&lt;D xsi:type="xsd:string"&gt;06/30/2008&lt;/D&gt;&lt;D xsi:type="xsd:string"&gt;05/30/2008&lt;/D&gt;&lt;D xsi:type="xsd:string"&gt;04/30/2008&lt;/D&gt;&lt;D xsi:type="xsd:string"&gt;03/31/2008&lt;/D&gt;&lt;D xsi:type="xsd:string"&gt;02/29/2008&lt;/D&gt;&lt;D xsi:type="xsd:string"&gt;01/31/2008&lt;/D&gt;&lt;D xsi:type="xsd:string"&gt;12/31/2007&lt;/D&gt;&lt;D xsi:type="xsd:string"&gt;11/30/2007&lt;/D&gt;&lt;D xsi:type="xsd:string"&gt;10/31/2007&lt;/D&gt;&lt;D xsi:type="xsd:string"&gt;09/28/2007&lt;/D&gt;&lt;D xsi:type="xsd:string"&gt;08/31/2007&lt;/D&gt;&lt;D xsi:type="xsd:string"&gt;07/31/2007&lt;/D&gt;&lt;D xsi:type="xsd:string"&gt;06/29/2007&lt;/D&gt;&lt;D xsi:type="xsd:string"&gt;05/31/2007&lt;/D&gt;&lt;D xsi:type="xsd:string"&gt;04/30/2007&lt;/D&gt;&lt;D xsi:type="xsd:string"&gt;03/30/2007&lt;/D&gt;&lt;D xsi:type="xsd:string"&gt;02/28/2007&lt;/D&gt;&lt;D xsi:type="xsd:string"&gt;01/31/2007&lt;/D&gt;&lt;D xsi:type="xsd:string"&gt;12/29/2006&lt;/D&gt;&lt;D xsi:type="xsd:string"&gt;11/30/2006&lt;/D&gt;&lt;D xsi:type="xsd:string"&gt;10/31/2006&lt;/D&gt;&lt;D xsi:type="xsd:string"&gt;09/29/2006&lt;/D&gt;&lt;D xsi:type="xsd:string"&gt;08/31/2006&lt;/D&gt;&lt;D xsi:type="xsd:string"&gt;07/31/2006&lt;/D&gt;&lt;D xsi:type="xsd:string"&gt;06/30/2006&lt;/D&gt;&lt;D xsi:type="xsd:string"&gt;05/31/2006&lt;/D&gt;&lt;D xsi:type="xsd:string"&gt;04/28/2006&lt;/D&gt;&lt;D xsi:type="xsd:string"&gt;03/31/2006&lt;/D&gt;&lt;D xsi:type="xsd:string"&gt;02/28/2006&lt;/D&gt;&lt;D xsi:type="xsd:string"&gt;01/31/2006&lt;/D&gt;&lt;D xsi:type="xsd:string"&gt;12/30/2005&lt;/D&gt;&lt;D xsi:type="xsd:string"&gt;11/30/2005&lt;/D&gt;&lt;D xsi:type="xsd:string"&gt;10/31/2005&lt;/D&gt;&lt;D xsi:type="xsd:string"&gt;09/30/2005&lt;/D&gt;&lt;D xsi:type="xsd:string"&gt;08/31/2005&lt;/D&gt;&lt;D xsi:type="xsd:string"&gt;07/29/2005&lt;/D&gt;&lt;D xsi:type="xsd:string"&gt;06/30/2005&lt;/D&gt;&lt;D xsi:type="xsd:string"&gt;05/31/2005&lt;/D&gt;&lt;D xsi:type="xsd:string"&gt;04/29/2005&lt;/D&gt;&lt;D xsi:type="xsd:string"&gt;03/31/2005&lt;/D&gt;&lt;D xsi:type="xsd:string"&gt;02/28/2005&lt;/D&gt;&lt;D xsi:type="xsd:string"&gt;01/31/2005&lt;/D&gt;&lt;D xsi:type="xsd:string"&gt;12/31/2004&lt;/D&gt;&lt;D xsi:type="xsd:string"&gt;11/30/2004&lt;/D&gt;&lt;D xsi:type="xsd:string"&gt;10/29/2004&lt;/D&gt;&lt;D xsi:type="xsd:string"&gt;09/30/2004&lt;/D&gt;&lt;D xsi:type="xsd:string"&gt;08/31/2004&lt;/D&gt;&lt;D xsi:type="xsd:string"&gt;07/30/2004&lt;/D&gt;&lt;D xsi:type="xsd:string"&gt;06/30/2004&lt;/D&gt;&lt;D xsi:type="xsd:string"&gt;05/28/2004&lt;/D&gt;&lt;D xsi:type="xsd:string"&gt;04/30/2004&lt;/D&gt;&lt;D xsi:type="xsd:string"&gt;03/31/2004&lt;/D&gt;&lt;D xsi:type="xsd:string"&gt;02/27/2004&lt;/D&gt;&lt;D xsi:type="xsd:string"&gt;01/30/2004&lt;/D&gt;&lt;D xsi:type="xsd:string"&gt;12/31/2003&lt;/D&gt;&lt;D xsi:type="xsd:string"&gt;11/28/2003&lt;/D&gt;&lt;D xsi:type="xsd:string"&gt;10/31/2003&lt;/D&gt;&lt;D xsi:type="xsd:string"&gt;09/30/2003&lt;/D&gt;&lt;D xsi:type="xsd:string"&gt;08/29/2003&lt;/D&gt;&lt;D xsi:type="xsd:string"&gt;07/31/2003&lt;/D&gt;&lt;D xsi:type="xsd:string"&gt;06/30/2003&lt;/D&gt;&lt;D xsi:type="xsd:string"&gt;05/30/2003&lt;/D&gt;&lt;D xsi:type="xsd:string"&gt;04/30/2003&lt;/D&gt;&lt;D xsi:type="xsd:string"&gt;03/31/2003&lt;/D&gt;&lt;D xsi:type="xsd:string"&gt;02/28/2003&lt;/D&gt;&lt;D xsi:type="xsd:string"&gt;01/31/2003&lt;/D&gt;&lt;D xsi:type="xsd:string"&gt;12/31/2002&lt;/D&gt;&lt;D xsi:type="xsd:string"&gt;11/29/2002&lt;/D&gt;&lt;D xsi:type="xsd:string"&gt;10/31/2002&lt;/D&gt;&lt;D xsi:type="xsd:string"&gt;09/30/2002&lt;/D&gt;&lt;D xsi:type="xsd:string"&gt;08/30/2002&lt;/D&gt;&lt;D xsi:type="xsd:string"&gt;07/31/2002&lt;/D&gt;&lt;D xsi:type="xsd:string"&gt;06/28/2002&lt;/D&gt;&lt;D xsi:type="xsd:string"&gt;05/31/2002&lt;/D&gt;&lt;D xsi:type="xsd:string"&gt;04/30/2002&lt;/D&gt;&lt;D xsi:type="xsd:string"&gt;03/28/2002&lt;/D&gt;&lt;D xsi:type="xsd:string"&gt;02/28/2002&lt;/D&gt;&lt;D xsi:type="xsd:string"&gt;01/31/2002&lt;/D&gt;&lt;D xsi:type="xsd:string"&gt;12/31/2001&lt;/D&gt;&lt;D xsi:type="xsd:string"&gt;11/30/2001&lt;/D&gt;&lt;D xsi:type="xsd:string"&gt;10/31/2001&lt;/D&gt;&lt;D xsi:type="xsd:string"&gt;09/28/2001&lt;/D&gt;&lt;D xsi:type="xsd:string"&gt;08/31/2001&lt;/D&gt;&lt;D xsi:type="xsd:string"&gt;07/31/2001&lt;/D&gt;&lt;D xsi:type="xsd:string"&gt;06/29/2001&lt;/D&gt;&lt;D xsi:type="xsd:string"&gt;05/31/2001&lt;/D&gt;&lt;D xsi:type="xsd:string"&gt;04/30/2001&lt;/D&gt;&lt;D xsi:type="xsd:string"&gt;03/30/2001&lt;/D&gt;&lt;D xsi:type="xsd:string"&gt;02/28/2001&lt;/D&gt;&lt;D xsi:type="xsd:string"&gt;01/31/2001&lt;/D&gt;&lt;D xsi:type="xsd:string"&gt;12/29/2000&lt;/D&gt;&lt;D xsi:type="xsd:string"&gt;11/30/2000&lt;/D&gt;&lt;D xsi:type="xsd:string"&gt;10/31/2000&lt;/D&gt;&lt;D xsi:type="xsd:string"&gt;09/29/2000&lt;/D&gt;&lt;D xsi:type="xsd:string"&gt;08/31/2000&lt;/D&gt;&lt;D xsi:type="xsd:string"&gt;07/31/2000&lt;/D&gt;&lt;D xsi:type="xsd:string"&gt;06/30/2000&lt;/D&gt;&lt;D xsi:type="xsd:string"&gt;05/31/2000&lt;/D&gt;&lt;D xsi:type="xsd:string"&gt;04/28/2000&lt;/D&gt;&lt;D xsi:type="xsd:string"&gt;03/31/2000&lt;/D&gt;&lt;D xsi:type="xsd:string"&gt;02/29/2000&lt;/D&gt;&lt;D xsi:type="xsd:string"&gt;01/31/2000&lt;/D&gt;&lt;/FQL&gt;&lt;FQL&gt;&lt;Q&gt;892400^JULIAN(P_DATE(2/27/2026,1/31/2000,M).DATES)&lt;/Q&gt;&lt;R&gt;314&lt;/R&gt;&lt;C&gt;1&lt;/C&gt;&lt;D xsi:type="xsd:long"&gt;46080&lt;/D&gt;&lt;D xsi:type="xsd:long"&gt;46052&lt;/D&gt;&lt;D xsi:type="xsd:long"&gt;46022&lt;/D&gt;&lt;D xsi:type="xsd:long"&gt;45989&lt;/D&gt;&lt;D xsi:type="xsd:long"&gt;45961&lt;/D&gt;&lt;D xsi:type="xsd:long"&gt;45930&lt;/D&gt;&lt;D xsi:type="xsd:long"&gt;45898&lt;/D&gt;&lt;D xsi:type="xsd:long"&gt;45869&lt;/D&gt;&lt;D xsi:type="xsd:long"&gt;45838&lt;/D&gt;&lt;D xsi:type="xsd:long"&gt;45807&lt;/D&gt;&lt;D xsi:type="xsd:long"&gt;45777&lt;/D&gt;&lt;D xsi:type="xsd:long"&gt;45747&lt;/D&gt;&lt;D xsi:type="xsd:long"&gt;45716&lt;/D&gt;&lt;D xsi:type="xsd:long"&gt;45688&lt;/D&gt;&lt;D xsi:type="xsd:long"&gt;45657&lt;/D&gt;&lt;D xsi:type="xsd:long"&gt;45625&lt;/D&gt;&lt;D xsi:type="xsd:long"&gt;45596&lt;/D&gt;&lt;D xsi:type="xsd:long"&gt;45565&lt;/D&gt;&lt;D xsi:type="xsd:long"&gt;45534&lt;/D&gt;&lt;D xsi:type="xsd:long"&gt;45504&lt;/D&gt;&lt;D xsi:type="xsd:long"&gt;45471&lt;/D&gt;&lt;D xsi:type="xsd:long"&gt;45443&lt;/D&gt;&lt;D xsi:type="xsd:long"&gt;45412&lt;/D&gt;&lt;D xsi:type="xsd:long"&gt;45379&lt;/D&gt;&lt;D xsi:type="xsd:long"&gt;45351&lt;/D&gt;&lt;D xsi:type="xsd:long"&gt;45322&lt;/D&gt;&lt;D xsi:type="xsd:long"&gt;45289&lt;/D&gt;&lt;D xsi:type="xsd:long"&gt;45260&lt;/D&gt;&lt;D xsi:type="xsd:long"&gt;45230&lt;/D&gt;&lt;D xsi:type="xsd:long"&gt;45198&lt;/D&gt;&lt;D xsi:type="xsd:long"&gt;45169&lt;/D&gt;&lt;D xsi:type="xsd:long"&gt;45138&lt;/D&gt;&lt;D xsi:type="xsd:long"&gt;45107&lt;/D&gt;&lt;D xsi:type="xsd:long"&gt;45077&lt;/D&gt;&lt;D xsi:type="xsd:long"&gt;45044&lt;/D&gt;&lt;D xsi:type="xsd:long"&gt;45016&lt;/D&gt;&lt;D xsi:type="xsd:long"&gt;44985&lt;/D&gt;&lt;D xsi:type="xsd:long"&gt;44957&lt;/D&gt;&lt;D xsi:type="xsd:long"&gt;44925&lt;/D&gt;&lt;D xsi:type="xsd:long"&gt;44895&lt;/D&gt;&lt;D xsi:type="xsd:long"&gt;44865&lt;/D&gt;&lt;D xsi:type="xsd:long"&gt;44834&lt;/D&gt;&lt;D xsi:type="xsd:long"&gt;44804&lt;/D&gt;&lt;D xsi:type="xsd:long"&gt;44771&lt;/D&gt;&lt;D xsi:type="xsd:long"&gt;44742&lt;/D&gt;&lt;D xsi:type="xsd:long"&gt;44712&lt;/D&gt;&lt;D xsi:type="xsd:long"&gt;44680&lt;/D&gt;&lt;D xsi:type="xsd:long"&gt;44651&lt;/D&gt;&lt;D xsi:type="xsd:long"&gt;44620&lt;/D&gt;&lt;D xsi:type="xsd:long"&gt;44592&lt;/D&gt;&lt;D xsi:type="xsd:long"&gt;44561&lt;/D&gt;&lt;D xsi:type="xsd:long"&gt;44530&lt;/D&gt;&lt;D xsi:type="xsd:long"&gt;44498&lt;/D&gt;&lt;D xsi:type="xsd:long"&gt;44469&lt;/D&gt;&lt;D xsi:type="xsd:long"&gt;44439&lt;/D&gt;&lt;D xsi:type="xsd:long"&gt;44407&lt;/D&gt;&lt;D xsi:type="xsd:long"&gt;44377&lt;/D&gt;&lt;D xsi:type="xsd:long"&gt;44344&lt;/D&gt;&lt;D xsi:type="xsd:long"&gt;44316&lt;/D&gt;&lt;D xsi:type="xsd:long"&gt;44286&lt;/D&gt;&lt;D xsi:type="xsd:long"&gt;44253&lt;/D&gt;&lt;D xsi:type="xsd:long"&gt;44225&lt;/D&gt;&lt;D xsi:type="xsd:long"&gt;44196&lt;/D&gt;&lt;D xsi:type="xsd:long"&gt;44165&lt;/D&gt;&lt;D xsi:type="xsd:long"&gt;44134&lt;/D&gt;&lt;D xsi:type="xsd:long"&gt;44104&lt;/D&gt;&lt;D xsi:type="xsd:long"&gt;44074&lt;/D&gt;&lt;D xsi:type="xsd:long"&gt;44043&lt;/D&gt;&lt;D xsi:type="xsd:long"&gt;44012&lt;/D&gt;&lt;D xsi:type="xsd:long"&gt;43980&lt;/D&gt;&lt;D xsi:type="xsd:long"&gt;43951&lt;/D&gt;&lt;D xsi:type="xsd:long"&gt;43921&lt;/D&gt;&lt;D xsi:type="xsd:long"&gt;43889&lt;/D&gt;&lt;D xsi:type="xsd:long"&gt;43861&lt;/D&gt;&lt;D xsi:type="xsd:long"&gt;43830&lt;/D&gt;&lt;D xsi:type="xsd:long"&gt;43798&lt;/D&gt;&lt;D xsi:type="xsd:long"&gt;43769&lt;/D&gt;&lt;D xsi:type="xsd:long"&gt;43738&lt;/D&gt;&lt;D xsi:type="xsd:long"&gt;43707&lt;/D&gt;&lt;D xsi:type="xsd:long"&gt;43677&lt;/D&gt;&lt;D xsi:type="xsd:long"&gt;43644&lt;/D&gt;&lt;D xsi:type="xsd:long"&gt;43616&lt;/D&gt;&lt;D xsi:type="xsd:long"&gt;43585&lt;/D&gt;&lt;D xsi:type="xsd:long"&gt;43553&lt;/D&gt;&lt;D xsi:type="xsd:long"&gt;43524&lt;/D&gt;&lt;D xsi:type="xsd:long"&gt;43496&lt;/D&gt;&lt;D xsi:type="xsd:long"&gt;43465&lt;/D&gt;&lt;D xsi:type="xsd:long"&gt;43434&lt;/D&gt;&lt;D xsi:type="xsd:long"&gt;43404&lt;/D&gt;&lt;D xsi:type="xsd:long"&gt;43371&lt;/D&gt;&lt;D xsi:type="xsd:long"&gt;43343&lt;/D&gt;&lt;D xsi:type="xsd:long"&gt;43312&lt;/D&gt;&lt;D xsi:type="xsd:long"&gt;43280&lt;/D&gt;&lt;D xsi:type="xsd:long"&gt;43251&lt;/D&gt;&lt;D xsi:type="xsd:long"&gt;43220&lt;/D&gt;&lt;D xsi:type="xsd:long"&gt;43188&lt;/D&gt;&lt;D xsi:type="xsd:long"&gt;43159&lt;/D&gt;&lt;D xsi:type="xsd:long"&gt;43131&lt;/D&gt;&lt;D xsi:type="xsd:long"&gt;43098&lt;/D&gt;&lt;D xsi:type="xsd:long"&gt;43069&lt;/D&gt;&lt;D xsi:type="xsd:long"&gt;43039&lt;/D&gt;&lt;D xsi:type="xsd:long"&gt;43007&lt;/D&gt;&lt;D xsi:type="xsd:long"&gt;42978&lt;/D&gt;&lt;D xsi:type="xsd:long"&gt;42947&lt;/D&gt;&lt;D xsi:type="xsd:long"&gt;42916&lt;/D&gt;&lt;D xsi:type="xsd:long"&gt;42886&lt;/D&gt;&lt;D xsi:type="xsd:long"&gt;42853&lt;/D&gt;&lt;D xsi:type="xsd:long"&gt;42825&lt;/D&gt;&lt;D xsi:type="xsd:long"&gt;42794&lt;/D&gt;&lt;D xsi:type="xsd:long"&gt;42766&lt;/D&gt;&lt;D xsi:type="xsd:long"&gt;42734&lt;/D&gt;&lt;D xsi:type="xsd:long"&gt;42704&lt;/D&gt;&lt;D xsi:type="xsd:long"&gt;42674&lt;/D&gt;&lt;D xsi:type="xsd:long"&gt;42643&lt;/D&gt;&lt;D xsi:type="xsd:long"&gt;42613&lt;/D&gt;&lt;D xsi:type="xsd:long"&gt;42580&lt;/D&gt;&lt;D xsi:type="xsd:long"&gt;42551&lt;/D&gt;&lt;D xsi:type="xsd:long"&gt;42521&lt;/D&gt;&lt;D xsi:type="xsd:long"&gt;42489&lt;/D&gt;&lt;D xsi:type="xsd:long"&gt;42460&lt;/D&gt;&lt;D xsi:type="xsd:long"&gt;42429&lt;/D&gt;&lt;D xsi:type="xsd:long"&gt;42398&lt;/D&gt;&lt;D xsi:type="xsd:long"&gt;42369&lt;/D&gt;&lt;D xsi:type="xsd:long"&gt;42338&lt;/D&gt;&lt;D xsi:type="xsd:long"&gt;42307&lt;/D&gt;&lt;D xsi:type="xsd:long"&gt;42277&lt;/D&gt;&lt;D xsi:type="xsd:long"&gt;42247&lt;/D&gt;&lt;D xsi:type="xsd:long"&gt;42216&lt;/D&gt;&lt;D xsi:type="xsd:long"&gt;42185&lt;/D&gt;&lt;D xsi:type="xsd:long"&gt;42153&lt;/D&gt;&lt;D xsi:type="xsd:long"&gt;42124&lt;/D&gt;&lt;D xsi:type="xsd:long"&gt;42094&lt;/D&gt;&lt;D xsi:type="xsd:long"&gt;42062&lt;/D&gt;&lt;D xsi:type="xsd:long"&gt;42034&lt;/D&gt;&lt;D xsi:type="xsd:long"&gt;42004&lt;/D&gt;&lt;D xsi:type="xsd:long"&gt;41971&lt;/D&gt;&lt;D xsi:type="xsd:long"&gt;41943&lt;/D&gt;&lt;D xsi:type="xsd:long"&gt;41912&lt;/D&gt;&lt;D xsi:type="xsd:long"&gt;41880&lt;/D&gt;&lt;D xsi:type="xsd:long"&gt;41851&lt;/D&gt;&lt;D xsi:type="xsd:long"&gt;41820&lt;/D&gt;&lt;D xsi:type="xsd:long"&gt;41789&lt;/D&gt;&lt;D xsi:type="xsd:long"&gt;41759&lt;/D&gt;&lt;D xsi:type="xsd:long"&gt;41729&lt;/D&gt;&lt;D xsi:type="xsd:long"&gt;41698&lt;/D&gt;&lt;D xsi:type="xsd:long"&gt;41670&lt;/D&gt;&lt;D xsi:type="xsd:long"&gt;41639&lt;/D&gt;&lt;D xsi:type="xsd:long"&gt;41607&lt;/D&gt;&lt;D xsi:type="xsd:long"&gt;41578&lt;/D&gt;&lt;D xsi:type="xsd:long"&gt;41547&lt;/D&gt;&lt;D xsi:type="xsd:long"&gt;41516&lt;/D&gt;&lt;D xsi:type="xsd:long"&gt;41486&lt;/D&gt;&lt;D xsi:type="xsd:long"&gt;41453&lt;/D&gt;&lt;D xsi:type="xsd:long"&gt;41425&lt;/D&gt;&lt;D xsi:type="xsd:long"&gt;41394&lt;/D&gt;&lt;D xsi:type="xsd:long"&gt;41361&lt;/D&gt;&lt;D xsi:type="xsd:long"&gt;41333&lt;/D&gt;&lt;D xsi:type="xsd:long"&gt;41305&lt;/D&gt;&lt;D xsi:type="xsd:long"&gt;41274&lt;/D&gt;&lt;D xsi:type="xsd:long"&gt;41243&lt;/D&gt;&lt;D xsi:type="xsd:long"&gt;41213&lt;/D&gt;&lt;D xsi:type="xsd:long"&gt;41180&lt;/D&gt;&lt;D xsi:type="xsd:long"&gt;41152&lt;/D&gt;&lt;D xsi:type="xsd:long"&gt;41121&lt;/D&gt;&lt;D xsi:type="xsd:long"&gt;41089&lt;/D&gt;&lt;D xsi:type="xsd:long"&gt;41060&lt;/D&gt;&lt;D xsi:type="xsd:long"&gt;41029&lt;/D&gt;&lt;D xsi:type="xsd:long"&gt;40998&lt;/D&gt;&lt;D xsi:type="xsd:long"&gt;40968&lt;/D&gt;&lt;D xsi:type="xsd:long"&gt;40939&lt;/D&gt;&lt;D xsi:type="xsd:long"&gt;40907&lt;/D&gt;&lt;D xsi:type="xsd:long"&gt;40877&lt;/D&gt;&lt;D xsi:type="xsd:long"&gt;40847&lt;/D&gt;&lt;D xsi:type="xsd:long"&gt;40816&lt;/D&gt;&lt;D xsi:type="xsd:long"&gt;40786&lt;/D&gt;&lt;D xsi:type="xsd:long"&gt;40753&lt;/D&gt;&lt;D xsi:type="xsd:long"&gt;40724&lt;/D&gt;&lt;D xsi:type="xsd:long"&gt;40694&lt;/D&gt;&lt;D xsi:type="xsd:long"&gt;40662&lt;/D&gt;&lt;D xsi:type="xsd:long"&gt;40633&lt;/D&gt;&lt;D xsi:type="xsd:long"&gt;40602&lt;/D&gt;&lt;D xsi:type="xsd:long"&gt;40574&lt;/D&gt;&lt;D xsi:type="xsd:long"&gt;40543&lt;/D&gt;&lt;D xsi:type="xsd:long"&gt;40512&lt;/D&gt;&lt;D xsi:type="xsd:long"&gt;40480&lt;/D&gt;&lt;D xsi:type="xsd:long"&gt;40451&lt;/D&gt;&lt;D xsi:type="xsd:long"&gt;40421&lt;/D&gt;&lt;D xsi:type="xsd:long"&gt;40389&lt;/D&gt;&lt;D xsi:type="xsd:long"&gt;40359&lt;/D&gt;&lt;D xsi:type="xsd:long"&gt;40326&lt;/D&gt;&lt;D xsi:type="xsd:long"&gt;40298&lt;/D&gt;&lt;D xsi:type="xsd:long"&gt;40268&lt;/D&gt;&lt;D xsi:type="xsd:long"&gt;40235&lt;/D&gt;&lt;D xsi:type="xsd:long"&gt;40207&lt;/D&gt;&lt;D xsi:type="xsd:long"&gt;40178&lt;/D&gt;&lt;D xsi:type="xsd:long"&gt;40147&lt;/D&gt;&lt;D xsi:type="xsd:long"&gt;40116&lt;/D&gt;&lt;D xsi:type="xsd:long"&gt;40086&lt;/D&gt;&lt;D xsi:type="xsd:long"&gt;40056&lt;/D&gt;&lt;D xsi:type="xsd:long"&gt;40025&lt;/D&gt;&lt;D xsi:type="xsd:long"&gt;39994&lt;/D&gt;&lt;D xsi:type="xsd:long"&gt;39962&lt;/D&gt;&lt;D xsi:type="xsd:long"&gt;39933&lt;/D&gt;&lt;D xsi:type="xsd:long"&gt;39903&lt;/D&gt;&lt;D xsi:type="xsd:long"&gt;39871&lt;/D&gt;&lt;D xsi:type="xsd:long"&gt;39843&lt;/D&gt;&lt;D xsi:type="xsd:long"&gt;39813&lt;/D&gt;&lt;D xsi:type="xsd:long"&gt;39780&lt;/D&gt;&lt;D xsi:type="xsd:long"&gt;39752&lt;/D&gt;&lt;D xsi:type="xsd:long"&gt;39721&lt;/D&gt;&lt;D xsi:type="xsd:long"&gt;39689&lt;/D&gt;&lt;D xsi:type="xsd:long"&gt;39660&lt;/D&gt;&lt;D xsi:type="xsd:long"&gt;39629&lt;/D&gt;&lt;D xsi:type="xsd:long"&gt;39598&lt;/D&gt;&lt;D xsi:type="xsd:long"&gt;39568&lt;/D&gt;&lt;D xsi:type="xsd:long"&gt;39538&lt;/D&gt;&lt;D xsi:type="xsd:long"&gt;39507&lt;/D&gt;&lt;D xsi:type="xsd:long"&gt;39478&lt;/D&gt;&lt;D xsi:type="xsd:long"&gt;39447&lt;/D&gt;&lt;D xsi:type="xsd:long"&gt;39416&lt;/D&gt;&lt;D xsi:type="xsd:long"&gt;39386&lt;/D&gt;&lt;D xsi:type="xsd:long"&gt;39353&lt;/D&gt;&lt;D xsi:type="xsd:long"&gt;39325&lt;/D&gt;&lt;D xsi:type="xsd:long"&gt;39294&lt;/D&gt;&lt;D xsi:type="xsd:long"&gt;39262&lt;/D&gt;&lt;D xsi:type="xsd:long"&gt;39233&lt;/D&gt;&lt;D xsi:type="xsd:long"&gt;39202&lt;/D&gt;&lt;D xsi:type="xsd:long"&gt;39171&lt;/D&gt;&lt;D xsi:type="xsd:long"&gt;39141&lt;/D&gt;&lt;D xsi:type="xsd:long"&gt;39113&lt;/D&gt;&lt;D xsi:type="xsd:long"&gt;39080&lt;/D&gt;&lt;D xsi:type="xsd:long"&gt;39051&lt;/D&gt;&lt;D xsi:type="xsd:long"&gt;39021&lt;/D&gt;&lt;D xsi:type="xsd:long"&gt;38989&lt;/D&gt;&lt;D xsi:type="xsd:long"&gt;38960&lt;/D&gt;&lt;D xsi:type="xsd:long"&gt;38929&lt;/D&gt;&lt;D xsi:type="xsd:long"&gt;38898&lt;/D&gt;&lt;D xsi:type="xsd:long"&gt;38868&lt;/D&gt;&lt;D xsi:type="xsd:long"&gt;38835&lt;/D&gt;&lt;D xsi:type="xsd:long"&gt;38807&lt;/D&gt;&lt;D xsi:type="xsd:long"&gt;38776&lt;/D&gt;&lt;D xsi:type="xsd:long"&gt;38748&lt;/D&gt;&lt;D xsi:type="xsd:long"&gt;38716&lt;/D&gt;&lt;D xsi:type="xsd:long"&gt;38686&lt;/D&gt;&lt;D xsi:type="xsd:long"&gt;38656&lt;/D&gt;&lt;D xsi:type="xsd:long"&gt;38625&lt;/D&gt;&lt;D xsi:type="xsd:long"&gt;38595&lt;/D&gt;&lt;D xsi:type="xsd:long"&gt;38562&lt;/D&gt;&lt;D xsi:type="xsd:long"&gt;38533&lt;/D&gt;&lt;D xsi:type="xsd:long"&gt;38503&lt;/D&gt;&lt;D xsi:type="xsd:long"&gt;38471&lt;/D&gt;&lt;D xsi:type="xsd:long"&gt;38442&lt;/D&gt;&lt;D xsi:type="xsd:long"&gt;38411&lt;/D&gt;&lt;D xsi:type="xsd:long"&gt;38383&lt;/D&gt;&lt;D xsi:type="xsd:long"&gt;38352&lt;/D&gt;&lt;D xsi:type="xsd:long"&gt;38321&lt;/D&gt;&lt;D xsi:type="xsd:long"&gt;38289&lt;/D&gt;&lt;D xsi:type="xsd:long"&gt;38260&lt;/D&gt;&lt;D xsi:type="xsd:long"&gt;38230&lt;/D&gt;&lt;D xsi:type="xsd:long"&gt;38198&lt;/D&gt;&lt;D xsi:type="xsd:long"&gt;38168&lt;/D&gt;&lt;D xsi:type="xsd:long"&gt;38135&lt;/D&gt;&lt;D xsi:type="xsd:long"&gt;38107&lt;/D&gt;&lt;D xsi:type="xsd:long"&gt;38077&lt;/D&gt;&lt;D xsi:type="xsd:long"&gt;38044&lt;/D&gt;&lt;D xsi:type="xsd:long"&gt;38016&lt;/D&gt;&lt;D xsi:type="xsd:long"&gt;37986&lt;/D&gt;&lt;D xsi:type="xsd:long"&gt;37953&lt;/D&gt;&lt;D xsi:type="xsd:long"&gt;37925&lt;/D&gt;&lt;D xsi:type="xsd:long"&gt;37894&lt;/D&gt;&lt;D xsi:type="xsd:long"&gt;37862&lt;/D&gt;&lt;D xsi:type="xsd:long"&gt;37833&lt;/D&gt;&lt;D xsi:type="xsd:long"&gt;37802&lt;/D&gt;&lt;D xsi:type="xsd:long"&gt;37771&lt;/D&gt;&lt;D xsi:type="xsd:long"&gt;37741&lt;/D&gt;&lt;D xsi:type="xsd:long"&gt;37711&lt;/D&gt;&lt;D xsi:type="xsd:long"&gt;37680&lt;/D&gt;&lt;D xsi:type="xsd:long"&gt;37652&lt;/D&gt;&lt;D xsi:type="xsd:long"&gt;37621&lt;/D&gt;&lt;D xsi:type="xsd:long"&gt;37589&lt;/D&gt;&lt;D xsi:type="xsd:long"&gt;37560&lt;/D&gt;&lt;D xsi:type="xsd:long"&gt;37529&lt;/D&gt;&lt;D xsi:type="xsd:long"&gt;37498&lt;/D&gt;&lt;D xsi:type="xsd:long"&gt;37468&lt;/D&gt;&lt;D xsi:type="xsd:long"&gt;37435&lt;/D&gt;&lt;D xsi:type="xsd:long"&gt;37407&lt;/D&gt;&lt;D xsi:type="xsd:long"&gt;37376&lt;/D&gt;&lt;D xsi:type="xsd:long"&gt;37343&lt;/D&gt;&lt;D xsi:type="xsd:long"&gt;37315&lt;/D&gt;&lt;D xsi:type="xsd:long"&gt;37287&lt;/D&gt;&lt;D xsi:type="xsd:long"&gt;37256&lt;/D&gt;&lt;D xsi:type="xsd:long"&gt;37225&lt;/D&gt;&lt;D xsi:type="xsd:long"&gt;37195&lt;/D&gt;&lt;D xsi:type="xsd:long"&gt;37162&lt;/D&gt;&lt;D xsi:type="xsd:long"&gt;37134&lt;/D&gt;&lt;D xsi:type="xsd:long"&gt;37103&lt;/D&gt;&lt;D xsi:type="xsd:long"&gt;37071&lt;/D&gt;&lt;D xsi:type="xsd:long"&gt;37042&lt;/D&gt;&lt;D xsi:type="xsd:long"&gt;37011&lt;/D&gt;&lt;D xsi:type="xsd:long"&gt;36980&lt;/D&gt;&lt;D xsi:type="xsd:long"&gt;36950&lt;/D&gt;&lt;D xsi:type="xsd:long"&gt;36922&lt;/D&gt;&lt;D xsi:type="xsd:long"&gt;36889&lt;/D&gt;&lt;D xsi:type="xsd:long"&gt;36860&lt;/D&gt;&lt;D xsi:type="xsd:long"&gt;36830&lt;/D&gt;&lt;D xsi:type="xsd:long"&gt;36798&lt;/D&gt;&lt;D xsi:type="xsd:long"&gt;36769&lt;/D&gt;&lt;D xsi:type="xsd:long"&gt;36738&lt;/D&gt;&lt;D xsi:type="xsd:long"&gt;36707&lt;/D&gt;&lt;D xsi:type="xsd:long"&gt;36677&lt;/D&gt;&lt;D xsi:type="xsd:long"&gt;36644&lt;/D&gt;&lt;D xsi:type="xsd:long"&gt;36616&lt;/D&gt;&lt;D xsi:type="xsd:long"&gt;36585&lt;/D&gt;&lt;D xsi:type="xsd:long"&gt;36556&lt;/D&gt;&lt;/FQL&gt;&lt;FQL&gt;&lt;Q&gt;891800^P_DATE(2/27/2026,1/31/2000,M)&lt;/Q&gt;&lt;R&gt;314&lt;/R&gt;&lt;C&gt;1&lt;/C&gt;&lt;D xsi:type="xsd:string"&gt;02/27/2026&lt;/D&gt;&lt;D xsi:type="xsd:string"&gt;01/30/2026&lt;/D&gt;&lt;D xsi:type="xsd:string"&gt;12/31/2025&lt;/D&gt;&lt;D xsi:type="xsd:string"&gt;11/28/2025&lt;/D&gt;&lt;D xsi:type="xsd:string"&gt;10/31/2025&lt;/D&gt;&lt;D xsi:type="xsd:string"&gt;09/30/2025&lt;/D&gt;&lt;D xsi:type="xsd:string"&gt;08/29/2025&lt;/D&gt;&lt;D xsi:type="xsd:string"&gt;07/31/2025&lt;/D&gt;&lt;D xsi:type="xsd:string"&gt;06/30/2025&lt;/D&gt;&lt;D xsi:type="xsd:string"&gt;05/30/2025&lt;/D&gt;&lt;D xsi:type="xsd:string"&gt;04/30/2025&lt;/D&gt;&lt;D xsi:type="xsd:string"&gt;03/31/2025&lt;/D&gt;&lt;D xsi:type="xsd:string"&gt;02/28/2025&lt;/D&gt;&lt;D xsi:type="xsd:string"&gt;01/31/2025&lt;/D&gt;&lt;D xsi:type="xsd:string"&gt;12/31/2024&lt;/D&gt;&lt;D xsi:type="xsd:string"&gt;11/29/2024&lt;/D&gt;&lt;D xsi:type="xsd:string"&gt;10/31/2024&lt;/D&gt;&lt;D xsi:type="xsd:string"&gt;09/30/2024&lt;/D&gt;&lt;D xsi:type="xsd:string"&gt;08/30/2024&lt;/D&gt;&lt;D xsi:type="xsd:string"&gt;07/31/2024&lt;/D&gt;&lt;D xsi:type="xsd:string"&gt;06/28/2024&lt;/D&gt;&lt;D xsi:type="xsd:string"&gt;05/31/2024&lt;/D&gt;&lt;D xsi:type="xsd:string"&gt;04/30/2024&lt;/D&gt;&lt;D xsi:type="xsd:string"&gt;03/28/2024&lt;/D&gt;&lt;D xsi:type="xsd:string"&gt;02/29/2024&lt;/D&gt;&lt;D xsi:type="xsd:string"&gt;01/31/2024&lt;/D&gt;&lt;D xsi:typ</t>
        </r>
      </text>
    </comment>
    <comment ref="A63" authorId="0" shapeId="0">
      <text>
        <r>
          <rPr>
            <b/>
            <sz val="9"/>
            <color indexed="81"/>
            <rFont val="Tahoma"/>
            <family val="2"/>
          </rPr>
          <t>e="xsd:string"&gt;12/29/2023&lt;/D&gt;&lt;D xsi:type="xsd:string"&gt;11/30/2023&lt;/D&gt;&lt;D xsi:type="xsd:string"&gt;10/31/2023&lt;/D&gt;&lt;D xsi:type="xsd:string"&gt;09/29/2023&lt;/D&gt;&lt;D xsi:type="xsd:string"&gt;08/31/2023&lt;/D&gt;&lt;D xsi:type="xsd:string"&gt;07/31/2023&lt;/D&gt;&lt;D xsi:type="xsd:string"&gt;06/30/2023&lt;/D&gt;&lt;D xsi:type="xsd:string"&gt;05/31/2023&lt;/D&gt;&lt;D xsi:type="xsd:string"&gt;04/28/2023&lt;/D&gt;&lt;D xsi:type="xsd:string"&gt;03/31/2023&lt;/D&gt;&lt;D xsi:type="xsd:string"&gt;02/28/2023&lt;/D&gt;&lt;D xsi:type="xsd:string"&gt;01/31/2023&lt;/D&gt;&lt;D xsi:type="xsd:string"&gt;12/30/2022&lt;/D&gt;&lt;D xsi:type="xsd:string"&gt;11/30/2022&lt;/D&gt;&lt;D xsi:type="xsd:string"&gt;10/31/2022&lt;/D&gt;&lt;D xsi:type="xsd:string"&gt;09/30/2022&lt;/D&gt;&lt;D xsi:type="xsd:string"&gt;08/31/2022&lt;/D&gt;&lt;D xsi:type="xsd:string"&gt;07/29/2022&lt;/D&gt;&lt;D xsi:type="xsd:string"&gt;06/30/2022&lt;/D&gt;&lt;D xsi:type="xsd:string"&gt;05/31/2022&lt;/D&gt;&lt;D xsi:type="xsd:string"&gt;04/29/2022&lt;/D&gt;&lt;D xsi:type="xsd:string"&gt;03/31/2022&lt;/D&gt;&lt;D xsi:type="xsd:string"&gt;02/28/2022&lt;/D&gt;&lt;D xsi:type="xsd:string"&gt;01/31/2022&lt;/D&gt;&lt;D xsi:type="xsd:string"&gt;12/31/2021&lt;/D&gt;&lt;D xsi:type="xsd:string"&gt;11/30/2021&lt;/D&gt;&lt;D xsi:type="xsd:string"&gt;10/29/2021&lt;/D&gt;&lt;D xsi:type="xsd:string"&gt;09/30/2021&lt;/D&gt;&lt;D xsi:type="xsd:string"&gt;08/31/2021&lt;/D&gt;&lt;D xsi:type="xsd:string"&gt;07/30/2021&lt;/D&gt;&lt;D xsi:type="xsd:string"&gt;06/30/2021&lt;/D&gt;&lt;D xsi:type="xsd:string"&gt;05/28/2021&lt;/D&gt;&lt;D xsi:type="xsd:string"&gt;04/30/2021&lt;/D&gt;&lt;D xsi:type="xsd:string"&gt;03/31/2021&lt;/D&gt;&lt;D xsi:type="xsd:string"&gt;02/26/2021&lt;/D&gt;&lt;D xsi:type="xsd:string"&gt;01/29/2021&lt;/D&gt;&lt;D xsi:type="xsd:string"&gt;12/31/2020&lt;/D&gt;&lt;D xsi:type="xsd:string"&gt;11/30/2020&lt;/D&gt;&lt;D xsi:type="xsd:string"&gt;10/30/2020&lt;/D&gt;&lt;D xsi:type="xsd:string"&gt;09/30/2020&lt;/D&gt;&lt;D xsi:type="xsd:string"&gt;08/31/2020&lt;/D&gt;&lt;D xsi:type="xsd:string"&gt;07/31/2020&lt;/D&gt;&lt;D xsi:type="xsd:string"&gt;06/30/2020&lt;/D&gt;&lt;D xsi:type="xsd:string"&gt;05/29/2020&lt;/D&gt;&lt;D xsi:type="xsd:string"&gt;04/30/2020&lt;/D&gt;&lt;D xsi:type="xsd:string"&gt;03/31/2020&lt;/D&gt;&lt;D xsi:type="xsd:string"&gt;02/28/2020&lt;/D&gt;&lt;D xsi:type="xsd:string"&gt;01/31/2020&lt;/D&gt;&lt;D xsi:type="xsd:string"&gt;12/31/2019&lt;/D&gt;&lt;D xsi:type="xsd:string"&gt;11/29/2019&lt;/D&gt;&lt;D xsi:type="xsd:string"&gt;10/31/2019&lt;/D&gt;&lt;D xsi:type="xsd:string"&gt;09/30/2019&lt;/D&gt;&lt;D xsi:type="xsd:string"&gt;08/30/2019&lt;/D&gt;&lt;D xsi:type="xsd:string"&gt;07/31/2019&lt;/D&gt;&lt;D xsi:type="xsd:string"&gt;06/28/2019&lt;/D&gt;&lt;D xsi:type="xsd:string"&gt;05/31/2019&lt;/D&gt;&lt;D xsi:type="xsd:string"&gt;04/30/2019&lt;/D&gt;&lt;D xsi:type="xsd:string"&gt;03/29/2019&lt;/D&gt;&lt;D xsi:type="xsd:string"&gt;02/28/2019&lt;/D&gt;&lt;D xsi:type="xsd:string"&gt;01/31/2019&lt;/D&gt;&lt;D xsi:type="xsd:string"&gt;12/31/2018&lt;/D&gt;&lt;D xsi:type="xsd:string"&gt;11/30/2018&lt;/D&gt;&lt;D xsi:type="xsd:string"&gt;10/31/2018&lt;/D&gt;&lt;D xsi:type="xsd:string"&gt;09/28/2018&lt;/D&gt;&lt;D xsi:type="xsd:string"&gt;08/31/2018&lt;/D&gt;&lt;D xsi:type="xsd:string"&gt;07/31/2018&lt;/D&gt;&lt;D xsi:type="xsd:string"&gt;06/29/2018&lt;/D&gt;&lt;D xsi:type="xsd:string"&gt;05/31/2018&lt;/D&gt;&lt;D xsi:type="xsd:string"&gt;04/30/2018&lt;/D&gt;&lt;D xsi:type="xsd:string"&gt;03/29/2018&lt;/D&gt;&lt;D xsi:type="xsd:string"&gt;02/28/2018&lt;/D&gt;&lt;D xsi:type="xsd:string"&gt;01/31/2018&lt;/D&gt;&lt;D xsi:type="xsd:string"&gt;12/29/2017&lt;/D&gt;&lt;D xsi:type="xsd:string"&gt;11/30/2017&lt;/D&gt;&lt;D xsi:type="xsd:string"&gt;10/31/2017&lt;/D&gt;&lt;D xsi:type="xsd:string"&gt;09/29/2017&lt;/D&gt;&lt;D xsi:type="xsd:string"&gt;08/31/2017&lt;/D&gt;&lt;D xsi:type="xsd:string"&gt;07/31/2017&lt;/D&gt;&lt;D xsi:type="xsd:string"&gt;06/30/2017&lt;/D&gt;&lt;D xsi:type="xsd:string"&gt;05/31/2017&lt;/D&gt;&lt;D xsi:type="xsd:string"&gt;04/28/2017&lt;/D&gt;&lt;D xsi:type="xsd:string"&gt;03/31/2017&lt;/D&gt;&lt;D xsi:type="xsd:string"&gt;02/28/2017&lt;/D&gt;&lt;D xsi:type="xsd:string"&gt;01/31/2017&lt;/D&gt;&lt;D xsi:type="xsd:string"&gt;12/30/2016&lt;/D&gt;&lt;D xsi:type="xsd:string"&gt;11/30/2016&lt;/D&gt;&lt;D xsi:type="xsd:string"&gt;10/31/2016&lt;/D&gt;&lt;D xsi:type="xsd:string"&gt;09/30/2016&lt;/D&gt;&lt;D xsi:type="xsd:string"&gt;08/31/2016&lt;/D&gt;&lt;D xsi:type="xsd:string"&gt;07/29/2016&lt;/D&gt;&lt;D xsi:type="xsd:string"&gt;06/30/2016&lt;/D&gt;&lt;D xsi:type="xsd:string"&gt;05/31/2016&lt;/D&gt;&lt;D xsi:type="xsd:string"&gt;04/29/2016&lt;/D&gt;&lt;D xsi:type="xsd:string"&gt;03/31/2016&lt;/D&gt;&lt;D xsi:type="xsd:string"&gt;02/29/2016&lt;/D&gt;&lt;D xsi:type="xsd:string"&gt;01/29/2016&lt;/D&gt;&lt;D xsi:type="xsd:string"&gt;12/31/2015&lt;/D&gt;&lt;D xsi:type="xsd:string"&gt;11/30/2015&lt;/D&gt;&lt;D xsi:type="xsd:string"&gt;10/30/2015&lt;/D&gt;&lt;D xsi:type="xsd:string"&gt;09/30/2015&lt;/D&gt;&lt;D xsi:type="xsd:string"&gt;08/31/2015&lt;/D&gt;&lt;D xsi:type="xsd:string"&gt;07/31/2015&lt;/D&gt;&lt;D xsi:type="xsd:string"&gt;06/30/2015&lt;/D&gt;&lt;D xsi:type="xsd:string"&gt;05/29/2015&lt;/D&gt;&lt;D xsi:type="xsd:string"&gt;04/30/2015&lt;/D&gt;&lt;D xsi:type="xsd:string"&gt;03/31/2015&lt;/D&gt;&lt;D xsi:type="xsd:string"&gt;02/27/2015&lt;/D&gt;&lt;D xsi:type="xsd:string"&gt;01/30/2015&lt;/D&gt;&lt;D xsi:type="xsd:string"&gt;12/31/2014&lt;/D&gt;&lt;D xsi:type="xsd:string"&gt;11/28/2014&lt;/D&gt;&lt;D xsi:type="xsd:string"&gt;10/31/2014&lt;/D&gt;&lt;D xsi:type="xsd:string"&gt;09/30/2014&lt;/D&gt;&lt;D xsi:type="xsd:string"&gt;08/29/2014&lt;/D&gt;&lt;D xsi:type="xsd:string"&gt;07/31/2014&lt;/D&gt;&lt;D xsi:type="xsd:string"&gt;06/30/2014&lt;/D&gt;&lt;D xsi:type="xsd:string"&gt;05/30/2014&lt;/D&gt;&lt;D xsi:type="xsd:string"&gt;04/30/2014&lt;/D&gt;&lt;D xsi:type="xsd:string"&gt;03/31/2014&lt;/D&gt;&lt;D xsi:type="xsd:string"&gt;02/28/2014&lt;/D&gt;&lt;D xsi:type="xsd:string"&gt;01/31/2014&lt;/D&gt;&lt;D xsi:type="xsd:string"&gt;12/31/2013&lt;/D&gt;&lt;D xsi:type="xsd:string"&gt;11/29/2013&lt;/D&gt;&lt;D xsi:type="xsd:string"&gt;10/31/2013&lt;/D&gt;&lt;D xsi:type="xsd:string"&gt;09/30/2013&lt;/D&gt;&lt;D xsi:type="xsd:string"&gt;08/30/2013&lt;/D&gt;&lt;D xsi:type="xsd:string"&gt;07/31/2013&lt;/D&gt;&lt;D xsi:type="xsd:string"&gt;06/28/2013&lt;/D&gt;&lt;D xsi:type="xsd:string"&gt;05/31/2013&lt;/D&gt;&lt;D xsi:type="xsd:string"&gt;04/30/2013&lt;/D&gt;&lt;D xsi:type="xsd:string"&gt;03/28/2013&lt;/D&gt;&lt;D xsi:type="xsd:string"&gt;02/28/2013&lt;/D&gt;&lt;D xsi:type="xsd:string"&gt;01/31/2013&lt;/D&gt;&lt;D xsi:type="xsd:string"&gt;12/31/2012&lt;/D&gt;&lt;D xsi:type="xsd:string"&gt;11/30/2012&lt;/D&gt;&lt;D xsi:type="xsd:string"&gt;10/31/2012&lt;/D&gt;&lt;D xsi:type="xsd:string"&gt;09/28/2012&lt;/D&gt;&lt;D xsi:type="xsd:string"&gt;08/31/2012&lt;/D&gt;&lt;D xsi:type="xsd:string"&gt;07/31/2012&lt;/D&gt;&lt;D xsi:type="xsd:string"&gt;06/29/2012&lt;/D&gt;&lt;D xsi:type="xsd:string"&gt;05/31/2012&lt;/D&gt;&lt;D xsi:type="xsd:string"&gt;04/30/2012&lt;/D&gt;&lt;D xsi:type="xsd:string"&gt;03/30/2012&lt;/D&gt;&lt;D xsi:type="xsd:string"&gt;02/29/2012&lt;/D&gt;&lt;D xsi:type="xsd:string"&gt;01/31/2012&lt;/D&gt;&lt;D xsi:type="xsd:string"&gt;12/30/2011&lt;/D&gt;&lt;D xsi:type="xsd:string"&gt;11/30/2011&lt;/D&gt;&lt;D xsi:type="xsd:string"&gt;10/31/2011&lt;/D&gt;&lt;D xsi:type="xsd:string"&gt;09/30/2011&lt;/D&gt;&lt;D xsi:type="xsd:string"&gt;08/31/2011&lt;/D&gt;&lt;D xsi:type="xsd:string"&gt;07/29/2011&lt;/D&gt;&lt;D xsi:type="xsd:string"&gt;06/30/2011&lt;/D&gt;&lt;D xsi:type="xsd:string"&gt;05/31/2011&lt;/D&gt;&lt;D xsi:type="xsd:string"&gt;04/29/2011&lt;/D&gt;&lt;D xsi:type="xsd:string"&gt;03/31/2011&lt;/D&gt;&lt;D xsi:type="xsd:string"&gt;02/28/2011&lt;/D&gt;&lt;D xsi:type="xsd:string"&gt;01/31/2011&lt;/D&gt;&lt;D xsi:type="xsd:string"&gt;12/31/2010&lt;/D&gt;&lt;D xsi:type="xsd:string"&gt;11/30/2010&lt;/D&gt;&lt;D xsi:type="xsd:string"&gt;10/29/2010&lt;/D&gt;&lt;D xsi:type="xsd:string"&gt;09/30/2010&lt;/D&gt;&lt;D xsi:type="xsd:string"&gt;08/31/2010&lt;/D&gt;&lt;D xsi:type="xsd:string"&gt;07/30/2010&lt;/D&gt;&lt;D xsi:type="xsd:string"&gt;06/30/2010&lt;/D&gt;&lt;D xsi:type="xsd:string"&gt;05/28/2010&lt;/D&gt;&lt;D xsi:type="xsd:string"&gt;04/30/2010&lt;/D&gt;&lt;D xsi:type="xsd:string"&gt;03/31/2010&lt;/D&gt;&lt;D xsi:type="xsd:string"&gt;02/26/2010&lt;/D&gt;&lt;D xsi:type="xsd:string"&gt;01/29/2010&lt;/D&gt;&lt;D xsi:type="xsd:string"&gt;12/31/2009&lt;/D&gt;&lt;D xsi:type="xsd:string"&gt;11/30/2009&lt;/D&gt;&lt;D xsi:type="xsd:string"&gt;10/30/2009&lt;/D&gt;&lt;D xsi:type="xsd:string"&gt;09/30/2009&lt;/D&gt;&lt;D xsi:type="xsd:string"&gt;08/31/2009&lt;/D&gt;&lt;D xsi:type="xsd:string"&gt;07/31/2009&lt;/D&gt;&lt;D xsi:type="xsd:string"&gt;06/30/2009&lt;/D&gt;&lt;D xsi:type="xsd:string"&gt;05/29/2009&lt;/D&gt;&lt;D xsi:type="xsd:string"&gt;04/30/2009&lt;/D&gt;&lt;D xsi:type="xsd:string"&gt;03/31/2009&lt;/D&gt;&lt;D xsi:type="xsd:string"&gt;02/27/2009&lt;/D&gt;&lt;D xsi:type="xsd:string"&gt;01/30/2009&lt;/D&gt;&lt;D xsi:type="xsd:string"&gt;12/31/2008&lt;/D&gt;&lt;D xsi:type="xsd:string"&gt;11/28/2008&lt;/D&gt;&lt;D xsi:type="xsd:string"&gt;10/31/2008&lt;/D&gt;&lt;D xsi:type="xsd:string"&gt;09/30/2008&lt;/D&gt;&lt;D xsi:type="xsd:string"&gt;08/29/2008&lt;/D&gt;&lt;D xsi:type="xsd:string"&gt;07/31/2008&lt;/D&gt;&lt;D xsi:type="xsd:string"&gt;06/30/2008&lt;/D&gt;&lt;D xsi:type="xsd:string"&gt;05/30/2008&lt;/D&gt;&lt;D xsi:type="xsd:string"&gt;04/30/2008&lt;/D&gt;&lt;D xsi:type="xsd:string"&gt;03/31/2008&lt;/D&gt;&lt;D xsi:type="xsd:string"&gt;02/29/2008&lt;/D&gt;&lt;D xsi:type="xsd:string"&gt;01/31/2008&lt;/D&gt;&lt;D xsi:type="xsd:string"&gt;12/31/2007&lt;/D&gt;&lt;D xsi:type="xsd:string"&gt;11/30/2007&lt;/D&gt;&lt;D xsi:type="xsd:string"&gt;10/31/2007&lt;/D&gt;&lt;D xsi:type="xsd:string"&gt;09/28/2007&lt;/D&gt;&lt;D xsi:type="xsd:string"&gt;08/31/2007&lt;/D&gt;&lt;D xsi:type="xsd:string"&gt;07/31/2007&lt;/D&gt;&lt;D xsi:type="xsd:string"&gt;06/29/2007&lt;/D&gt;&lt;D xsi:type="xsd:string"&gt;05/31/2007&lt;/D&gt;&lt;D xsi:type="xsd:string"&gt;04/30/2007&lt;/D&gt;&lt;D xsi:type="xsd:string"&gt;03/30/2007&lt;/D&gt;&lt;D xsi:type="xsd:string"&gt;02/28/2007&lt;/D&gt;&lt;D xsi:type="xsd:string"&gt;01/31/2007&lt;/D&gt;&lt;D xsi:type="xsd:string"&gt;12/29/2006&lt;/D&gt;&lt;D xsi:type="xsd:string"&gt;11/30/2006&lt;/D&gt;&lt;D xsi:type="xsd:string"&gt;10/31/2006&lt;/D&gt;&lt;D xsi:type="xsd:string"&gt;09/29/2006&lt;/D&gt;&lt;D xsi:type="xsd:string"&gt;08/31/2006&lt;/D&gt;&lt;D xsi:type="xsd:string"&gt;07/31/2006&lt;/D&gt;&lt;D xsi:type="xsd:string"&gt;06/30/2006&lt;/D&gt;&lt;D xsi:type="xsd:string"&gt;05/31/2006&lt;/D&gt;&lt;D xsi:type="xsd:string"&gt;04/28/2006&lt;/D&gt;&lt;D xsi:type="xsd:string"&gt;03/31/2006&lt;/D&gt;&lt;D xsi:type="xsd:string"&gt;02/28/2006&lt;/D&gt;&lt;D xsi:type="xsd:string"&gt;01/31/2006&lt;/D&gt;&lt;D xsi:type="xsd:string"&gt;12/30/2005&lt;/D&gt;&lt;D xsi:type="xsd:string"&gt;11/30/2005&lt;/D&gt;&lt;D xsi:type="xsd:string"&gt;10/31/2005&lt;/D&gt;&lt;D xsi:type="xsd:string"&gt;09/30/2005&lt;/D&gt;&lt;D xsi:type="xsd:string"&gt;08/31/2005&lt;/D&gt;&lt;D xsi:type="xsd:string"&gt;07/29/2005&lt;/D&gt;&lt;D xsi:type="xsd:string"&gt;06/30/2005&lt;/D&gt;&lt;D xsi:type="xsd:string"&gt;05/31/2005&lt;/D&gt;&lt;D xsi:type="xsd:string"&gt;04/29/2005&lt;/D&gt;&lt;D xsi:type="xsd:string"&gt;03/31/2005&lt;/D&gt;&lt;D xsi:type="xsd:string"&gt;02/28/2005&lt;/D&gt;&lt;D xsi:type="xsd:string"&gt;01/31/2005&lt;/D&gt;&lt;D xsi:type="xsd:string"&gt;12/31/2004&lt;/D&gt;&lt;D xsi:type="xsd:string"&gt;11/30/2004&lt;/D&gt;&lt;D xsi:type="xsd:string"&gt;10/29/2004&lt;/D&gt;&lt;D xsi:type="xsd:string"&gt;09/30/2004&lt;/D&gt;&lt;D xsi:type="xsd:string"&gt;08/31/2004&lt;/D&gt;&lt;D xsi:type="xsd:string"&gt;07/30/2004&lt;/D&gt;&lt;D xsi:type="xsd:string"&gt;06/30/2004&lt;/D&gt;&lt;D xsi:type="xsd:string"&gt;05/28/2004&lt;/D&gt;&lt;D xsi:type="xsd:string"&gt;04/30/2004&lt;/D&gt;&lt;D xsi:type="xsd:string"&gt;03/31/2004&lt;/D&gt;&lt;D xsi:type="xsd:string"&gt;02/27/2004&lt;/D&gt;&lt;D xsi:type="xsd:string"&gt;01/30/2004&lt;/D&gt;&lt;D xsi:type="xsd:string"&gt;12/31/2003&lt;/D&gt;&lt;D xsi:type="xsd:string"&gt;11/28/2003&lt;/D&gt;&lt;D xsi:type="xsd:string"&gt;10/31/2003&lt;/D&gt;&lt;D xsi:type="xsd:string"&gt;09/30/2003&lt;/D&gt;&lt;D xsi:type="xsd:string"&gt;08/29/2003&lt;/D&gt;&lt;D xsi:type="xsd:string"&gt;07/31/2003&lt;/D&gt;&lt;D xsi:type="xsd:string"&gt;06/30/2003&lt;/D&gt;&lt;D xsi:type="xsd:string"&gt;05/30/2003&lt;/D&gt;&lt;D xsi:type="xsd:string"&gt;04/30/2003&lt;/D&gt;&lt;D xsi:type="xsd:string"&gt;03/31/2003&lt;/D&gt;&lt;D xsi:type="xsd:string"&gt;02/28/2003&lt;/D&gt;&lt;D xsi:type="xsd:string"&gt;01/31/2003&lt;/D&gt;&lt;D xsi:type="xsd:string"&gt;12/31/2002&lt;/D&gt;&lt;D xsi:type="xsd:string"&gt;11/29/2002&lt;/D&gt;&lt;D xsi:type="xsd:string"&gt;10/31/2002&lt;/D&gt;&lt;D xsi:type="xsd:string"&gt;09/30/2002&lt;/D&gt;&lt;D xsi:type="xsd:string"&gt;08/30/2002&lt;/D&gt;&lt;D xsi:type="xsd:string"&gt;07/31/2002&lt;/D&gt;&lt;D xsi:type="xsd:string"&gt;06/28/2002&lt;/D&gt;&lt;D xsi:type="xsd:string"&gt;05/31/2002&lt;/D&gt;&lt;D xsi:type="xsd:string"&gt;04/30/2002&lt;/D&gt;&lt;D xsi:type="xsd:string"&gt;03/28/2002&lt;/D&gt;&lt;D xsi:type="xsd:string"&gt;02/28/2002&lt;/D&gt;&lt;D xsi:type="xsd:string"&gt;01/31/2002&lt;/D&gt;&lt;D xsi:type="xsd:string"&gt;12/31/2001&lt;/D&gt;&lt;D xsi:type="xsd:string"&gt;11/30/2001&lt;/D&gt;&lt;D xsi:type="xsd:string"&gt;10/31/2001&lt;/D&gt;&lt;D xsi:type="xsd:string"&gt;09/28/2001&lt;/D&gt;&lt;D xsi:type="xsd:string"&gt;08/31/2001&lt;/D&gt;&lt;D xsi:type="xsd:string"&gt;07/31/2001&lt;/D&gt;&lt;D xsi:type="xsd:string"&gt;06/29/2001&lt;/D&gt;&lt;D xsi:type="xsd:string"&gt;05/31/2001&lt;/D&gt;&lt;D xsi:type="xsd:string"&gt;04/30/2001&lt;/D&gt;&lt;D xsi:type="xsd:string"&gt;03/30/2001&lt;/D&gt;&lt;D xsi:type="xsd:string"&gt;02/28/2001&lt;/D&gt;&lt;D xsi:type="xsd:string"&gt;01/31/2001&lt;/D&gt;&lt;D xsi:type="xsd:string"&gt;12/29/2000&lt;/D&gt;&lt;D xsi:type="xsd:string"&gt;11/30/2000&lt;/D&gt;&lt;D xsi:type="xsd:string"&gt;10/31/2000&lt;/D&gt;&lt;D xsi:type="xsd:string"&gt;09/29/2000&lt;/D&gt;&lt;D xsi:type="xsd:string"&gt;08/31/2000&lt;/D&gt;&lt;D xsi:type="xsd:string"&gt;07/31/2000&lt;/D&gt;&lt;D xsi:type="xsd:string"&gt;06/30/2000&lt;/D&gt;&lt;D xsi:type="xsd:string"&gt;05/31/2000&lt;/D&gt;&lt;D xsi:type="xsd:string"&gt;04/28/2000&lt;/D&gt;&lt;D xsi:type="xsd:string"&gt;03/31/2000&lt;/D&gt;&lt;D xsi:type="xsd:string"&gt;02/29/2000&lt;/D&gt;&lt;D xsi:type="xsd:string"&gt;01/31/2000&lt;/D&gt;&lt;/FQL&gt;&lt;FQL&gt;&lt;Q&gt;891800^JULIAN(P_DATE(2/27/2026,1/31/2000,M).DATES)&lt;/Q&gt;&lt;R&gt;314&lt;/R&gt;&lt;C&gt;1&lt;/C&gt;&lt;D xsi:type="xsd:long"&gt;46080&lt;/D&gt;&lt;D xsi:type="xsd:long"&gt;46052&lt;/D&gt;&lt;D xsi:type="xsd:long"&gt;46022&lt;/D&gt;&lt;D xsi:type="xsd:long"&gt;45989&lt;/D&gt;&lt;D xsi:type="xsd:long"&gt;45961&lt;/D&gt;&lt;D xsi:type="xsd:long"&gt;45930&lt;/D&gt;&lt;D xsi:type="xsd:long"&gt;45898&lt;/D&gt;&lt;D xsi:type="xsd:long"&gt;45869&lt;/D&gt;&lt;D xsi:type="xsd:long"&gt;45838&lt;/D&gt;&lt;D xsi:type="xsd:long"&gt;45807&lt;/D&gt;&lt;D xsi:type="xsd:long"&gt;45777&lt;/D&gt;&lt;D xsi:type="xsd:long"&gt;45747&lt;/D&gt;&lt;D xsi:type="xsd:long"&gt;45716&lt;/D&gt;&lt;D xsi:type="xsd:long"&gt;45688&lt;/D&gt;&lt;D xsi:type="xsd:long"&gt;45657&lt;/D&gt;&lt;D xsi:type="xsd:long"&gt;45625&lt;/D&gt;&lt;D xsi:type="xsd:long"&gt;45596&lt;/D&gt;&lt;D xsi:type="xsd:long"&gt;45565&lt;/D&gt;&lt;D xsi:type="xsd:long"&gt;45534&lt;/D&gt;&lt;D xsi:type="xsd:long"&gt;45504&lt;/D&gt;&lt;D xsi:type="xsd:long"&gt;45471&lt;/D&gt;&lt;D xsi:type="xsd:long"&gt;45443&lt;/D&gt;&lt;D xsi:type="xsd:long"&gt;45412&lt;/D&gt;&lt;D xsi:type="xsd:long"&gt;45379&lt;/D&gt;&lt;D xsi:type="xsd:long"&gt;45351&lt;/D&gt;&lt;D xsi:type="xsd:long"&gt;45322&lt;/D&gt;&lt;D xsi:type="xsd:long"&gt;45289&lt;/D&gt;&lt;D xsi:type="xsd:long"&gt;45260&lt;/D&gt;&lt;D xsi:type="xsd:long"&gt;45230&lt;/D&gt;&lt;D xsi:type="xsd:long"&gt;45198&lt;/D&gt;&lt;D xsi:type="xsd:long"&gt;45169&lt;/D&gt;&lt;D xsi:type="xsd:long"&gt;45138&lt;/D&gt;&lt;D xsi:type="xsd:long"&gt;45107&lt;/D&gt;&lt;D xsi:type="xsd:long"&gt;45077&lt;/D&gt;&lt;D xsi:type="xsd:long"&gt;45044&lt;/D&gt;&lt;D xsi:type="xsd:long"&gt;45016&lt;/D&gt;&lt;D xsi:type="xsd:long"&gt;44985&lt;/D&gt;&lt;D xsi:type="xsd:long"&gt;44957&lt;/D&gt;&lt;D xsi:type="xsd:long"&gt;44925&lt;/D&gt;&lt;D xsi:type="xsd:long"&gt;44895&lt;/D&gt;&lt;D xsi:type="xsd:long"&gt;44865&lt;/D&gt;&lt;D xsi:type="xsd:long"&gt;44834&lt;/D&gt;&lt;D xsi:type="xsd:long"&gt;44804&lt;/D&gt;&lt;D xsi:type="xsd:long"&gt;44771&lt;/D&gt;&lt;D xsi:type="xsd:long"&gt;44742&lt;/D&gt;&lt;D xsi:type="xsd:long"&gt;44712&lt;/D&gt;&lt;D xsi:type="xsd:long"&gt;44680&lt;/D&gt;&lt;D xsi:type="xsd:long"&gt;44651&lt;/D&gt;&lt;D xsi:type="xsd:long"&gt;44620&lt;/D&gt;&lt;D xsi:type="xsd:long"&gt;44592&lt;/D&gt;&lt;D xsi:type="xsd:long"&gt;44561&lt;/D&gt;&lt;D xsi:type="xsd:long"&gt;44530&lt;/D&gt;&lt;D xsi:type="xsd:long"&gt;44498&lt;/D&gt;&lt;D xsi:type="xsd:long"&gt;44469&lt;/D&gt;&lt;D xsi:type="xsd:long"&gt;44439&lt;/D&gt;&lt;D xsi:type="xsd:long"&gt;44407&lt;/D&gt;&lt;D xsi:type="xsd:long"&gt;44377&lt;/D&gt;&lt;D xsi:type="xsd:long"&gt;44344&lt;/D&gt;&lt;D xsi:type="xsd:long"&gt;44316&lt;/D&gt;&lt;D xsi:type="xsd:long"&gt;44286&lt;/D&gt;&lt;D xsi:type="xsd:long"&gt;44253&lt;/D&gt;&lt;D xsi:type="xsd:long"&gt;44225&lt;/D&gt;&lt;D xsi:type="xsd:long"&gt;44196&lt;/D&gt;&lt;D xsi:type="xsd:long"&gt;44165&lt;/D&gt;&lt;D xsi:type="xsd:long"&gt;44134&lt;/D&gt;&lt;D xsi:type="xsd:long"&gt;44104&lt;/D&gt;&lt;D xsi:type="xsd:long"&gt;44074&lt;/D&gt;&lt;D xsi:type="xsd:long"&gt;44043&lt;/D&gt;&lt;D xsi:type="xsd:long"&gt;44012&lt;/D&gt;&lt;D xsi:type="xsd:long"&gt;43980&lt;/D&gt;&lt;D xsi:type="xsd:long"&gt;43951&lt;/D&gt;&lt;D xsi:type="xsd:long"&gt;43921&lt;/D&gt;&lt;D xsi:type="xsd:long"&gt;43889&lt;/D&gt;&lt;D xsi:type="xsd:long"&gt;43861&lt;/D&gt;&lt;D xsi:type="xsd:long"&gt;43830&lt;/D&gt;&lt;D xsi:type="xsd:long"&gt;43798&lt;/D&gt;&lt;D xsi:type="xsd:long"&gt;43769&lt;/D&gt;&lt;D xsi:type="xsd:long"&gt;43738&lt;/D&gt;&lt;D xsi:type="xsd:long"&gt;43707&lt;/D&gt;&lt;D xsi:type="xsd:long"&gt;43677&lt;/D&gt;&lt;D xsi:type="xsd:long"&gt;43644&lt;/D&gt;&lt;D xsi:type="xsd:long"&gt;43616&lt;/D&gt;&lt;D xsi:type="xsd:long"&gt;43585&lt;/D&gt;&lt;D xsi:type="xsd:long"&gt;43553&lt;/D&gt;&lt;D xsi:type="xsd:long"&gt;43524&lt;/D&gt;&lt;D xsi:type="xsd:long"&gt;43496&lt;/D&gt;&lt;D xsi:type="xsd:long"&gt;43465&lt;/D&gt;&lt;D xsi:type="xsd:long"&gt;43434&lt;/D&gt;&lt;D xsi:type="xsd:long"&gt;43404&lt;/D&gt;&lt;D xsi:type="xsd:long"&gt;43371&lt;/D&gt;&lt;D xsi:type="xsd:long"&gt;43343&lt;/D&gt;&lt;D xsi:type="xsd:long"&gt;43312&lt;/D&gt;&lt;D xsi:type="xsd:long"&gt;43280&lt;/D&gt;&lt;D xsi:type="xsd:long"&gt;43251&lt;/D&gt;&lt;D xsi:type="xsd:long"&gt;43220&lt;/D&gt;&lt;D xsi:type="xsd:long"&gt;43188&lt;/D&gt;&lt;D xsi:type="xsd:long"&gt;43159&lt;/D&gt;&lt;D xsi:type="xsd:long"&gt;43131&lt;/D&gt;&lt;D xsi:type="xsd:long"&gt;43098&lt;/D&gt;&lt;D xsi:type="xsd:long"&gt;43069&lt;/D&gt;&lt;D xsi:type="xsd:long"&gt;43039&lt;/D&gt;&lt;D xsi:type="xsd:long"&gt;43007&lt;/D&gt;&lt;D xsi:type="xsd:long"&gt;42978&lt;/D&gt;&lt;D xsi:type="xsd:long"&gt;42947&lt;/D&gt;&lt;D xsi:type="xsd:long"&gt;42916&lt;/D&gt;&lt;D xsi:type="xsd:long"&gt;42886&lt;/D&gt;&lt;D xsi:type="xsd:long"&gt;42853&lt;/D&gt;&lt;D xsi:type="xsd:long"&gt;42825&lt;/D&gt;&lt;D xsi:type="xsd:long"&gt;42794&lt;/D&gt;&lt;D xsi:type="xsd:long"&gt;42766&lt;/D&gt;&lt;D xsi:type="xsd:long"&gt;42734&lt;/D&gt;&lt;D xsi:type="xsd:long"&gt;42704&lt;/D&gt;&lt;D xsi:type="xsd:long"&gt;42674&lt;/D&gt;&lt;D xsi:type="xsd:long"&gt;42643&lt;/D&gt;&lt;D xsi:type="xsd:long"&gt;42613&lt;/D&gt;&lt;D xsi:type="xsd:long"&gt;42580&lt;/D&gt;&lt;D xsi:type="xsd:long"&gt;42551&lt;/D&gt;&lt;D xsi:type="xsd:long"&gt;42521&lt;/D&gt;&lt;D xsi:type="xsd:long"&gt;42489&lt;/D&gt;&lt;D xsi:type="xsd:long"&gt;42460&lt;/D&gt;&lt;D xsi:type="xsd:long"&gt;42429&lt;/D&gt;&lt;D xsi:type="xsd:long"&gt;42398&lt;/D&gt;&lt;D xsi:type="xsd:long"&gt;42369&lt;/D&gt;&lt;D xsi:type="xsd:long"&gt;42338&lt;/D&gt;&lt;D xsi:type="xsd:long"&gt;42307&lt;/D&gt;&lt;D xsi:type="xsd:long"&gt;42277&lt;/D&gt;&lt;D xsi:type="xsd:long"&gt;42247&lt;/D&gt;&lt;D xsi:type="xsd:long"&gt;42216&lt;/D&gt;&lt;D xsi:type="xsd:long"&gt;42185&lt;/D&gt;&lt;D xsi:type="xsd:long"&gt;42153&lt;/D&gt;&lt;D xsi:type="xsd:long"&gt;42124&lt;/D&gt;&lt;D xsi:type="xsd:long"&gt;42094&lt;/D&gt;&lt;D xsi:type="xsd:long"&gt;42062&lt;/D&gt;&lt;D xsi:type="xsd:long"&gt;42034&lt;/D&gt;&lt;D xsi:type="xsd:long"&gt;42004&lt;/D&gt;&lt;D xsi:type="xsd:long"&gt;41971&lt;/D&gt;&lt;D xsi:type="xsd:long"&gt;41943&lt;/D&gt;&lt;D xsi:type="xsd:long"&gt;41912&lt;/D&gt;&lt;D xsi:type="xsd:long"&gt;41880&lt;/D&gt;&lt;D xsi:type="xsd:long"&gt;41851&lt;/D&gt;&lt;D xsi:type="xsd:long"&gt;41820&lt;/D&gt;&lt;D xsi:type="xsd:long"&gt;41789&lt;/D&gt;&lt;D xsi:type="xsd:long"&gt;41759&lt;/D&gt;&lt;D xsi:type="xsd:long"&gt;41729&lt;/D&gt;&lt;D xsi:type="xsd:long"&gt;41698&lt;/D&gt;&lt;D xsi:type="xsd:long"&gt;41670&lt;/D&gt;&lt;D xsi:type="xsd:long"&gt;41639&lt;/D&gt;&lt;D xsi:type="xsd:long"&gt;41607&lt;/D&gt;&lt;D xsi:type="xsd:long"&gt;41578&lt;/D&gt;&lt;D xsi:type="xsd:long"&gt;41547&lt;/D&gt;&lt;D xsi:type="xsd:long"&gt;41516&lt;/D&gt;&lt;D xsi:type="xsd:long"&gt;41486&lt;/D&gt;&lt;D xsi:type="xsd:long"&gt;41453&lt;/D&gt;&lt;D xsi:type="xsd:long"&gt;41425&lt;/D&gt;&lt;D xsi:type="xsd:long"&gt;41394&lt;/D&gt;&lt;D xsi:type="xsd:long"&gt;41361&lt;/D&gt;&lt;D xsi:type="xsd:long"&gt;41333&lt;/D&gt;&lt;D xsi:type="xsd:long"&gt;41305&lt;/D&gt;&lt;D xsi:type="xsd:long"&gt;41274&lt;/D&gt;&lt;D xsi:type="xsd:long"&gt;41243&lt;/D&gt;&lt;D xsi:type="xsd:long"&gt;41213&lt;/D&gt;&lt;D xsi:type="xsd:long"&gt;41180&lt;/D&gt;&lt;D xsi:type="xsd:long"&gt;41152&lt;/D&gt;&lt;D xsi:type="xsd:long"&gt;41121&lt;/D&gt;&lt;D xsi:type="xsd:long"&gt;41089&lt;/D&gt;&lt;D xsi:type="xsd:long"&gt;41060&lt;/D&gt;&lt;D xsi:type="xsd:long"&gt;41029&lt;/D&gt;&lt;D xsi:type="xsd:long"&gt;40998&lt;/D&gt;&lt;D xsi:type="xsd:long"&gt;40968&lt;/D&gt;&lt;D xsi:type="xsd:long"&gt;40939&lt;/D&gt;&lt;D xsi:type="xsd:long"&gt;40907&lt;/D&gt;&lt;D xsi:type="xsd:long"&gt;40877&lt;/D&gt;&lt;D xsi:type="xsd:long"&gt;40847&lt;/D&gt;&lt;D xsi:type="xsd:long"&gt;40816&lt;/D&gt;&lt;D xsi:type="xsd:long"&gt;40786&lt;/D&gt;&lt;D xsi:type="xsd:long"&gt;40753&lt;/D&gt;&lt;D xsi:type="xsd:long"&gt;40724&lt;/D&gt;&lt;D xsi:type="xsd:long"&gt;40694&lt;/D&gt;&lt;D xsi:type="xsd:long"&gt;40662&lt;/D&gt;&lt;D xsi:type="xsd:long"&gt;40633&lt;/D&gt;&lt;D xsi:type="xsd:long"&gt;40602&lt;/D&gt;&lt;D xsi:type="xsd:long"&gt;40574&lt;/D&gt;&lt;D xsi:type="xsd:long"&gt;40543&lt;/D&gt;&lt;D xsi:type="xsd:long"&gt;40512&lt;/D&gt;&lt;D xsi:type="xsd:long"&gt;40480&lt;/D&gt;&lt;D xsi:type="xsd:long"&gt;40451&lt;/D&gt;&lt;D xsi:type="xsd:long"&gt;40421&lt;/D&gt;&lt;D xsi:type="xsd:long"&gt;40389&lt;/D&gt;&lt;D xsi:type="xsd:long"&gt;40359&lt;/D&gt;&lt;D xsi:type="xsd:long"&gt;40326&lt;/D&gt;&lt;D xsi:type="xsd:long"&gt;40298&lt;/D&gt;&lt;D xsi:type="xsd:long"&gt;40268&lt;/D&gt;&lt;D xsi:type="xsd:long"&gt;40235&lt;/D&gt;&lt;D xsi:type="xsd:long"&gt;40207&lt;/D&gt;&lt;D xsi:type="xsd:long"&gt;40178&lt;/D&gt;&lt;D xsi:type="xsd:long"&gt;40147&lt;/D&gt;&lt;D xsi:type="xsd:long"&gt;40116&lt;/D&gt;&lt;D xsi:type="xsd:long"&gt;40086&lt;/D&gt;&lt;D xsi:type="xsd:long"&gt;40056&lt;/D&gt;&lt;D xsi:type="xsd:long"&gt;40025&lt;/D&gt;&lt;D xsi:type="xsd:long"&gt;39994&lt;/D&gt;&lt;D xsi:type="xsd:long"&gt;39962&lt;/D&gt;&lt;D xsi:type="xsd:long"&gt;39933&lt;/D&gt;&lt;D xsi:type="xsd:long"&gt;39903&lt;/D&gt;&lt;D xsi:type="xsd:long"&gt;39871&lt;/D&gt;&lt;D xsi:type="xsd:long"&gt;39843&lt;/D&gt;&lt;D xsi:type="xsd:long"&gt;39813&lt;/D&gt;&lt;D xsi:type="xsd:long"&gt;39780&lt;/D&gt;&lt;D xsi:type="xsd:long"&gt;39752&lt;/D&gt;&lt;D xsi:type="xsd:long"&gt;39721&lt;/D&gt;&lt;D xsi:type="xsd:long"&gt;39689&lt;/D&gt;&lt;D xsi:type="xsd:long"&gt;39660&lt;/D&gt;&lt;D xsi:type="xsd:long"&gt;39629&lt;/D&gt;&lt;D xsi:type="xsd:long"&gt;39598&lt;/D&gt;&lt;D xsi:type="xsd:long"&gt;39568&lt;/D&gt;&lt;D xsi:type="xsd:long"&gt;39538&lt;/D&gt;&lt;D xsi:type="xsd:long"&gt;39507&lt;/D&gt;&lt;D xsi:type="xsd:long"&gt;39478&lt;/D&gt;&lt;D xsi:type="xsd:long"&gt;39447&lt;/D&gt;&lt;D xsi:type="xsd:long"&gt;39416&lt;/D&gt;&lt;D xsi:type="xsd:long"&gt;39386&lt;/D&gt;&lt;D xsi:type="xsd:long"&gt;39353&lt;/D&gt;&lt;D xsi:type="xsd:long"&gt;39325&lt;/D&gt;&lt;D xsi:type="xsd:long"&gt;39294&lt;/D&gt;&lt;D xsi:type="xsd:long"&gt;39262&lt;/D&gt;&lt;D xsi:type="xsd:long"&gt;39233&lt;/D&gt;&lt;D xsi:type="xsd:long"&gt;39202&lt;/D&gt;&lt;D xsi:type="xsd:long"&gt;39171&lt;/D&gt;&lt;D xsi:type="xsd:long"&gt;39141&lt;/D&gt;&lt;D xsi:type="xsd:long"&gt;39113&lt;/D&gt;&lt;D xsi:type="xsd:long"&gt;39080&lt;/D&gt;&lt;D xsi:type="xsd:long"&gt;39051&lt;/D&gt;&lt;D xsi:type="xsd:long"&gt;39021&lt;/D&gt;&lt;D xsi:type="xsd:long"&gt;38989&lt;/D&gt;&lt;D xsi:type="xsd:long"&gt;38960&lt;/D&gt;&lt;D xsi:type="xsd:long"&gt;38929&lt;/D&gt;&lt;D xsi:type="xsd:long"&gt;38898&lt;/D&gt;&lt;D xsi:type="xsd:long"&gt;38868&lt;/D&gt;&lt;D xsi:type="xsd:long"&gt;38835&lt;/D&gt;&lt;D xsi:type="xsd:long"&gt;38807&lt;/D&gt;&lt;D xsi:type="xsd:long"&gt;38776&lt;/D&gt;&lt;D xsi:type="xsd:long"&gt;38748&lt;/D&gt;&lt;D xsi:type="xsd:long"&gt;38716&lt;/D&gt;&lt;D xsi:type="xsd:long"&gt;38686&lt;/D&gt;&lt;D xsi:type="xsd:long"&gt;38656&lt;/D&gt;&lt;D xsi:type="xsd:long"&gt;38625&lt;/D&gt;&lt;D xsi:type="xsd:long"&gt;38595&lt;/D&gt;&lt;D xsi:type="xsd:long"&gt;38562&lt;/D&gt;&lt;D xsi:type="xsd:long"&gt;38533&lt;/D&gt;&lt;D xsi:type="xsd:long"&gt;38503&lt;/D&gt;&lt;D xsi:type="xsd:long"&gt;38471&lt;/D&gt;&lt;D xsi:type="xsd:long"&gt;38442&lt;/D&gt;&lt;D xsi:type="xsd:long"&gt;38411&lt;/D&gt;&lt;D xsi:type="xsd:long"&gt;38383&lt;/D&gt;&lt;D xsi:type="xsd:long"&gt;38352&lt;/D&gt;&lt;D xsi:type="xsd:long"&gt;38321&lt;/D&gt;&lt;D xsi:type="xsd:long"&gt;38289&lt;/D&gt;&lt;D xsi:type="xsd:long"&gt;38260&lt;/D&gt;&lt;D xsi:type="xsd:long"&gt;38230&lt;/D&gt;&lt;D xsi:type="xsd:long"&gt;38198&lt;/D&gt;&lt;D xsi:type="xsd:long"&gt;38168&lt;/D&gt;&lt;D xsi:type="xsd:long"&gt;38135&lt;/D&gt;&lt;D xsi:type="xsd:long"&gt;38107&lt;/D&gt;&lt;D xsi:type="xsd:long"&gt;38077&lt;/D&gt;&lt;D xsi:type="xsd:long"&gt;38044&lt;/D&gt;&lt;D xsi:type="xsd:long"&gt;38016&lt;/D&gt;&lt;D xsi:type="xsd:long"&gt;37986&lt;/D&gt;&lt;D xsi:type="xsd:long"&gt;37953&lt;/D&gt;&lt;D xsi:type="xsd:long"&gt;37925&lt;/D&gt;&lt;D xsi:type="xsd:long"&gt;37894&lt;/D&gt;&lt;D xsi:type="xsd:long"&gt;37862&lt;/D&gt;&lt;D xsi:type="xsd:long"&gt;37833&lt;/D&gt;&lt;D xsi:type="xsd:long"&gt;37802&lt;/D&gt;&lt;D xsi:type="xsd:long"&gt;37771&lt;/D&gt;&lt;D xsi:type="xsd:long"&gt;37741&lt;/D&gt;&lt;D xsi:type="xsd:long"&gt;37711&lt;/D&gt;&lt;D xsi:type="xsd:long"&gt;37680&lt;/D&gt;&lt;D xsi:type="xsd:long"&gt;37652&lt;/D&gt;&lt;D xsi:type="xsd:long"&gt;37621&lt;/D&gt;&lt;D xsi:type="xsd:long"&gt;37589&lt;/D&gt;&lt;D xsi:type="xsd:long"&gt;37560&lt;/D&gt;&lt;D xsi:type="xsd:long"&gt;37529&lt;/D&gt;&lt;D xsi:type="xsd:long"&gt;37498&lt;/D&gt;&lt;D xsi:type="xsd:long"&gt;37468&lt;/D&gt;&lt;D xsi:type="xsd:long"&gt;37435&lt;/D&gt;&lt;D xsi:type="xsd:long"&gt;37407&lt;/D&gt;&lt;D xsi:type="xsd:long"&gt;37376&lt;/D&gt;&lt;D xsi:type="xsd:long"&gt;37343&lt;/D&gt;&lt;D xsi:type="xsd:long"&gt;37315&lt;/D&gt;&lt;D xsi:type="xsd:long"&gt;37287&lt;/D&gt;&lt;D xsi:type="xsd:long"&gt;37256&lt;/D&gt;&lt;D xsi:type="xsd:long"&gt;37225&lt;/D&gt;&lt;D xsi:type="xsd:long"&gt;37195&lt;/D&gt;&lt;D xsi:type="xsd:long"&gt;37162&lt;/D&gt;&lt;D xsi:type="xsd:long"&gt;37134&lt;/D&gt;&lt;D xsi:type="xsd:long"&gt;37103&lt;/D&gt;&lt;D xsi:type="xsd:long"&gt;37071&lt;/D&gt;&lt;D xsi:type="xsd:long"&gt;37042&lt;/D&gt;&lt;D xsi:type="xsd:long"&gt;37011&lt;/D&gt;&lt;D xsi:type="xsd:long"&gt;36980&lt;/D&gt;&lt;D xsi:type="xsd:long"&gt;36950&lt;/D&gt;&lt;D xsi:type="xsd:long"&gt;36922&lt;/D&gt;&lt;D xsi:type="xsd:long"&gt;36889&lt;/D&gt;&lt;D xsi:type="xsd:long"&gt;36860&lt;/D&gt;&lt;D xsi:type="xsd:long"&gt;36830&lt;/D&gt;&lt;D xsi:type="xsd:long"&gt;36798&lt;/D&gt;&lt;D xsi:type="xsd:long"&gt;36769&lt;/D&gt;&lt;D xsi:type="xsd:long"&gt;36738&lt;/D&gt;&lt;D xsi:type="xsd:long"&gt;36707&lt;/D&gt;&lt;D xsi:type="xsd:long"&gt;36677&lt;/D&gt;&lt;D xsi:type="xsd:long"&gt;36644&lt;/D&gt;&lt;D xsi:type="xsd:long"&gt;36616&lt;/D&gt;&lt;D xsi:type="xsd:long"&gt;36585&lt;/D&gt;&lt;D xsi:type="xsd:long"&gt;36556&lt;/D&gt;&lt;/FQL&gt;&lt;FQL&gt;&lt;Q&gt;990100^FG_PRICE(2/27/2026,1/31/2000,M)&lt;/Q&gt;&lt;R&gt;314&lt;/R&gt;&lt;C&gt;1&lt;/C&gt;&lt;D xsi:type="xsd:double"&gt;3521.182911&lt;/D&gt;&lt;D xsi:type="xsd:double"&gt;3490.716696&lt;/D&gt;&lt;D xsi:type="xsd:double"&gt;3433.774234&lt;/D&gt;&lt;D xsi:type="xsd:double"&gt;3418.342434&lt;/D&gt;&lt;D xsi:type="xsd:double"&gt;3413.263947&lt;/D&gt;&lt;D xsi:type="xsd:double"&gt;3329.672341&lt;/D&gt;&lt;D xsi:type="xsd:double"&gt;3229.392635&lt;/D&gt;&lt;D xsi:type="xsd:double"&gt;3167.685816&lt;/D&gt;&lt;D xsi:type="xsd:double"&gt;3106.465711&lt;/D&gt;&lt;D xsi:type="xsd:double"&gt;2996.269987&lt;/D&gt;&lt;D xsi:type="xsd:double"&gt;2834.751825&lt;/D&gt;&lt;D xsi:type="xsd:double"&gt;2849.588994&lt;/D&gt;&lt;D xsi:type="xsd:double"&gt;3006.101975&lt;/D&gt;&lt;D xsi:type="xsd:double"&gt;3038.025076&lt;/D&gt;&lt;D xsi:type="xsd:double"&gt;2938.110688&lt;/D&gt;&lt;D xsi:type="xsd:double"&gt;2997.908308&lt;/D&gt;&lt;D xsi:type="xsd:double"&gt;2861.664425&lt;/D&gt;&lt;D xsi:type="xsd:double"&gt;2889.804901&lt;/D&gt;&lt;D xsi:type="xsd:double"&gt;2850.994843&lt;/D&gt;&lt;D xsi:type="xsd:double"&gt;2802.383004&lt;/D&gt;&lt;D xsi:type="xsd:double"&gt;2769.50983&lt;/D&gt;&lt;D xsi:type="xsd:double"&gt;2709.372194&lt;/D&gt;&lt;D xsi:type="xsd:double"&gt;2609.324921&lt;/D&gt;&lt;D xsi:type="xsd:double"&gt;2699.761966&lt;/D&gt;&lt;D xsi:type="xsd:double"&gt;2617.02636&lt;/D&gt;&lt;D xsi:type="xsd:double"&gt;2504.736829&lt;/D&gt;&lt;D xsi:type="xsd:double"&gt;2462.218438&lt;/D&gt;&lt;D xsi:type="xsd:double"&gt;2366.006049&lt;/D&gt;&lt;D xsi:type="xsd:double"&gt;2188.031641&lt;/D&gt;&lt;D xsi:type="xsd:double"&gt;2248.530019&lt;/D&gt;&lt;D xsi:type="xsd:double"&gt;2338.051372&lt;/D&gt;&lt;D xsi:type="xsd:double"&gt;2383.8764&lt;/D&gt;&lt;D xsi:type="xsd:double"&gt;2317.929934&lt;/D&gt;&lt;D xsi:type="xsd:double"&gt;2195.593041&lt;/D&gt;&lt;D xsi:type="xsd:double"&gt;2205.89818&lt;/D&gt;&lt;D xsi:type="xsd:double"&gt;2174.496386&lt;/D&gt;&lt;D xsi:type="xsd:double"&gt;2127.120341&lt;/D&gt;&lt;D xsi:type="xsd:double"&gt;2163.786347&lt;/D&gt;&lt;D xsi:type="xsd:double"&gt;2033.026296&lt;/D&gt;&lt;D xsi:type="xsd:double"&gt;2144.006084&lt;/D&gt;&lt;D xsi:type="xsd:double"&gt;2032.226852&lt;/D&gt;&lt;D xsi:type="xsd:double"&gt;1898.025787&lt;/D&gt;&lt;D xsi:type="xsd:double"&gt;2073.799826&lt;/D&gt;&lt;D xsi:type="xsd:double"&gt;2151.532008&lt;/D&gt;&lt;D xsi:type="xsd:double"&gt;1994.050794&lt;/D&gt;&lt;D xsi:type="xsd:double"&gt;2164.74096&lt;/D&gt;&lt;D xsi:type="xsd:double"&gt;2175.038575&lt;/D&gt;&lt;D xsi:type="xsd:double"&gt;2339.315405&lt;/D&gt;&lt;D xsi:type="xsd:double"&gt;2273.720459&lt;/D&gt;&lt;D xsi:type="xsd:double"&gt;2338.555893&lt;/D&gt;&lt;D xsi:type="xsd:double"&gt;2461.228415&lt;/D&gt;&lt;D xsi:type="xsd:double"&gt;2368.567545&lt;/D&gt;&lt;D xsi:type="xsd:double"&gt;2406.448182&lt;/D&gt;&lt;D xsi:type="xsd:double"&gt;2282.456014&lt;/D&gt;&lt;D xsi:type="xsd:double"&gt;2373.240393&lt;/D&gt;&lt;D xsi:type="xsd:double"&gt;2314.606713&lt;/D&gt;&lt;D xsi:type="xsd:double"&gt;2277.089042&lt;/D&gt;&lt;D xsi:type="xsd:double"&gt;2232.079832&lt;/D&gt;&lt;D xsi:type="xsd:double"&gt;2208.320037&lt;/D&gt;&lt;D xsi:type="xsd:double"&gt;2125.228804&lt;/D&gt;&lt;D xsi:type="xsd:double"&gt;2043.701304&lt;/D&gt;&lt;D xsi:type="xsd:double"&gt;1993.17334&lt;/D&gt;&lt;D xsi:type="xsd:double"&gt;2009.906608&lt;/D&gt;&lt;D xsi:type="xsd:double"&gt;1943.700814&lt;/D&gt;&lt;D xsi:type="xsd:double"&gt;1737.861413&lt;/D&gt;&lt;D xsi:type="xsd:double"&gt;1793.93697&lt;/D&gt;&lt;D xsi:type="xsd:double"&gt;1850.096068&lt;/D&gt;&lt;D xsi:type="xsd:double"&gt;1743.426345&lt;/D&gt;&lt;D xsi:type="xsd:double"&gt;1687.799337&lt;/D&gt;&lt;D xsi:type="xsd:double"&gt;1651.012347&lt;/D&gt;&lt;D xsi:type="xsd:double"&gt;1579.603421&lt;/D&gt;&lt;D xsi:type="xsd:double"&gt;1430.95773&lt;/D&gt;&lt;D xsi:type="xsd:double"&gt;1646.175941&lt;/D&gt;&lt;D xsi:type="xsd:double"&gt;1793.957426&lt;/D&gt;&lt;D xsi:type="xsd:double"&gt;1799.78659&lt;/D&gt;&lt;D xsi:type="xsd:double"&gt;1761.589334&lt;/D&gt;&lt;D xsi:type="xsd:double"&gt;1710.365221&lt;/D&gt;&lt;D xsi:type="xsd:double"&gt;1680.311403&lt;/D&gt;&lt;D xsi:type="xsd:double"&gt;1644.939694&lt;/D&gt;&lt;D xsi:type="xsd:double"&gt;1681.021955&lt;/D&gt;&lt;D xsi:type="xsd:double"&gt;1662.541558&lt;/D&gt;&lt;D xsi:type="xsd:double"&gt;1571.947755&lt;/D&gt;&lt;D xsi:type="xsd:double"&gt;1672.38707&lt;/D&gt;&lt;D xsi:type="xsd:double"&gt;1614.51997&lt;/D&gt;&lt;D xsi:type="xsd:double"&gt;1593.042659&lt;/D&gt;&lt;D xsi:type="xsd:double"&gt;1544.28452&lt;/D&gt;&lt;D xsi:type="xsd:double"&gt;1441.424264&lt;/D&gt;&lt;D xsi:type="xsd:double"&gt;1566.30138&lt;/D&gt;&lt;D xsi:type="xsd:double"&gt;1551.218141&lt;/D&gt;&lt;D xsi:type="xsd:double"&gt;1665.834909&lt;/D&gt;&lt;D xsi:type="xsd:double"&gt;1656.529944&lt;/D&gt;&lt;D xsi:type="xsd:double"&gt;1637.828116&lt;/D&gt;&lt;D xsi:type="xsd:double"&gt;1588.955208&lt;/D&gt;&lt;D xsi:type="xsd:double"&gt;1585.727088&lt;/D&gt;&lt;D xsi:type="xsd:double"&gt;1570.810415&lt;/D&gt;&lt;D xsi:type="xsd:double"&gt;1542.937593&lt;/D&gt;&lt;D xsi:type="xsd:double"&gt;1584.233127&lt;/D&gt;&lt;D xsi:type="xsd:double"&gt;1644.980225&lt;/D&gt;&lt;D xsi:type="xsd:double"&gt;1586.197228&lt;/D&gt;&lt;D xsi:type="xsd:double"&gt;1570.385343&lt;/D&gt;&lt;D xsi:type="xsd:double"&gt;1548.723385&lt;/D&gt;&lt;D xsi:type="xsd:double"&gt;1511.486061&lt;/D&gt;&lt;D xsi:type="xsd:double"&gt;1479.554994&lt;/D&gt;&lt;D xsi:type="xsd:double"&gt;1480.471705&lt;/D&gt;&lt;D xsi:type="xsd:double"&gt;1460.462737&lt;/D&gt;&lt;D xsi:type="xsd:double"&gt;1462.164447&lt;/D&gt;&lt;D xsi:type="xsd:double"&gt;1445.536122&lt;/D&gt;&lt;D xsi:type="xsd:double"&gt;1431.241913&lt;/D&gt;&lt;D xsi:type="xsd:double"&gt;1421.094097&lt;/D&gt;&lt;D xsi:type="xsd:double"&gt;1380.983373&lt;/D&gt;&lt;D xsi:type="xsd:double"&gt;1364.255813&lt;/D&gt;&lt;D xsi:type="xsd:double"&gt;1328.797814&lt;/D&gt;&lt;D xsi:type="xsd:double"&gt;1297.071501&lt;/D&gt;&lt;D xsi:type="xsd:double"&gt;1306.849499&lt;/D&gt;&lt;D xsi:type="xsd:double"&gt;1306.571932&lt;/D&gt;&lt;D xsi:type="xsd:double"&gt;1303.895459&lt;/D&gt;&lt;D xsi:type="xsd:double"&gt;1253.240447&lt;/D&gt;&lt;D xsi:type="xsd:double"&gt;1271.964928&lt;/D&gt;&lt;D xsi:type="xsd:double"&gt;1254.1064&lt;/D&gt;&lt;D xsi:type="xsd:double"&gt;1245.959175&lt;/D&gt;&lt;D xsi:type="xsd:double"&gt;1186.539089&lt;/D&gt;&lt;D xsi:type="xsd:double"&gt;1207.652044&lt;/D&gt;&lt;D xsi:type="xsd:double"&gt;1277.717424&lt;/D&gt;&lt;D xsi:type="xsd:double"&gt;1307.319262&lt;/D&gt;&lt;D xsi:type="xsd:double"&gt;1301.234481&lt;/D&gt;&lt;D xsi:type="xsd:double"&gt;1207.297118&lt;/D&gt;&lt;D xsi:type="xsd:double"&gt;1253.950024&lt;/D&gt;&lt;D xsi:type="xsd:double"&gt;1346.058353&lt;/D&gt;&lt;D xsi:type="xsd:double"&gt;1314.172062&lt;/D&gt;&lt;D xsi:type="xsd:double"&gt;1355.810377&lt;/D&gt;&lt;D xsi:type="xsd:double"&gt;1342.767582&lt;/D&gt;&lt;D xsi:type="xsd:double"&gt;1331.348778&lt;/D&gt;&lt;D xsi:type="xsd:double"&gt;1340.410201&lt;/D&gt;&lt;D xsi:type="xsd:double"&gt;1267.917494&lt;/D&gt;&lt;D xsi:type="xsd:double"&gt;1275.768903&lt;/D&gt;&lt;D xsi:type="xsd:double"&gt;1287.095985&lt;/D&gt;&lt;D xsi:type="xsd:double"&gt;1252.99389&lt;/D&gt;&lt;D xsi:type="xsd:double"&gt;1239.843485&lt;/D&gt;&lt;D xsi:type="xsd:double"&gt;1254.398125&lt;/D&gt;&lt;D xsi:type="xsd:double"&gt;1224.523362&lt;/D&gt;&lt;D xsi:type="xsd:double"&gt;1235.06821&lt;/D&gt;&lt;D xsi:type="xsd:double"&gt;1219.954724&lt;/D&gt;&lt;D xsi:type="xsd:double"&gt;1197.129936&lt;/D&gt;&lt;D xsi:type="xsd:double"&gt;1190.781901&lt;/D&gt;&lt;D xsi:type="xsd:double"&gt;1191.373275&lt;/D&gt;&lt;D xsi:type="xsd:double"&gt;1145.318725&lt;/D&gt;&lt;D xsi:type="xsd:double"&gt;1184.500121&lt;/D&gt;&lt;D xsi:type="xsd:double"&gt;1161.538236&lt;/D&gt;&lt;D xsi:type="xsd:double"&gt;1138.894458&lt;/D&gt;&lt;D xsi:type="xsd:double"&gt;1096.380204&lt;/D&gt;&lt;D xsi:type="xsd:double"&gt;1058.792831&lt;/D&gt;&lt;D xsi:type="xsd:double"&gt;1083.345234&lt;/D&gt;&lt;D xsi:type="xsd:double"&gt;1035.147597&lt;/D&gt;&lt;D xsi:type="xsd:double"&gt;1062.370859&lt;/D&gt;&lt;D xsi:type="xsd:double"&gt;1050.711331&lt;/D&gt;&lt;D xsi:type="xsd:double"&gt;1024.753846&lt;/D&gt;&lt;D xsi:type="xsd:double"&gt;1000.466895&lt;/D&gt;&lt;D xsi:type="xsd:double"&gt;987.757549&lt;/D&gt;&lt;D xsi:type="xsd:double"&gt;938.202184&lt;/D&gt;&lt;D xsi:type="xsd:double"&gt;921.784751&lt;/D&gt;&lt;D xsi:type="xsd:double"&gt;910.294356&lt;/D&gt;&lt;D xsi:type="xsd:double"&gt;915.299211&lt;/D&gt;&lt;D xsi:type="xsd:double"&gt;897.982308&lt;/D&gt;&lt;D xsi:type="xsd:double"&gt;882.457784&lt;/D&gt;&lt;D xsi:type="xsd:double"&gt;871.449336&lt;/D&gt;&lt;D xsi:type="xsd:double"&gt;836.966939&lt;/D&gt;&lt;D xsi:type="xsd:double"&gt;901.236063&lt;/D&gt;&lt;D xsi:type="xsd:double"&gt;917.474625&lt;/D&gt;&lt;D xsi:type="xsd:double"&gt;903.917322&lt;/D&gt;&lt;D xsi:type="xsd:double"&gt;864.950012&lt;/D&gt;&lt;D xsi:type="xsd:double"&gt;829.777034&lt;/D&gt;&lt;D xsi:type="xsd:double"&gt;825.878504&lt;/D&gt;&lt;D xsi:type="xsd:double"&gt;838.708573&lt;/D&gt;&lt;D xsi:type="xsd:double"&gt;773.272668&lt;/D&gt;&lt;D xsi:type="xsd:double"&gt;825.067364&lt;/D&gt;&lt;D xsi:type="xsd:double"&gt;886.99092&lt;/D&gt;&lt;D xsi:type="xsd:double"&gt;912.534233&lt;/D&gt;&lt;D xsi:type="xsd:double"&gt;928.623916&lt;/D&gt;&lt;D xsi:type="xsd:double"&gt;944.214253&lt;/D&gt;&lt;D xsi:type="xsd:double"&gt;925.281509&lt;/D&gt;&lt;D xsi:type="xsd:double"&gt;939.613752&lt;/D&gt;&lt;D xsi:type="xsd:double"&gt;914.437048&lt;/D&gt;&lt;D xsi:type="xsd:double"&gt;897.667501&lt;/D&gt;&lt;D xsi:type="xsd:double"&gt;850.441109&lt;/D&gt;&lt;D xsi:type="xsd:double"&gt;854.878829&lt;/D&gt;&lt;D xsi:type="xsd:double"&gt;831.824039&lt;/D&gt;&lt;D xsi:type="xsd:double"&gt;779.260122&lt;/D&gt;&lt;D xsi:type="xsd:double"&gt;807.978081&lt;/D&gt;&lt;D xsi:type="xsd:double"&gt;764.75624&lt;/D&gt;&lt;D xsi:type="xsd:double"&gt;799.055999&lt;/D&gt;&lt;D xsi:type="xsd:double"&gt;867.804384&lt;/D&gt;&lt;D xsi:type="xsd:double"&gt;867.174378&lt;/D&gt;&lt;D xsi:type="xsd:double"&gt;816.114677&lt;/D&gt;&lt;D xsi:type="xsd:double"&gt;801.93104&lt;/D&gt;&lt;D xsi:type="xsd:double"&gt;832.500896&lt;/D&gt;&lt;D xsi:type="xsd:double"&gt;803.656219&lt;/D&gt;&lt;D xsi:type="xsd:double"&gt;781.15311&lt;/D&gt;&lt;D xsi:type="xsd:double"&gt;799.642735&lt;/D&gt;&lt;D xsi:type="xsd:double"&gt;777.082827&lt;/D&gt;&lt;D xsi:type="xsd:double"&gt;750.751112&lt;/D&gt;&lt;D xsi:type="xsd:double"&gt;699.544841&lt;/D&gt;&lt;D xsi:type="xsd:double"&gt;701.169603&lt;/D&gt;&lt;D xsi:type="xsd:double"&gt;666.528124&lt;/D&gt;&lt;D xsi:type="xsd:double"&gt;605.812427&lt;/D&gt;&lt;D xsi:type="xsd:double"&gt;571.194413&lt;/D&gt;&lt;D xsi:type="xsd:double"&gt;629.151905&lt;/D&gt;&lt;D xsi:type="xsd:double"&gt;677.813093&lt;/D&gt;&lt;D xsi:type="xsd:double"&gt;671.933131&lt;/D&gt;&lt;D xsi:type="xsd:double"&gt;717.269867&lt;/D&gt;&lt;D xsi:type="xsd:double"&gt;858.560632&lt;/D&gt;&lt;D xsi:type="xsd:double"&gt;964.333736&lt;/D&gt;&lt;D xsi:type="xsd:double"&gt;955.185788&lt;/D&gt;&lt;D xsi:type="xsd:double"&gt;973.712892&lt;/D&gt;&lt;D xsi:type="xsd:double"&gt;1062.51655&lt;/D&gt;&lt;D xsi:type="xsd:double"&gt;1050.082977&lt;/D&gt;&lt;D xsi:type="xsd:double"&gt;991.902049&lt;/D&gt;&lt;D xsi:type="xsd:double"&gt;1016.435153&lt;/D&gt;&lt;D xsi:type="xsd:double"&gt;1035.874556&lt;/D&gt;&lt;D xsi:type="xsd:double"&gt;1131.746388&lt;/D&gt;&lt;D xsi:type="xsd:double"&gt;1141.96369&lt;/D&gt;&lt;D xsi:type="xsd:double"&gt;1195.108736&lt;/D&gt;&lt;D xsi:type="xsd:double"&gt;1170.956242&lt;/D&gt;&lt;D xsi:type="xsd:double"&gt;1138.448025&lt;/D&gt;&lt;D xsi:type="xsd:double"&gt;1141.243025&lt;/D&gt;&lt;D xsi:type="xsd:double"&gt;1178.023141&lt;/D&gt;&lt;D xsi:type="xsd:double"&gt;1191.109618&lt;/D&gt;&lt;D xsi:type="xsd:double"&gt;1155.963085&lt;/D&gt;&lt;D xsi:type="xsd:double"&gt;1119.091303&lt;/D&gt;&lt;D xsi:type="xsd:double"&gt;1105.034497&lt;/D&gt;&lt;D xsi:type="xsd:double"&gt;1119.734516&lt;/D&gt;&lt;D xsi:type="xsd:double"&gt;1100.641476&lt;/D&gt;&lt;D xsi:type="xsd:double"&gt;1073.111816&lt;/D&gt;&lt;D xsi:type="xsd:double"&gt;1063.050613&lt;/D&gt;&lt;D xsi:type="xsd:double"&gt;1031.856167&lt;/D&gt;&lt;D xsi:type="xsd:double"&gt;1014.79087&lt;/D&gt;&lt;D xsi:type="xsd:double"&gt;991.519028&lt;/D&gt;&lt;D xsi:type="xsd:double"&gt;986.771605&lt;/D&gt;&lt;D xsi:type="xsd:double"&gt;983.278182&lt;/D&gt;&lt;D xsi:type="xsd:double"&gt;1031.723389&lt;/D&gt;&lt;D xsi:type="xsd:double"&gt;1024.089376&lt;/D&gt;&lt;D xsi:type="xsd:double"&gt;1002.023508&lt;/D&gt;&lt;D xsi:type="xsd:double"&gt;1000.173538&lt;/D&gt;&lt;D xsi:type="xsd:double"&gt;969.564645&lt;/D&gt;&lt;D xsi:type="xsd:double"&gt;949.788121&lt;/D&gt;&lt;D xsi:type="xsd:double"&gt;912.986604&lt;/D&gt;&lt;D xsi:type="xsd:double"&gt;931.388258&lt;/D&gt;&lt;D xsi:type="xsd:double"&gt;902.873569&lt;/D&gt;&lt;D xsi:type="xsd:double"&gt;903.854075&lt;/D&gt;&lt;D xsi:type="xsd:double"&gt;871.683025&lt;/D&gt;&lt;D xsi:type="xsd:double"&gt;858.560186&lt;/D&gt;&lt;D xsi:type="xsd:double"&gt;831.228647&lt;/D&gt;&lt;D xsi:type="xsd:double"&gt;852.553815&lt;/D&gt;&lt;D xsi:type="xsd:double"&gt;863.234964&lt;/D&gt;&lt;D xsi:type="xsd:double"&gt;843.521249&lt;/D&gt;&lt;D xsi:type="xsd:double"&gt;852.461222&lt;/D&gt;&lt;D xsi:type="xsd:double"&gt;825.558604&lt;/D&gt;&lt;D xsi:type="xsd:double"&gt;800.132917&lt;/D&gt;&lt;D xsi:type="xsd:double"&gt;790.984792&lt;/D&gt;&lt;D xsi:type="xsd:double"&gt;781.87839&lt;/D&gt;&lt;D xsi:type="xsd:double"&gt;781.988231&lt;/D&gt;&lt;D xsi:type="xsd:double"&gt;805.916018&lt;/D&gt;&lt;D xsi:type="xsd:double"&gt;789.710474&lt;/D&gt;&lt;D xsi:type="xsd:double"&gt;790.883313&lt;/D&gt;&lt;D xsi:type="xsd:double"&gt;795.341027&lt;/D&gt;&lt;D xsi:type="xsd:double"&gt;804.385493&lt;/D&gt;&lt;D xsi:type="xsd:double"&gt;791.26717&lt;/D&gt;&lt;D xsi:type="xsd:double"&gt;778.600212&lt;/D&gt;&lt;D xsi:type="xsd:double"&gt;745.7136&lt;/D&gt;&lt;D xsi:type="xsd:double"&gt;741.831992&lt;/D&gt;&lt;D xsi:type="xsd:double"&gt;704.232564&lt;/D&gt;&lt;D xsi:type="xsd:double"&gt;716.251235&lt;/D&gt;&lt;D xsi:type="xsd:double"&gt;700.403128&lt;/D&gt;&lt;D xsi:type="xsd:double"&gt;681.667872&lt;/D&gt;&lt;D xsi:type="xsd:double"&gt;668.677118&lt;/D&gt;&lt;D xsi:type="xsd:double"&gt;642.953767&lt;/D&gt;&lt;D xsi:type="xsd:double"&gt;595.081&lt;/D&gt;&lt;D xsi:type="xsd:double"&gt;599.713&lt;/D&gt;&lt;D xsi:type="xsd:double"&gt;610.632&lt;/D&gt;&lt;D xsi:type="xsd:double"&gt;634.274&lt;/D&gt;&lt;D xsi:type="xsd:double"&gt;678.467&lt;/D&gt;&lt;D xsi:type="xsd:double"&gt;644.781&lt;/D&gt;&lt;D xsi:type="xsd:double"&gt;600.885&lt;/D&gt;&lt;D xsi:type="xsd:double"&gt;676.385&lt;/D&gt;&lt;D xsi:type="xsd:double"&gt;676.403&lt;/D&gt;&lt;D xsi:type="xsd:double"&gt;739.322&lt;/D&gt;&lt;D xsi:type="xsd:double"&gt;802.318&lt;/D&gt;&lt;D xsi:type="xsd:double"&gt;812.866&lt;/D&gt;&lt;D xsi:type="xsd:double"&gt;8</t>
        </r>
      </text>
    </comment>
    <comment ref="A64" authorId="0" shapeId="0">
      <text>
        <r>
          <rPr>
            <b/>
            <sz val="9"/>
            <color indexed="81"/>
            <rFont val="Tahoma"/>
            <family val="2"/>
          </rPr>
          <t>54.663&lt;/D&gt;&lt;D xsi:type="xsd:double"&gt;821.561&lt;/D&gt;&lt;D xsi:type="xsd:double"&gt;830.872&lt;/D&gt;&lt;D xsi:type="xsd:double"&gt;847.933&lt;/D&gt;&lt;D xsi:type="xsd:double"&gt;839.254&lt;/D&gt;&lt;D xsi:type="xsd:double"&gt;790.627&lt;/D&gt;&lt;D xsi:type="xsd:double"&gt;771.537&lt;/D&gt;&lt;D xsi:type="xsd:double"&gt;847.81&lt;/D&gt;&lt;D xsi:type="xsd:double"&gt;905.38&lt;/D&gt;&lt;D xsi:type="xsd:double"&gt;925.601&lt;/D&gt;&lt;D xsi:type="xsd:double"&gt;950.617&lt;/D&gt;&lt;D xsi:type="xsd:double"&gt;959.271&lt;/D&gt;&lt;D xsi:type="xsd:double"&gt;897.832&lt;/D&gt;&lt;D xsi:type="xsd:double"&gt;944.469&lt;/D&gt;&lt;D xsi:type="xsd:double"&gt;1026.072&lt;/D&gt;&lt;D xsi:type="xsd:double"&gt;1000.482&lt;/D&gt;&lt;D xsi:type="xsd:double"&gt;1005.427&lt;/D&gt;&lt;D xsi:type="xsd:double"&gt;1073.431&lt;/D&gt;&lt;D xsi:type="xsd:double"&gt;1079.457&lt;/D&gt;&lt;D xsi:type="xsd:double"&gt;1137.693&lt;/D&gt;&lt;D xsi:type="xsd:double"&gt;1093.761&lt;/D&gt;&lt;D xsi:type="xsd:double"&gt;1111.218&lt;/D&gt;&lt;D xsi:type="xsd:double"&gt;1089.336&lt;/D&gt;&lt;D xsi:type="xsd:double"&gt;1117.631&lt;/D&gt;&lt;D xsi:type="xsd:double"&gt;1144.812&lt;/D&gt;&lt;D xsi:type="xsd:double"&gt;1081.521&lt;/D&gt;&lt;D xsi:type="xsd:double"&gt;1068.761&lt;/D&gt;&lt;/FQL&gt;&lt;FQL&gt;&lt;Q&gt;990100^JULIAN(FG_PRICE(2/27/2026,1/31/2000,M).DATES)&lt;/Q&gt;&lt;R&gt;314&lt;/R&gt;&lt;C&gt;1&lt;/C&gt;&lt;D xsi:type="xsd:long"&gt;46080&lt;/D&gt;&lt;D xsi:type="xsd:long"&gt;46052&lt;/D&gt;&lt;D xsi:type="xsd:long"&gt;46022&lt;/D&gt;&lt;D xsi:type="xsd:long"&gt;45989&lt;/D&gt;&lt;D xsi:type="xsd:long"&gt;45961&lt;/D&gt;&lt;D xsi:type="xsd:long"&gt;45930&lt;/D&gt;&lt;D xsi:type="xsd:long"&gt;45898&lt;/D&gt;&lt;D xsi:type="xsd:long"&gt;45869&lt;/D&gt;&lt;D xsi:type="xsd:long"&gt;45838&lt;/D&gt;&lt;D xsi:type="xsd:long"&gt;45807&lt;/D&gt;&lt;D xsi:type="xsd:long"&gt;45777&lt;/D&gt;&lt;D xsi:type="xsd:long"&gt;45747&lt;/D&gt;&lt;D xsi:type="xsd:long"&gt;45716&lt;/D&gt;&lt;D xsi:type="xsd:long"&gt;45688&lt;/D&gt;&lt;D xsi:type="xsd:long"&gt;45657&lt;/D&gt;&lt;D xsi:type="xsd:long"&gt;45625&lt;/D&gt;&lt;D xsi:type="xsd:long"&gt;45596&lt;/D&gt;&lt;D xsi:type="xsd:long"&gt;45565&lt;/D&gt;&lt;D xsi:type="xsd:long"&gt;45534&lt;/D&gt;&lt;D xsi:type="xsd:long"&gt;45504&lt;/D&gt;&lt;D xsi:type="xsd:long"&gt;45471&lt;/D&gt;&lt;D xsi:type="xsd:long"&gt;45443&lt;/D&gt;&lt;D xsi:type="xsd:long"&gt;45412&lt;/D&gt;&lt;D xsi:type="xsd:long"&gt;45379&lt;/D&gt;&lt;D xsi:type="xsd:long"&gt;45351&lt;/D&gt;&lt;D xsi:type="xsd:long"&gt;45322&lt;/D&gt;&lt;D xsi:type="xsd:long"&gt;45289&lt;/D&gt;&lt;D xsi:type="xsd:long"&gt;45260&lt;/D&gt;&lt;D xsi:type="xsd:long"&gt;45230&lt;/D&gt;&lt;D xsi:type="xsd:long"&gt;45198&lt;/D&gt;&lt;D xsi:type="xsd:long"&gt;45169&lt;/D&gt;&lt;D xsi:type="xsd:long"&gt;45138&lt;/D&gt;&lt;D xsi:type="xsd:long"&gt;45107&lt;/D&gt;&lt;D xsi:type="xsd:long"&gt;45077&lt;/D&gt;&lt;D xsi:type="xsd:long"&gt;45044&lt;/D&gt;&lt;D xsi:type="xsd:long"&gt;45016&lt;/D&gt;&lt;D xsi:type="xsd:long"&gt;44985&lt;/D&gt;&lt;D xsi:type="xsd:long"&gt;44957&lt;/D&gt;&lt;D xsi:type="xsd:long"&gt;44925&lt;/D&gt;&lt;D xsi:type="xsd:long"&gt;44895&lt;/D&gt;&lt;D xsi:type="xsd:long"&gt;44865&lt;/D&gt;&lt;D xsi:type="xsd:long"&gt;44834&lt;/D&gt;&lt;D xsi:type="xsd:long"&gt;44804&lt;/D&gt;&lt;D xsi:type="xsd:long"&gt;44771&lt;/D&gt;&lt;D xsi:type="xsd:long"&gt;44742&lt;/D&gt;&lt;D xsi:type="xsd:long"&gt;44712&lt;/D&gt;&lt;D xsi:type="xsd:long"&gt;44680&lt;/D&gt;&lt;D xsi:type="xsd:long"&gt;44651&lt;/D&gt;&lt;D xsi:type="xsd:long"&gt;44620&lt;/D&gt;&lt;D xsi:type="xsd:long"&gt;44592&lt;/D&gt;&lt;D xsi:type="xsd:long"&gt;44561&lt;/D&gt;&lt;D xsi:type="xsd:long"&gt;44530&lt;/D&gt;&lt;D xsi:type="xsd:long"&gt;44498&lt;/D&gt;&lt;D xsi:type="xsd:long"&gt;44469&lt;/D&gt;&lt;D xsi:type="xsd:long"&gt;44439&lt;/D&gt;&lt;D xsi:type="xsd:long"&gt;44407&lt;/D&gt;&lt;D xsi:type="xsd:long"&gt;44377&lt;/D&gt;&lt;D xsi:type="xsd:long"&gt;44344&lt;/D&gt;&lt;D xsi:type="xsd:long"&gt;44316&lt;/D&gt;&lt;D xsi:type="xsd:long"&gt;44286&lt;/D&gt;&lt;D xsi:type="xsd:long"&gt;44253&lt;/D&gt;&lt;D xsi:type="xsd:long"&gt;44225&lt;/D&gt;&lt;D xsi:type="xsd:long"&gt;44196&lt;/D&gt;&lt;D xsi:type="xsd:long"&gt;44165&lt;/D&gt;&lt;D xsi:type="xsd:long"&gt;44134&lt;/D&gt;&lt;D xsi:type="xsd:long"&gt;44104&lt;/D&gt;&lt;D xsi:type="xsd:long"&gt;44074&lt;/D&gt;&lt;D xsi:type="xsd:long"&gt;44043&lt;/D&gt;&lt;D xsi:type="xsd:long"&gt;44012&lt;/D&gt;&lt;D xsi:type="xsd:long"&gt;43980&lt;/D&gt;&lt;D xsi:type="xsd:long"&gt;43951&lt;/D&gt;&lt;D xsi:type="xsd:long"&gt;43921&lt;/D&gt;&lt;D xsi:type="xsd:long"&gt;43889&lt;/D&gt;&lt;D xsi:type="xsd:long"&gt;43861&lt;/D&gt;&lt;D xsi:type="xsd:long"&gt;43830&lt;/D&gt;&lt;D xsi:type="xsd:long"&gt;43798&lt;/D&gt;&lt;D xsi:type="xsd:long"&gt;43769&lt;/D&gt;&lt;D xsi:type="xsd:long"&gt;43738&lt;/D&gt;&lt;D xsi:type="xsd:long"&gt;43707&lt;/D&gt;&lt;D xsi:type="xsd:long"&gt;43677&lt;/D&gt;&lt;D xsi:type="xsd:long"&gt;43644&lt;/D&gt;&lt;D xsi:type="xsd:long"&gt;43616&lt;/D&gt;&lt;D xsi:type="xsd:long"&gt;43585&lt;/D&gt;&lt;D xsi:type="xsd:long"&gt;43553&lt;/D&gt;&lt;D xsi:type="xsd:long"&gt;43524&lt;/D&gt;&lt;D xsi:type="xsd:long"&gt;43496&lt;/D&gt;&lt;D xsi:type="xsd:long"&gt;43465&lt;/D&gt;&lt;D xsi:type="xsd:long"&gt;43434&lt;/D&gt;&lt;D xsi:type="xsd:long"&gt;43404&lt;/D&gt;&lt;D xsi:type="xsd:long"&gt;43371&lt;/D&gt;&lt;D xsi:type="xsd:long"&gt;43343&lt;/D&gt;&lt;D xsi:type="xsd:long"&gt;43312&lt;/D&gt;&lt;D xsi:type="xsd:long"&gt;43280&lt;/D&gt;&lt;D xsi:type="xsd:long"&gt;43251&lt;/D&gt;&lt;D xsi:type="xsd:long"&gt;43220&lt;/D&gt;&lt;D xsi:type="xsd:long"&gt;43188&lt;/D&gt;&lt;D xsi:type="xsd:long"&gt;43159&lt;/D&gt;&lt;D xsi:type="xsd:long"&gt;43131&lt;/D&gt;&lt;D xsi:type="xsd:long"&gt;43098&lt;/D&gt;&lt;D xsi:type="xsd:long"&gt;43069&lt;/D&gt;&lt;D xsi:type="xsd:long"&gt;43039&lt;/D&gt;&lt;D xsi:type="xsd:long"&gt;43007&lt;/D&gt;&lt;D xsi:type="xsd:long"&gt;42978&lt;/D&gt;&lt;D xsi:type="xsd:long"&gt;42947&lt;/D&gt;&lt;D xsi:type="xsd:long"&gt;42916&lt;/D&gt;&lt;D xsi:type="xsd:long"&gt;42886&lt;/D&gt;&lt;D xsi:type="xsd:long"&gt;42853&lt;/D&gt;&lt;D xsi:type="xsd:long"&gt;42825&lt;/D&gt;&lt;D xsi:type="xsd:long"&gt;42794&lt;/D&gt;&lt;D xsi:type="xsd:long"&gt;42766&lt;/D&gt;&lt;D xsi:type="xsd:long"&gt;42734&lt;/D&gt;&lt;D xsi:type="xsd:long"&gt;42704&lt;/D&gt;&lt;D xsi:type="xsd:long"&gt;42674&lt;/D&gt;&lt;D xsi:type="xsd:long"&gt;42643&lt;/D&gt;&lt;D xsi:type="xsd:long"&gt;42613&lt;/D&gt;&lt;D xsi:type="xsd:long"&gt;42580&lt;/D&gt;&lt;D xsi:type="xsd:long"&gt;42551&lt;/D&gt;&lt;D xsi:type="xsd:long"&gt;42521&lt;/D&gt;&lt;D xsi:type="xsd:long"&gt;42489&lt;/D&gt;&lt;D xsi:type="xsd:long"&gt;42460&lt;/D&gt;&lt;D xsi:type="xsd:long"&gt;42429&lt;/D&gt;&lt;D xsi:type="xsd:long"&gt;42398&lt;/D&gt;&lt;D xsi:type="xsd:long"&gt;42369&lt;/D&gt;&lt;D xsi:type="xsd:long"&gt;42338&lt;/D&gt;&lt;D xsi:type="xsd:long"&gt;42307&lt;/D&gt;&lt;D xsi:type="xsd:long"&gt;42277&lt;/D&gt;&lt;D xsi:type="xsd:long"&gt;42247&lt;/D&gt;&lt;D xsi:type="xsd:long"&gt;42216&lt;/D&gt;&lt;D xsi:type="xsd:long"&gt;42185&lt;/D&gt;&lt;D xsi:type="xsd:long"&gt;42153&lt;/D&gt;&lt;D xsi:type="xsd:long"&gt;42124&lt;/D&gt;&lt;D xsi:type="xsd:long"&gt;42094&lt;/D&gt;&lt;D xsi:type="xsd:long"&gt;42062&lt;/D&gt;&lt;D xsi:type="xsd:long"&gt;42034&lt;/D&gt;&lt;D xsi:type="xsd:long"&gt;42004&lt;/D&gt;&lt;D xsi:type="xsd:long"&gt;41971&lt;/D&gt;&lt;D xsi:type="xsd:long"&gt;41943&lt;/D&gt;&lt;D xsi:type="xsd:long"&gt;41912&lt;/D&gt;&lt;D xsi:type="xsd:long"&gt;41880&lt;/D&gt;&lt;D xsi:type="xsd:long"&gt;41851&lt;/D&gt;&lt;D xsi:type="xsd:long"&gt;41820&lt;/D&gt;&lt;D xsi:type="xsd:long"&gt;41789&lt;/D&gt;&lt;D xsi:type="xsd:long"&gt;41759&lt;/D&gt;&lt;D xsi:type="xsd:long"&gt;41729&lt;/D&gt;&lt;D xsi:type="xsd:long"&gt;41698&lt;/D&gt;&lt;D xsi:type="xsd:long"&gt;41670&lt;/D&gt;&lt;D xsi:type="xsd:long"&gt;41639&lt;/D&gt;&lt;D xsi:type="xsd:long"&gt;41607&lt;/D&gt;&lt;D xsi:type="xsd:long"&gt;41578&lt;/D&gt;&lt;D xsi:type="xsd:long"&gt;41547&lt;/D&gt;&lt;D xsi:type="xsd:long"&gt;41516&lt;/D&gt;&lt;D xsi:type="xsd:long"&gt;41486&lt;/D&gt;&lt;D xsi:type="xsd:long"&gt;41453&lt;/D&gt;&lt;D xsi:type="xsd:long"&gt;41425&lt;/D&gt;&lt;D xsi:type="xsd:long"&gt;41394&lt;/D&gt;&lt;D xsi:type="xsd:long"&gt;41361&lt;/D&gt;&lt;D xsi:type="xsd:long"&gt;41333&lt;/D&gt;&lt;D xsi:type="xsd:long"&gt;41305&lt;/D&gt;&lt;D xsi:type="xsd:long"&gt;41274&lt;/D&gt;&lt;D xsi:type="xsd:long"&gt;41243&lt;/D&gt;&lt;D xsi:type="xsd:long"&gt;41213&lt;/D&gt;&lt;D xsi:type="xsd:long"&gt;41180&lt;/D&gt;&lt;D xsi:type="xsd:long"&gt;41152&lt;/D&gt;&lt;D xsi:type="xsd:long"&gt;41121&lt;/D&gt;&lt;D xsi:type="xsd:long"&gt;41089&lt;/D&gt;&lt;D xsi:type="xsd:long"&gt;41060&lt;/D&gt;&lt;D xsi:type="xsd:long"&gt;41029&lt;/D&gt;&lt;D xsi:type="xsd:long"&gt;40998&lt;/D&gt;&lt;D xsi:type="xsd:long"&gt;40968&lt;/D&gt;&lt;D xsi:type="xsd:long"&gt;40939&lt;/D&gt;&lt;D xsi:type="xsd:long"&gt;40907&lt;/D&gt;&lt;D xsi:type="xsd:long"&gt;40877&lt;/D&gt;&lt;D xsi:type="xsd:long"&gt;40847&lt;/D&gt;&lt;D xsi:type="xsd:long"&gt;40816&lt;/D&gt;&lt;D xsi:type="xsd:long"&gt;40786&lt;/D&gt;&lt;D xsi:type="xsd:long"&gt;40753&lt;/D&gt;&lt;D xsi:type="xsd:long"&gt;40724&lt;/D&gt;&lt;D xsi:type="xsd:long"&gt;40694&lt;/D&gt;&lt;D xsi:type="xsd:long"&gt;40662&lt;/D&gt;&lt;D xsi:type="xsd:long"&gt;40633&lt;/D&gt;&lt;D xsi:type="xsd:long"&gt;40602&lt;/D&gt;&lt;D xsi:type="xsd:long"&gt;40574&lt;/D&gt;&lt;D xsi:type="xsd:long"&gt;40543&lt;/D&gt;&lt;D xsi:type="xsd:long"&gt;40512&lt;/D&gt;&lt;D xsi:type="xsd:long"&gt;40480&lt;/D&gt;&lt;D xsi:type="xsd:long"&gt;40451&lt;/D&gt;&lt;D xsi:type="xsd:long"&gt;40421&lt;/D&gt;&lt;D xsi:type="xsd:long"&gt;40389&lt;/D&gt;&lt;D xsi:type="xsd:long"&gt;40359&lt;/D&gt;&lt;D xsi:type="xsd:long"&gt;40326&lt;/D&gt;&lt;D xsi:type="xsd:long"&gt;40298&lt;/D&gt;&lt;D xsi:type="xsd:long"&gt;40268&lt;/D&gt;&lt;D xsi:type="xsd:long"&gt;40235&lt;/D&gt;&lt;D xsi:type="xsd:long"&gt;40207&lt;/D&gt;&lt;D xsi:type="xsd:long"&gt;40178&lt;/D&gt;&lt;D xsi:type="xsd:long"&gt;40147&lt;/D&gt;&lt;D xsi:type="xsd:long"&gt;40116&lt;/D&gt;&lt;D xsi:type="xsd:long"&gt;40086&lt;/D&gt;&lt;D xsi:type="xsd:long"&gt;40056&lt;/D&gt;&lt;D xsi:type="xsd:long"&gt;40025&lt;/D&gt;&lt;D xsi:type="xsd:long"&gt;39994&lt;/D&gt;&lt;D xsi:type="xsd:long"&gt;39962&lt;/D&gt;&lt;D xsi:type="xsd:long"&gt;39933&lt;/D&gt;&lt;D xsi:type="xsd:long"&gt;39903&lt;/D&gt;&lt;D xsi:type="xsd:long"&gt;39871&lt;/D&gt;&lt;D xsi:type="xsd:long"&gt;39843&lt;/D&gt;&lt;D xsi:type="xsd:long"&gt;39813&lt;/D&gt;&lt;D xsi:type="xsd:long"&gt;39780&lt;/D&gt;&lt;D xsi:type="xsd:long"&gt;39752&lt;/D&gt;&lt;D xsi:type="xsd:long"&gt;39721&lt;/D&gt;&lt;D xsi:type="xsd:long"&gt;39689&lt;/D&gt;&lt;D xsi:type="xsd:long"&gt;39660&lt;/D&gt;&lt;D xsi:type="xsd:long"&gt;39629&lt;/D&gt;&lt;D xsi:type="xsd:long"&gt;39598&lt;/D&gt;&lt;D xsi:type="xsd:long"&gt;39568&lt;/D&gt;&lt;D xsi:type="xsd:long"&gt;39538&lt;/D&gt;&lt;D xsi:type="xsd:long"&gt;39507&lt;/D&gt;&lt;D xsi:type="xsd:long"&gt;39478&lt;/D&gt;&lt;D xsi:type="xsd:long"&gt;39447&lt;/D&gt;&lt;D xsi:type="xsd:long"&gt;39416&lt;/D&gt;&lt;D xsi:type="xsd:long"&gt;39386&lt;/D&gt;&lt;D xsi:type="xsd:long"&gt;39353&lt;/D&gt;&lt;D xsi:type="xsd:long"&gt;39325&lt;/D&gt;&lt;D xsi:type="xsd:long"&gt;39294&lt;/D&gt;&lt;D xsi:type="xsd:long"&gt;39262&lt;/D&gt;&lt;D xsi:type="xsd:long"&gt;39233&lt;/D&gt;&lt;D xsi:type="xsd:long"&gt;39202&lt;/D&gt;&lt;D xsi:type="xsd:long"&gt;39171&lt;/D&gt;&lt;D xsi:type="xsd:long"&gt;39141&lt;/D&gt;&lt;D xsi:type="xsd:long"&gt;39113&lt;/D&gt;&lt;D xsi:type="xsd:long"&gt;39080&lt;/D&gt;&lt;D xsi:type="xsd:long"&gt;39051&lt;/D&gt;&lt;D xsi:type="xsd:long"&gt;39021&lt;/D&gt;&lt;D xsi:type="xsd:long"&gt;38989&lt;/D&gt;&lt;D xsi:type="xsd:long"&gt;38960&lt;/D&gt;&lt;D xsi:type="xsd:long"&gt;38929&lt;/D&gt;&lt;D xsi:type="xsd:long"&gt;38898&lt;/D&gt;&lt;D xsi:type="xsd:long"&gt;38868&lt;/D&gt;&lt;D xsi:type="xsd:long"&gt;38835&lt;/D&gt;&lt;D xsi:type="xsd:long"&gt;38807&lt;/D&gt;&lt;D xsi:type="xsd:long"&gt;38776&lt;/D&gt;&lt;D xsi:type="xsd:long"&gt;38748&lt;/D&gt;&lt;D xsi:type="xsd:long"&gt;38716&lt;/D&gt;&lt;D xsi:type="xsd:long"&gt;38686&lt;/D&gt;&lt;D xsi:type="xsd:long"&gt;38656&lt;/D&gt;&lt;D xsi:type="xsd:long"&gt;38625&lt;/D&gt;&lt;D xsi:type="xsd:long"&gt;38595&lt;/D&gt;&lt;D xsi:type="xsd:long"&gt;38562&lt;/D&gt;&lt;D xsi:type="xsd:long"&gt;38533&lt;/D&gt;&lt;D xsi:type="xsd:long"&gt;38503&lt;/D&gt;&lt;D xsi:type="xsd:long"&gt;38471&lt;/D&gt;&lt;D xsi:type="xsd:long"&gt;38442&lt;/D&gt;&lt;D xsi:type="xsd:long"&gt;38411&lt;/D&gt;&lt;D xsi:type="xsd:long"&gt;38383&lt;/D&gt;&lt;D xsi:type="xsd:long"&gt;38352&lt;/D&gt;&lt;D xsi:type="xsd:long"&gt;38321&lt;/D&gt;&lt;D xsi:type="xsd:long"&gt;38289&lt;/D&gt;&lt;D xsi:type="xsd:long"&gt;38260&lt;/D&gt;&lt;D xsi:type="xsd:long"&gt;38230&lt;/D&gt;&lt;D xsi:type="xsd:long"&gt;38198&lt;/D&gt;&lt;D xsi:type="xsd:long"&gt;38168&lt;/D&gt;&lt;D xsi:type="xsd:long"&gt;38135&lt;/D&gt;&lt;D xsi:type="xsd:long"&gt;38107&lt;/D&gt;&lt;D xsi:type="xsd:long"&gt;38077&lt;/D&gt;&lt;D xsi:type="xsd:long"&gt;38044&lt;/D&gt;&lt;D xsi:type="xsd:long"&gt;38016&lt;/D&gt;&lt;D xsi:type="xsd:long"&gt;37986&lt;/D&gt;&lt;D xsi:type="xsd:long"&gt;37953&lt;/D&gt;&lt;D xsi:type="xsd:long"&gt;37925&lt;/D&gt;&lt;D xsi:type="xsd:long"&gt;37894&lt;/D&gt;&lt;D xsi:type="xsd:long"&gt;37862&lt;/D&gt;&lt;D xsi:type="xsd:long"&gt;37833&lt;/D&gt;&lt;D xsi:type="xsd:long"&gt;37802&lt;/D&gt;&lt;D xsi:type="xsd:long"&gt;37771&lt;/D&gt;&lt;D xsi:type="xsd:long"&gt;37741&lt;/D&gt;&lt;D xsi:type="xsd:long"&gt;37711&lt;/D&gt;&lt;D xsi:type="xsd:long"&gt;37680&lt;/D&gt;&lt;D xsi:type="xsd:long"&gt;37652&lt;/D&gt;&lt;D xsi:type="xsd:long"&gt;37621&lt;/D&gt;&lt;D xsi:type="xsd:long"&gt;37589&lt;/D&gt;&lt;D xsi:type="xsd:long"&gt;37560&lt;/D&gt;&lt;D xsi:type="xsd:long"&gt;37529&lt;/D&gt;&lt;D xsi:type="xsd:long"&gt;37498&lt;/D&gt;&lt;D xsi:type="xsd:long"&gt;37468&lt;/D&gt;&lt;D xsi:type="xsd:long"&gt;37435&lt;/D&gt;&lt;D xsi:type="xsd:long"&gt;37407&lt;/D&gt;&lt;D xsi:type="xsd:long"&gt;37376&lt;/D&gt;&lt;D xsi:type="xsd:long"&gt;37343&lt;/D&gt;&lt;D xsi:type="xsd:long"&gt;37315&lt;/D&gt;&lt;D xsi:type="xsd:long"&gt;37287&lt;/D&gt;&lt;D xsi:type="xsd:long"&gt;37256&lt;/D&gt;&lt;D xsi:type="xsd:long"&gt;37225&lt;/D&gt;&lt;D xsi:type="xsd:long"&gt;37195&lt;/D&gt;&lt;D xsi:type="xsd:long"&gt;37162&lt;/D&gt;&lt;D xsi:type="xsd:long"&gt;37134&lt;/D&gt;&lt;D xsi:type="xsd:long"&gt;37103&lt;/D&gt;&lt;D xsi:type="xsd:long"&gt;37071&lt;/D&gt;&lt;D xsi:type="xsd:long"&gt;37042&lt;/D&gt;&lt;D xsi:type="xsd:long"&gt;37011&lt;/D&gt;&lt;D xsi:type="xsd:long"&gt;36980&lt;/D&gt;&lt;D xsi:type="xsd:long"&gt;36950&lt;/D&gt;&lt;D xsi:type="xsd:long"&gt;36922&lt;/D&gt;&lt;D xsi:type="xsd:long"&gt;36889&lt;/D&gt;&lt;D xsi:type="xsd:long"&gt;36860&lt;/D&gt;&lt;D xsi:type="xsd:long"&gt;36830&lt;/D&gt;&lt;D xsi:type="xsd:long"&gt;36798&lt;/D&gt;&lt;D xsi:type="xsd:long"&gt;36769&lt;/D&gt;&lt;D xsi:type="xsd:long"&gt;36738&lt;/D&gt;&lt;D xsi:type="xsd:long"&gt;36707&lt;/D&gt;&lt;D xsi:type="xsd:long"&gt;36677&lt;/D&gt;&lt;D xsi:type="xsd:long"&gt;36644&lt;/D&gt;&lt;D xsi:type="xsd:long"&gt;36616&lt;/D&gt;&lt;D xsi:type="xsd:long"&gt;36585&lt;/D&gt;&lt;D xsi:type="xsd:long"&gt;36556&lt;/D&gt;&lt;/FQL&gt;&lt;FQL&gt;&lt;Q&gt;991000^FG_PRICE(2/27/2026,1/31/2000,M)&lt;/Q&gt;&lt;R&gt;314&lt;/R&gt;&lt;C&gt;1&lt;/C&gt;&lt;D xsi:type="xsd:double"&gt;2021.713677&lt;/D&gt;&lt;D xsi:type="xsd:double"&gt;1916.284817&lt;/D&gt;&lt;D xsi:type="xsd:double"&gt;1864.526686&lt;/D&gt;&lt;D xsi:type="xsd:double"&gt;1829.978561&lt;/D&gt;&lt;D xsi:type="xsd:double"&gt;1816.090054&lt;/D&gt;&lt;D xsi:type="xsd:double"&gt;1762.435599&lt;/D&gt;&lt;D xsi:type="xsd:double"&gt;1729.179371&lt;/D&gt;&lt;D xsi:type="xsd:double"&gt;1691.785147&lt;/D&gt;&lt;D xsi:type="xsd:double"&gt;1669.282653&lt;/D&gt;&lt;D xsi:type="xsd:double"&gt;1663.292184&lt;/D&gt;&lt;D xsi:type="xsd:double"&gt;1596.583229&lt;/D&gt;&lt;D xsi:type="xsd:double"&gt;1603.0625&lt;/D&gt;&lt;D xsi:type="xsd:double"&gt;1655.222179&lt;/D&gt;&lt;D xsi:type="xsd:double"&gt;1643.995713&lt;/D&gt;&lt;D xsi:type="xsd:double"&gt;1571.422105&lt;/D&gt;&lt;D xsi:type="xsd:double"&gt;1572.812146&lt;/D&gt;&lt;D xsi:type="xsd:double"&gt;1555.027557&lt;/D&gt;&lt;D xsi:type="xsd:double"&gt;1577.191905&lt;/D&gt;&lt;D xsi:type="xsd:double"&gt;1582.430488&lt;/D&gt;&lt;D xsi:type="xsd:double"&gt;1576.943443&lt;/D&gt;&lt;D xsi:type="xsd:double"&gt;1557.747522&lt;/D&gt;&lt;D xsi:type="xsd:double"&gt;1570.443276&lt;/D&gt;&lt;D xsi:type="xsd:double"&gt;1540.494185&lt;/D&gt;&lt;D xsi:type="xsd:double"&gt;1559.949155&lt;/D&gt;&lt;D xsi:type="xsd:double"&gt;1508.689409&lt;/D&gt;&lt;D xsi:type="xsd:double"&gt;1467.763051&lt;/D&gt;&lt;D xsi:type="xsd:double"&gt;1434.274449&lt;/D&gt;&lt;D xsi:type="xsd:double"&gt;1394.341015&lt;/D&gt;&lt;D xsi:type="xsd:double"&gt;1319.959054&lt;/D&gt;&lt;D xsi:type="xsd:double"&gt;1366.261217&lt;/D&gt;&lt;D xsi:type="xsd:double"&gt;1388.066002&lt;/D&gt;&lt;D xsi:type="xsd:double"&gt;1417.420649&lt;/D&gt;&lt;D xsi:type="xsd:double"&gt;1393.727513&lt;/D&gt;&lt;D xsi:type="xsd:double"&gt;1347.181778&lt;/D&gt;&lt;D xsi:type="xsd:double"&gt;1381.307691&lt;/D&gt;&lt;D xsi:type="xsd:double"&gt;1353.989191&lt;/D&gt;&lt;D xsi:type="xsd:double"&gt;1356.063387&lt;/D&gt;&lt;D xsi:type="xsd:double"&gt;1354.113905&lt;/D&gt;&lt;D xsi:type="xsd:double"&gt;1273.277436&lt;/D&gt;&lt;D xsi:type="xsd:double"&gt;1317.156689&lt;/D&gt;&lt;D xsi:type="xsd:double"&gt;1241.043301&lt;/D&gt;&lt;D xsi:type="xsd:double"&gt;1178.459958&lt;/D&gt;&lt;D xsi:type="xsd:double"&gt;1258.009279&lt;/D&gt;&lt;D xsi:type="xsd:double"&gt;1290.145143&lt;/D&gt;&lt;D xsi:type="xsd:double"&gt;1228.702445&lt;/D&gt;&lt;D xsi:type="xsd:double"&gt;1317.629566&lt;/D&gt;&lt;D xsi:type="xsd:double"&gt;1325.953081&lt;/D&gt;&lt;D xsi:type="xsd:double"&gt;1355.052631&lt;/D&gt;&lt;D xsi:type="xsd:double"&gt;1331.031982&lt;/D&gt;&lt;D xsi:type="xsd:double"&gt;1359.983451&lt;/D&gt;&lt;D xsi:type="xsd:double"&gt;1406.712734&lt;/D&gt;&lt;D xsi:type="xsd:double"&gt;1351.306998&lt;/D&gt;&lt;D xsi:type="xsd:double"&gt;1386.620659&lt;/D&gt;&lt;D xsi:type="xsd:double"&gt;1354.068808&lt;/D&gt;&lt;D xsi:type="xsd:double"&gt;1377.323445&lt;/D&gt;&lt;D xsi:type="xsd:double"&gt;1351.210835&lt;/D&gt;&lt;D xsi:type="xsd:double"&gt;1346.342058&lt;/D&gt;&lt;D xsi:type="xsd:double"&gt;1337.303835&lt;/D&gt;&lt;D xsi:type="xsd:double"&gt;1303.854147&lt;/D&gt;&lt;D xsi:type="xsd:double"&gt;1289.899957&lt;/D&gt;&lt;D xsi:type="xsd:double"&gt;1232.203896&lt;/D&gt;&lt;D xsi:type="xsd:double"&gt;1200.215311&lt;/D&gt;&lt;D xsi:type="xsd:double"&gt;1205.834387&lt;/D&gt;&lt;D xsi:type="xsd:double"&gt;1178.637012&lt;/D&gt;&lt;D xsi:type="xsd:double"&gt;1045.405887&lt;/D&gt;&lt;D xsi:type="xsd:double"&gt;1088.44736&lt;/D&gt;&lt;D xsi:type="xsd:double"&gt;1103.91332&lt;/D&gt;&lt;D xsi:type="xsd:double"&gt;1064.054818&lt;/D&gt;&lt;D xsi:type="xsd:double"&gt;1078.787525&lt;/D&gt;&lt;D xsi:type="xsd:double"&gt;1053.534902&lt;/D&gt;&lt;D xsi:type="xsd:double"&gt;1016.335459&lt;/D&gt;&lt;D xsi:type="xsd:double"&gt;962.260961&lt;/D&gt;&lt;D xsi:type="xsd:double"&gt;1110.441005&lt;/D&gt;&lt;D xsi:type="xsd:double"&gt;1207.749862&lt;/D&gt;&lt;D xsi:type="xsd:double"&gt;1220.220324&lt;/D&gt;&lt;D xsi:type="xsd:double"&gt;1206.538523&lt;/D&gt;&lt;D xsi:type="xsd:double"&gt;1182.130022&lt;/D&gt;&lt;D xsi:type="xsd:double"&gt;1166.604066&lt;/D&gt;&lt;D xsi:type="xsd:double"&gt;1132.013129&lt;/D&gt;&lt;D xsi:type="xsd:double"&gt;1160.619559&lt;/D&gt;&lt;D xsi:type="xsd:double"&gt;1153.925721&lt;/D&gt;&lt;D xsi:type="xsd:double"&gt;1110.20516&lt;/D&gt;&lt;D xsi:type="xsd:double"&gt;1169.966994&lt;/D&gt;&lt;D xsi:type="xsd:double"&gt;1135.149766&lt;/D&gt;&lt;D xsi:type="xsd:double"&gt;1126.460708&lt;/D&gt;&lt;D xsi:type="xsd:double"&gt;1091.305418&lt;/D&gt;&lt;D xsi:type="xsd:double"&gt;1033.126166&lt;/D&gt;&lt;D xsi:type="xsd:double"&gt;1098.661999&lt;/D&gt;&lt;D xsi:type="xsd:double"&gt;1101.408977&lt;/D&gt;&lt;D xsi:type="xsd:double"&gt;1179.213579&lt;/D&gt;&lt;D xsi:type="xsd:double"&gt;1168.125407&lt;/D&gt;&lt;D xsi:type="xsd:double"&gt;1190.812017&lt;/D&gt;&lt;D xsi:type="xsd:double"&gt;1162.106095&lt;/D&gt;&lt;D xsi:type="xsd:double"&gt;1165.838776&lt;/D&gt;&lt;D xsi:type="xsd:double"&gt;1176.294254&lt;/D&gt;&lt;D xsi:type="xsd:double"&gt;1130.440487&lt;/D&gt;&lt;D xsi:type="xsd:double"&gt;1161.167527&lt;/D&gt;&lt;D xsi:type="xsd:double"&gt;1202.6057&lt;/D&gt;&lt;D xsi:type="xsd:double"&gt;1191.223679&lt;/D&gt;&lt;D xsi:type="xsd:double"&gt;1178.45029&lt;/D&gt;&lt;D xsi:type="xsd:double"&gt;1185.440031&lt;/D&gt;&lt;D xsi:type="xsd:double"&gt;1152.255197&lt;/D&gt;&lt;D xsi:type="xsd:double"&gt;1123.973327&lt;/D&gt;&lt;D xsi:type="xsd:double"&gt;1126.988527&lt;/D&gt;&lt;D xsi:type="xsd:double"&gt;1120.4681&lt;/D&gt;&lt;D xsi:type="xsd:double"&gt;1131.532777&lt;/D&gt;&lt;D xsi:type="xsd:double"&gt;1117.762284&lt;/D&gt;&lt;D xsi:type="xsd:double"&gt;1106.161638&lt;/D&gt;&lt;D xsi:type="xsd:double"&gt;1086.219646&lt;/D&gt;&lt;D xsi:type="xsd:double"&gt;1067.798421&lt;/D&gt;&lt;D xsi:type="xsd:double"&gt;1066.490838&lt;/D&gt;&lt;D xsi:type="xsd:double"&gt;1024.044893&lt;/D&gt;&lt;D xsi:type="xsd:double"&gt;1012.029528&lt;/D&gt;&lt;D xsi:type="xsd:double"&gt;1000.968697&lt;/D&gt;&lt;D xsi:type="xsd:double"&gt;999.862774&lt;/D&gt;&lt;D xsi:type="xsd:double"&gt;993.233717&lt;/D&gt;&lt;D xsi:type="xsd:double"&gt;949.556275&lt;/D&gt;&lt;D xsi:type="xsd:double"&gt;985.907529&lt;/D&gt;&lt;D xsi:type="xsd:double"&gt;973.990977&lt;/D&gt;&lt;D xsi:type="xsd:double"&gt;963.910474&lt;/D&gt;&lt;D xsi:type="xsd:double"&gt;938.976008&lt;/D&gt;&lt;D xsi:type="xsd:double"&gt;973.456769&lt;/D&gt;&lt;D xsi:type="xsd:double"&gt;1030.718131&lt;/D&gt;&lt;D xsi:type="xsd:double"&gt;1060.82814&lt;/D&gt;&lt;D xsi:type="xsd:double"&gt;1050.302346&lt;/D&gt;&lt;D xsi:type="xsd:double"&gt;978.705747&lt;/D&gt;&lt;D xsi:type="xsd:double"&gt;1029.787788&lt;/D&gt;&lt;D xsi:type="xsd:double"&gt;1114.809414&lt;/D&gt;&lt;D xsi:type="xsd:double"&gt;1080.41777&lt;/D&gt;&lt;D xsi:type="xsd:double"&gt;1130.660025&lt;/D&gt;&lt;D xsi:type="xsd:double"&gt;1121.695525&lt;/D&gt;&lt;D xsi:type="xsd:double"&gt;1111.449148&lt;/D&gt;&lt;D xsi:type="xsd:double"&gt;1104.856911&lt;/D&gt;&lt;D xsi:type="xsd:double"&gt;1043.413415&lt;/D&gt;&lt;D xsi:type="xsd:double"&gt;1016.091377&lt;/D&gt;&lt;D xsi:type="xsd:double"&gt;1030.772747&lt;/D&gt;&lt;D xsi:type="xsd:double"&gt;999.490337&lt;/D&gt;&lt;D xsi:type="xsd:double"&gt;1004.747923&lt;/D&gt;&lt;D xsi:type="xsd:double"&gt;1009.430943&lt;/D&gt;&lt;D xsi:type="xsd:double"&gt;1001.430266&lt;/D&gt;&lt;D xsi:type="xsd:double"&gt;1001.598274&lt;/D&gt;&lt;D xsi:type="xsd:double"&gt;998.15932&lt;/D&gt;&lt;D xsi:type="xsd:double"&gt;982.308711&lt;/D&gt;&lt;D xsi:type="xsd:double"&gt;976.473638&lt;/D&gt;&lt;D xsi:type="xsd:double"&gt;983.754235&lt;/D&gt;&lt;D xsi:type="xsd:double"&gt;950.399561&lt;/D&gt;&lt;D xsi:type="xsd:double"&gt;980.595135&lt;/D&gt;&lt;D xsi:type="xsd:double"&gt;967.534377&lt;/D&gt;&lt;D xsi:type="xsd:double"&gt;955.546916&lt;/D&gt;&lt;D xsi:type="xsd:double"&gt;924.331139&lt;/D&gt;&lt;D xsi:type="xsd:double"&gt;888.589922&lt;/D&gt;&lt;D xsi:type="xsd:double"&gt;901.207952&lt;/D&gt;&lt;D xsi:type="xsd:double"&gt;865.780894&lt;/D&gt;&lt;D xsi:type="xsd:double"&gt;900.157161&lt;/D&gt;&lt;D xsi:type="xsd:double"&gt;898.149135&lt;/D&gt;&lt;D xsi:type="xsd:double"&gt;869.297323&lt;/D&gt;&lt;D xsi:type="xsd:double"&gt;859.910206&lt;/D&gt;&lt;D xsi:type="xsd:double"&gt;846.641199&lt;/D&gt;&lt;D xsi:type="xsd:double"&gt;803.128375&lt;/D&gt;&lt;D xsi:type="xsd:double"&gt;779.930448&lt;/D&gt;&lt;D xsi:type="xsd:double"&gt;762.377956&lt;/D&gt;&lt;D xsi:type="xsd:double"&gt;754.216679&lt;/D&gt;&lt;D xsi:type="xsd:double"&gt;743.831144&lt;/D&gt;&lt;D xsi:type="xsd:double"&gt;733.642367&lt;/D&gt;&lt;D xsi:type="xsd:double"&gt;724.29288&lt;/D&gt;&lt;D xsi:type="xsd:double"&gt;692.979229&lt;/D&gt;&lt;D xsi:type="xsd:double"&gt;753.139523&lt;/D&gt;&lt;D xsi:type="xsd:double"&gt;776.029252&lt;/D&gt;&lt;D xsi:type="xsd:double"&gt;777.540064&lt;/D&gt;&lt;D xsi:type="xsd:double"&gt;741.201433&lt;/D&gt;&lt;D xsi:type="xsd:double"&gt;713.68728&lt;/D&gt;&lt;D xsi:type="xsd:double"&gt;712.728414&lt;/D&gt;&lt;D xsi:type="xsd:double"&gt;731.602558&lt;/D&gt;&lt;D xsi:type="xsd:double"&gt;690.062243&lt;/D&gt;&lt;D xsi:type="xsd:double"&gt;727.610992&lt;/D&gt;&lt;D xsi:type="xsd:double"&gt;792.506362&lt;/D&gt;&lt;D xsi:type="xsd:double"&gt;821.59049&lt;/D&gt;&lt;D xsi:type="xsd:double"&gt;835.073016&lt;/D&gt;&lt;D xsi:type="xsd:double"&gt;852.087048&lt;/D&gt;&lt;D xsi:type="xsd:double"&gt;842.105675&lt;/D&gt;&lt;D xsi:type="xsd:double"&gt;867.827752&lt;/D&gt;&lt;D xsi:type="xsd:double"&gt;847.589518&lt;/D&gt;&lt;D xsi:type="xsd:double"&gt;835.398249&lt;/D&gt;&lt;D xsi:type="xsd:double"&gt;798.518331&lt;/D&gt;&lt;D xsi:type="xsd:double"&gt;805.824609&lt;/D&gt;&lt;D xsi:type="xsd:double"&gt;791.636875&lt;/D&gt;&lt;D xsi:type="xsd:double"&gt;755.973091&lt;/D&gt;&lt;D xsi:type="xsd:double"&gt;775.159817&lt;/D&gt;&lt;D xsi:type="xsd:double"&gt;741.928039&lt;/D&gt;&lt;D xsi:type="xsd:double"&gt;765.66033&lt;/D&gt;&lt;D xsi:type="xsd:double"&gt;828.147112&lt;/D&gt;&lt;D xsi:type="xsd:double"&gt;839.03482&lt;/D&gt;&lt;D xsi:type="xsd:double"&gt;786.504111&lt;/D&gt;&lt;D xsi:type="xsd:double"&gt;780.680436&lt;/D&gt;&lt;D xsi:type="xsd:double"&gt;810.898506&lt;/D&gt;&lt;D xsi:type="xsd:double"&gt;771.055834&lt;/D&gt;&lt;D xsi:type="xsd:double"&gt;768.201743&lt;/D&gt;&lt;D xsi:type="xsd:double"&gt;788.391803&lt;/D&gt;&lt;D xsi:type="xsd:double"&gt;771.712696&lt;/D&gt;&lt;D xsi:type="xsd:double"&gt;743.839508&lt;/D&gt;&lt;D xsi:type="xsd:double"&gt;693.611533&lt;/D&gt;&lt;D xsi:type="xsd:double"&gt;697.075675&lt;/D&gt;&lt;D xsi:type="xsd:double"&gt;662.687678&lt;/D&gt;&lt;D xsi:type="xsd:double"&gt;599.184174&lt;/D&gt;&lt;D xsi:type="xsd:double"&gt;577.507331&lt;/D&gt;&lt;D xsi:type="xsd:double"&gt;626.308126&lt;/D&gt;&lt;D xsi:type="xsd:double"&gt;667.024009&lt;/D&gt;&lt;D xsi:type="xsd:double"&gt;662.187067&lt;/D&gt;&lt;D xsi:type="xsd:double"&gt;696.642661&lt;/D&gt;&lt;D xsi:type="xsd:double"&gt;826.580165&lt;/D&gt;&lt;D xsi:type="xsd:double"&gt;945.128809&lt;/D&gt;&lt;D xsi:type="xsd:double"&gt;937.561397&lt;/D&gt;&lt;D xsi:type="xsd:double"&gt;961.055021&lt;/D&gt;&lt;D xsi:type="xsd:double"&gt;1049.122914&lt;/D&gt;&lt;D xsi:type="xsd:double"&gt;1038.627644&lt;/D&gt;&lt;D xsi:type="xsd:double"&gt;972.501224&lt;/D&gt;&lt;D xsi:type="xsd:double"&gt;1013.292943&lt;/D&gt;&lt;D xsi:type="xsd:double"&gt;1018.776714&lt;/D&gt;&lt;D xsi:type="xsd:double"&gt;1138.290267&lt;/D&gt;&lt;D xsi:type="xsd:double"&gt;1150.228988&lt;/D&gt;&lt;D xsi:type="xsd:double"&gt;1203.831064&lt;/D&gt;&lt;D xsi:type="xsd:double"&gt;1174.501359&lt;/D&gt;&lt;D xsi:type="xsd:double"&gt;1150.007535&lt;/D&gt;&lt;D xsi:type="xsd:double"&gt;1169.33138&lt;/D&gt;&lt;D xsi:type="xsd:double"&gt;1206.259898&lt;/D&gt;&lt;D xsi:type="xsd:double"&gt;1211.71573&lt;/D&gt;&lt;D xsi:type="xsd:double"&gt;1178.430443&lt;/D&gt;&lt;D xsi:type="xsd:double"&gt;1149.877188&lt;/D&gt;&lt;D xsi:type="xsd:double"&gt;1132.223534&lt;/D&gt;&lt;D xsi:type="xsd:double"&gt;1138.984927&lt;/D&gt;&lt;D xsi:type="xsd:double"&gt;1119.311443&lt;/D&gt;&lt;D xsi:type="xsd:double"&gt;1076.057494&lt;/D&gt;&lt;D xsi:type="xsd:double"&gt;1074.259352&lt;/D&gt;&lt;D xsi:type="xsd:double"&gt;1045.623826&lt;/D&gt;&lt;D xsi:type="xsd:double"&gt;1035.654117&lt;/D&gt;&lt;D xsi:type="xsd:double"&gt;1010.213609&lt;/D&gt;&lt;D xsi:type="xsd:double"&gt;1002.922642&lt;/D&gt;&lt;D xsi:type="xsd:double"&gt;995.549648&lt;/D&gt;&lt;D xsi:type="xsd:double"&gt;1060.545675&lt;/D&gt;&lt;D xsi:type="xsd:double"&gt;1057.196747&lt;/D&gt;&lt;D xsi:type="xsd:double"&gt;1023.667308&lt;/D&gt;&lt;D xsi:type="xsd:double"&gt;1018.680901&lt;/D&gt;&lt;D xsi:type="xsd:double"&gt;982.465775&lt;/D&gt;&lt;D xsi:type="xsd:double"&gt;940.727077&lt;/D&gt;&lt;D xsi:type="xsd:double"&gt;901.971229&lt;/D&gt;&lt;D xsi:type="xsd:double"&gt;922.593071&lt;/D&gt;&lt;D xsi:type="xsd:double"&gt;871.657327&lt;/D&gt;&lt;D xsi:type="xsd:double"&gt;862.51511&lt;/D&gt;&lt;D xsi:type="xsd:double"&gt;831.366541&lt;/D&gt;&lt;D xsi:type="xsd:double"&gt;805.518907&lt;/D&gt;&lt;D xsi:type="xsd:double"&gt;778.234638&lt;/D&gt;&lt;D xsi:type="xsd:double"&gt;803.380194&lt;/D&gt;&lt;D xsi:type="xsd:double"&gt;809.029597&lt;/D&gt;&lt;D xsi:type="xsd:double"&gt;786.450612&lt;/D&gt;&lt;D xsi:type="xsd:double"&gt;781.219169&lt;/D&gt;&lt;D xsi:type="xsd:double"&gt;757.281897&lt;/D&gt;&lt;D xsi:type="xsd:double"&gt;740.187016&lt;/D&gt;&lt;D xsi:type="xsd:double"&gt;733.580143&lt;/D&gt;&lt;D xsi:type="xsd:double"&gt;723.272177&lt;/D&gt;&lt;D xsi:type="xsd:double"&gt;726.365141&lt;/D&gt;&lt;D xsi:type="xsd:double"&gt;743.444393&lt;/D&gt;&lt;D xsi:type="xsd:double"&gt;725.793017&lt;/D&gt;&lt;D xsi:type="xsd:double"&gt;738.604284&lt;/D&gt;&lt;D xsi:type="xsd:double"&gt;733.246129&lt;/D&gt;&lt;D xsi:type="xsd:double"&gt;736.426894&lt;/D&gt;&lt;D xsi:type="xsd:double"&gt;719.300849&lt;/D&gt;&lt;D xsi:type="xsd:double"&gt;708.344032&lt;/D&gt;&lt;D xsi:type="xsd:double"&gt;683.327486&lt;/D&gt;&lt;D xsi:type="xsd:double"&gt;682.080748&lt;/D&gt;&lt;D xsi:type="xsd:double"&gt;649.16414&lt;/D&gt;&lt;D xsi:type="xsd:double"&gt;663.536905&lt;/D&gt;&lt;D xsi:type="xsd:double"&gt;644.308514&lt;/D&gt;&lt;D xsi:type="xsd:double"&gt;618.673057&lt;/D&gt;&lt;D xsi:type="xsd:double"&gt;600.169455&lt;/D&gt;&lt;D xsi:type="xsd:double"&gt;585.676859&lt;/D&gt;&lt;D xsi:type="xsd:double"&gt;543.292&lt;/D&gt;&lt;D xsi:type="xsd:double"&gt;558.856&lt;/D&gt;&lt;D xsi:type="xsd:double"&gt;569.591&lt;/D&gt;&lt;D xsi:type="xsd:double"&gt;601.254&lt;/D&gt;&lt;D xsi:type="xsd:double"&gt;646.096&lt;/D&gt;&lt;D xsi:type="xsd:double"&gt;618.664&lt;/D&gt;&lt;D xsi:type="xsd:double"&gt;587.944&lt;/D&gt;&lt;D xsi:type="xsd:double"&gt;659.306&lt;/D&gt;&lt;D xsi:type="xsd:double"&gt;662.162&lt;/D&gt;&lt;D xsi:type="xsd:double"&gt;736.048&lt;/D&gt;&lt;D xsi:type="xsd:double"&gt;800.37&lt;/D&gt;&lt;D xsi:type="xsd:double"&gt;814.78&lt;/D&gt;&lt;D xsi:type="xsd:double"&gt;838.09&lt;/D&gt;&lt;D xsi:type="xsd:double"&gt;801.831&lt;/D&gt;&lt;D xsi:type="xsd:double"&gt;800.272&lt;/D&gt;&lt;D xsi:type="xsd:double"&gt;822.087&lt;/D&gt;&lt;D xsi:type="xsd:double"&gt;808.173&lt;/D&gt;&lt;D xsi:type="xsd:double"&gt;772.71&lt;/D&gt;&lt;D xsi:type="xsd:double"&gt;744.786&lt;/D&gt;&lt;D xsi:type="xsd:double"&gt;831.47&lt;/D&gt;&lt;D xsi:type="xsd:double"&gt;883.419&lt;/D&gt;&lt;D xsi:type="xsd:double"&gt;915.437&lt;/D&gt;&lt;D xsi:type="xsd:double"&gt;943.141&lt;/D&gt;&lt;D xsi:type="xsd:double"&gt;965.854&lt;/D&gt;&lt;D xsi:type="xsd:double"&gt;911.536&lt;/D&gt;&lt;D xsi:type="xsd:double"&gt;942.91&lt;/D&gt;&lt;D xsi:type="xsd:double"&gt;1011.472&lt;/D&gt;&lt;D xsi:type="xsd:double"&gt;996.302&lt;/D&gt;&lt;D xsi:type="xsd:double"&gt;1003.542&lt;/D&gt;&lt;D xsi:type="xsd:double"&gt;1050.695&lt;/D&gt;&lt;D xsi:type="xsd:double"&gt;1054.083&lt;/D&gt;&lt;D xsi:type="xsd:double"&gt;1105.988&lt;/D&gt;&lt;D xsi:type="xsd:double"&gt;1074.544&lt;/D&gt;&lt;D xsi:type="xsd:double"&gt;1088.302&lt;/D&gt;&lt;D xsi:type="xsd:double"&gt;1069.663&lt;/D&gt;&lt;D xsi:type="xsd:double"&gt;1095.247&lt;/D&gt;&lt;D xsi:type="xsd:double"&gt;1110.959&lt;/D&gt;&lt;D xsi:type="xsd:double"&gt;1087.216&lt;/D&gt;&lt;D xsi:type="xsd:double"&gt;1038.052&lt;/D&gt;&lt;/FQL&gt;&lt;FQL&gt;&lt;Q&gt;991000^JULIAN(FG_PRICE(2/27/2026,1/31/2000,M).DATES)&lt;/Q&gt;&lt;R&gt;314&lt;/R&gt;&lt;C&gt;1&lt;/C&gt;&lt;D xsi:type="xsd:long"&gt;46080&lt;/D&gt;&lt;D xsi:type="xsd:long"&gt;46052&lt;/D&gt;&lt;D xsi:type="xsd:long"&gt;46022&lt;/D&gt;&lt;D xsi:type="xsd:long"&gt;45989&lt;/D&gt;&lt;D xsi:type="xsd:long"&gt;45961&lt;/D&gt;&lt;D xsi:type="xsd:long"&gt;45930&lt;/D&gt;&lt;D xsi:type="xsd:long"&gt;45898&lt;/D&gt;&lt;D xsi:type="xsd:long"&gt;45869&lt;/D&gt;&lt;D xsi:type="xsd:long"&gt;45838&lt;/D&gt;&lt;D xsi:type="xsd:long"&gt;45807&lt;/D&gt;&lt;D xsi:type="xsd:long"&gt;45777&lt;/D&gt;&lt;D xsi:type="xsd:long"&gt;45747&lt;/D&gt;&lt;D xsi:type="xsd:long"&gt;45716&lt;/D&gt;&lt;D xsi:type="xsd:long"&gt;45688&lt;/D&gt;&lt;D xsi:type="xsd:long"&gt;45657&lt;/D&gt;&lt;D xsi:type="xsd:long"&gt;45625&lt;/D&gt;&lt;D xsi:type="xsd:long"&gt;45596&lt;/D&gt;&lt;D xsi:type="xsd:long"&gt;45565&lt;/D&gt;&lt;D xsi:type="xsd:long"&gt;45534&lt;/D&gt;&lt;D xsi:type="xsd:long"&gt;45504&lt;/D&gt;&lt;D xsi:type="xsd:long"&gt;45471&lt;/D&gt;&lt;D xsi:type="xsd:long"&gt;45443&lt;/D&gt;&lt;D xsi:type="xsd:long"&gt;45412&lt;/D&gt;&lt;D xsi:type="xsd:long"&gt;45379&lt;/D&gt;&lt;D xsi:type="xsd:long"&gt;45351&lt;/D&gt;&lt;D xsi:type="xsd:long"&gt;45322&lt;/D&gt;&lt;D xsi:type="xsd:long"&gt;45289&lt;/D&gt;&lt;D xsi:type="xsd:long"&gt;45260&lt;/D&gt;&lt;D xsi:type="xsd:long"&gt;45230&lt;/D&gt;&lt;D xsi:type="xsd:long"&gt;45198&lt;/D&gt;&lt;D xsi:type="xsd:long"&gt;45169&lt;/D&gt;&lt;D xsi:type="xsd:long"&gt;45138&lt;/D&gt;&lt;D xsi:type="xsd:long"&gt;45107&lt;/D&gt;&lt;D xsi:type="xsd:long"&gt;45077&lt;/D&gt;&lt;D xsi:type="xsd:long"&gt;45044&lt;/D&gt;&lt;D xsi:type="xsd:long"&gt;45016&lt;/D&gt;&lt;D xsi:type="xsd:long"&gt;44985&lt;/D&gt;&lt;D xsi:type="xsd:long"&gt;44957&lt;/D&gt;&lt;D xsi:type="xsd:long"&gt;44925&lt;/D&gt;&lt;D xsi:type="xsd:long"&gt;44895&lt;/D&gt;&lt;D xsi:type="xsd:long"&gt;44865&lt;/D&gt;&lt;D xsi:type="xsd:long"&gt;44834&lt;/D&gt;&lt;D xsi:type="xsd:long"&gt;44804&lt;/D&gt;&lt;D xsi:type="xsd:long"&gt;44771&lt;/D&gt;&lt;D xsi:type="xsd:long"&gt;44742&lt;/D&gt;&lt;D xsi:type="xsd:long"&gt;44712&lt;/D&gt;&lt;D xsi:type="xsd:long"&gt;44680&lt;/D&gt;&lt;D xsi:type="xsd:long"&gt;44651&lt;/D&gt;&lt;D xsi:type="xsd:long"&gt;44620&lt;/D&gt;&lt;D xsi:type="xsd:long"&gt;44592&lt;/D&gt;&lt;D xsi:type="xsd:long"&gt;44561&lt;/D&gt;&lt;D xsi:type="xsd:long"&gt;44530&lt;/D&gt;&lt;D xsi:type="xsd:long"&gt;44498&lt;/D&gt;&lt;D xsi:type="xsd:long"&gt;44469&lt;/D&gt;&lt;D xsi:type="xsd:long"&gt;44439&lt;/D&gt;&lt;D xsi:type="xsd:long"&gt;44407&lt;/D&gt;&lt;D xsi:type="xsd:long"&gt;44377&lt;/D&gt;&lt;D xsi:type="xsd:long"&gt;44344&lt;/D&gt;&lt;D xsi:type="xsd:long"&gt;44316&lt;/D&gt;&lt;D xsi:type="xsd:long"&gt;44286&lt;/D&gt;&lt;D xsi:type="xsd:long"&gt;44253&lt;/D&gt;&lt;D xsi:type="xsd:long"&gt;44225&lt;/D&gt;&lt;D xsi:type="xsd:long"&gt;44196&lt;/D&gt;&lt;D xsi:type="xsd:long"&gt;44165&lt;/D&gt;&lt;D xsi:type="xsd:long"&gt;44134&lt;/D&gt;&lt;D xsi:type="xsd:long"&gt;44104&lt;/D&gt;&lt;D xsi:type="xsd:long"&gt;44074&lt;/D&gt;&lt;D xsi:type="xsd:long"&gt;44043&lt;/D&gt;&lt;D xsi:type="xsd:long"&gt;44012&lt;/D&gt;&lt;D xsi:type="xsd:long"&gt;43980&lt;/D&gt;&lt;D xsi:type="xsd:long"&gt;43951&lt;/D&gt;&lt;D xsi:type="xsd:long"&gt;43921&lt;/D&gt;&lt;D xsi:type="xsd:long"&gt;43889&lt;/D&gt;&lt;D xsi:type="xsd:long"&gt;43861&lt;/D&gt;&lt;D xsi:type="xsd:long"&gt;43830&lt;/D&gt;&lt;D xsi:type="xsd:long"&gt;43798&lt;/D&gt;&lt;D xsi:type="xsd:long"&gt;43769&lt;/D&gt;&lt;D xsi:type="xsd:long"&gt;43738&lt;/D&gt;&lt;D xsi:type="xsd:long"&gt;43707&lt;/D&gt;&lt;D xsi:type="xsd:long"&gt;43677&lt;/D&gt;&lt;D xsi:type="xsd:long"&gt;43644&lt;/D&gt;&lt;D xsi:type="xsd:long"&gt;43616&lt;/D&gt;&lt;D xsi:type="xsd:long"&gt;43585&lt;/D&gt;&lt;D xsi:type="xsd:long"&gt;43553&lt;/D&gt;&lt;D xsi:type="xsd:long"&gt;43524&lt;/D&gt;&lt;D xsi:type="xsd:long"&gt;43496&lt;/D&gt;&lt;D xsi:type="xsd:long"&gt;43465&lt;/D&gt;&lt;D xsi:type="xsd:long"&gt;43434&lt;/D&gt;&lt;D xsi:type="xsd:long"&gt;43404&lt;/D&gt;&lt;D xsi:type="xsd:long"&gt;43371&lt;/D&gt;&lt;D xsi:type="xsd:long"&gt;43343&lt;/D&gt;&lt;D xsi:type="xsd:long"&gt;43312&lt;/D&gt;&lt;D xsi:type="xsd:long"&gt;43280&lt;/D&gt;&lt;D xsi:type="xsd:long"&gt;43251&lt;/D&gt;&lt;D xsi:type="xsd:long"&gt;43220&lt;/D&gt;&lt;D xsi:type="xsd:long"&gt;43188&lt;/D&gt;&lt;D xsi:type="xsd:long"&gt;43159&lt;/D&gt;&lt;D xsi:type="xsd:long"&gt;43131&lt;/D&gt;&lt;D xsi:type="xsd:long"&gt;43098&lt;/D&gt;&lt;D xsi:type="xsd:long"&gt;43069&lt;/D&gt;&lt;D xsi:type="xsd:long"&gt;43039&lt;/D&gt;&lt;D xsi:type="xsd:long"&gt;43007&lt;/D&gt;&lt;D xsi:type="xsd:long"&gt;42978&lt;/D&gt;&lt;D xsi:type="xsd:long"&gt;42947&lt;/D&gt;&lt;D xsi:type="xsd:long"&gt;42916&lt;/D&gt;&lt;D xsi:type="xsd:long"&gt;42886&lt;/D&gt;&lt;D xsi:type="xsd:long"&gt;42853&lt;/D&gt;&lt;D xsi:type="xsd:long"&gt;42825&lt;/D&gt;&lt;D xsi:type="xsd:long"&gt;42794&lt;/D&gt;&lt;D xsi:type="xsd:long"&gt;42766&lt;/D&gt;&lt;D xsi:type="xsd:long"&gt;42734&lt;/D&gt;&lt;D xsi:type="xsd:long"&gt;42704&lt;/D&gt;&lt;D xsi:type="xsd:long"&gt;42674&lt;/D&gt;&lt;D xsi:type="xsd:long"&gt;42643&lt;/D&gt;&lt;D xsi:type="xsd:long"&gt;42613&lt;/D&gt;&lt;D xsi:type="xsd:long"&gt;42580&lt;/D&gt;&lt;D xsi:type="xsd:long"&gt;42551&lt;/D&gt;&lt;D xsi:type="xsd:long"&gt;42521&lt;/D&gt;&lt;D xsi:type="xsd:long"&gt;42489&lt;/D&gt;&lt;D xsi:type="xsd:long"&gt;42460&lt;/D&gt;&lt;D xsi:type="xsd:long"&gt;42429&lt;/D&gt;&lt;D xsi:type="xsd:long"&gt;42398&lt;/D&gt;&lt;D xsi:type="xsd:long"&gt;42369&lt;/D&gt;&lt;D xsi:type="xsd:long"&gt;42338&lt;/D&gt;&lt;D xsi:type="xsd:long"&gt;42307&lt;/D&gt;&lt;D xsi:type="xsd:long"&gt;42277&lt;/D&gt;&lt;D xsi:type="xsd:long"&gt;42247&lt;/D&gt;&lt;D xsi:type="xsd:long"&gt;42216&lt;/D&gt;&lt;D xsi:type="xsd:long"&gt;42185&lt;/D&gt;&lt;D xsi:type="xsd:long"&gt;42153&lt;/D&gt;&lt;D xsi:type="xsd:long"&gt;42124&lt;/D&gt;&lt;D xsi:type="xsd:long"&gt;42094&lt;/D&gt;&lt;D xsi:type="xsd:long"&gt;42062&lt;/D&gt;&lt;D xsi:type="xsd:long"&gt;42034&lt;/D&gt;&lt;D xsi:type="xsd:long"&gt;42004&lt;/D&gt;&lt;D xsi:type="xsd:long"&gt;41971&lt;/D&gt;&lt;D xsi:type="xsd:long"&gt;41943&lt;/D&gt;&lt;D xsi:type="xsd:long"&gt;41912&lt;/D&gt;&lt;D xsi:type="xsd:long"&gt;41880&lt;/D&gt;&lt;D xsi:type="xsd:long"&gt;41851&lt;/D&gt;&lt;D xsi:type="xsd:long"&gt;41820&lt;/D&gt;&lt;D xsi:type="xsd:long"&gt;41789&lt;/D&gt;&lt;D xsi:type="xsd:long"&gt;41759&lt;/D&gt;&lt;D xsi:type="xsd:long"&gt;41729&lt;/D&gt;&lt;D xsi:type="xsd:long"&gt;41698&lt;/D&gt;&lt;D xsi:type="xsd:long"&gt;41670&lt;/D&gt;&lt;D xsi:type="xsd:long"&gt;41639&lt;/D&gt;&lt;D xsi:type="xsd:long"&gt;41607&lt;/D&gt;&lt;D xsi:type="xsd:long"&gt;41578&lt;/D&gt;&lt;D xsi:type="xsd:long"&gt;41547&lt;/D&gt;&lt;D xsi:type="xsd:long"&gt;41516&lt;/D&gt;&lt;D xsi:type="xsd:long"&gt;41486&lt;/D&gt;&lt;D xsi:type="xsd:long"&gt;41453&lt;/D&gt;&lt;D xsi:type="xsd:long"&gt;41425&lt;/D&gt;&lt;D xsi:type="xsd:long"&gt;41394&lt;/D&gt;&lt;D xsi:type="xsd:long"&gt;41361&lt;/D&gt;&lt;D xsi:type="xsd:long"&gt;41333&lt;/D&gt;&lt;D xsi:type="xsd:long"&gt;41305&lt;/D&gt;&lt;D xsi:type="xsd:long"&gt;41274&lt;/D&gt;&lt;D xsi:type="xsd:long"&gt;41243&lt;/D&gt;&lt;D xsi:type="xsd:long"&gt;41213&lt;/D&gt;&lt;D xsi:type="xsd:long"&gt;41180&lt;/D&gt;&lt;D xsi:type="xsd:long"&gt;41152&lt;/D&gt;&lt;D xsi:type="xsd:long"&gt;41121&lt;/D&gt;&lt;D xsi:type="xsd:long"&gt;41089&lt;/D&gt;&lt;D xsi:type="xsd:long"&gt;41060&lt;/D&gt;&lt;D xsi:type="xsd:long"&gt;41029&lt;/D&gt;&lt;D xsi:type="xsd:long"&gt;40998&lt;/D&gt;&lt;D xsi:type="xsd:long"&gt;40968&lt;/D&gt;&lt;D xsi:type="xsd:long"&gt;40939&lt;/D&gt;&lt;D xsi:type="xsd:long"&gt;40907&lt;/D&gt;&lt;D xsi:type="xsd:long"&gt;40877&lt;/D&gt;&lt;D xsi:type="xsd:long"&gt;40847&lt;/D&gt;&lt;D xsi:type="xsd:long"&gt;40816&lt;/D&gt;&lt;D xsi:type="xsd:long"&gt;40786&lt;/D&gt;&lt;D xsi:type="xsd:long"&gt;40753&lt;/D&gt;&lt;D xsi:type="xsd:long"&gt;40724&lt;/D&gt;&lt;D xsi:type="xsd:long"&gt;40694&lt;/D&gt;&lt;D xsi:type="xsd:long"&gt;40662&lt;/D&gt;&lt;D xsi:type="xsd:long"&gt;40633&lt;/D&gt;&lt;D xsi:type="xsd:long"&gt;40602&lt;/D&gt;&lt;D xsi:type="xsd:long"&gt;40574&lt;/D&gt;&lt;D xsi:type="xsd:long"&gt;40543&lt;/D&gt;&lt;D xsi:type="xsd:long"&gt;40512&lt;/D&gt;&lt;D xsi:type="xsd:long"&gt;40480&lt;/D&gt;&lt;D xsi:type="xsd:long"&gt;40451&lt;/D&gt;&lt;D xsi:type="xsd:long"&gt;40421&lt;/D&gt;&lt;D xsi:type="xsd:long"&gt;40389&lt;/D&gt;&lt;D xsi:type="xsd:long"&gt;40359&lt;/D&gt;&lt;D xsi:type="xsd:long"&gt;40326&lt;/D&gt;&lt;D xsi:type="xsd:long"&gt;40298&lt;/D&gt;&lt;D xsi:type="xsd:long"&gt;40268&lt;/D&gt;&lt;D xsi:type="xsd:long"&gt;40235&lt;/D&gt;&lt;D xsi:type="xsd:long"&gt;40207&lt;/D&gt;&lt;D xsi:type="xsd:long"&gt;40178&lt;/D&gt;&lt;D xsi:type="xsd:long"&gt;40147&lt;/D&gt;&lt;D xsi:type="xsd:long"&gt;40116&lt;/D&gt;&lt;D xsi:type="xsd:long"&gt;40086&lt;/D&gt;&lt;D xsi:type="xsd:long"&gt;40056&lt;/D&gt;&lt;D xsi:type="xsd:long"&gt;40025&lt;/D&gt;&lt;D xsi:type="xsd:long"&gt;39994&lt;/D&gt;&lt;D xsi:type="xsd:long"&gt;39962&lt;/D&gt;&lt;D xsi:type="xsd:long"&gt;39933&lt;/D&gt;&lt;D xsi:type="xsd:long"&gt;39903&lt;/D&gt;&lt;D xsi:type="xsd:long"&gt;39871&lt;/D&gt;&lt;D xsi:type="xsd:long"&gt;39843&lt;/D&gt;&lt;D xsi:type="xsd:long"&gt;39813&lt;/D&gt;&lt;D xsi:type="xsd:long"&gt;39780&lt;/D&gt;&lt;D xsi:type="xsd:long"&gt;39752&lt;/D&gt;&lt;D xsi:type="xsd:long"&gt;39721&lt;/D&gt;&lt;D xsi:type="xsd:long"&gt;39689&lt;/D&gt;&lt;D xsi:type="xsd:long"&gt;39660&lt;/D&gt;&lt;D xsi:type="xsd:long"&gt;39629&lt;/D&gt;&lt;D xsi:type="xsd:long"&gt;39598&lt;/D&gt;&lt;D xsi:type="xsd:long"&gt;39568&lt;/D&gt;&lt;D xsi:type="xsd:long"&gt;39538&lt;/D&gt;&lt;D xsi:type="xsd:long"&gt;39507&lt;/D&gt;&lt;D xsi:type="xsd:long"&gt;39478&lt;/D&gt;&lt;D xsi:type="xsd:long"&gt;39447&lt;/D&gt;&lt;D xsi:type="xsd:long"&gt;39416&lt;/D&gt;&lt;D xsi:type="xsd:long"&gt;39386&lt;/D&gt;&lt;D xsi:type="xsd:long"&gt;39353&lt;/D&gt;&lt;D xsi:type="xsd:long"&gt;39325&lt;/D&gt;&lt;D xsi:type="xsd:long"&gt;39294&lt;/D&gt;&lt;D xsi:type="xsd:long"&gt;39262&lt;/D&gt;&lt;D xsi:type="xsd:long"&gt;39233&lt;/D&gt;&lt;D xsi:type="xsd:long"&gt;39202&lt;/D&gt;&lt;D xsi:type="xsd:long"&gt;39171&lt;/D&gt;&lt;D xsi:type="xsd:long"&gt;39141&lt;/D&gt;&lt;D xsi:type="xsd:long"&gt;39113&lt;/D&gt;&lt;D xsi:type="xsd:long"&gt;39080&lt;/D&gt;&lt;D xsi:type="xsd:long"&gt;39051&lt;/D&gt;&lt;D xsi:type="xsd:long"&gt;39021&lt;/D&gt;&lt;D xsi:type="xsd:long"&gt;38989&lt;/D&gt;&lt;D xsi:type="xsd:long"&gt;38960&lt;/D&gt;&lt;D xsi:type="xsd:long"&gt;38929&lt;/D&gt;&lt;D xsi:type="xsd:long"&gt;38898&lt;/D&gt;&lt;D xsi:type="xsd:long"&gt;38868&lt;/D&gt;&lt;D xsi:type="xsd:long"&gt;38835&lt;/D&gt;&lt;D xsi:type="xsd:long"&gt;38807&lt;/D&gt;&lt;D xsi:type="xsd:long"&gt;38776&lt;/D&gt;&lt;D xsi:type="xsd:long"&gt;38748&lt;/D&gt;&lt;D xsi:type="xsd:long"&gt;38716&lt;/D&gt;&lt;D xsi:type="xsd:long"&gt;38686&lt;/D&gt;&lt;D xsi:type="xsd:long"&gt;38656&lt;/D&gt;&lt;D xsi:type="xsd:long"&gt;38625&lt;/D&gt;&lt;D xsi:type="xsd:long"&gt;38595&lt;/D&gt;&lt;D xsi:type="xsd:long"&gt;38562&lt;/D&gt;&lt;D xsi:type="xsd:long"&gt;38533&lt;/D&gt;&lt;D xsi:type="xsd:long"&gt;38503&lt;/D&gt;&lt;D xsi:type="xsd:long"&gt;38471&lt;/D&gt;&lt;D xsi:type="xsd:long"&gt;38442&lt;/D&gt;&lt;D xsi:type="xsd:long"&gt;38411&lt;/D&gt;&lt;D xsi:type="xsd:long"&gt;38383&lt;/D&gt;&lt;D xsi:type="xsd:long"&gt;38352&lt;/D&gt;&lt;D xsi:type="xsd:long"&gt;38321&lt;/D&gt;&lt;D xsi:type="xsd:long"&gt;38289&lt;/D&gt;&lt;D xsi:type="xsd:long"&gt;38260&lt;/D&gt;&lt;D xsi:type="xsd:long"&gt;38230&lt;/D&gt;&lt;D xsi:type="xsd:long"&gt;38198&lt;/D&gt;&lt;D xsi:type="xsd:long"&gt;38168&lt;/D&gt;&lt;D xsi:type="xsd:long"&gt;38135&lt;/D&gt;&lt;D xsi:type="xsd:long"&gt;38107&lt;/D&gt;&lt;D xsi:type="xsd:long"&gt;38077&lt;/D&gt;&lt;D xsi:type="xsd:long"&gt;38044&lt;/D&gt;&lt;D xsi:type="xsd:long"&gt;38016&lt;/D&gt;&lt;D xsi:type="xsd:long"&gt;37986&lt;/D&gt;&lt;D xsi:type="xsd:long"&gt;37953&lt;/D&gt;&lt;D xsi:type="xsd:long"&gt;37925&lt;/D&gt;&lt;D xsi:type="xsd:long"&gt;37894&lt;/D&gt;&lt;D xsi:type="xsd:long"&gt;37862&lt;/D&gt;&lt;D xsi:type="xsd:long"&gt;37833&lt;/D&gt;&lt;D xsi:type="xsd:long"&gt;37802&lt;/D&gt;&lt;D xsi:type="xsd:long"&gt;37771&lt;/D&gt;&lt;D xsi:type="xsd:long"&gt;37741&lt;/D&gt;&lt;D xsi:type="xsd:long"&gt;37711&lt;/D&gt;&lt;D xsi:type="xsd:long"&gt;37680&lt;/D&gt;&lt;D xsi:type="xsd:long"&gt;37652&lt;/D&gt;&lt;D xsi:type="xsd:long"&gt;37621&lt;/D&gt;&lt;D xsi:type="xsd:long"&gt;37589&lt;/D&gt;&lt;D xsi:type="xsd:long"&gt;37560&lt;/D&gt;&lt;D xsi:type="xsd:long"&gt;37529&lt;/D&gt;&lt;D xsi:type="xsd:long"&gt;37498&lt;/D&gt;&lt;D xsi:type="xsd:long"&gt;37468&lt;/D&gt;&lt;D xsi:type="xsd:long"&gt;37435&lt;/D&gt;&lt;D xsi:type="xsd:long"&gt;37407&lt;/D&gt;&lt;D xsi:type="xsd:long"&gt;37376&lt;/D&gt;&lt;D xsi:type="xsd:long"&gt;37343&lt;/D&gt;&lt;D xsi:type="xsd:long"&gt;37</t>
        </r>
      </text>
    </comment>
    <comment ref="A65" authorId="0" shapeId="0">
      <text>
        <r>
          <rPr>
            <b/>
            <sz val="9"/>
            <color indexed="81"/>
            <rFont val="Tahoma"/>
            <family val="2"/>
          </rPr>
          <t>315&lt;/D&gt;&lt;D xsi:type="xsd:long"&gt;37287&lt;/D&gt;&lt;D xsi:type="xsd:long"&gt;37256&lt;/D&gt;&lt;D xsi:type="xsd:long"&gt;37225&lt;/D&gt;&lt;D xsi:type="xsd:long"&gt;37195&lt;/D&gt;&lt;D xsi:type="xsd:long"&gt;37162&lt;/D&gt;&lt;D xsi:type="xsd:long"&gt;37134&lt;/D&gt;&lt;D xsi:type="xsd:long"&gt;37103&lt;/D&gt;&lt;D xsi:type="xsd:long"&gt;37071&lt;/D&gt;&lt;D xsi:type="xsd:long"&gt;37042&lt;/D&gt;&lt;D xsi:type="xsd:long"&gt;37011&lt;/D&gt;&lt;D xsi:type="xsd:long"&gt;36980&lt;/D&gt;&lt;D xsi:type="xsd:long"&gt;36950&lt;/D&gt;&lt;D xsi:type="xsd:long"&gt;36922&lt;/D&gt;&lt;D xsi:type="xsd:long"&gt;36889&lt;/D&gt;&lt;D xsi:type="xsd:long"&gt;36860&lt;/D&gt;&lt;D xsi:type="xsd:long"&gt;36830&lt;/D&gt;&lt;D xsi:type="xsd:long"&gt;36798&lt;/D&gt;&lt;D xsi:type="xsd:long"&gt;36769&lt;/D&gt;&lt;D xsi:type="xsd:long"&gt;36738&lt;/D&gt;&lt;D xsi:type="xsd:long"&gt;36707&lt;/D&gt;&lt;D xsi:type="xsd:long"&gt;36677&lt;/D&gt;&lt;D xsi:type="xsd:long"&gt;36644&lt;/D&gt;&lt;D xsi:type="xsd:long"&gt;36616&lt;/D&gt;&lt;D xsi:type="xsd:long"&gt;36585&lt;/D&gt;&lt;D xsi:type="xsd:long"&gt;36556&lt;/D&gt;&lt;/FQL&gt;&lt;FQL&gt;&lt;Q&gt;892400^FG_PRICE(2/27/2026,1/31/2000,M)&lt;/Q&gt;&lt;R&gt;314&lt;/R&gt;&lt;C&gt;1&lt;/C&gt;&lt;D xsi:type="xsd:double"&gt;1260.050468&lt;/D&gt;&lt;D xsi:type="xsd:double"&gt;1243.42945&lt;/D&gt;&lt;D xsi:type="xsd:double"&gt;1213.882115&lt;/D&gt;&lt;D xsi:type="xsd:double"&gt;1205.959165&lt;/D&gt;&lt;D xsi:type="xsd:double"&gt;1206.570897&lt;/D&gt;&lt;D xsi:type="xsd:double"&gt;1174.495063&lt;/D&gt;&lt;D xsi:type="xsd:double"&gt;1134.822054&lt;/D&gt;&lt;D xsi:type="xsd:double"&gt;1113.87089&lt;/D&gt;&lt;D xsi:type="xsd:double"&gt;1091.094774&lt;/D&gt;&lt;D xsi:type="xsd:double"&gt;1051.512514&lt;/D&gt;&lt;D xsi:type="xsd:double"&gt;997.63139&lt;/D&gt;&lt;D xsi:type="xsd:double"&gt;1002.841716&lt;/D&gt;&lt;D xsi:type="xsd:double"&gt;1052.184695&lt;/D&gt;&lt;D xsi:type="xsd:double"&gt;1061.6317&lt;/D&gt;&lt;D xsi:type="xsd:double"&gt;1028.611725&lt;/D&gt;&lt;D xsi:type="xsd:double"&gt;1046.424066&lt;/D&gt;&lt;D xsi:type="xsd:double"&gt;1006.385305&lt;/D&gt;&lt;D xsi:type="xsd:double"&gt;1018.26835&lt;/D&gt;&lt;D xsi:type="xsd:double"&gt;1000.595893&lt;/D&gt;&lt;D xsi:type="xsd:double"&gt;985.05445&lt;/D&gt;&lt;D xsi:type="xsd:double"&gt;974.498397&lt;/D&gt;&lt;D xsi:type="xsd:double"&gt;951.793542&lt;/D&gt;&lt;D xsi:type="xsd:double"&gt;919.986861&lt;/D&gt;&lt;D xsi:type="xsd:double"&gt;947.16336&lt;/D&gt;&lt;D xsi:type="xsd:double"&gt;918.781191&lt;/D&gt;&lt;D xsi:type="xsd:double"&gt;878.953845&lt;/D&gt;&lt;D xsi:type="xsd:double"&gt;868.726736&lt;/D&gt;&lt;D xsi:type="xsd:double"&gt;835.733297&lt;/D&gt;&lt;D xsi:type="xsd:double"&gt;774.474805&lt;/D&gt;&lt;D xsi:type="xsd:double"&gt;796.727979&lt;/D&gt;&lt;D xsi:type="xsd:double"&gt;826.78443&lt;/D&gt;&lt;D xsi:type="xsd:double"&gt;845.718258&lt;/D&gt;&lt;D xsi:type="xsd:double"&gt;820.603138&lt;/D&gt;&lt;D xsi:type="xsd:double"&gt;779.442092&lt;/D&gt;&lt;D xsi:type="xsd:double"&gt;783.724045&lt;/D&gt;&lt;D xsi:type="xsd:double"&gt;774.518747&lt;/D&gt;&lt;D xsi:type="xsd:double"&gt;757.952328&lt;/D&gt;&lt;D xsi:type="xsd:double"&gt;773.702297&lt;/D&gt;&lt;D xsi:type="xsd:double"&gt;726.912242&lt;/D&gt;&lt;D xsi:type="xsd:double"&gt;764.000002&lt;/D&gt;&lt;D xsi:type="xsd:double"&gt;720.008828&lt;/D&gt;&lt;D xsi:type="xsd:double"&gt;679.345214&lt;/D&gt;&lt;D xsi:type="xsd:double"&gt;743.284494&lt;/D&gt;&lt;D xsi:type="xsd:double"&gt;767.305375&lt;/D&gt;&lt;D xsi:type="xsd:double"&gt;717.540182&lt;/D&gt;&lt;D xsi:type="xsd:double"&gt;776.231806&lt;/D&gt;&lt;D xsi:type="xsd:double"&gt;779.922626&lt;/D&gt;&lt;D xsi:type="xsd:double"&gt;835.573727&lt;/D&gt;&lt;D xsi:type="xsd:double"&gt;816.902493&lt;/D&gt;&lt;D xsi:type="xsd:double"&gt;839.882068&lt;/D&gt;&lt;D xsi:type="xsd:double"&gt;880.670175&lt;/D&gt;&lt;D xsi:type="xsd:double"&gt;850.026903&lt;/D&gt;&lt;D xsi:type="xsd:double"&gt;865.349059&lt;/D&gt;&lt;D xsi:type="xsd:double"&gt;825.064887&lt;/D&gt;&lt;D xsi:type="xsd:double"&gt;857.108131&lt;/D&gt;&lt;D xsi:type="xsd:double"&gt;836.403959&lt;/D&gt;&lt;D xsi:type="xsd:double"&gt;831.357207&lt;/D&gt;&lt;D xsi:type="xsd:double"&gt;815.378641&lt;/D&gt;&lt;D xsi:type="xsd:double"&gt;807.680526&lt;/D&gt;&lt;D xsi:type="xsd:double"&gt;779.663351&lt;/D&gt;&lt;D xsi:type="xsd:double"&gt;754.748127&lt;/D&gt;&lt;D xsi:type="xsd:double"&gt;737.601774&lt;/D&gt;&lt;D xsi:type="xsd:double"&gt;739.305549&lt;/D&gt;&lt;D xsi:type="xsd:double"&gt;712.741139&lt;/D&gt;&lt;D xsi:type="xsd:double"&gt;640.329319&lt;/D&gt;&lt;D xsi:type="xsd:double"&gt;657.143988&lt;/D&gt;&lt;D xsi:type="xsd:double"&gt;676.673577&lt;/D&gt;&lt;D xsi:type="xsd:double"&gt;640.73186&lt;/D&gt;&lt;D xsi:type="xsd:double"&gt;617.153798&lt;/D&gt;&lt;D xsi:type="xsd:double"&gt;600.927189&lt;/D&gt;&lt;D xsi:type="xsd:double"&gt;577.599193&lt;/D&gt;&lt;D xsi:type="xsd:double"&gt;524.236671&lt;/D&gt;&lt;D xsi:type="xsd:double"&gt;603.126281&lt;/D&gt;&lt;D xsi:type="xsd:double"&gt;653.642728&lt;/D&gt;&lt;D xsi:type="xsd:double"&gt;658.187657&lt;/D&gt;&lt;D xsi:type="xsd:double"&gt;641.78385&lt;/D&gt;&lt;D xsi:type="xsd:double"&gt;624.87748&lt;/D&gt;&lt;D xsi:type="xsd:double"&gt;613.146878&lt;/D&gt;&lt;D xsi:type="xsd:double"&gt;600.848477&lt;/D&gt;&lt;D xsi:type="xsd:double"&gt;614.451687&lt;/D&gt;&lt;D xsi:type="xsd:double"&gt;609.528751&lt;/D&gt;&lt;D xsi:type="xsd:double"&gt;577.412374&lt;/D&gt;&lt;D xsi:type="xsd:double"&gt;614.902641&lt;/D&gt;&lt;D xsi:type="xsd:double"&gt;594.391464&lt;/D&gt;&lt;D xsi:type="xsd:double"&gt;586.574499&lt;/D&gt;&lt;D xsi:type="xsd:double"&gt;570.061892&lt;/D&gt;&lt;D xsi:type="xsd:double"&gt;532.098082&lt;/D&gt;&lt;D xsi:type="xsd:double"&gt;574.526127&lt;/D&gt;&lt;D xsi:type="xsd:double"&gt;567.812532&lt;/D&gt;&lt;D xsi:type="xsd:double"&gt;610.476253&lt;/D&gt;&lt;D xsi:type="xsd:double"&gt;608.38544&lt;/D&gt;&lt;D xsi:type="xsd:double"&gt;602.800864&lt;/D&gt;&lt;D xsi:type="xsd:double"&gt;586.065022&lt;/D&gt;&lt;D xsi:type="xsd:double"&gt;587.040804&lt;/D&gt;&lt;D xsi:type="xsd:double"&gt;583.861192&lt;/D&gt;&lt;D xsi:type="xsd:double"&gt;573.91801&lt;/D&gt;&lt;D xsi:type="xsd:double"&gt;588.960018&lt;/D&gt;&lt;D xsi:type="xsd:double"&gt;611.76898&lt;/D&gt;&lt;D xsi:type="xsd:double"&gt;587.875705&lt;/D&gt;&lt;D xsi:type="xsd:double"&gt;581.118482&lt;/D&gt;&lt;D xsi:type="xsd:double"&gt;574.626885&lt;/D&gt;&lt;D xsi:type="xsd:double"&gt;559.943303&lt;/D&gt;&lt;D xsi:type="xsd:double"&gt;549.296765&lt;/D&gt;&lt;D xsi:type="xsd:double"&gt;548.395386&lt;/D&gt;&lt;D xsi:type="xsd:double"&gt;539.151922&lt;/D&gt;&lt;D xsi:type="xsd:double"&gt;539.001&lt;/D&gt;&lt;D xsi:type="xsd:double"&gt;532.196289&lt;/D&gt;&lt;D xsi:type="xsd:double"&gt;526.260237&lt;/D&gt;&lt;D xsi:type="xsd:double"&gt;521.94245&lt;/D&gt;&lt;D xsi:type="xsd:double"&gt;507.909222&lt;/D&gt;&lt;D xsi:type="xsd:double"&gt;500.345964&lt;/D&gt;&lt;D xsi:type="xsd:double"&gt;488.776036&lt;/D&gt;&lt;D xsi:type="xsd:double"&gt;479.54519&lt;/D&gt;&lt;D xsi:type="xsd:double"&gt;482.46835&lt;/D&gt;&lt;D xsi:type="xsd:double"&gt;482.248487&lt;/D&gt;&lt;D xsi:type="xsd:double"&gt;480.047675&lt;/D&gt;&lt;D xsi:type="xsd:double"&gt;461.449837&lt;/D&gt;&lt;D xsi:type="xsd:double"&gt;467.202667&lt;/D&gt;&lt;D xsi:type="xsd:double"&gt;461.742474&lt;/D&gt;&lt;D xsi:type="xsd:double"&gt;459.14936&lt;/D&gt;&lt;D xsi:type="xsd:double"&gt;435.980561&lt;/D&gt;&lt;D xsi:type="xsd:double"&gt;442.999362&lt;/D&gt;&lt;D xsi:type="xsd:double"&gt;468.59461&lt;/D&gt;&lt;D xsi:type="xsd:double"&gt;479.004624&lt;/D&gt;&lt;D xsi:type="xsd:double"&gt;478.247433&lt;/D&gt;&lt;D xsi:type="xsd:double"&gt;444.71395&lt;/D&gt;&lt;D xsi:type="xsd:double"&gt;461.09098&lt;/D&gt;&lt;D xsi:type="xsd:double"&gt;494.885394&lt;/D&gt;&lt;D xsi:type="xsd:double"&gt;486.746639&lt;/D&gt;&lt;D xsi:type="xsd:double"&gt;502.042576&lt;/D&gt;&lt;D xsi:type="xsd:double"&gt;499.168468&lt;/D&gt;&lt;D xsi:type="xsd:double"&gt;492.54162&lt;/D&gt;&lt;D xsi:type="xsd:double"&gt;495.557094&lt;/D&gt;&lt;D xsi:type="xsd:double"&gt;469.951216&lt;/D&gt;&lt;D xsi:type="xsd:double"&gt;471.882821&lt;/D&gt;&lt;D xsi:type="xsd:double"&gt;476.98658&lt;/D&gt;&lt;D xsi:type="xsd:double"&gt;465.154469&lt;/D&gt;&lt;D xsi:type="xsd:double"&gt;460.146651&lt;/D&gt;&lt;D xsi:type="xsd:double"&gt;467.279812&lt;/D&gt;&lt;D xsi:type="xsd:double"&gt;456.46794&lt;/D&gt;&lt;D xsi:type="xsd:double"&gt;458.726681&lt;/D&gt;&lt;D xsi:type="xsd:double"&gt;452.748491&lt;/D&gt;&lt;D xsi:type="xsd:double"&gt;443.953544&lt;/D&gt;&lt;D xsi:type="xsd:double"&gt;442.0516&lt;/D&gt;&lt;D xsi:type="xsd:double"&gt;441.454474&lt;/D&gt;&lt;D xsi:type="xsd:double"&gt;425.225711&lt;/D&gt;&lt;D xsi:type="xsd:double"&gt;440.376978&lt;/D&gt;&lt;D xsi:type="xsd:double"&gt;433.256418&lt;/D&gt;&lt;D xsi:type="xsd:double"&gt;425.793946&lt;/D&gt;&lt;D xsi:type="xsd:double"&gt;409.889644&lt;/D&gt;&lt;D xsi:type="xsd:double"&gt;395.668298&lt;/D&gt;&lt;D xsi:type="xsd:double"&gt;403.954858&lt;/D&gt;&lt;D xsi:type="xsd:double"&gt;387.437892&lt;/D&gt;&lt;D xsi:type="xsd:double"&gt;399.040992&lt;/D&gt;&lt;D xsi:type="xsd:double"&gt;394.999054&lt;/D&gt;&lt;D xsi:type="xsd:double"&gt;386.485052&lt;/D&gt;&lt;D xsi:type="xsd:double"&gt;379.052091&lt;/D&gt;&lt;D xsi:type="xsd:double"&gt;375.351088&lt;/D&gt;&lt;D xsi:type="xsd:double"&gt;358.300262&lt;/D&gt;&lt;D xsi:type="xsd:double"&gt;351.123123&lt;/D&gt;&lt;D xsi:type="xsd:double"&gt;346.637361&lt;/D&gt;&lt;D xsi:type="xsd:double"&gt;348.473664&lt;/D&gt;&lt;D xsi:type="xsd:double"&gt;340.992166&lt;/D&gt;&lt;D xsi:type="xsd:double"&gt;335.988572&lt;/D&gt;&lt;D xsi:type="xsd:double"&gt;331.730807&lt;/D&gt;&lt;D xsi:type="xsd:double"&gt;319.539087&lt;/D&gt;&lt;D xsi:type="xsd:double"&gt;344.105024&lt;/D&gt;&lt;D xsi:type="xsd:double"&gt;349.882145&lt;/D&gt;&lt;D xsi:type="xsd:double"&gt;346.127934&lt;/D&gt;&lt;D xsi:type="xsd:double"&gt;331.236462&lt;/D&gt;&lt;D xsi:type="xsd:double"&gt;316.567727&lt;/D&gt;&lt;D xsi:type="xsd:double"&gt;315.307283&lt;/D&gt;&lt;D xsi:type="xsd:double"&gt;321.20541&lt;/D&gt;&lt;D xsi:type="xsd:double"&gt;295.97525&lt;/D&gt;&lt;D xsi:type="xsd:double"&gt;316.375761&lt;/D&gt;&lt;D xsi:type="xsd:double"&gt;340.41643&lt;/D&gt;&lt;D xsi:type="xsd:double"&gt;349.465381&lt;/D&gt;&lt;D xsi:type="xsd:double"&gt;355.860833&lt;/D&gt;&lt;D xsi:type="xsd:double"&gt;361.998205&lt;/D&gt;&lt;D xsi:type="xsd:double"&gt;355.460971&lt;/D&gt;&lt;D xsi:type="xsd:double"&gt;358.310339&lt;/D&gt;&lt;D xsi:type="xsd:double"&gt;350.632612&lt;/D&gt;&lt;D xsi:type="xsd:double"&gt;346.125852&lt;/D&gt;&lt;D xsi:type="xsd:double"&gt;328.433602&lt;/D&gt;&lt;D xsi:type="xsd:double"&gt;330.428816&lt;/D&gt;&lt;D xsi:type="xsd:double"&gt;321.758468&lt;/D&gt;&lt;D xsi:type="xsd:double"&gt;301.132668&lt;/D&gt;&lt;D xsi:type="xsd:double"&gt;311.399575&lt;/D&gt;&lt;D xsi:type="xsd:double"&gt;294.672193&lt;/D&gt;&lt;D xsi:type="xsd:double"&gt;305.942806&lt;/D&gt;&lt;D xsi:type="xsd:double"&gt;331.693031&lt;/D&gt;&lt;D xsi:type="xsd:double"&gt;331.544877&lt;/D&gt;&lt;D xsi:type="xsd:double"&gt;312.079807&lt;/D&gt;&lt;D xsi:type="xsd:double"&gt;307.448718&lt;/D&gt;&lt;D xsi:type="xsd:double"&gt;319.514138&lt;/D&gt;&lt;D xsi:type="xsd:double"&gt;308.26724&lt;/D&gt;&lt;D xsi:type="xsd:double"&gt;299.503114&lt;/D&gt;&lt;D xsi:type="xsd:double"&gt;305.887238&lt;/D&gt;&lt;D xsi:type="xsd:double"&gt;296.163021&lt;/D&gt;&lt;D xsi:type="xsd:double"&gt;287.362152&lt;/D&gt;&lt;D xsi:type="xsd:double"&gt;267.114499&lt;/D&gt;&lt;D xsi:type="xsd:double"&gt;268.164342&lt;/D&gt;&lt;D xsi:type="xsd:double"&gt;253.05345&lt;/D&gt;&lt;D xsi:type="xsd:double"&gt;229.58184&lt;/D&gt;&lt;D xsi:type="xsd:double"&gt;215.597443&lt;/D&gt;&lt;D xsi:type="xsd:double"&gt;235.899861&lt;/D&gt;&lt;D xsi:type="xsd:double"&gt;253.113285&lt;/D&gt;&lt;D xsi:type="xsd:double"&gt;250.138583&lt;/D&gt;&lt;D xsi:type="xsd:double"&gt;266.421308&lt;/D&gt;&lt;D xsi:type="xsd:double"&gt;321.13184&lt;/D&gt;&lt;D xsi:type="xsd:double"&gt;361.445373&lt;/D&gt;&lt;D xsi:type="xsd:double"&gt;360.472997&lt;/D&gt;&lt;D xsi:type="xsd:double"&gt;369.019559&lt;/D&gt;&lt;D xsi:type="xsd:double"&gt;403.551401&lt;/D&gt;&lt;D xsi:type="xsd:double"&gt;398.656729&lt;/D&gt;&lt;D xsi:type="xsd:double"&gt;376.099397&lt;/D&gt;&lt;D xsi:type="xsd:double"&gt;386.276012&lt;/D&gt;&lt;D xsi:type="xsd:double"&gt;390.265708&lt;/D&gt;&lt;D xsi:type="xsd:double"&gt;428.539559&lt;/D&gt;&lt;D xsi:type="xsd:double"&gt;431.711283&lt;/D&gt;&lt;D xsi:type="xsd:double"&gt;452.712118&lt;/D&gt;&lt;D xsi:type="xsd:double"&gt;440.540178&lt;/D&gt;&lt;D xsi:type="xsd:double"&gt;426.140444&lt;/D&gt;&lt;D xsi:type="xsd:double"&gt;427.581726&lt;/D&gt;&lt;D xsi:type="xsd:double"&gt;438.180462&lt;/D&gt;&lt;D xsi:type="xsd:double"&gt;440.920955&lt;/D&gt;&lt;D xsi:type="xsd:double"&gt;427.686395&lt;/D&gt;&lt;D xsi:type="xsd:double"&gt;414.077162&lt;/D&gt;&lt;D xsi:type="xsd:double"&gt;408.29837&lt;/D&gt;&lt;D xsi:type="xsd:double"&gt;413.538182&lt;/D&gt;&lt;D xsi:type="xsd:double"&gt;407.207445&lt;/D&gt;&lt;D xsi:type="xsd:double"&gt;396.616746&lt;/D&gt;&lt;D xsi:type="xsd:double"&gt;391.28467&lt;/D&gt;&lt;D xsi:type="xsd:double"&gt;379.691532&lt;/D&gt;&lt;D xsi:type="xsd:double"&gt;373.530596&lt;/D&gt;&lt;D xsi:type="xsd:double"&gt;364.90931&lt;/D&gt;&lt;D xsi:type="xsd:double"&gt;363.095269&lt;/D&gt;&lt;D xsi:type="xsd:double"&gt;361.943685&lt;/D&gt;&lt;D xsi:type="xsd:double"&gt;380.766805&lt;/D&gt;&lt;D xsi:type="xsd:double"&gt;376.813781&lt;/D&gt;&lt;D xsi:type="xsd:double"&gt;368.940295&lt;/D&gt;&lt;D xsi:type="xsd:double"&gt;368.346465&lt;/D&gt;&lt;D xsi:type="xsd:double"&gt;355.956988&lt;/D&gt;&lt;D xsi:type="xsd:double"&gt;347.974558&lt;/D&gt;&lt;D xsi:type="xsd:double"&gt;333.838227&lt;/D&gt;&lt;D xsi:type="xsd:double"&gt;341.382143&lt;/D&gt;&lt;D xsi:type="xsd:double"&gt;329.886346&lt;/D&gt;&lt;D xsi:type="xsd:double"&gt;330.004276&lt;/D&gt;&lt;D xsi:type="xsd:double"&gt;317.779703&lt;/D&gt;&lt;D xsi:type="xsd:double"&gt;312.652241&lt;/D&gt;&lt;D xsi:type="xsd:double"&gt;302.590668&lt;/D&gt;&lt;D xsi:type="xsd:double"&gt;310.610436&lt;/D&gt;&lt;D xsi:type="xsd:double"&gt;315.154278&lt;/D&gt;&lt;D xsi:type="xsd:double"&gt;307.222523&lt;/D&gt;&lt;D xsi:type="xsd:double"&gt;310.180568&lt;/D&gt;&lt;D xsi:type="xsd:double"&gt;300.428611&lt;/D&gt;&lt;D xsi:type="xsd:double"&gt;290.900957&lt;/D&gt;&lt;D xsi:type="xsd:double"&gt;287.66618&lt;/D&gt;&lt;D xsi:type="xsd:double"&gt;283.900066&lt;/D&gt;&lt;D xsi:type="xsd:double"&gt;283.374602&lt;/D&gt;&lt;D xsi:type="xsd:double"&gt;291.899136&lt;/D&gt;&lt;D xsi:type="xsd:double"&gt;286.436821&lt;/D&gt;&lt;D xsi:type="xsd:double"&gt;287.107371&lt;/D&gt;&lt;D xsi:type="xsd:double"&gt;289.511237&lt;/D&gt;&lt;D xsi:type="xsd:double"&gt;292.718484&lt;/D&gt;&lt;D xsi:type="xsd:double"&gt;287.672132&lt;/D&gt;&lt;D xsi:type="xsd:double"&gt;282.833314&lt;/D&gt;&lt;D xsi:type="xsd:double"&gt;270.61073&lt;/D&gt;&lt;D xsi:type="xsd:double"&gt;269.172659&lt;/D&gt;&lt;D xsi:type="xsd:double"&gt;255.164597&lt;/D&gt;&lt;D xsi:type="xsd:double"&gt;259.467447&lt;/D&gt;&lt;D xsi:type="xsd:double"&gt;253.287388&lt;/D&gt;&lt;D xsi:type="xsd:double"&gt;246.196784&lt;/D&gt;&lt;D xsi:type="xsd:double"&gt;241.306166&lt;/D&gt;&lt;D xsi:type="xsd:double"&gt;231.68847&lt;/D&gt;&lt;D xsi:type="xsd:double"&gt;214.721&lt;/D&gt;&lt;D xsi:type="xsd:double"&gt;216.609&lt;/D&gt;&lt;D xsi:type="xsd:double"&gt;220.685&lt;/D&gt;&lt;D xsi:type="xsd:double"&gt;228.943&lt;/D&gt;&lt;D xsi:type="xsd:double"&gt;244.714&lt;/D&gt;&lt;D xsi:type="xsd:double"&gt;232.566&lt;/D&gt;&lt;D xsi:type="xsd:double"&gt;216.927&lt;/D&gt;&lt;D xsi:type="xsd:double"&gt;243.885&lt;/D&gt;&lt;D xsi:type="xsd:double"&gt;243.782&lt;/D&gt;&lt;D xsi:type="xsd:double"&gt;266.26&lt;/D&gt;&lt;D xsi:type="xsd:double"&gt;288.79&lt;/D&gt;&lt;D xsi:type="xsd:double"&gt;292.86&lt;/D&gt;&lt;D xsi:type="xsd:double"&gt;307.24&lt;/D&gt;&lt;D xsi:type="xsd:double"&gt;295.177&lt;/D&gt;&lt;D xsi:type="xsd:double"&gt;298.122&lt;/D&gt;&lt;D xsi:type="xsd:double"&gt;303.446&lt;/D&gt;&lt;D xsi:type="xsd:double"&gt;299.335&lt;/D&gt;&lt;D xsi:type="xsd:double"&gt;281.488&lt;/D&gt;&lt;D xsi:type="xsd:double"&gt;274.2&lt;/D&gt;&lt;D xsi:type="xsd:double"&gt;302.051&lt;/D&gt;&lt;D xsi:type="xsd:double"&gt;321.644&lt;/D&gt;&lt;D xsi:type="xsd:double"&gt;329.397&lt;/D&gt;&lt;D xsi:type="xsd:double"&gt;338.177&lt;/D&gt;&lt;D xsi:type="xsd:double"&gt;340.739&lt;/D&gt;&lt;D xsi:type="xsd:double"&gt;319.296&lt;/D&gt;&lt;D xsi:type="xsd:double"&gt;336.531&lt;/D&gt;&lt;D xsi:type="xsd:double"&gt;365.367&lt;/D&gt;&lt;D xsi:type="xsd:double"&gt;354.335&lt;/D&gt;&lt;D xsi:type="xsd:double"&gt;355.676&lt;/D&gt;&lt;D xsi:type="xsd:double"&gt;380.043&lt;/D&gt;&lt;D xsi:type="xsd:double"&gt;383.103&lt;/D&gt;&lt;D xsi:type="xsd:double"&gt;404.385&lt;/D&gt;&lt;D xsi:type="xsd:double"&gt;389.467&lt;/D&gt;&lt;D xsi:type="xsd:double"&gt;396.472&lt;/D&gt;&lt;D xsi:type="xsd:double"&gt;388.489&lt;/D&gt;&lt;D xsi:type="xsd:double"&gt;398.706&lt;/D&gt;&lt;D xsi:type="xsd:double"&gt;409.597&lt;/D&gt;&lt;D xsi:type="xsd:double"&gt;388.105&lt;/D&gt;&lt;D xsi:type="xsd:double"&gt;383.508&lt;/D&gt;&lt;/FQL&gt;&lt;FQL&gt;&lt;Q&gt;892400^JULIAN(FG_PRICE(2/27/2026,1/31/2000,M).DATES)&lt;/Q&gt;&lt;R&gt;314&lt;/R&gt;&lt;C&gt;1&lt;/C&gt;&lt;D xsi:type="xsd:long"&gt;46080&lt;/D&gt;&lt;D xsi:type="xsd:long"&gt;46052&lt;/D&gt;&lt;D xsi:type="xsd:long"&gt;46022&lt;/D&gt;&lt;D xsi:type="xsd:long"&gt;45989&lt;/D&gt;&lt;D xsi:type="xsd:long"&gt;45961&lt;/D&gt;&lt;D xsi:type="xsd:long"&gt;45930&lt;/D&gt;&lt;D xsi:type="xsd:long"&gt;45898&lt;/D&gt;&lt;D xsi:type="xsd:long"&gt;45869&lt;/D&gt;&lt;D xsi:type="xsd:long"&gt;45838&lt;/D&gt;&lt;D xsi:type="xsd:long"&gt;45807&lt;/D&gt;&lt;D xsi:type="xsd:long"&gt;45777&lt;/D&gt;&lt;D xsi:type="xsd:long"&gt;45747&lt;/D&gt;&lt;D xsi:type="xsd:long"&gt;45716&lt;/D&gt;&lt;D xsi:type="xsd:long"&gt;45688&lt;/D&gt;&lt;D xsi:type="xsd:long"&gt;45657&lt;/D&gt;&lt;D xsi:type="xsd:long"&gt;45625&lt;/D&gt;&lt;D xsi:type="xsd:long"&gt;45596&lt;/D&gt;&lt;D xsi:type="xsd:long"&gt;45565&lt;/D&gt;&lt;D xsi:type="xsd:long"&gt;45534&lt;/D&gt;&lt;D xsi:type="xsd:long"&gt;45504&lt;/D&gt;&lt;D xsi:type="xsd:long"&gt;45471&lt;/D&gt;&lt;D xsi:type="xsd:long"&gt;45443&lt;/D&gt;&lt;D xsi:type="xsd:long"&gt;45412&lt;/D&gt;&lt;D xsi:type="xsd:long"&gt;45379&lt;/D&gt;&lt;D xsi:type="xsd:long"&gt;45351&lt;/D&gt;&lt;D xsi:type="xsd:long"&gt;45322&lt;/D&gt;&lt;D xsi:type="xsd:long"&gt;45289&lt;/D&gt;&lt;D xsi:type="xsd:long"&gt;45260&lt;/D&gt;&lt;D xsi:type="xsd:long"&gt;45230&lt;/D&gt;&lt;D xsi:type="xsd:long"&gt;45198&lt;/D&gt;&lt;D xsi:type="xsd:long"&gt;45169&lt;/D&gt;&lt;D xsi:type="xsd:long"&gt;45138&lt;/D&gt;&lt;D xsi:type="xsd:long"&gt;45107&lt;/D&gt;&lt;D xsi:type="xsd:long"&gt;45077&lt;/D&gt;&lt;D xsi:type="xsd:long"&gt;45044&lt;/D&gt;&lt;D xsi:type="xsd:long"&gt;45016&lt;/D&gt;&lt;D xsi:type="xsd:long"&gt;44985&lt;/D&gt;&lt;D xsi:type="xsd:long"&gt;44957&lt;/D&gt;&lt;D xsi:type="xsd:long"&gt;44925&lt;/D&gt;&lt;D xsi:type="xsd:long"&gt;44895&lt;/D&gt;&lt;D xsi:type="xsd:long"&gt;44865&lt;/D&gt;&lt;D xsi:type="xsd:long"&gt;44834&lt;/D&gt;&lt;D xsi:type="xsd:long"&gt;44804&lt;/D&gt;&lt;D xsi:type="xsd:long"&gt;44771&lt;/D&gt;&lt;D xsi:type="xsd:long"&gt;44742&lt;/D&gt;&lt;D xsi:type="xsd:long"&gt;44712&lt;/D&gt;&lt;D xsi:type="xsd:long"&gt;44680&lt;/D&gt;&lt;D xsi:type="xsd:long"&gt;44651&lt;/D&gt;&lt;D xsi:type="xsd:long"&gt;44620&lt;/D&gt;&lt;D xsi:type="xsd:long"&gt;44592&lt;/D&gt;&lt;D xsi:type="xsd:long"&gt;44561&lt;/D&gt;&lt;D xsi:type="xsd:long"&gt;44530&lt;/D&gt;&lt;D xsi:type="xsd:long"&gt;44498&lt;/D&gt;&lt;D xsi:type="xsd:long"&gt;44469&lt;/D&gt;&lt;D xsi:type="xsd:long"&gt;44439&lt;/D&gt;&lt;D xsi:type="xsd:long"&gt;44407&lt;/D&gt;&lt;D xsi:type="xsd:long"&gt;44377&lt;/D&gt;&lt;D xsi:type="xsd:long"&gt;44344&lt;/D&gt;&lt;D xsi:type="xsd:long"&gt;44316&lt;/D&gt;&lt;D xsi:type="xsd:long"&gt;44286&lt;/D&gt;&lt;D xsi:type="xsd:long"&gt;44253&lt;/D&gt;&lt;D xsi:type="xsd:long"&gt;44225&lt;/D&gt;&lt;D xsi:type="xsd:long"&gt;44196&lt;/D&gt;&lt;D xsi:type="xsd:long"&gt;44165&lt;/D&gt;&lt;D xsi:type="xsd:long"&gt;44134&lt;/D&gt;&lt;D xsi:type="xsd:long"&gt;44104&lt;/D&gt;&lt;D xsi:type="xsd:long"&gt;44074&lt;/D&gt;&lt;D xsi:type="xsd:long"&gt;44043&lt;/D&gt;&lt;D xsi:type="xsd:long"&gt;44012&lt;/D&gt;&lt;D xsi:type="xsd:long"&gt;43980&lt;/D&gt;&lt;D xsi:type="xsd:long"&gt;43951&lt;/D&gt;&lt;D xsi:type="xsd:long"&gt;43921&lt;/D&gt;&lt;D xsi:type="xsd:long"&gt;43889&lt;/D&gt;&lt;D xsi:type="xsd:long"&gt;43861&lt;/D&gt;&lt;D xsi:type="xsd:long"&gt;43830&lt;/D&gt;&lt;D xsi:type="xsd:long"&gt;43798&lt;/D&gt;&lt;D xsi:type="xsd:long"&gt;43769&lt;/D&gt;&lt;D xsi:type="xsd:long"&gt;43738&lt;/D&gt;&lt;D xsi:type="xsd:long"&gt;43707&lt;/D&gt;&lt;D xsi:type="xsd:long"&gt;43677&lt;/D&gt;&lt;D xsi:type="xsd:long"&gt;43644&lt;/D&gt;&lt;D xsi:type="xsd:long"&gt;43616&lt;/D&gt;&lt;D xsi:type="xsd:long"&gt;43585&lt;/D&gt;&lt;D xsi:type="xsd:long"&gt;43553&lt;/D&gt;&lt;D xsi:type="xsd:long"&gt;43524&lt;/D&gt;&lt;D xsi:type="xsd:long"&gt;43496&lt;/D&gt;&lt;D xsi:type="xsd:long"&gt;43465&lt;/D&gt;&lt;D xsi:type="xsd:long"&gt;43434&lt;/D&gt;&lt;D xsi:type="xsd:long"&gt;43404&lt;/D&gt;&lt;D xsi:type="xsd:long"&gt;43371&lt;/D&gt;&lt;D xsi:type="xsd:long"&gt;43343&lt;/D&gt;&lt;D xsi:type="xsd:long"&gt;43312&lt;/D&gt;&lt;D xsi:type="xsd:long"&gt;43280&lt;/D&gt;&lt;D xsi:type="xsd:long"&gt;43251&lt;/D&gt;&lt;D xsi:type="xsd:long"&gt;43220&lt;/D&gt;&lt;D xsi:type="xsd:long"&gt;43188&lt;/D&gt;&lt;D xsi:type="xsd:long"&gt;43159&lt;/D&gt;&lt;D xsi:type="xsd:long"&gt;43131&lt;/D&gt;&lt;D xsi:type="xsd:long"&gt;43098&lt;/D&gt;&lt;D xsi:type="xsd:long"&gt;43069&lt;/D&gt;&lt;D xsi:type="xsd:long"&gt;43039&lt;/D&gt;&lt;D xsi:type="xsd:long"&gt;43007&lt;/D&gt;&lt;D xsi:type="xsd:long"&gt;42978&lt;/D&gt;&lt;D xsi:type="xsd:long"&gt;42947&lt;/D&gt;&lt;D xsi:type="xsd:long"&gt;42916&lt;/D&gt;&lt;D xsi:type="xsd:long"&gt;42886&lt;/D&gt;&lt;D xsi:type="xsd:long"&gt;42853&lt;/D&gt;&lt;D xsi:type="xsd:long"&gt;42825&lt;/D&gt;&lt;D xsi:type="xsd:long"&gt;42794&lt;/D&gt;&lt;D xsi:type="xsd:long"&gt;42766&lt;/D&gt;&lt;D xsi:type="xsd:long"&gt;42734&lt;/D&gt;&lt;D xsi:type="xsd:long"&gt;42704&lt;/D&gt;&lt;D xsi:type="xsd:long"&gt;42674&lt;/D&gt;&lt;D xsi:type="xsd:long"&gt;42643&lt;/D&gt;&lt;D xsi:type="xsd:long"&gt;42613&lt;/D&gt;&lt;D xsi:type="xsd:long"&gt;42580&lt;/D&gt;&lt;D xsi:type="xsd:long"&gt;42551&lt;/D&gt;&lt;D xsi:type="xsd:long"&gt;42521&lt;/D&gt;&lt;D xsi:type="xsd:long"&gt;42489&lt;/D&gt;&lt;D xsi:type="xsd:long"&gt;42460&lt;/D&gt;&lt;D xsi:type="xsd:long"&gt;42429&lt;/D&gt;&lt;D xsi:type="xsd:long"&gt;42398&lt;/D&gt;&lt;D xsi:type="xsd:long"&gt;42369&lt;/D&gt;&lt;D xsi:type="xsd:long"&gt;42338&lt;/D&gt;&lt;D xsi:type="xsd:long"&gt;42307&lt;/D&gt;&lt;D xsi:type="xsd:long"&gt;42277&lt;/D&gt;&lt;D xsi:type="xsd:long"&gt;42247&lt;/D&gt;&lt;D xsi:type="xsd:long"&gt;42216&lt;/D&gt;&lt;D xsi:type="xsd:long"&gt;42185&lt;/D&gt;&lt;D xsi:type="xsd:long"&gt;42153&lt;/D&gt;&lt;D xsi:type="xsd:long"&gt;42124&lt;/D&gt;&lt;D xsi:type="xsd:long"&gt;42094&lt;/D&gt;&lt;D xsi:type="xsd:long"&gt;42062&lt;/D&gt;&lt;D xsi:type="xsd:long"&gt;42034&lt;/D&gt;&lt;D xsi:type="xsd:long"&gt;42004&lt;/D&gt;&lt;D xsi:type="xsd:long"&gt;41971&lt;/D&gt;&lt;D xsi:type="xsd:long"&gt;41943&lt;/D&gt;&lt;D xsi:type="xsd:long"&gt;41912&lt;/D&gt;&lt;D xsi:type="xsd:long"&gt;41880&lt;/D&gt;&lt;D xsi:type="xsd:long"&gt;41851&lt;/D&gt;&lt;D xsi:type="xsd:long"&gt;41820&lt;/D&gt;&lt;D xsi:type="xsd:long"&gt;41789&lt;/D&gt;&lt;D xsi:type="xsd:long"&gt;41759&lt;/D&gt;&lt;D xsi:type="xsd:long"&gt;41729&lt;/D&gt;&lt;D xsi:type="xsd:long"&gt;41698&lt;/D&gt;&lt;D xsi:type="xsd:long"&gt;41670&lt;/D&gt;&lt;D xsi:type="xsd:long"&gt;41639&lt;/D&gt;&lt;D xsi:type="xsd:long"&gt;41607&lt;/D&gt;&lt;D xsi:type="xsd:long"&gt;41578&lt;/D&gt;&lt;D xsi:type="xsd:long"&gt;41547&lt;/D&gt;&lt;D xsi:type="xsd:long"&gt;41516&lt;/D&gt;&lt;D xsi:type="xsd:long"&gt;41486&lt;/D&gt;&lt;D xsi:type="xsd:long"&gt;41453&lt;/D&gt;&lt;D xsi:type="xsd:long"&gt;41425&lt;/D&gt;&lt;D xsi:type="xsd:long"&gt;41394&lt;/D&gt;&lt;D xsi:type="xsd:long"&gt;41361&lt;/D&gt;&lt;D xsi:type="xsd:long"&gt;41333&lt;/D&gt;&lt;D xsi:type="xsd:long"&gt;41305&lt;/D&gt;&lt;D xsi:type="xsd:long"&gt;41274&lt;/D&gt;&lt;D xsi:type="xsd:long"&gt;41243&lt;/D&gt;&lt;D xsi:type="xsd:long"&gt;41213&lt;/D&gt;&lt;D xsi:type="xsd:long"&gt;41180&lt;/D&gt;&lt;D xsi:type="xsd:long"&gt;41152&lt;/D&gt;&lt;D xsi:type="xsd:long"&gt;41121&lt;/D&gt;&lt;D xsi:type="xsd:long"&gt;41089&lt;/D&gt;&lt;D xsi:type="xsd:long"&gt;41060&lt;/D&gt;&lt;D xsi:type="xsd:long"&gt;41029&lt;/D&gt;&lt;D xsi:type="xsd:long"&gt;40998&lt;/D&gt;&lt;D xsi:type="xsd:long"&gt;40968&lt;/D&gt;&lt;D xsi:type="xsd:long"&gt;40939&lt;/D&gt;&lt;D xsi:type="xsd:long"&gt;40907&lt;/D&gt;&lt;D xsi:type="xsd:long"&gt;40877&lt;/D&gt;&lt;D xsi:type="xsd:long"&gt;40847&lt;/D&gt;&lt;D xsi:type="xsd:long"&gt;40816&lt;/D&gt;&lt;D xsi:type="xsd:long"&gt;40786&lt;/D&gt;&lt;D xsi:type="xsd:long"&gt;40753&lt;/D&gt;&lt;D xsi:type="xsd:long"&gt;40724&lt;/D&gt;&lt;D xsi:type="xsd:long"&gt;40694&lt;/D&gt;&lt;D xsi:type="xsd:long"&gt;40662&lt;/D&gt;&lt;D xsi:type="xsd:long"&gt;40633&lt;/D&gt;&lt;D xsi:type="xsd:long"&gt;40602&lt;/D&gt;&lt;D xsi:type="xsd:long"&gt;40574&lt;/D&gt;&lt;D xsi:type="xsd:long"&gt;40543&lt;/D&gt;&lt;D xsi:type="xsd:long"&gt;40512&lt;/D&gt;&lt;D xsi:type="xsd:long"&gt;40480&lt;/D&gt;&lt;D xsi:type="xsd:long"&gt;40451&lt;/D&gt;&lt;D xsi:type="xsd:long"&gt;40421&lt;/D&gt;&lt;D xsi:type="xsd:long"&gt;40389&lt;/D&gt;&lt;D xsi:type="xsd:long"&gt;40359&lt;/D&gt;&lt;D xsi:type="xsd:long"&gt;40326&lt;/D&gt;&lt;D xsi:type="xsd:long"&gt;40298&lt;/D&gt;&lt;D xsi:type="xsd:long"&gt;40268&lt;/D&gt;&lt;D xsi:type="xsd:long"&gt;40235&lt;/D&gt;&lt;D xsi:type="xsd:long"&gt;40207&lt;/D&gt;&lt;D xsi:type="xsd:long"&gt;40178&lt;/D&gt;&lt;D xsi:type="xsd:long"&gt;40147&lt;/D&gt;&lt;D xsi:type="xsd:long"&gt;40116&lt;/D&gt;&lt;D xsi:type="xsd:long"&gt;40086&lt;/D&gt;&lt;D xsi:type="xsd:long"&gt;40056&lt;/D&gt;&lt;D xsi:type="xsd:long"&gt;40025&lt;/D&gt;&lt;D xsi:type="xsd:long"&gt;39994&lt;/D&gt;&lt;D xsi:type="xsd:long"&gt;39962&lt;/D&gt;&lt;D xsi:type="xsd:long"&gt;39933&lt;/D&gt;&lt;D xsi:type="xsd:long"&gt;39903&lt;/D&gt;&lt;D xsi:type="xsd:long"&gt;39871&lt;/D&gt;&lt;D xsi:type="xsd:long"&gt;39843&lt;/D&gt;&lt;D xsi:type="xsd:long"&gt;39813&lt;/D&gt;&lt;D xsi:type="xsd:long"&gt;39780&lt;/D&gt;&lt;D xsi:type="xsd:long"&gt;39752&lt;/D&gt;&lt;D xsi:type="xsd:long"&gt;39721&lt;/D&gt;&lt;D xsi:type="xsd:long"&gt;39689&lt;/D&gt;&lt;D xsi:type="xsd:long"&gt;39660&lt;/D&gt;&lt;D xsi:type="xsd:long"&gt;39629&lt;/D&gt;&lt;D xsi:type="xsd:long"&gt;39598&lt;/D&gt;&lt;D xsi:type="xsd:long"&gt;39568&lt;/D&gt;&lt;D xsi:type="xsd:long"&gt;39538&lt;/D&gt;&lt;D xsi:type="xsd:long"&gt;39507&lt;/D&gt;&lt;D xsi:type="xsd:long"&gt;39478&lt;/D&gt;&lt;D xsi:type="xsd:long"&gt;39447&lt;/D&gt;&lt;D xsi:type="xsd:long"&gt;39416&lt;/D&gt;&lt;D xsi:type="xsd:long"&gt;39386&lt;/D&gt;&lt;D xsi:type="xsd:long"&gt;39353&lt;/D&gt;&lt;D xsi:type="xsd:long"&gt;39325&lt;/D&gt;&lt;D xsi:type="xsd:long"&gt;39294&lt;/D&gt;&lt;D xsi:type="xsd:long"&gt;39262&lt;/D&gt;&lt;D xsi:type="xsd:long"&gt;39233&lt;/D&gt;&lt;D xsi:type="xsd:long"&gt;39202&lt;/D&gt;&lt;D xsi:type="xsd:long"&gt;39171&lt;/D&gt;&lt;D xsi:type="xsd:long"&gt;39141&lt;/D&gt;&lt;D xsi:type="xsd:long"&gt;39113&lt;/D&gt;&lt;D xsi:type="xsd:long"&gt;39080&lt;/D&gt;&lt;D xsi:type="xsd:long"&gt;39051&lt;/D&gt;&lt;D xsi:type="xsd:long"&gt;39021&lt;/D&gt;&lt;D xsi:type="xsd:long"&gt;38989&lt;/D&gt;&lt;D xsi:type="xsd:long"&gt;38960&lt;/D&gt;&lt;D xsi:type="xsd:long"&gt;38929&lt;/D&gt;&lt;D xsi:type="xsd:long"&gt;38898&lt;/D&gt;&lt;D xsi:type="xsd:long"&gt;38868&lt;/D&gt;&lt;D xsi:type="xsd:long"&gt;38835&lt;/D&gt;&lt;D xsi:type="xsd:long"&gt;38807&lt;/D&gt;&lt;D xsi:type="xsd:long"&gt;38776&lt;/D&gt;&lt;D xsi:type="xsd:long"&gt;38748&lt;/D&gt;&lt;D xsi:type="xsd:long"&gt;38716&lt;/D&gt;&lt;D xsi:type="xsd:long"&gt;38686&lt;/D&gt;&lt;D xsi:type="xsd:long"&gt;38656&lt;/D&gt;&lt;D xsi:type="xsd:long"&gt;38625&lt;/D&gt;&lt;D xsi:type="xsd:long"&gt;38595&lt;/D&gt;&lt;D xsi:type="xsd:long"&gt;38562&lt;/D&gt;&lt;D xsi:type="xsd:long"&gt;38533&lt;/D&gt;&lt;D xsi:type="xsd:long"&gt;38503&lt;/D&gt;&lt;D xsi:type="xsd:long"&gt;38471&lt;/D&gt;&lt;D xsi:type="xsd:long"&gt;38442&lt;/D&gt;&lt;D xsi:type="xsd:long"&gt;38411&lt;/D&gt;&lt;D xsi:type="xsd:long"&gt;38383&lt;/D&gt;&lt;D xsi:type="xsd:long"&gt;38352&lt;/D&gt;&lt;D xsi:type="xsd:long"&gt;38321&lt;/D&gt;&lt;D xsi:type="xsd:long"&gt;38289&lt;/D&gt;&lt;D xsi:type="xsd:long"&gt;38260&lt;/D&gt;&lt;D xsi:type="xsd:long"&gt;38230&lt;/D&gt;&lt;D xsi:type="xsd:long"&gt;38198&lt;/D&gt;&lt;D xsi:type="xsd:long"&gt;38168&lt;/D&gt;&lt;D xsi:type="xsd:long"&gt;38135&lt;/D&gt;&lt;D xsi:type="xsd:long"&gt;38107&lt;/D&gt;&lt;D xsi:type="xsd:long"&gt;38077&lt;/D&gt;&lt;D xsi:type="xsd:long"&gt;38044&lt;/D&gt;&lt;D xsi:type="xsd:long"&gt;38016&lt;/D&gt;&lt;D xsi:type="xsd:long"&gt;37986&lt;/D&gt;&lt;D xsi:type="xsd:long"&gt;37953&lt;/D&gt;&lt;D xsi:type="xsd:long"&gt;37925&lt;/D&gt;&lt;D xsi:type="xsd:long"&gt;37894&lt;/D&gt;&lt;D xsi:type="xsd:long"&gt;37862&lt;/D&gt;&lt;D xsi:type="xsd:long"&gt;37833&lt;/D&gt;&lt;D xsi:type="xsd:long"&gt;37802&lt;/D&gt;&lt;D xsi:type="xsd:long"&gt;37771&lt;/D&gt;&lt;D xsi:type="xsd:long"&gt;37741&lt;/D&gt;&lt;D xsi:type="xsd:long"&gt;37711&lt;/D&gt;&lt;D xsi:type="xsd:long"&gt;37680&lt;/D&gt;&lt;D xsi:type="xsd:long"&gt;37652&lt;/D&gt;&lt;D xsi:type="xsd:long"&gt;37621&lt;/D&gt;&lt;D xsi:type="xsd:long"&gt;37589&lt;/D&gt;&lt;D xsi:type="xsd:long"&gt;37560&lt;/D&gt;&lt;D xsi:type="xsd:long"&gt;37529&lt;/D&gt;&lt;D xsi:type="xsd:long"&gt;37498&lt;/D&gt;&lt;D xsi:type="xsd:long"&gt;37468&lt;/D&gt;&lt;D xsi:type="xsd:long"&gt;37435&lt;/D&gt;&lt;D xsi:type="xsd:long"&gt;37407&lt;/D&gt;&lt;D xsi:type="xsd:long"&gt;37376&lt;/D&gt;&lt;D xsi:type="xsd:long"&gt;37343&lt;/D&gt;&lt;D xsi:type="xsd:long"&gt;37315&lt;/D&gt;&lt;D xsi:type="xsd:long"&gt;37287&lt;/D&gt;&lt;D xsi:type="xsd:long"&gt;37256&lt;/D&gt;&lt;D xsi:type="xsd:long"&gt;37225&lt;/D&gt;&lt;D xsi:type="xsd:long"&gt;37195&lt;/D&gt;&lt;D xsi:type="xsd:long"&gt;37162&lt;/D&gt;&lt;D xsi:type="xsd:long"&gt;37134&lt;/D&gt;&lt;D xsi:type="xsd:long"&gt;37103&lt;/D&gt;&lt;D xsi:type="xsd:long"&gt;37071&lt;/D&gt;&lt;D xsi:type="xsd:long"&gt;37042&lt;/D&gt;&lt;D xsi:type="xsd:long"&gt;37011&lt;/D&gt;&lt;D xsi:type="xsd:long"&gt;36980&lt;/D&gt;&lt;D xsi:type="xsd:long"&gt;36950&lt;/D&gt;&lt;D xsi:type="xsd:long"&gt;36922&lt;/D&gt;&lt;D xsi:type="xsd:long"&gt;36889&lt;/D&gt;&lt;D xsi:type="xsd:long"&gt;36860&lt;/D&gt;&lt;D xsi:type="xsd:long"&gt;36830&lt;/D&gt;&lt;D xsi:type="xsd:long"&gt;36798&lt;/D&gt;&lt;D xsi:type="xsd:long"&gt;36769&lt;/D&gt;&lt;D xsi:type="xsd:long"&gt;36738&lt;/D&gt;&lt;D xsi:type="xsd:long"&gt;36707&lt;/D&gt;&lt;D xsi:type="xsd:long"&gt;36677&lt;/D&gt;&lt;D xsi:type="xsd:long"&gt;36644&lt;/D&gt;&lt;D xsi:type="xsd:long"&gt;36616&lt;/D&gt;&lt;D xsi:type="xsd:long"&gt;36585&lt;/D&gt;&lt;D xsi:type="xsd:long"&gt;36556&lt;/D&gt;&lt;/FQL&gt;&lt;FQL&gt;&lt;Q&gt;891800^FG_PRICE(2/27/2026,1/31/2000,M)&lt;/Q&gt;&lt;R&gt;314&lt;/R&gt;&lt;C&gt;1&lt;/C&gt;&lt;D xsi:type="xsd:double"&gt;99558.018079&lt;/D&gt;&lt;D xsi:type="xsd:double"&gt;94941.788794&lt;/D&gt;&lt;D xsi:type="xsd:double"&gt;87314.939609&lt;/D&gt;&lt;D xsi:type="xsd:double"&gt;85303.204057&lt;/D&gt;&lt;D xsi:type="xsd:double"&gt;86761.681618&lt;/D&gt;&lt;D xsi:type="xsd:double"&gt;82980.07503&lt;/D&gt;&lt;D xsi:type="xsd:double"&gt;77653.551423&lt;/D&gt;&lt;D xsi:type="xsd:double"&gt;76646.990937&lt;/D&gt;&lt;D xsi:type="xsd:double"&gt;74346.568837&lt;/D&gt;&lt;D xsi:type="xsd:double"&gt;71126.601717&lt;/D&gt;&lt;D xsi:type="xsd:double"&gt;69146.526599&lt;/D&gt;&lt;D xsi:type="xsd:double"&gt;69483.685309&lt;/D&gt;&lt;D xsi:type="xsd:double"&gt;69453.261146&lt;/D&gt;&lt;D xsi:type="xsd:double"&gt;69034.415556&lt;/D&gt;&lt;D xsi:type="xsd:double"&gt;68031.090498&lt;/D&gt;&lt;D xsi:type="xsd:double"&gt;67334.085379&lt;/D&gt;&lt;D xsi:type="xsd:double"&gt;69278.323933&lt;/D&gt;&lt;D xsi:type="xsd:double"&gt;71281.052954&lt;/D&gt;&lt;D xsi:type="xsd:double"&gt;67673.33683&lt;/D&gt;&lt;D xsi:type="xsd:double"&gt;67546.897052&lt;/D&gt;&lt;D xsi:type="xsd:double"&gt;67433.012923&lt;/D&gt;&lt;D xsi:type="xsd:double"&gt;64921.812471&lt;/D&gt;&lt;D xsi:type="xsd:double"&gt;64791.801801&lt;/D&gt;&lt;D xsi:type="xsd:double"&gt;63841.085745&lt;/D&gt;&lt;D xsi:type="xsd:double"&gt;62319.028517&lt;/D&gt;&lt;D xsi:type="xsd:double"&gt;59371.604507&lt;/D&gt;&lt;D xsi:type="xsd:double"&gt;61541.727443&lt;/D&gt;&lt;D xsi:type="xsd:double"&gt;59780.260338&lt;/D&gt;&lt;D xsi:type="xsd:double"&gt;56377.204643&lt;/D&gt;&lt;D xsi:type="xsd:double"&gt;58515.223473&lt;/D&gt;&lt;D xsi:type="xsd:double"&gt;59703.82044&lt;/D&gt;&lt;D xsi:type="xsd:double"&gt;62768.927913&lt;/D&gt;&lt;D xsi:type="xsd:double"&gt;59844.07514&lt;/D&gt;&lt;D xsi:type="xsd:double"&gt;58169.105926&lt;/D&gt;&lt;D xsi:type="xsd:double"&gt;58880.344673&lt;/D&gt;&lt;D xsi:type="xsd:double"&gt;59416.193619&lt;/D&gt;&lt;D xsi:type="xsd:double"&gt;58330.634485&lt;/D&gt;&lt;D xsi:type="xsd:double"&gt;61216.720504&lt;/D&gt;&lt;D xsi:type="xsd:double"&gt;57479.343715&lt;/D&gt;&lt;D xsi:type="xsd:double"&gt;58788.913981&lt;/D&gt;&lt;D xsi:type="xsd:double"&gt;52730.137052&lt;/D&gt;&lt;D xsi:type="xsd:double"&gt;54180.197152&lt;/D&gt;&lt;D xsi:type="xsd:double"&gt;59910.960929&lt;/D&gt;&lt;D xsi:type="xsd:double"&gt;59422.250433&lt;/D&gt;&lt;D xsi:type="xsd:double"&gt;59621.003039&lt;/D&gt;&lt;D xsi:type="xsd:double"&gt;62802.63034&lt;/D&gt;&lt;D xsi:type="xsd:double"&gt;63099.612692&lt;/D&gt;&lt;D xsi:type="xsd:double"&gt;65528.925077&lt;/D&gt;&lt;D xsi:type="xsd:double"&gt;67088.124165&lt;/D&gt;&lt;D xsi:type="xsd:double"&gt;68772.876729&lt;/D&gt;&lt;D xsi:type="xsd:double"&gt;70053.416877&lt;/D&gt;&lt;D xsi:type="xsd:double"&gt;69205.58137&lt;/D&gt;&lt;D xsi:type="xsd:double"&gt;71556.228115&lt;/D&gt;&lt;D xsi:type="xsd:double"&gt;70963.029676&lt;/D&gt;&lt;D xsi:type="xsd:double"&gt;73230.485705&lt;/D&gt;&lt;D xsi:type="xsd:double"&gt;71752.97297&lt;/D&gt;&lt;D xsi:type="xsd:double"&gt;76676.700492&lt;/D&gt;&lt;D xsi:type="xsd:double"&gt;75481.178363&lt;/D&gt;&lt;D xsi:type="xsd:double"&gt;75391.221793&lt;/D&gt;&lt;D xsi:type="xsd:double"&gt;74288.927688&lt;/D&gt;&lt;D xsi:type="xsd:double"&gt;75090.558957&lt;/D&gt;&lt;D xsi:type="xsd:double"&gt;74349.170837&lt;/D&gt;&lt;D xsi:type="xsd:double"&gt;71692.869488&lt;/D&gt;&lt;D xsi:type="xsd:double"&gt;67717.650623&lt;/D&gt;&lt;D xsi:type="xsd:double"&gt;62856.027781&lt;/D&gt;&lt;D xsi:type="xsd:double"&gt;61978.400873&lt;/D&gt;&lt;D xsi:type="xsd:double"&gt;63124.335456&lt;/D&gt;&lt;D xsi:type="xsd:double"&gt;61852.460225&lt;/D&gt;&lt;D xsi:type="xsd:double"&gt;57479.67001&lt;/D&gt;&lt;D xsi:type="xsd:double"&gt;54104.08598&lt;/D&gt;&lt;D xsi:type="xsd:double"&gt;53860.527932&lt;/D&gt;&lt;D xsi:type="xsd:double"&gt;49578.121241&lt;/D&gt;&lt;D xsi:type="xsd:double"&gt;57099.764056&lt;/D&gt;&lt;D xsi:type="xsd:double"&gt;59424.443059&lt;/D&gt;&lt;D xsi:type="xsd:double"&gt;61467.415707&lt;/D&gt;&lt;D xsi:type="xsd:double"&gt;58288.489802&lt;/D&gt;&lt;D xsi:type="xsd:double"&gt;57977.825428&lt;/D&gt;&lt;D xsi:type="xsd:double"&gt;56357.492505&lt;/D&gt;&lt;D xsi:type="xsd:double"&gt;55658.937278&lt;/D&gt;&lt;D xsi:type="xsd:double"&gt;57225.921529&lt;/D&gt;&lt;D xsi:type="xsd:double"&gt;58072.033231&lt;/D&gt;&lt;D xsi:type="xsd:double"&gt;55800.868815&lt;/D&gt;&lt;D xsi:type="xsd:double"&gt;59921.203491&lt;/D&gt;&lt;D xsi:type="xsd:double"&gt;58487.717469&lt;/D&gt;&lt;D xsi:type="xsd:double"&gt;57786.188179&lt;/D&gt;&lt;D xsi:type="xsd:double"&gt;57231.609163&lt;/D&gt;&lt;D xsi:type="xsd:double"&gt;53426.378695&lt;/D&gt;&lt;D xsi:type="xsd:double"&gt;54947.053913&lt;/D&gt;&lt;D xsi:type="xsd:double"&gt;53395.887668&lt;/D&gt;&lt;D xsi:type="xsd:double"&gt;57943.244543&lt;/D&gt;&lt;D xsi:type="xsd:double"&gt;58760.208581&lt;/D&gt;&lt;D xsi:type="xsd:double"&gt;59202.090526&lt;/D&gt;&lt;D xsi:type="xsd:double"&gt;58512.947196&lt;/D&gt;&lt;D xsi:type="xsd:double"&gt;60251.299661&lt;/D&gt;&lt;D xsi:type="xsd:double"&gt;61751.251021&lt;/D&gt;&lt;D xsi:type="xsd:double"&gt;61022.731636&lt;/D&gt;&lt;D xsi:type="xsd:double"&gt;62383.36059&lt;/D&gt;&lt;D xsi:type="xsd:double"&gt;64977.799451&lt;/D&gt;&lt;D xsi:type="xsd:double"&gt;60878.897873&lt;/D&gt;&lt;D xsi:type="xsd:double"&gt;59489.383709&lt;/D&gt;&lt;D xsi:type="xsd:double"&gt;60011.36081&lt;/D&gt;&lt;D xsi:type="xsd:double"&gt;57792.536787&lt;/D&gt;&lt;D xsi:type="xsd:double"&gt;57624.932505&lt;/D&gt;&lt;D xsi:type="xsd:double"&gt;56555.32917&lt;/D&gt;&lt;D xsi:type="xsd:double"&gt;54162.848377&lt;/D&gt;&lt;D xsi:type="xsd:double"&gt;53534.259384&lt;/D&gt;&lt;D xsi:type="xsd:double"&gt;52328.368541&lt;/D&gt;&lt;D xsi:type="xsd:double"&gt;51212.063901&lt;/D&gt;&lt;D xsi:type="xsd:double"&gt;50327.037255&lt;/D&gt;&lt;D xsi:type="xsd:double"&gt;49530.945133&lt;/D&gt;&lt;D xsi:type="xsd:double"&gt;47650.988943&lt;/D&gt;&lt;D xsi:type="xsd:double"&gt;47720.281069&lt;/D&gt;&lt;D xsi:type="xsd:double"&gt;48817.408089&lt;/D&gt;&lt;D xsi:type="xsd:double"&gt;48547.814605&lt;/D&gt;&lt;D xsi:type="xsd:double"&gt;48425.354856&lt;/D&gt;&lt;D xsi:type="xsd:double"&gt;47204.203709&lt;/D&gt;&lt;D xsi:type="xsd:double"&gt;45420.789601&lt;/D&gt;&lt;D xsi:type="xsd:double"&gt;45010.51477&lt;/D&gt;&lt;D xsi:type="xsd:double"&gt;45454.513893&lt;/D&gt;&lt;D xsi:type="xsd:double"&gt;45552.515077&lt;/D&gt;&lt;D xsi:type="xsd:double"&gt;42125.825096&lt;/D&gt;&lt;D xsi:type="xsd:double"&gt;42145.742252&lt;/D&gt;&lt;D xsi:type="xsd:double"&gt;44483.637453&lt;/D&gt;&lt;D xsi:type="xsd:double"&gt;45078.745654&lt;/D&gt;&lt;D xsi:type="xsd:double"&gt;46350.426694&lt;/D&gt;&lt;D xsi:type="xsd:double"&gt;44002.26851&lt;/D&gt;&lt;D xsi:type="xsd:double"&gt;44884.176623&lt;/D&gt;&lt;D xsi:type="xsd:double"&gt;48081.280022&lt;/D&gt;&lt;D xsi:type="xsd:double"&gt;50449.256653&lt;/D&gt;&lt;D xsi:type="xsd:double"&gt;51926.08293&lt;/D&gt;&lt;D xsi:type="xsd:double"&gt;53350.068816&lt;/D&gt;&lt;D xsi:type="xsd:double"&gt;50568.0551&lt;/D&gt;&lt;D xsi:type="xsd:double"&gt;50580.2187&lt;/D&gt;&lt;D xsi:type="xsd:double"&gt;49025.944093&lt;/D&gt;&lt;D xsi:type="xsd:double"&gt;48361.139978&lt;/D&gt;&lt;D xsi:type="xsd:double"&gt;49703.244277&lt;/D&gt;&lt;D xsi:type="xsd:double"&gt;49179.332137&lt;/D&gt;&lt;D xsi:type="xsd:double"&gt;48543.164299&lt;/D&gt;&lt;D xsi:type="xsd:double"&gt;50794.517586&lt;/D&gt;&lt;D xsi:type="xsd:double"&gt;49892.926326&lt;/D&gt;&lt;D xsi:type="xsd:double"&gt;48693.973434&lt;/D&gt;&lt;D xsi:type="xsd:double"&gt;47746.283947&lt;/D&gt;&lt;D xsi:type="xsd:double"&gt;46525.621001&lt;/D&gt;&lt;D xsi:type="xsd:double"&gt;46733.200311&lt;/D&gt;&lt;D xsi:type="xsd:double"&gt;45929.254554&lt;/D&gt;&lt;D xsi:type="xsd:double"&gt;45009.99724&lt;/D&gt;&lt;D xsi:type="xsd:double"&gt;47159.007856&lt;/D&gt;&lt;D xsi:type="xsd:double"&gt;47667.859364&lt;/D&gt;&lt;D xsi:type="xsd:double"&gt;47733.063949&lt;/D&gt;&lt;D xsi:type="xsd:double"&gt;45934.956919&lt;/D&gt;&lt;D xsi:type="xsd:double"&gt;44187.933963&lt;/D&gt;&lt;D xsi:type="xsd:double"&gt;44314.34786&lt;/D&gt;&lt;D xsi:type="xsd:double"&gt;43797.746858&lt;/D&gt;&lt;D xsi:type="xsd:double"&gt;46360.103028&lt;/D&gt;&lt;D xsi:type="xsd:double"&gt;46171.834487&lt;/D&gt;&lt;D xsi:type="xsd:double"&gt;46254.498485&lt;/D&gt;&lt;D xsi:type="xsd:double"&gt;46839.720482&lt;/D&gt;&lt;D xsi:type="xsd:double"&gt;47344.099119&lt;/D&gt;&lt;D xsi:type="xsd:double"&gt;46731.300882&lt;/D&gt;&lt;D xsi:type="xsd:double"&gt;45004.965135&lt;/D&gt;&lt;D xsi:type="xsd:double"&gt;44335.09552&lt;/D&gt;&lt;D xsi:type="xsd:double"&gt;44507.597917&lt;/D&gt;&lt;D xsi:type="xsd:double"&gt;42761.397264&lt;/D&gt;&lt;D xsi:type="xsd:double"&gt;42931.031764&lt;/D&gt;&lt;D xsi:type="xsd:double"&gt;42330.835113&lt;/D&gt;&lt;D xsi:type="xsd:double"&gt;41616.341185&lt;/D&gt;&lt;D xsi:type="xsd:double"&gt;44840.505792&lt;/D&gt;&lt;D xsi:type="xsd:double"&gt;45229.110161&lt;/D&gt;&lt;D xsi:type="xsd:double"&gt;45965.689463&lt;/D&gt;&lt;D xsi:type="xsd:double"&gt;44014.222737&lt;/D&gt;&lt;D xsi:type="xsd:double"&gt;41012.759425&lt;/D&gt;&lt;D xsi:type="xsd:double"&gt;41053.711808&lt;/D&gt;&lt;D xsi:type="xsd:double"&gt;42739.3233&lt;/D&gt;&lt;D xsi:type="xsd:double"&gt;39248.122459&lt;/D&gt;&lt;D xsi:type="xsd:double"&gt;42494.619613&lt;/D&gt;&lt;D xsi:type="xsd:double"&gt;45984.013371&lt;/D&gt;&lt;D xsi:type="xsd:double"&gt;46567.524854&lt;/D&gt;&lt;D xsi:type="xsd:double"&gt;47622.879585&lt;/D&gt;&lt;D xsi:type="xsd:double"&gt;48579.212799&lt;/D&gt;&lt;D xsi:type="xsd:double"&gt;48317.751032&lt;/D&gt;&lt;D xsi:type="xsd:double"&gt;46409.46147&lt;/D&gt;&lt;D xsi:type="xsd:double"&gt;47104.938587&lt;/D&gt;&lt;D xsi:type="xsd:double"&gt;48170.878473&lt;/D&gt;&lt;D xsi:type="xsd:double"&gt;46160.766952&lt;/D&gt;&lt;D xsi:type="xsd:double"&gt;46690.213499&lt;/D&gt;&lt;D xsi:type="xsd:double"&gt;45676.485338&lt;/D&gt;&lt;D xsi:type="xsd:double"&gt;42492.247589&lt;/D&gt;&lt;D xsi:type="xsd:double"&gt;43195.215466&lt;/D&gt;&lt;D xsi:type="xsd:double"&gt;40810.426957&lt;/D&gt;&lt;D xsi:type="xsd:double"&gt;40631.454996&lt;/D&gt;&lt;D xsi:type="xsd:double"&gt;43537.85444&lt;/D&gt;&lt;D xsi:type="xsd:double"&gt;43602.493734&lt;/D&gt;&lt;D xsi:type="xsd:double"&gt;41093.347013&lt;/D&gt;&lt;D xsi:type="xsd:double"&gt;41204.386745&lt;/D&gt;&lt;D xsi:type="xsd:double"&gt;43130.257423&lt;/D&gt;&lt;D xsi:type="xsd:double"&gt;41455.061006&lt;/D&gt;&lt;D xsi:type="xsd:double"&gt;40154.971476&lt;/D&gt;&lt;D xsi:type="xsd:double"&gt;40353.474727&lt;/D&gt;&lt;D xsi:type="xsd:double"&gt;38029.12604&lt;/D&gt;&lt;D xsi:type="xsd:double"&gt;38080.724157&lt;/D&gt;&lt;D xsi:type="xsd:double"&gt;34785.917804&lt;/D&gt;&lt;D xsi:type="xsd:double"&gt;35330.372262&lt;/D&gt;&lt;D xsi:type="xsd:double"&gt;31528.076104&lt;/D&gt;&lt;D xsi:type="xsd:double"&gt;28190.528855&lt;/D&gt;&lt;D xsi:type="xsd:double"&gt;25569.770486&lt;/D&gt;&lt;D xsi:type="xsd:double"&gt;26338.082401&lt;/D&gt;&lt;D xsi:type="xsd:double"&gt;27186.593414&lt;/D&gt;&lt;D xsi:type="xsd:double"&gt;26039.202722&lt;/D&gt;&lt;D xsi:type="xsd:double"&gt;27153.768932&lt;/D&gt;&lt;D xsi:type="xsd:double"&gt;35016.936702&lt;/D&gt;&lt;D xsi:type="xsd:double"&gt;40065.489004&lt;/D&gt;&lt;D xsi:type="xsd:double"&gt;42206.815973&lt;/D&gt;&lt;D xsi:type="xsd:double"&gt;44655.736333&lt;/D&gt;&lt;D xsi:type="xsd:double"&gt;49644.508649&lt;/D&gt;&lt;D xsi:type="xsd:double"&gt;48887.003839&lt;/D&gt;&lt;D xsi:type="xsd:double"&gt;45688.465734&lt;/D&gt;&lt;D xsi:type="xsd:double"&gt;47757.219718&lt;/D&gt;&lt;D xsi:type="xsd:double"&gt;45060.86124&lt;/D&gt;&lt;D xsi:type="xsd:double"&gt;51528.548186&lt;/D&gt;&lt;D xsi:type="xsd:double"&gt;51245.26134&lt;/D&gt;&lt;D xsi:type="xsd:double"&gt;54642.737375&lt;/D&gt;&lt;D xsi:type="xsd:double"&gt;50214.248505&lt;/D&gt;&lt;D xsi:type="xsd:double"&gt;46407.857533&lt;/D&gt;&lt;D xsi:type="xsd:double"&gt;46948.632496&lt;/D&gt;&lt;D xsi:type="xsd:double"&gt;44910.97535&lt;/D&gt;&lt;D xsi:type="xsd:double"&gt;43035.734877&lt;/D&gt;&lt;D xsi:type="xsd:double"&gt;41551.357862&lt;/D&gt;&lt;D xsi:type="xsd:double"&gt;40219.525842&lt;/D&gt;&lt;D xsi:type="xsd:double"&gt;39047.316597&lt;/D&gt;&lt;D xsi:type="xsd:double"&gt;39340.763691&lt;/D&gt;&lt;D xsi:type="xsd:double"&gt;39520.863448&lt;/D&gt;&lt;D xsi:type="xsd:double"&gt;38052.207868&lt;/D&gt;&lt;D xsi:type="xsd:double"&gt;35755.685549&lt;/D&gt;&lt;D xsi:type="xsd:double"&gt;34573.314973&lt;/D&gt;&lt;D xsi:type="</t>
        </r>
      </text>
    </comment>
    <comment ref="A66" authorId="0" shapeId="0">
      <text>
        <r>
          <rPr>
            <b/>
            <sz val="9"/>
            <color indexed="81"/>
            <rFont val="Tahoma"/>
            <family val="2"/>
          </rPr>
          <t>xsd:double"&gt;34146.584013&lt;/D&gt;&lt;D xsi:type="xsd:double"&gt;33289.206192&lt;/D&gt;&lt;D xsi:type="xsd:double"&gt;33046.494882&lt;/D&gt;&lt;D xsi:type="xsd:double"&gt;33100.119525&lt;/D&gt;&lt;D xsi:type="xsd:double"&gt;36038.251981&lt;/D&gt;&lt;D xsi:type="xsd:double"&gt;34329.915637&lt;/D&gt;&lt;D xsi:type="xsd:double"&gt;33902.108285&lt;/D&gt;&lt;D xsi:type="xsd:double"&gt;33952.030045&lt;/D&gt;&lt;D xsi:type="xsd:double"&gt;31473.570612&lt;/D&gt;&lt;D xsi:type="xsd:double"&gt;29890.713733&lt;/D&gt;&lt;D xsi:type="xsd:double"&gt;27866.585619&lt;/D&gt;&lt;D xsi:type="xsd:double"&gt;29517.352149&lt;/D&gt;&lt;D xsi:type="xsd:double"&gt;27214.554677&lt;/D&gt;&lt;D xsi:type="xsd:double"&gt;26921.009253&lt;/D&gt;&lt;D xsi:type="xsd:double"&gt;25316.163967&lt;/D&gt;&lt;D xsi:type="xsd:double"&gt;24466.298225&lt;/D&gt;&lt;D xsi:type="xsd:double"&gt;23530.631531&lt;/D&gt;&lt;D xsi:type="xsd:double"&gt;24508.137963&lt;/D&gt;&lt;D xsi:type="xsd:double"&gt;25770.807814&lt;/D&gt;&lt;D xsi:type="xsd:double"&gt;24111.489882&lt;/D&gt;&lt;D xsi:type="xsd:double"&gt;23927.749619&lt;/D&gt;&lt;D xsi:type="xsd:double"&gt;23230.049886&lt;/D&gt;&lt;D xsi:type="xsd:double"&gt;22097.726872&lt;/D&gt;&lt;D xsi:type="xsd:double"&gt;21987.893279&lt;/D&gt;&lt;D xsi:type="xsd:double"&gt;21032.151894&lt;/D&gt;&lt;D xsi:type="xsd:double"&gt;20154.029618&lt;/D&gt;&lt;D xsi:type="xsd:double"&gt;20543.101969&lt;/D&gt;&lt;D xsi:type="xsd:double"&gt;20772.989974&lt;/D&gt;&lt;D xsi:type="xsd:double"&gt;21196.538551&lt;/D&gt;&lt;D xsi:type="xsd:double"&gt;22566.209629&lt;/D&gt;&lt;D xsi:type="xsd:double"&gt;22686.467337&lt;/D&gt;&lt;D xsi:type="xsd:double"&gt;21870.9076&lt;/D&gt;&lt;D xsi:type="xsd:double"&gt;21136.300777&lt;/D&gt;&lt;D xsi:type="xsd:double"&gt;19789.681331&lt;/D&gt;&lt;D xsi:type="xsd:double"&gt;19639.198134&lt;/D&gt;&lt;D xsi:type="xsd:double"&gt;18055.78105&lt;/D&gt;&lt;D xsi:type="xsd:double"&gt;18281.205961&lt;/D&gt;&lt;D xsi:type="xsd:double"&gt;17166.378015&lt;/D&gt;&lt;D xsi:type="xsd:double"&gt;16193.183979&lt;/D&gt;&lt;D xsi:type="xsd:double"&gt;15556.730062&lt;/D&gt;&lt;D xsi:type="xsd:double"&gt;14418.636185&lt;/D&gt;&lt;D xsi:type="xsd:double"&gt;13801.438&lt;/D&gt;&lt;D xsi:type="xsd:double"&gt;14266.844&lt;/D&gt;&lt;D xsi:type="xsd:double"&gt;14743.911&lt;/D&gt;&lt;D xsi:type="xsd:double"&gt;14849.216&lt;/D&gt;&lt;D xsi:type="xsd:double"&gt;15591.231&lt;/D&gt;&lt;D xsi:type="xsd:double"&gt;14821.233&lt;/D&gt;&lt;D xsi:type="xsd:double"&gt;14148.792&lt;/D&gt;&lt;D xsi:type="xsd:double"&gt;15437.02&lt;/D&gt;&lt;D xsi:type="xsd:double"&gt;15256.644&lt;/D&gt;&lt;D xsi:type="xsd:double"&gt;16359.138&lt;/D&gt;&lt;D xsi:type="xsd:double"&gt;17513.29&lt;/D&gt;&lt;D xsi:type="xsd:double"&gt;18083.443&lt;/D&gt;&lt;D xsi:type="xsd:double"&gt;18174.707&lt;/D&gt;&lt;D xsi:type="xsd:double"&gt;17268.82&lt;/D&gt;&lt;D xsi:type="xsd:double"&gt;16970.346&lt;/D&gt;&lt;D xsi:type="xsd:double"&gt;16330.615&lt;/D&gt;&lt;D xsi:type="xsd:double"&gt;14933.827&lt;/D&gt;&lt;D xsi:type="xsd:double"&gt;13574.574&lt;/D&gt;&lt;D xsi:type="xsd:double"&gt;12757.116&lt;/D&gt;&lt;D xsi:type="xsd:double"&gt;14760.355&lt;/D&gt;&lt;D xsi:type="xsd:double"&gt;14884.585&lt;/D&gt;&lt;D xsi:type="xsd:double"&gt;15753.274&lt;/D&gt;&lt;D xsi:type="xsd:double"&gt;16068.935&lt;/D&gt;&lt;D xsi:type="xsd:double"&gt;15759.224&lt;/D&gt;&lt;D xsi:type="xsd:double"&gt;15087.185&lt;/D&gt;&lt;D xsi:type="xsd:double"&gt;16442.256&lt;/D&gt;&lt;D xsi:type="xsd:double"&gt;17653.736&lt;/D&gt;&lt;D xsi:type="xsd:double"&gt;15538.1&lt;/D&gt;&lt;D xsi:type="xsd:double"&gt;15264.492&lt;/D&gt;&lt;D xsi:type="xsd:double"&gt;16563.996&lt;/D&gt;&lt;D xsi:type="xsd:double"&gt;17469.97&lt;/D&gt;&lt;D xsi:type="xsd:double"&gt;18938.86&lt;/D&gt;&lt;D xsi:type="xsd:double"&gt;18806.072&lt;/D&gt;&lt;D xsi:type="xsd:double"&gt;19789.896&lt;/D&gt;&lt;D xsi:type="xsd:double"&gt;19248.51&lt;/D&gt;&lt;D xsi:type="xsd:double"&gt;19875.09&lt;/D&gt;&lt;D xsi:type="xsd:double"&gt;21586.998&lt;/D&gt;&lt;D xsi:type="xsd:double"&gt;21571.787&lt;/D&gt;&lt;D xsi:type="xsd:double"&gt;21296.547&lt;/D&gt;&lt;/FQL&gt;&lt;FQL&gt;&lt;Q&gt;891800^JULIAN(FG_PRICE(2/27/2026,1/31/2000,M).DATES)&lt;/Q&gt;&lt;R&gt;314&lt;/R&gt;&lt;C&gt;1&lt;/C&gt;&lt;D xsi:type="xsd:long"&gt;46080&lt;/D&gt;&lt;D xsi:type="xsd:long"&gt;46052&lt;/D&gt;&lt;D xsi:type="xsd:long"&gt;46022&lt;/D&gt;&lt;D xsi:type="xsd:long"&gt;45989&lt;/D&gt;&lt;D xsi:type="xsd:long"&gt;45961&lt;/D&gt;&lt;D xsi:type="xsd:long"&gt;45930&lt;/D&gt;&lt;D xsi:type="xsd:long"&gt;45898&lt;/D&gt;&lt;D xsi:type="xsd:long"&gt;45869&lt;/D&gt;&lt;D xsi:type="xsd:long"&gt;45838&lt;/D&gt;&lt;D xsi:type="xsd:long"&gt;45807&lt;/D&gt;&lt;D xsi:type="xsd:long"&gt;45777&lt;/D&gt;&lt;D xsi:type="xsd:long"&gt;45747&lt;/D&gt;&lt;D xsi:type="xsd:long"&gt;45716&lt;/D&gt;&lt;D xsi:type="xsd:long"&gt;45688&lt;/D&gt;&lt;D xsi:type="xsd:long"&gt;45657&lt;/D&gt;&lt;D xsi:type="xsd:long"&gt;45625&lt;/D&gt;&lt;D xsi:type="xsd:long"&gt;45596&lt;/D&gt;&lt;D xsi:type="xsd:long"&gt;45565&lt;/D&gt;&lt;D xsi:type="xsd:long"&gt;45534&lt;/D&gt;&lt;D xsi:type="xsd:long"&gt;45504&lt;/D&gt;&lt;D xsi:type="xsd:long"&gt;45471&lt;/D&gt;&lt;D xsi:type="xsd:long"&gt;45443&lt;/D&gt;&lt;D xsi:type="xsd:long"&gt;45412&lt;/D&gt;&lt;D xsi:type="xsd:long"&gt;45379&lt;/D&gt;&lt;D xsi:type="xsd:long"&gt;45351&lt;/D&gt;&lt;D xsi:type="xsd:long"&gt;45322&lt;/D&gt;&lt;D xsi:type="xsd:long"&gt;45289&lt;/D&gt;&lt;D xsi:type="xsd:long"&gt;45260&lt;/D&gt;&lt;D xsi:type="xsd:long"&gt;45230&lt;/D&gt;&lt;D xsi:type="xsd:long"&gt;45198&lt;/D&gt;&lt;D xsi:type="xsd:long"&gt;45169&lt;/D&gt;&lt;D xsi:type="xsd:long"&gt;45138&lt;/D&gt;&lt;D xsi:type="xsd:long"&gt;45107&lt;/D&gt;&lt;D xsi:type="xsd:long"&gt;45077&lt;/D&gt;&lt;D xsi:type="xsd:long"&gt;45044&lt;/D&gt;&lt;D xsi:type="xsd:long"&gt;45016&lt;/D&gt;&lt;D xsi:type="xsd:long"&gt;44985&lt;/D&gt;&lt;D xsi:type="xsd:long"&gt;44957&lt;/D&gt;&lt;D xsi:type="xsd:long"&gt;44925&lt;/D&gt;&lt;D xsi:type="xsd:long"&gt;44895&lt;/D&gt;&lt;D xsi:type="xsd:long"&gt;44865&lt;/D&gt;&lt;D xsi:type="xsd:long"&gt;44834&lt;/D&gt;&lt;D xsi:type="xsd:long"&gt;44804&lt;/D&gt;&lt;D xsi:type="xsd:long"&gt;44771&lt;/D&gt;&lt;D xsi:type="xsd:long"&gt;44742&lt;/D&gt;&lt;D xsi:type="xsd:long"&gt;44712&lt;/D&gt;&lt;D xsi:type="xsd:long"&gt;44680&lt;/D&gt;&lt;D xsi:type="xsd:long"&gt;44651&lt;/D&gt;&lt;D xsi:type="xsd:long"&gt;44620&lt;/D&gt;&lt;D xsi:type="xsd:long"&gt;44592&lt;/D&gt;&lt;D xsi:type="xsd:long"&gt;44561&lt;/D&gt;&lt;D xsi:type="xsd:long"&gt;44530&lt;/D&gt;&lt;D xsi:type="xsd:long"&gt;44498&lt;/D&gt;&lt;D xsi:type="xsd:long"&gt;44469&lt;/D&gt;&lt;D xsi:type="xsd:long"&gt;44439&lt;/D&gt;&lt;D xsi:type="xsd:long"&gt;44407&lt;/D&gt;&lt;D xsi:type="xsd:long"&gt;44377&lt;/D&gt;&lt;D xsi:type="xsd:long"&gt;44344&lt;/D&gt;&lt;D xsi:type="xsd:long"&gt;44316&lt;/D&gt;&lt;D xsi:type="xsd:long"&gt;44286&lt;/D&gt;&lt;D xsi:type="xsd:long"&gt;44253&lt;/D&gt;&lt;D xsi:type="xsd:long"&gt;44225&lt;/D&gt;&lt;D xsi:type="xsd:long"&gt;44196&lt;/D&gt;&lt;D xsi:type="xsd:long"&gt;44165&lt;/D&gt;&lt;D xsi:type="xsd:long"&gt;44134&lt;/D&gt;&lt;D xsi:type="xsd:long"&gt;44104&lt;/D&gt;&lt;D xsi:type="xsd:long"&gt;44074&lt;/D&gt;&lt;D xsi:type="xsd:long"&gt;44043&lt;/D&gt;&lt;D xsi:type="xsd:long"&gt;44012&lt;/D&gt;&lt;D xsi:type="xsd:long"&gt;43980&lt;/D&gt;&lt;D xsi:type="xsd:long"&gt;43951&lt;/D&gt;&lt;D xsi:type="xsd:long"&gt;43921&lt;/D&gt;&lt;D xsi:type="xsd:long"&gt;43889&lt;/D&gt;&lt;D xsi:type="xsd:long"&gt;43861&lt;/D&gt;&lt;D xsi:type="xsd:long"&gt;43830&lt;/D&gt;&lt;D xsi:type="xsd:long"&gt;43798&lt;/D&gt;&lt;D xsi:type="xsd:long"&gt;43769&lt;/D&gt;&lt;D xsi:type="xsd:long"&gt;43738&lt;/D&gt;&lt;D xsi:type="xsd:long"&gt;43707&lt;/D&gt;&lt;D xsi:type="xsd:long"&gt;43677&lt;/D&gt;&lt;D xsi:type="xsd:long"&gt;43644&lt;/D&gt;&lt;D xsi:type="xsd:long"&gt;43616&lt;/D&gt;&lt;D xsi:type="xsd:long"&gt;43585&lt;/D&gt;&lt;D xsi:type="xsd:long"&gt;43553&lt;/D&gt;&lt;D xsi:type="xsd:long"&gt;43524&lt;/D&gt;&lt;D xsi:type="xsd:long"&gt;43496&lt;/D&gt;&lt;D xsi:type="xsd:long"&gt;43465&lt;/D&gt;&lt;D xsi:type="xsd:long"&gt;43434&lt;/D&gt;&lt;D xsi:type="xsd:long"&gt;43404&lt;/D&gt;&lt;D xsi:type="xsd:long"&gt;43371&lt;/D&gt;&lt;D xsi:type="xsd:long"&gt;43343&lt;/D&gt;&lt;D xsi:type="xsd:long"&gt;43312&lt;/D&gt;&lt;D xsi:type="xsd:long"&gt;43280&lt;/D&gt;&lt;D xsi:type="xsd:long"&gt;43251&lt;/D&gt;&lt;D xsi:type="xsd:long"&gt;43220&lt;/D&gt;&lt;D xsi:type="xsd:long"&gt;43188&lt;/D&gt;&lt;D xsi:type="xsd:long"&gt;43159&lt;/D&gt;&lt;D xsi:type="xsd:long"&gt;43131&lt;/D&gt;&lt;D xsi:type="xsd:long"&gt;43098&lt;/D&gt;&lt;D xsi:type="xsd:long"&gt;43069&lt;/D&gt;&lt;D xsi:type="xsd:long"&gt;43039&lt;/D&gt;&lt;D xsi:type="xsd:long"&gt;43007&lt;/D&gt;&lt;D xsi:type="xsd:long"&gt;42978&lt;/D&gt;&lt;D xsi:type="xsd:long"&gt;42947&lt;/D&gt;&lt;D xsi:type="xsd:long"&gt;42916&lt;/D&gt;&lt;D xsi:type="xsd:long"&gt;42886&lt;/D&gt;&lt;D xsi:type="xsd:long"&gt;42853&lt;/D&gt;&lt;D xsi:type="xsd:long"&gt;42825&lt;/D&gt;&lt;D xsi:type="xsd:long"&gt;42794&lt;/D&gt;&lt;D xsi:type="xsd:long"&gt;42766&lt;/D&gt;&lt;D xsi:type="xsd:long"&gt;42734&lt;/D&gt;&lt;D xsi:type="xsd:long"&gt;42704&lt;/D&gt;&lt;D xsi:type="xsd:long"&gt;42674&lt;/D&gt;&lt;D xsi:type="xsd:long"&gt;42643&lt;/D&gt;&lt;D xsi:type="xsd:long"&gt;42613&lt;/D&gt;&lt;D xsi:type="xsd:long"&gt;42580&lt;/D&gt;&lt;D xsi:type="xsd:long"&gt;42551&lt;/D&gt;&lt;D xsi:type="xsd:long"&gt;42521&lt;/D&gt;&lt;D xsi:type="xsd:long"&gt;42489&lt;/D&gt;&lt;D xsi:type="xsd:long"&gt;42460&lt;/D&gt;&lt;D xsi:type="xsd:long"&gt;42429&lt;/D&gt;&lt;D xsi:type="xsd:long"&gt;42398&lt;/D&gt;&lt;D xsi:type="xsd:long"&gt;42369&lt;/D&gt;&lt;D xsi:type="xsd:long"&gt;42338&lt;/D&gt;&lt;D xsi:type="xsd:long"&gt;42307&lt;/D&gt;&lt;D xsi:type="xsd:long"&gt;42277&lt;/D&gt;&lt;D xsi:type="xsd:long"&gt;42247&lt;/D&gt;&lt;D xsi:type="xsd:long"&gt;42216&lt;/D&gt;&lt;D xsi:type="xsd:long"&gt;42185&lt;/D&gt;&lt;D xsi:type="xsd:long"&gt;42153&lt;/D&gt;&lt;D xsi:type="xsd:long"&gt;42124&lt;/D&gt;&lt;D xsi:type="xsd:long"&gt;42094&lt;/D&gt;&lt;D xsi:type="xsd:long"&gt;42062&lt;/D&gt;&lt;D xsi:type="xsd:long"&gt;42034&lt;/D&gt;&lt;D xsi:type="xsd:long"&gt;42004&lt;/D&gt;&lt;D xsi:type="xsd:long"&gt;41971&lt;/D&gt;&lt;D xsi:type="xsd:long"&gt;41943&lt;/D&gt;&lt;D xsi:type="xsd:long"&gt;41912&lt;/D&gt;&lt;D xsi:type="xsd:long"&gt;41880&lt;/D&gt;&lt;D xsi:type="xsd:long"&gt;41851&lt;/D&gt;&lt;D xsi:type="xsd:long"&gt;41820&lt;/D&gt;&lt;D xsi:type="xsd:long"&gt;41789&lt;/D&gt;&lt;D xsi:type="xsd:long"&gt;41759&lt;/D&gt;&lt;D xsi:type="xsd:long"&gt;41729&lt;/D&gt;&lt;D xsi:type="xsd:long"&gt;41698&lt;/D&gt;&lt;D xsi:type="xsd:long"&gt;41670&lt;/D&gt;&lt;D xsi:type="xsd:long"&gt;41639&lt;/D&gt;&lt;D xsi:type="xsd:long"&gt;41607&lt;/D&gt;&lt;D xsi:type="xsd:long"&gt;41578&lt;/D&gt;&lt;D xsi:type="xsd:long"&gt;41547&lt;/D&gt;&lt;D xsi:type="xsd:long"&gt;41516&lt;/D&gt;&lt;D xsi:type="xsd:long"&gt;41486&lt;/D&gt;&lt;D xsi:type="xsd:long"&gt;41453&lt;/D&gt;&lt;D xsi:type="xsd:long"&gt;41425&lt;/D&gt;&lt;D xsi:type="xsd:long"&gt;41394&lt;/D&gt;&lt;D xsi:type="xsd:long"&gt;41361&lt;/D&gt;&lt;D xsi:type="xsd:long"&gt;41333&lt;/D&gt;&lt;D xsi:type="xsd:long"&gt;41305&lt;/D&gt;&lt;D xsi:type="xsd:long"&gt;41274&lt;/D&gt;&lt;D xsi:type="xsd:long"&gt;41243&lt;/D&gt;&lt;D xsi:type="xsd:long"&gt;41213&lt;/D&gt;&lt;D xsi:type="xsd:long"&gt;41180&lt;/D&gt;&lt;D xsi:type="xsd:long"&gt;41152&lt;/D&gt;&lt;D xsi:type="xsd:long"&gt;41121&lt;/D&gt;&lt;D xsi:type="xsd:long"&gt;41089&lt;/D&gt;&lt;D xsi:type="xsd:long"&gt;41060&lt;/D&gt;&lt;D xsi:type="xsd:long"&gt;41029&lt;/D&gt;&lt;D xsi:type="xsd:long"&gt;40998&lt;/D&gt;&lt;D xsi:type="xsd:long"&gt;40968&lt;/D&gt;&lt;D xsi:type="xsd:long"&gt;40939&lt;/D&gt;&lt;D xsi:type="xsd:long"&gt;40907&lt;/D&gt;&lt;D xsi:type="xsd:long"&gt;40877&lt;/D&gt;&lt;D xsi:type="xsd:long"&gt;40847&lt;/D&gt;&lt;D xsi:type="xsd:long"&gt;40816&lt;/D&gt;&lt;D xsi:type="xsd:long"&gt;40786&lt;/D&gt;&lt;D xsi:type="xsd:long"&gt;40753&lt;/D&gt;&lt;D xsi:type="xsd:long"&gt;40724&lt;/D&gt;&lt;D xsi:type="xsd:long"&gt;40694&lt;/D&gt;&lt;D xsi:type="xsd:long"&gt;40662&lt;/D&gt;&lt;D xsi:type="xsd:long"&gt;40633&lt;/D&gt;&lt;D xsi:type="xsd:long"&gt;40602&lt;/D&gt;&lt;D xsi:type="xsd:long"&gt;40574&lt;/D&gt;&lt;D xsi:type="xsd:long"&gt;40543&lt;/D&gt;&lt;D xsi:type="xsd:long"&gt;40512&lt;/D&gt;&lt;D xsi:type="xsd:long"&gt;40480&lt;/D&gt;&lt;D xsi:type="xsd:long"&gt;40451&lt;/D&gt;&lt;D xsi:type="xsd:long"&gt;40421&lt;/D&gt;&lt;D xsi:type="xsd:long"&gt;40389&lt;/D&gt;&lt;D xsi:type="xsd:long"&gt;40359&lt;/D&gt;&lt;D xsi:type="xsd:long"&gt;40326&lt;/D&gt;&lt;D xsi:type="xsd:long"&gt;40298&lt;/D&gt;&lt;D xsi:type="xsd:long"&gt;40268&lt;/D&gt;&lt;D xsi:type="xsd:long"&gt;40235&lt;/D&gt;&lt;D xsi:type="xsd:long"&gt;40207&lt;/D&gt;&lt;D xsi:type="xsd:long"&gt;40178&lt;/D&gt;&lt;D xsi:type="xsd:long"&gt;40147&lt;/D&gt;&lt;D xsi:type="xsd:long"&gt;40116&lt;/D&gt;&lt;D xsi:type="xsd:long"&gt;40086&lt;/D&gt;&lt;D xsi:type="xsd:long"&gt;40056&lt;/D&gt;&lt;D xsi:type="xsd:long"&gt;40025&lt;/D&gt;&lt;D xsi:type="xsd:long"&gt;39994&lt;/D&gt;&lt;D xsi:type="xsd:long"&gt;39962&lt;/D&gt;&lt;D xsi:type="xsd:long"&gt;39933&lt;/D&gt;&lt;D xsi:type="xsd:long"&gt;39903&lt;/D&gt;&lt;D xsi:type="xsd:long"&gt;39871&lt;/D&gt;&lt;D xsi:type="xsd:long"&gt;39843&lt;/D&gt;&lt;D xsi:type="xsd:long"&gt;39813&lt;/D&gt;&lt;D xsi:type="xsd:long"&gt;39780&lt;/D&gt;&lt;D xsi:type="xsd:long"&gt;39752&lt;/D&gt;&lt;D xsi:type="xsd:long"&gt;39721&lt;/D&gt;&lt;D xsi:type="xsd:long"&gt;39689&lt;/D&gt;&lt;D xsi:type="xsd:long"&gt;39660&lt;/D&gt;&lt;D xsi:type="xsd:long"&gt;39629&lt;/D&gt;&lt;D xsi:type="xsd:long"&gt;39598&lt;/D&gt;&lt;D xsi:type="xsd:long"&gt;39568&lt;/D&gt;&lt;D xsi:type="xsd:long"&gt;39538&lt;/D&gt;&lt;D xsi:type="xsd:long"&gt;39507&lt;/D&gt;&lt;D xsi:type="xsd:long"&gt;39478&lt;/D&gt;&lt;D xsi:type="xsd:long"&gt;39447&lt;/D&gt;&lt;D xsi:type="xsd:long"&gt;39416&lt;/D&gt;&lt;D xsi:type="xsd:long"&gt;39386&lt;/D&gt;&lt;D xsi:type="xsd:long"&gt;39353&lt;/D&gt;&lt;D xsi:type="xsd:long"&gt;39325&lt;/D&gt;&lt;D xsi:type="xsd:long"&gt;39294&lt;/D&gt;&lt;D xsi:type="xsd:long"&gt;39262&lt;/D&gt;&lt;D xsi:type="xsd:long"&gt;39233&lt;/D&gt;&lt;D xsi:type="xsd:long"&gt;39202&lt;/D&gt;&lt;D xsi:type="xsd:long"&gt;39171&lt;/D&gt;&lt;D xsi:type="xsd:long"&gt;39141&lt;/D&gt;&lt;D xsi:type="xsd:long"&gt;39113&lt;/D&gt;&lt;D xsi:type="xsd:long"&gt;39080&lt;/D&gt;&lt;D xsi:type="xsd:long"&gt;39051&lt;/D&gt;&lt;D xsi:type="xsd:long"&gt;39021&lt;/D&gt;&lt;D xsi:type="xsd:long"&gt;38989&lt;/D&gt;&lt;D xsi:type="xsd:long"&gt;38960&lt;/D&gt;&lt;D xsi:type="xsd:long"&gt;38929&lt;/D&gt;&lt;D xsi:type="xsd:long"&gt;38898&lt;/D&gt;&lt;D xsi:type="xsd:long"&gt;38868&lt;/D&gt;&lt;D xsi:type="xsd:long"&gt;38835&lt;/D&gt;&lt;D xsi:type="xsd:long"&gt;38807&lt;/D&gt;&lt;D xsi:type="xsd:long"&gt;38776&lt;/D&gt;&lt;D xsi:type="xsd:long"&gt;38748&lt;/D&gt;&lt;D xsi:type="xsd:long"&gt;38716&lt;/D&gt;&lt;D xsi:type="xsd:long"&gt;38686&lt;/D&gt;&lt;D xsi:type="xsd:long"&gt;38656&lt;/D&gt;&lt;D xsi:type="xsd:long"&gt;38625&lt;/D&gt;&lt;D xsi:type="xsd:long"&gt;38595&lt;/D&gt;&lt;D xsi:type="xsd:long"&gt;38562&lt;/D&gt;&lt;D xsi:type="xsd:long"&gt;38533&lt;/D&gt;&lt;D xsi:type="xsd:long"&gt;38503&lt;/D&gt;&lt;D xsi:type="xsd:long"&gt;38471&lt;/D&gt;&lt;D xsi:type="xsd:long"&gt;38442&lt;/D&gt;&lt;D xsi:type="xsd:long"&gt;38411&lt;/D&gt;&lt;D xsi:type="xsd:long"&gt;38383&lt;/D&gt;&lt;D xsi:type="xsd:long"&gt;38352&lt;/D&gt;&lt;D xsi:type="xsd:long"&gt;38321&lt;/D&gt;&lt;D xsi:type="xsd:long"&gt;38289&lt;/D&gt;&lt;D xsi:type="xsd:long"&gt;38260&lt;/D&gt;&lt;D xsi:type="xsd:long"&gt;38230&lt;/D&gt;&lt;D xsi:type="xsd:long"&gt;38198&lt;/D&gt;&lt;D xsi:type="xsd:long"&gt;38168&lt;/D&gt;&lt;D xsi:type="xsd:long"&gt;38135&lt;/D&gt;&lt;D xsi:type="xsd:long"&gt;38107&lt;/D&gt;&lt;D xsi:type="xsd:long"&gt;38077&lt;/D&gt;&lt;D xsi:type="xsd:long"&gt;38044&lt;/D&gt;&lt;D xsi:type="xsd:long"&gt;38016&lt;/D&gt;&lt;D xsi:type="xsd:long"&gt;37986&lt;/D&gt;&lt;D xsi:type="xsd:long"&gt;37953&lt;/D&gt;&lt;D xsi:type="xsd:long"&gt;37925&lt;/D&gt;&lt;D xsi:type="xsd:long"&gt;37894&lt;/D&gt;&lt;D xsi:type="xsd:long"&gt;37862&lt;/D&gt;&lt;D xsi:type="xsd:long"&gt;37833&lt;/D&gt;&lt;D xsi:type="xsd:long"&gt;37802&lt;/D&gt;&lt;D xsi:type="xsd:long"&gt;37771&lt;/D&gt;&lt;D xsi:type="xsd:long"&gt;37741&lt;/D&gt;&lt;D xsi:type="xsd:long"&gt;37711&lt;/D&gt;&lt;D xsi:type="xsd:long"&gt;37680&lt;/D&gt;&lt;D xsi:type="xsd:long"&gt;37652&lt;/D&gt;&lt;D xsi:type="xsd:long"&gt;37621&lt;/D&gt;&lt;D xsi:type="xsd:long"&gt;37589&lt;/D&gt;&lt;D xsi:type="xsd:long"&gt;37560&lt;/D&gt;&lt;D xsi:type="xsd:long"&gt;37529&lt;/D&gt;&lt;D xsi:type="xsd:long"&gt;37498&lt;/D&gt;&lt;D xsi:type="xsd:long"&gt;37468&lt;/D&gt;&lt;D xsi:type="xsd:long"&gt;37435&lt;/D&gt;&lt;D xsi:type="xsd:long"&gt;37407&lt;/D&gt;&lt;D xsi:type="xsd:long"&gt;37376&lt;/D&gt;&lt;D xsi:type="xsd:long"&gt;37343&lt;/D&gt;&lt;D xsi:type="xsd:long"&gt;37315&lt;/D&gt;&lt;D xsi:type="xsd:long"&gt;37287&lt;/D&gt;&lt;D xsi:type="xsd:long"&gt;37256&lt;/D&gt;&lt;D xsi:type="xsd:long"&gt;37225&lt;/D&gt;&lt;D xsi:type="xsd:long"&gt;37195&lt;/D&gt;&lt;D xsi:type="xsd:long"&gt;37162&lt;/D&gt;&lt;D xsi:type="xsd:long"&gt;37134&lt;/D&gt;&lt;D xsi:type="xsd:long"&gt;37103&lt;/D&gt;&lt;D xsi:type="xsd:long"&gt;37071&lt;/D&gt;&lt;D xsi:type="xsd:long"&gt;37042&lt;/D&gt;&lt;D xsi:type="xsd:long"&gt;37011&lt;/D&gt;&lt;D xsi:type="xsd:long"&gt;36980&lt;/D&gt;&lt;D xsi:type="xsd:long"&gt;36950&lt;/D&gt;&lt;D xsi:type="xsd:long"&gt;36922&lt;/D&gt;&lt;D xsi:type="xsd:long"&gt;36889&lt;/D&gt;&lt;D xsi:type="xsd:long"&gt;36860&lt;/D&gt;&lt;D xsi:type="xsd:long"&gt;36830&lt;/D&gt;&lt;D xsi:type="xsd:long"&gt;36798&lt;/D&gt;&lt;D xsi:type="xsd:long"&gt;36769&lt;/D&gt;&lt;D xsi:type="xsd:long"&gt;36738&lt;/D&gt;&lt;D xsi:type="xsd:long"&gt;36707&lt;/D&gt;&lt;D xsi:type="xsd:long"&gt;36677&lt;/D&gt;&lt;D xsi:type="xsd:long"&gt;36644&lt;/D&gt;&lt;D xsi:type="xsd:long"&gt;36616&lt;/D&gt;&lt;D xsi:type="xsd:long"&gt;36585&lt;/D&gt;&lt;D xsi:type="xsd:long"&gt;36556&lt;/D&gt;&lt;/FQL&gt;&lt;FQL&gt;&lt;Q&gt;990100^MSCB_TOTAL_RET_IDX(2/27/2026,1/31/2000,M,"LOC","GROSS","")&lt;/Q&gt;&lt;R&gt;0&lt;/R&gt;&lt;C&gt;0&lt;/C&gt;&lt;/FQL&gt;&lt;FQL&gt;&lt;Q&gt;990100^JULIAN(MSCB_TOTAL_RET_IDX(2/27/2026,1/31/2000,M,"LOC","GROSS","").DATES)&lt;/Q&gt;&lt;R&gt;314&lt;/R&gt;&lt;C&gt;1&lt;/C&gt;&lt;D xsi:type="xsd:long"&gt;46080&lt;/D&gt;&lt;D xsi:type="xsd:long"&gt;46052&lt;/D&gt;&lt;D xsi:type="xsd:long"&gt;46022&lt;/D&gt;&lt;D xsi:type="xsd:long"&gt;45989&lt;/D&gt;&lt;D xsi:type="xsd:long"&gt;45961&lt;/D&gt;&lt;D xsi:type="xsd:long"&gt;45930&lt;/D&gt;&lt;D xsi:type="xsd:long"&gt;45898&lt;/D&gt;&lt;D xsi:type="xsd:long"&gt;45869&lt;/D&gt;&lt;D xsi:type="xsd:long"&gt;45838&lt;/D&gt;&lt;D xsi:type="xsd:long"&gt;45807&lt;/D&gt;&lt;D xsi:type="xsd:long"&gt;45777&lt;/D&gt;&lt;D xsi:type="xsd:long"&gt;45747&lt;/D&gt;&lt;D xsi:type="xsd:long"&gt;45716&lt;/D&gt;&lt;D xsi:type="xsd:long"&gt;45688&lt;/D&gt;&lt;D xsi:type="xsd:long"&gt;45657&lt;/D&gt;&lt;D xsi:type="xsd:long"&gt;45625&lt;/D&gt;&lt;D xsi:type="xsd:long"&gt;45596&lt;/D&gt;&lt;D xsi:type="xsd:long"&gt;45565&lt;/D&gt;&lt;D xsi:type="xsd:long"&gt;45534&lt;/D&gt;&lt;D xsi:type="xsd:long"&gt;45504&lt;/D&gt;&lt;D xsi:type="xsd:long"&gt;45471&lt;/D&gt;&lt;D xsi:type="xsd:long"&gt;45443&lt;/D&gt;&lt;D xsi:type="xsd:long"&gt;45412&lt;/D&gt;&lt;D xsi:type="xsd:long"&gt;45379&lt;/D&gt;&lt;D xsi:type="xsd:long"&gt;45351&lt;/D&gt;&lt;D xsi:type="xsd:long"&gt;45322&lt;/D&gt;&lt;D xsi:type="xsd:long"&gt;45289&lt;/D&gt;&lt;D xsi:type="xsd:long"&gt;45260&lt;/D&gt;&lt;D xsi:type="xsd:long"&gt;45230&lt;/D&gt;&lt;D xsi:type="xsd:long"&gt;45198&lt;/D&gt;&lt;D xsi:type="xsd:long"&gt;45169&lt;/D&gt;&lt;D xsi:type="xsd:long"&gt;45138&lt;/D&gt;&lt;D xsi:type="xsd:long"&gt;45107&lt;/D&gt;&lt;D xsi:type="xsd:long"&gt;45077&lt;/D&gt;&lt;D xsi:type="xsd:long"&gt;45044&lt;/D&gt;&lt;D xsi:type="xsd:long"&gt;45016&lt;/D&gt;&lt;D xsi:type="xsd:long"&gt;44985&lt;/D&gt;&lt;D xsi:type="xsd:long"&gt;44957&lt;/D&gt;&lt;D xsi:type="xsd:long"&gt;44925&lt;/D&gt;&lt;D xsi:type="xsd:long"&gt;44895&lt;/D&gt;&lt;D xsi:type="xsd:long"&gt;44865&lt;/D&gt;&lt;D xsi:type="xsd:long"&gt;44834&lt;/D&gt;&lt;D xsi:type="xsd:long"&gt;44804&lt;/D&gt;&lt;D xsi:type="xsd:long"&gt;44771&lt;/D&gt;&lt;D xsi:type="xsd:long"&gt;44742&lt;/D&gt;&lt;D xsi:type="xsd:long"&gt;44712&lt;/D&gt;&lt;D xsi:type="xsd:long"&gt;44680&lt;/D&gt;&lt;D xsi:type="xsd:long"&gt;44651&lt;/D&gt;&lt;D xsi:type="xsd:long"&gt;44620&lt;/D&gt;&lt;D xsi:type="xsd:long"&gt;44592&lt;/D&gt;&lt;D xsi:type="xsd:long"&gt;44561&lt;/D&gt;&lt;D xsi:type="xsd:long"&gt;44530&lt;/D&gt;&lt;D xsi:type="xsd:long"&gt;44498&lt;/D&gt;&lt;D xsi:type="xsd:long"&gt;44469&lt;/D&gt;&lt;D xsi:type="xsd:long"&gt;44439&lt;/D&gt;&lt;D xsi:type="xsd:long"&gt;44407&lt;/D&gt;&lt;D xsi:type="xsd:long"&gt;44377&lt;/D&gt;&lt;D xsi:type="xsd:long"&gt;44344&lt;/D&gt;&lt;D xsi:type="xsd:long"&gt;44316&lt;/D&gt;&lt;D xsi:type="xsd:long"&gt;44286&lt;/D&gt;&lt;D xsi:type="xsd:long"&gt;44253&lt;/D&gt;&lt;D xsi:type="xsd:long"&gt;44225&lt;/D&gt;&lt;D xsi:type="xsd:long"&gt;44196&lt;/D&gt;&lt;D xsi:type="xsd:long"&gt;44165&lt;/D&gt;&lt;D xsi:type="xsd:long"&gt;44134&lt;/D&gt;&lt;D xsi:type="xsd:long"&gt;44104&lt;/D&gt;&lt;D xsi:type="xsd:long"&gt;44074&lt;/D&gt;&lt;D xsi:type="xsd:long"&gt;44043&lt;/D&gt;&lt;D xsi:type="xsd:long"&gt;44012&lt;/D&gt;&lt;D xsi:type="xsd:long"&gt;43980&lt;/D&gt;&lt;D xsi:type="xsd:long"&gt;43951&lt;/D&gt;&lt;D xsi:type="xsd:long"&gt;43921&lt;/D&gt;&lt;D xsi:type="xsd:long"&gt;43889&lt;/D&gt;&lt;D xsi:type="xsd:long"&gt;43861&lt;/D&gt;&lt;D xsi:type="xsd:long"&gt;43830&lt;/D&gt;&lt;D xsi:type="xsd:long"&gt;43798&lt;/D&gt;&lt;D xsi:type="xsd:long"&gt;43769&lt;/D&gt;&lt;D xsi:type="xsd:long"&gt;43738&lt;/D&gt;&lt;D xsi:type="xsd:long"&gt;43707&lt;/D&gt;&lt;D xsi:type="xsd:long"&gt;43677&lt;/D&gt;&lt;D xsi:type="xsd:long"&gt;43644&lt;/D&gt;&lt;D xsi:type="xsd:long"&gt;43616&lt;/D&gt;&lt;D xsi:type="xsd:long"&gt;43585&lt;/D&gt;&lt;D xsi:type="xsd:long"&gt;43553&lt;/D&gt;&lt;D xsi:type="xsd:long"&gt;43524&lt;/D&gt;&lt;D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991000^MSCB_TOTAL_RET_IDX(2/27/2026,1/31/2000,M,"LOC","GROSS","")&lt;/Q&gt;&lt;R&gt;0&lt;/R&gt;&lt;C&gt;0&lt;/C&gt;&lt;/FQL&gt;&lt;FQL&gt;&lt;Q&gt;991000^JULIAN(MSCB_TOTAL_RET_IDX(2/27/2026,1/31/2000,M,"LOC","GROSS","").DATES)&lt;/Q&gt;&lt;R&gt;0&lt;/R&gt;&lt;C&gt;0&lt;/C&gt;&lt;/FQL&gt;&lt;FQL&gt;&lt;Q&gt;892400^MSCB_TOTAL_RET_IDX(2/27/2026,1/31/2000,M,"LOC","GROSS","")&lt;/Q&gt;&lt;R&gt;0&lt;/R&gt;&lt;C&gt;0&lt;/C&gt;&lt;/FQL&gt;&lt;FQL&gt;&lt;Q&gt;892400^JULIAN(MSCB_TOTAL_RET_IDX(2/27/2026,1/31/2000,M,"LOC","GROSS","").DATES)&lt;/Q&gt;&lt;R&gt;314&lt;/R&gt;&lt;C&gt;1&lt;/C&gt;&lt;D xsi:type="xsd:long"&gt;46080&lt;/D&gt;&lt;D xsi:type="xsd:long"&gt;46052&lt;/D&gt;&lt;D xsi:type="xsd:long"&gt;46022&lt;/D&gt;&lt;D xsi:type="xsd:long"&gt;45989&lt;/D&gt;&lt;D xsi:type="xsd:long"&gt;45961&lt;/D&gt;&lt;D xsi:type="xsd:long"&gt;45930&lt;/D&gt;&lt;D xsi:type="xsd:long"&gt;45898&lt;/D&gt;&lt;D xsi:type="xsd:long"&gt;45869&lt;/D&gt;&lt;D xsi:type="xsd:long"&gt;45838&lt;/D&gt;&lt;D xsi:type="xsd:long"&gt;45807&lt;/D&gt;&lt;D xsi:type="xsd:long"&gt;45777&lt;/D&gt;&lt;D xsi:type="xsd:long"&gt;45747&lt;/D&gt;&lt;D xsi:type="xsd:long"&gt;45716&lt;/D&gt;&lt;D xsi:type="xsd:long"&gt;45688&lt;/D&gt;&lt;D xsi:type="xsd:long"&gt;45657&lt;/D&gt;&lt;D xsi:type="xsd:long"&gt;45625&lt;/D&gt;&lt;D xsi:type="xsd:long"&gt;45596&lt;/D&gt;&lt;D xsi:type="xsd:long"&gt;45565&lt;/D&gt;&lt;D xsi:type="xsd:long"&gt;45534&lt;/D&gt;&lt;D xsi:type="xsd:long"&gt;45504&lt;/D&gt;&lt;D xsi:type="xsd:long"&gt;45471&lt;/D&gt;&lt;D xsi:type="xsd:long"&gt;45443&lt;/D&gt;&lt;D xsi:type="xsd:long"&gt;45412&lt;/D&gt;&lt;D xsi:type="xsd:long"&gt;45379&lt;/D&gt;&lt;D xsi:type="xsd:long"&gt;45351&lt;/D&gt;&lt;D xsi:type="xsd:long"&gt;45322&lt;/D&gt;&lt;D xsi:type="xsd:long"&gt;45289&lt;/D&gt;&lt;D xsi:type="xsd:long"&gt;45260&lt;/D&gt;&lt;D xsi:type="xsd:long"&gt;45230&lt;/D&gt;&lt;D xsi:type="xsd:long"&gt;45198&lt;/D&gt;&lt;D xsi:type="xsd:long"&gt;45169&lt;/D&gt;&lt;D xsi:type="xsd:long"&gt;45138&lt;/D&gt;&lt;D xsi:type="xsd:long"&gt;45107&lt;/D&gt;&lt;D xsi:type="xsd:long"&gt;45077&lt;/D&gt;&lt;D xsi:type="xsd:long"&gt;45044&lt;/D&gt;&lt;D xsi:type="xsd:long"&gt;45016&lt;/D&gt;&lt;D xsi:type="xsd:long"&gt;44985&lt;/D&gt;&lt;D xsi:type="xsd:long"&gt;44957&lt;/D&gt;&lt;D xsi:type="xsd:long"&gt;44925&lt;/D&gt;&lt;D xsi:type="xsd:long"&gt;44895&lt;/D&gt;&lt;D xsi:type="xsd:long"&gt;44865&lt;/D&gt;&lt;D xsi:type="xsd:long"&gt;44834&lt;/D&gt;&lt;D xsi:type="xsd:long"&gt;44804&lt;/D&gt;&lt;D xsi:type="xsd:long"&gt;44771&lt;/D&gt;&lt;D xsi:type="xsd:long"&gt;44742&lt;/D&gt;&lt;D xsi:type="xsd:long"&gt;44712&lt;/D&gt;&lt;D xsi:type="xsd:long"&gt;44680&lt;/D&gt;&lt;D xsi:type="xsd:long"&gt;44651&lt;/D&gt;&lt;D xsi:type="xsd:long"&gt;44620&lt;/D&gt;&lt;D xsi:type="xsd:long"&gt;44592&lt;/D&gt;&lt;D xsi:type="xsd:long"&gt;44561&lt;/D&gt;&lt;D xsi:type="xsd:long"&gt;44530&lt;/D&gt;&lt;D xsi:type="xsd:long"&gt;44498&lt;/D&gt;&lt;D xsi:type="xsd:long"&gt;44469&lt;/D&gt;&lt;D xsi:type="xsd:long"&gt;44439&lt;/D&gt;&lt;D xsi:type="xsd:long"&gt;44407&lt;/D&gt;&lt;D xsi:type="xsd:long"&gt;44377&lt;/D&gt;&lt;D xsi:type="xsd:long"&gt;44344&lt;/D&gt;&lt;D xsi:type="xsd:long"&gt;44316&lt;/D&gt;&lt;D xsi:type="xsd:long"&gt;44286&lt;/D&gt;&lt;D xsi:type="xsd:long"&gt;44253&lt;/D&gt;&lt;D xsi:type="xsd:long"&gt;44225&lt;/D&gt;&lt;D xsi:type="xsd:long"&gt;44196&lt;/D&gt;&lt;D xsi:type="xsd:long"&gt;44165&lt;/D&gt;&lt;D xsi:type="xsd:long"&gt;44134&lt;/D&gt;&lt;D xsi:type="xsd:long"&gt;44104&lt;/D&gt;&lt;D xsi:type="xsd:long"&gt;44074&lt;/D&gt;&lt;D xsi:type="xsd:long"&gt;44043&lt;/D&gt;&lt;D xsi:type="xsd:long"&gt;44012&lt;/D&gt;&lt;D xsi:type="xsd:long"&gt;43980&lt;/D&gt;&lt;D xsi:type="xsd:long"&gt;43951&lt;/D&gt;&lt;D xsi:type="xsd:long"&gt;43921&lt;/D&gt;&lt;D xsi:type="xsd:long"&gt;43889&lt;/D&gt;&lt;D xsi:type="xsd:long"&gt;43861&lt;/D&gt;&lt;D xsi:type="xsd:long"&gt;43830&lt;/D&gt;&lt;D xsi:type="xsd:long"&gt;43798&lt;/D&gt;&lt;D xsi:type="xsd:long"&gt;43769&lt;/D&gt;&lt;D xsi:type="xsd:long"&gt;43738&lt;/D&gt;&lt;D xsi:type="xsd:long"&gt;43707&lt;/D&gt;&lt;D xsi:type="xsd:long"&gt;43677&lt;/D&gt;&lt;D xsi:type="xsd:long"&gt;43644&lt;/D&gt;&lt;D xsi:type="xsd:long"&gt;43616&lt;/D&gt;&lt;D xsi:type="xsd:long"&gt;43585&lt;/D&gt;&lt;D xsi:type="xsd:long"&gt;43553&lt;/D&gt;&lt;D xsi:type="xsd:long"&gt;43524&lt;/D&gt;&lt;D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</t>
        </r>
      </text>
    </comment>
    <comment ref="A67" authorId="0" shapeId="0">
      <text>
        <r>
          <rPr>
            <b/>
            <sz val="9"/>
            <color indexed="81"/>
            <rFont val="Tahoma"/>
            <family val="2"/>
          </rPr>
          <t>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891800^MSCB_TOTAL_RET_IDX(2/27/2026,1/31/2000,M,"LOC","GROSS","")&lt;/Q&gt;&lt;R&gt;0&lt;/R&gt;&lt;C&gt;0&lt;/C&gt;&lt;/FQL&gt;&lt;FQL&gt;&lt;Q&gt;891800^JULIAN(MSCB_TOTAL_RET_IDX(2/27/2026,1/31/2000,M,"LOC","GROSS","").DATES)&lt;/Q&gt;&lt;R&gt;314&lt;/R&gt;&lt;C&gt;1&lt;/C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990100^MSTS_TOTAL_RET_IDX(2/27/2026,1/31/2000,M,"LOC","GROSS","")&lt;/Q&gt;&lt;R&gt;0&lt;/R&gt;&lt;C&gt;0&lt;/C&gt;&lt;/FQL&gt;&lt;FQL&gt;&lt;Q&gt;990100^JULIAN(MSTS_TOTAL_RET_IDX(2/27/2026,1/31/2000,M,"LOC","GROSS","").DATES)&lt;/Q&gt;&lt;R&gt;314&lt;/R&gt;&lt;C&gt;1&lt;/C&gt;&lt;D xsi:type="xsd:long"&gt;46080&lt;/D&gt;&lt;D xsi:type="xsd:long"&gt;46052&lt;/D&gt;&lt;D xsi:type="xsd:long"&gt;46022&lt;/D&gt;&lt;D xsi:type="xsd:long"&gt;45989&lt;/D&gt;&lt;D xsi:type="xsd:long"&gt;45961&lt;/D&gt;&lt;D xsi:type="xsd:long"&gt;45930&lt;/D&gt;&lt;D xsi:type="xsd:long"&gt;45898&lt;/D&gt;&lt;D xsi:type="xsd:long"&gt;45869&lt;/D&gt;&lt;D xsi:type="xsd:long"&gt;45838&lt;/D&gt;&lt;D xsi:type="xsd:long"&gt;45807&lt;/D&gt;&lt;D xsi:type="xsd:long"&gt;45777&lt;/D&gt;&lt;D xsi:type="xsd:long"&gt;45747&lt;/D&gt;&lt;D xsi:type="xsd:long"&gt;45716&lt;/D&gt;&lt;D xsi:type="xsd:long"&gt;45688&lt;/D&gt;&lt;D xsi:type="xsd:long"&gt;45657&lt;/D&gt;&lt;D xsi:type="xsd:long"&gt;45625&lt;/D&gt;&lt;D xsi:type="xsd:long"&gt;45596&lt;/D&gt;&lt;D xsi:type="xsd:long"&gt;45565&lt;/D&gt;&lt;D xsi:type="xsd:long"&gt;45534&lt;/D&gt;&lt;D xsi:type="xsd:long"&gt;45504&lt;/D&gt;&lt;D xsi:type="xsd:long"&gt;45471&lt;/D&gt;&lt;D xsi:type="xsd:long"&gt;45443&lt;/D&gt;&lt;D xsi:type="xsd:long"&gt;45412&lt;/D&gt;&lt;D xsi:type="xsd:long"&gt;45379&lt;/D&gt;&lt;D xsi:type="xsd:long"&gt;45351&lt;/D&gt;&lt;D xsi:type="xsd:long"&gt;45322&lt;/D&gt;&lt;D xsi:type="xsd:long"&gt;45289&lt;/D&gt;&lt;D xsi:type="xsd:long"&gt;45260&lt;/D&gt;&lt;D xsi:type="xsd:long"&gt;45230&lt;/D&gt;&lt;D xsi:type="xsd:long"&gt;45198&lt;/D&gt;&lt;D xsi:type="xsd:long"&gt;45169&lt;/D&gt;&lt;D xsi:type="xsd:long"&gt;45138&lt;/D&gt;&lt;D xsi:type="xsd:long"&gt;45107&lt;/D&gt;&lt;D xsi:type="xsd:long"&gt;45077&lt;/D&gt;&lt;D xsi:type="xsd:long"&gt;45044&lt;/D&gt;&lt;D xsi:type="xsd:long"&gt;45016&lt;/D&gt;&lt;D xsi:type="xsd:long"&gt;44985&lt;/D&gt;&lt;D xsi:type="xsd:long"&gt;44957&lt;/D&gt;&lt;D xsi:type="xsd:long"&gt;44925&lt;/D&gt;&lt;D xsi:type="xsd:long"&gt;44895&lt;/D&gt;&lt;D xsi:type="xsd:long"&gt;44865&lt;/D&gt;&lt;D xsi:type="xsd:long"&gt;44834&lt;/D&gt;&lt;D xsi:type="xsd:long"&gt;44804&lt;/D&gt;&lt;D xsi:type="xsd:long"&gt;44771&lt;/D&gt;&lt;D xsi:type="xsd:long"&gt;44742&lt;/D&gt;&lt;D xsi:type="xsd:long"&gt;44712&lt;/D&gt;&lt;D xsi:type="xsd:long"&gt;44680&lt;/D&gt;&lt;D xsi:type="xsd:long"&gt;44651&lt;/D&gt;&lt;D xsi:type="xsd:long"&gt;44620&lt;/D&gt;&lt;D xsi:type="xsd:long"&gt;44592&lt;/D&gt;&lt;D xsi:type="xsd:long"&gt;44561&lt;/D&gt;&lt;D xsi:type="xsd:long"&gt;44530&lt;/D&gt;&lt;D xsi:type="xsd:long"&gt;44498&lt;/D&gt;&lt;D xsi:type="xsd:long"&gt;44469&lt;/D&gt;&lt;D xsi:type="xsd:long"&gt;44439&lt;/D&gt;&lt;D xsi:type="xsd:long"&gt;44407&lt;/D&gt;&lt;D xsi:type="xsd:long"&gt;44377&lt;/D&gt;&lt;D xsi:type="xsd:long"&gt;44344&lt;/D&gt;&lt;D xsi:type="xsd:long"&gt;44316&lt;/D&gt;&lt;D xsi:type="xsd:long"&gt;44286&lt;/D&gt;&lt;D xsi:type="xsd:long"&gt;44253&lt;/D&gt;&lt;D xsi:type="xsd:long"&gt;44225&lt;/D&gt;&lt;D xsi:type="xsd:long"&gt;44196&lt;/D&gt;&lt;D xsi:type="xsd:long"&gt;44165&lt;/D&gt;&lt;D xsi:type="xsd:long"&gt;44134&lt;/D&gt;&lt;D xsi:type="xsd:long"&gt;44104&lt;/D&gt;&lt;D xsi:type="xsd:long"&gt;44074&lt;/D&gt;&lt;D xsi:type="xsd:long"&gt;44043&lt;/D&gt;&lt;D xsi:type="xsd:long"&gt;44012&lt;/D&gt;&lt;D xsi:type="xsd:long"&gt;43980&lt;/D&gt;&lt;D xsi:type="xsd:long"&gt;43951&lt;/D&gt;&lt;D xsi:type="xsd:long"&gt;43921&lt;/D&gt;&lt;D xsi:type="xsd:long"&gt;43889&lt;/D&gt;&lt;D xsi:type="xsd:long"&gt;43861&lt;/D&gt;&lt;D xsi:type="xsd:long"&gt;43830&lt;/D&gt;&lt;D xsi:type="xsd:long"&gt;43798&lt;/D&gt;&lt;D xsi:type="xsd:long"&gt;43769&lt;/D&gt;&lt;D xsi:type="xsd:long"&gt;43738&lt;/D&gt;&lt;D xsi:type="xsd:long"&gt;43707&lt;/D&gt;&lt;D xsi:type="xsd:long"&gt;43677&lt;/D&gt;&lt;D xsi:type="xsd:long"&gt;43644&lt;/D&gt;&lt;D xsi:type="xsd:long"&gt;43616&lt;/D&gt;&lt;D xsi:type="xsd:long"&gt;43585&lt;/D&gt;&lt;D xsi:type="xsd:long"&gt;43553&lt;/D&gt;&lt;D xsi:type="xsd:long"&gt;43524&lt;/D&gt;&lt;D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991000^MSTS_TOTAL_RET_IDX(2/27/2026,1/31/2000,M,"LOC","GROSS","")&lt;/Q&gt;&lt;R&gt;0&lt;/R&gt;&lt;C&gt;0&lt;/C&gt;&lt;/FQL&gt;&lt;FQL&gt;&lt;Q&gt;991000^JULIAN(MSTS_TOTAL_RET_IDX(2/27/2026,1/31/2000,M,"LOC","GROSS","").DATES)&lt;/Q&gt;&lt;R&gt;0&lt;/R&gt;&lt;C&gt;0&lt;/C&gt;&lt;/FQL&gt;&lt;FQL&gt;&lt;Q&gt;892400^MSTS_TOTAL_RET_IDX(2/27/2026,1/31/2000,M,"LOC","GROSS","")&lt;/Q&gt;&lt;R&gt;0&lt;/R&gt;&lt;C&gt;0&lt;/C&gt;&lt;/FQL&gt;&lt;FQL&gt;&lt;Q&gt;892400^JULIAN(MSTS_TOTAL_RET_IDX(2/27/2026,1/31/2000,M,"LOC","GROSS","").DATES)&lt;/Q&gt;&lt;R&gt;314&lt;/R&gt;&lt;C&gt;1&lt;/C&gt;&lt;D xsi:type="xsd:long"&gt;46080&lt;/D&gt;&lt;D xsi:type="xsd:long"&gt;46052&lt;/D&gt;&lt;D xsi:type="xsd:long"&gt;46022&lt;/D&gt;&lt;D xsi:type="xsd:long"&gt;45989&lt;/D&gt;&lt;D xsi:type="xsd:long"&gt;45961&lt;/D&gt;&lt;D xsi:type="xsd:long"&gt;45930&lt;/D&gt;&lt;D xsi:type="xsd:long"&gt;45898&lt;/D&gt;&lt;D xsi:type="xsd:long"&gt;45869&lt;/D&gt;&lt;D xsi:type="xsd:long"&gt;45838&lt;/D&gt;&lt;D xsi:type="xsd:long"&gt;45807&lt;/D&gt;&lt;D xsi:type="xsd:long"&gt;45777&lt;/D&gt;&lt;D xsi:type="xsd:long"&gt;45747&lt;/D&gt;&lt;D xsi:type="xsd:long"&gt;45716&lt;/D&gt;&lt;D xsi:type="xsd:long"&gt;45688&lt;/D&gt;&lt;D xsi:type="xsd:long"&gt;45657&lt;/D&gt;&lt;D xsi:type="xsd:long"&gt;45625&lt;/D&gt;&lt;D xsi:type="xsd:long"&gt;45596&lt;/D&gt;&lt;D xsi:type="xsd:long"&gt;45565&lt;/D&gt;&lt;D xsi:type="xsd:long"&gt;45534&lt;/D&gt;&lt;D xsi:type="xsd:long"&gt;45504&lt;/D&gt;&lt;D xsi:type="xsd:long"&gt;45471&lt;/D&gt;&lt;D xsi:type="xsd:long"&gt;45443&lt;/D&gt;&lt;D xsi:type="xsd:long"&gt;45412&lt;/D&gt;&lt;D xsi:type="xsd:long"&gt;45379&lt;/D&gt;&lt;D xsi:type="xsd:long"&gt;45351&lt;/D&gt;&lt;D xsi:type="xsd:long"&gt;45322&lt;/D&gt;&lt;D xsi:type="xsd:long"&gt;45289&lt;/D&gt;&lt;D xsi:type="xsd:long"&gt;45260&lt;/D&gt;&lt;D xsi:type="xsd:long"&gt;45230&lt;/D&gt;&lt;D xsi:type="xsd:long"&gt;45198&lt;/D&gt;&lt;D xsi:type="xsd:long"&gt;45169&lt;/D&gt;&lt;D xsi:type="xsd:long"&gt;45138&lt;/D&gt;&lt;D xsi:type="xsd:long"&gt;45107&lt;/D&gt;&lt;D xsi:type="xsd:long"&gt;45077&lt;/D&gt;&lt;D xsi:type="xsd:long"&gt;45044&lt;/D&gt;&lt;D xsi:type="xsd:long"&gt;45016&lt;/D&gt;&lt;D xsi:type="xsd:long"&gt;44985&lt;/D&gt;&lt;D xsi:type="xsd:long"&gt;44957&lt;/D&gt;&lt;D xsi:type="xsd:long"&gt;44925&lt;/D&gt;&lt;D xsi:type="xsd:long"&gt;44895&lt;/D&gt;&lt;D xsi:type="xsd:long"&gt;44865&lt;/D&gt;&lt;D xsi:type="xsd:long"&gt;44834&lt;/D&gt;&lt;D xsi:type="xsd:long"&gt;44804&lt;/D&gt;&lt;D xsi:type="xsd:long"&gt;44771&lt;/D&gt;&lt;D xsi:type="xsd:long"&gt;44742&lt;/D&gt;&lt;D xsi:type="xsd:long"&gt;44712&lt;/D&gt;&lt;D xsi:type="xsd:long"&gt;44680&lt;/D&gt;&lt;D xsi:type="xsd:long"&gt;44651&lt;/D&gt;&lt;D xsi:type="xsd:long"&gt;44620&lt;/D&gt;&lt;D xsi:type="xsd:long"&gt;44592&lt;/D&gt;&lt;D xsi:type="xsd:long"&gt;44561&lt;/D&gt;&lt;D xsi:type="xsd:long"&gt;44530&lt;/D&gt;&lt;D xsi:type="xsd:long"&gt;44498&lt;/D&gt;&lt;D xsi:type="xsd:long"&gt;44469&lt;/D&gt;&lt;D xsi:type="xsd:long"&gt;44439&lt;/D&gt;&lt;D xsi:type="xsd:long"&gt;44407&lt;/D&gt;&lt;D xsi:type="xsd:long"&gt;44377&lt;/D&gt;&lt;D xsi:type="xsd:long"&gt;44344&lt;/D&gt;&lt;D xsi:type="xsd:long"&gt;44316&lt;/D&gt;&lt;D xsi:type="xsd:long"&gt;44286&lt;/D&gt;&lt;D xsi:type="xsd:long"&gt;44253&lt;/D&gt;&lt;D xsi:type="xsd:long"&gt;44225&lt;/D&gt;&lt;D xsi:type="xsd:long"&gt;44196&lt;/D&gt;&lt;D xsi:type="xsd:long"&gt;44165&lt;/D&gt;&lt;D xsi:type="xsd:long"&gt;44134&lt;/D&gt;&lt;D xsi:type="xsd:long"&gt;44104&lt;/D&gt;&lt;D xsi:type="xsd:long"&gt;44074&lt;/D&gt;&lt;D xsi:type="xsd:long"&gt;44043&lt;/D&gt;&lt;D xsi:type="xsd:long"&gt;44012&lt;/D&gt;&lt;D xsi:type="xsd:long"&gt;43980&lt;/D&gt;&lt;D xsi:type="xsd:long"&gt;43951&lt;/D&gt;&lt;D xsi:type="xsd:long"&gt;43921&lt;/D&gt;&lt;D xsi:type="xsd:long"&gt;43889&lt;/D&gt;&lt;D xsi:type="xsd:long"&gt;43861&lt;/D&gt;&lt;D xsi:type="xsd:long"&gt;43830&lt;/D&gt;&lt;D xsi:type="xsd:long"&gt;43798&lt;/D&gt;&lt;D xsi:type="xsd:long"&gt;43769&lt;/D&gt;&lt;D xsi:type="xsd:long"&gt;43738&lt;/D&gt;&lt;D xsi:type="xsd:long"&gt;43707&lt;/D&gt;&lt;D xsi:type="xsd:long"&gt;43677&lt;/D&gt;&lt;D xsi:type="xsd:long"&gt;43644&lt;/D&gt;&lt;D xsi:type="xsd:long"&gt;43616&lt;/D&gt;&lt;D xsi:type="xsd:long"&gt;43585&lt;/D&gt;&lt;D xsi:type="xsd:long"&gt;43553&lt;/D&gt;&lt;D xsi:type="xsd:long"&gt;43524&lt;/D&gt;&lt;D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891800^MSTS_TOTAL_RET_IDX(2/27/2026,1/31/2000,M,"LOC","GROSS","")&lt;/Q&gt;&lt;R&gt;0&lt;/R&gt;&lt;C&gt;0&lt;/C&gt;&lt;/FQL&gt;&lt;FQL&gt;&lt;Q&gt;891800^JULIAN(MSTS_TOTAL_RET_IDX(2/27/2026,1/31/2000,M,"LOC","GROSS","").DATES)&lt;/Q&gt;&lt;R&gt;314&lt;/R&gt;&lt;C&gt;1&lt;/C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</t>
        </r>
      </text>
    </comment>
    <comment ref="A68" authorId="0" shapeId="0">
      <text>
        <r>
          <rPr>
            <b/>
            <sz val="9"/>
            <color indexed="81"/>
            <rFont val="Tahoma"/>
            <family val="2"/>
          </rPr>
          <t>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990100^MSTS_TOTAL_RET_IDX(2/27/2026,1/31/2000,M,"USD","GROSS","")&lt;/Q&gt;&lt;R&gt;0&lt;/R&gt;&lt;C&gt;0&lt;/C&gt;&lt;/FQL&gt;&lt;FQL&gt;&lt;Q&gt;990100^JULIAN(MSTS_TOTAL_RET_IDX(2/27/2026,1/31/2000,M,"USD","GROSS","").DATES)&lt;/Q&gt;&lt;R&gt;314&lt;/R&gt;&lt;C&gt;1&lt;/C&gt;&lt;D xsi:type="xsd:long"&gt;46080&lt;/D&gt;&lt;D xsi:type="xsd:long"&gt;46052&lt;/D&gt;&lt;D xsi:type="xsd:long"&gt;46022&lt;/D&gt;&lt;D xsi:type="xsd:long"&gt;45989&lt;/D&gt;&lt;D xsi:type="xsd:long"&gt;45961&lt;/D&gt;&lt;D xsi:type="xsd:long"&gt;45930&lt;/D&gt;&lt;D xsi:type="xsd:long"&gt;45898&lt;/D&gt;&lt;D xsi:type="xsd:long"&gt;45869&lt;/D&gt;&lt;D xsi:type="xsd:long"&gt;45838&lt;/D&gt;&lt;D xsi:type="xsd:long"&gt;45807&lt;/D&gt;&lt;D xsi:type="xsd:long"&gt;45777&lt;/D&gt;&lt;D xsi:type="xsd:long"&gt;45747&lt;/D&gt;&lt;D xsi:type="xsd:long"&gt;45716&lt;/D&gt;&lt;D xsi:type="xsd:long"&gt;45688&lt;/D&gt;&lt;D xsi:type="xsd:long"&gt;45657&lt;/D&gt;&lt;D xsi:type="xsd:long"&gt;45625&lt;/D&gt;&lt;D xsi:type="xsd:long"&gt;45596&lt;/D&gt;&lt;D xsi:type="xsd:long"&gt;45565&lt;/D&gt;&lt;D xsi:type="xsd:long"&gt;45534&lt;/D&gt;&lt;D xsi:type="xsd:long"&gt;45504&lt;/D&gt;&lt;D xsi:type="xsd:long"&gt;45471&lt;/D&gt;&lt;D xsi:type="xsd:long"&gt;45443&lt;/D&gt;&lt;D xsi:type="xsd:long"&gt;45412&lt;/D&gt;&lt;D xsi:type="xsd:long"&gt;45379&lt;/D&gt;&lt;D xsi:type="xsd:long"&gt;45351&lt;/D&gt;&lt;D xsi:type="xsd:long"&gt;45322&lt;/D&gt;&lt;D xsi:type="xsd:long"&gt;45289&lt;/D&gt;&lt;D xsi:type="xsd:long"&gt;45260&lt;/D&gt;&lt;D xsi:type="xsd:long"&gt;45230&lt;/D&gt;&lt;D xsi:type="xsd:long"&gt;45198&lt;/D&gt;&lt;D xsi:type="xsd:long"&gt;45169&lt;/D&gt;&lt;D xsi:type="xsd:long"&gt;45138&lt;/D&gt;&lt;D xsi:type="xsd:long"&gt;45107&lt;/D&gt;&lt;D xsi:type="xsd:long"&gt;45077&lt;/D&gt;&lt;D xsi:type="xsd:long"&gt;45044&lt;/D&gt;&lt;D xsi:type="xsd:long"&gt;45016&lt;/D&gt;&lt;D xsi:type="xsd:long"&gt;44985&lt;/D&gt;&lt;D xsi:type="xsd:long"&gt;44957&lt;/D&gt;&lt;D xsi:type="xsd:long"&gt;44925&lt;/D&gt;&lt;D xsi:type="xsd:long"&gt;44895&lt;/D&gt;&lt;D xsi:type="xsd:long"&gt;44865&lt;/D&gt;&lt;D xsi:type="xsd:long"&gt;44834&lt;/D&gt;&lt;D xsi:type="xsd:long"&gt;44804&lt;/D&gt;&lt;D xsi:type="xsd:long"&gt;44771&lt;/D&gt;&lt;D xsi:type="xsd:long"&gt;44742&lt;/D&gt;&lt;D xsi:type="xsd:long"&gt;44712&lt;/D&gt;&lt;D xsi:type="xsd:long"&gt;44680&lt;/D&gt;&lt;D xsi:type="xsd:long"&gt;44651&lt;/D&gt;&lt;D xsi:type="xsd:long"&gt;44620&lt;/D&gt;&lt;D xsi:type="xsd:long"&gt;44592&lt;/D&gt;&lt;D xsi:type="xsd:long"&gt;44561&lt;/D&gt;&lt;D xsi:type="xsd:long"&gt;44530&lt;/D&gt;&lt;D xsi:type="xsd:long"&gt;44498&lt;/D&gt;&lt;D xsi:type="xsd:long"&gt;44469&lt;/D&gt;&lt;D xsi:type="xsd:long"&gt;44439&lt;/D&gt;&lt;D xsi:type="xsd:long"&gt;44407&lt;/D&gt;&lt;D xsi:type="xsd:long"&gt;44377&lt;/D&gt;&lt;D xsi:type="xsd:long"&gt;44344&lt;/D&gt;&lt;D xsi:type="xsd:long"&gt;44316&lt;/D&gt;&lt;D xsi:type="xsd:long"&gt;44286&lt;/D&gt;&lt;D xsi:type="xsd:long"&gt;44253&lt;/D&gt;&lt;D xsi:type="xsd:long"&gt;44225&lt;/D&gt;&lt;D xsi:type="xsd:long"&gt;44196&lt;/D&gt;&lt;D xsi:type="xsd:long"&gt;44165&lt;/D&gt;&lt;D xsi:type="xsd:long"&gt;44134&lt;/D&gt;&lt;D xsi:type="xsd:long"&gt;44104&lt;/D&gt;&lt;D xsi:type="xsd:long"&gt;44074&lt;/D&gt;&lt;D xsi:type="xsd:long"&gt;44043&lt;/D&gt;&lt;D xsi:type="xsd:long"&gt;44012&lt;/D&gt;&lt;D xsi:type="xsd:long"&gt;43980&lt;/D&gt;&lt;D xsi:type="xsd:long"&gt;43951&lt;/D&gt;&lt;D xsi:type="xsd:long"&gt;43921&lt;/D&gt;&lt;D xsi:type="xsd:long"&gt;43889&lt;/D&gt;&lt;D xsi:type="xsd:long"&gt;43861&lt;/D&gt;&lt;D xsi:type="xsd:long"&gt;43830&lt;/D&gt;&lt;D xsi:type="xsd:long"&gt;43798&lt;/D&gt;&lt;D xsi:type="xsd:long"&gt;43769&lt;/D&gt;&lt;D xsi:type="xsd:long"&gt;43738&lt;/D&gt;&lt;D xsi:type="xsd:long"&gt;43707&lt;/D&gt;&lt;D xsi:type="xsd:long"&gt;43677&lt;/D&gt;&lt;D xsi:type="xsd:long"&gt;43644&lt;/D&gt;&lt;D xsi:type="xsd:long"&gt;43616&lt;/D&gt;&lt;D xsi:type="xsd:long"&gt;43585&lt;/D&gt;&lt;D xsi:type="xsd:long"&gt;43553&lt;/D&gt;&lt;D xsi:type="xsd:long"&gt;43524&lt;/D&gt;&lt;D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991000^MSTS_TOTAL_RET_IDX(2/27/2026,1/31/2000,M,"USD","GROSS","")&lt;/Q&gt;&lt;R&gt;0&lt;/R&gt;&lt;C&gt;0&lt;/C&gt;&lt;/FQL&gt;&lt;FQL&gt;&lt;Q&gt;991000^JULIAN(MSTS_TOTAL_RET_IDX(2/27/2026,1/31/2000,M,"USD","GROSS","").DATES)&lt;/Q&gt;&lt;R&gt;0&lt;/R&gt;&lt;C&gt;0&lt;/C&gt;&lt;/FQL&gt;&lt;FQL&gt;&lt;Q&gt;892400^MSTS_TOTAL_RET_IDX(2/27/2026,1/31/2000,M,"USD","GROSS","")&lt;/Q&gt;&lt;R&gt;0&lt;/R&gt;&lt;C&gt;0&lt;/C&gt;&lt;/FQL&gt;&lt;FQL&gt;&lt;Q&gt;892400^JULIAN(MSTS_TOTAL_RET_IDX(2/27/2026,1/31/2000,M,"USD","GROSS","").DATES)&lt;/Q&gt;&lt;R&gt;314&lt;/R&gt;&lt;C&gt;1&lt;/C&gt;&lt;D xsi:type="xsd:long"&gt;46080&lt;/D&gt;&lt;D xsi:type="xsd:long"&gt;46052&lt;/D&gt;&lt;D xsi:type="xsd:long"&gt;46022&lt;/D&gt;&lt;D xsi:type="xsd:long"&gt;45989&lt;/D&gt;&lt;D xsi:type="xsd:long"&gt;45961&lt;/D&gt;&lt;D xsi:type="xsd:long"&gt;45930&lt;/D&gt;&lt;D xsi:type="xsd:long"&gt;45898&lt;/D&gt;&lt;D xsi:type="xsd:long"&gt;45869&lt;/D&gt;&lt;D xsi:type="xsd:long"&gt;45838&lt;/D&gt;&lt;D xsi:type="xsd:long"&gt;45807&lt;/D&gt;&lt;D xsi:type="xsd:long"&gt;45777&lt;/D&gt;&lt;D xsi:type="xsd:long"&gt;45747&lt;/D&gt;&lt;D xsi:type="xsd:long"&gt;45716&lt;/D&gt;&lt;D xsi:type="xsd:long"&gt;45688&lt;/D&gt;&lt;D xsi:type="xsd:long"&gt;45657&lt;/D&gt;&lt;D xsi:type="xsd:long"&gt;45625&lt;/D&gt;&lt;D xsi:type="xsd:long"&gt;45596&lt;/D&gt;&lt;D xsi:type="xsd:long"&gt;45565&lt;/D&gt;&lt;D xsi:type="xsd:long"&gt;45534&lt;/D&gt;&lt;D xsi:type="xsd:long"&gt;45504&lt;/D&gt;&lt;D xsi:type="xsd:long"&gt;45471&lt;/D&gt;&lt;D xsi:type="xsd:long"&gt;45443&lt;/D&gt;&lt;D xsi:type="xsd:long"&gt;45412&lt;/D&gt;&lt;D xsi:type="xsd:long"&gt;45379&lt;/D&gt;&lt;D xsi:type="xsd:long"&gt;45351&lt;/D&gt;&lt;D xsi:type="xsd:long"&gt;45322&lt;/D&gt;&lt;D xsi:type="xsd:long"&gt;45289&lt;/D&gt;&lt;D xsi:type="xsd:long"&gt;45260&lt;/D&gt;&lt;D xsi:type="xsd:long"&gt;45230&lt;/D&gt;&lt;D xsi:type="xsd:long"&gt;45198&lt;/D&gt;&lt;D xsi:type="xsd:long"&gt;45169&lt;/D&gt;&lt;D xsi:type="xsd:long"&gt;45138&lt;/D&gt;&lt;D xsi:type="xsd:long"&gt;45107&lt;/D&gt;&lt;D xsi:type="xsd:long"&gt;45077&lt;/D&gt;&lt;D xsi:type="xsd:long"&gt;45044&lt;/D&gt;&lt;D xsi:type="xsd:long"&gt;45016&lt;/D&gt;&lt;D xsi:type="xsd:long"&gt;44985&lt;/D&gt;&lt;D xsi:type="xsd:long"&gt;44957&lt;/D&gt;&lt;D xsi:type="xsd:long"&gt;44925&lt;/D&gt;&lt;D xsi:type="xsd:long"&gt;44895&lt;/D&gt;&lt;D xsi:type="xsd:long"&gt;44865&lt;/D&gt;&lt;D xsi:type="xsd:long"&gt;44834&lt;/D&gt;&lt;D xsi:type="xsd:long"&gt;44804&lt;/D&gt;&lt;D xsi:type="xsd:long"&gt;44771&lt;/D&gt;&lt;D xsi:type="xsd:long"&gt;44742&lt;/D&gt;&lt;D xsi:type="xsd:long"&gt;44712&lt;/D&gt;&lt;D xsi:type="xsd:long"&gt;44680&lt;/D&gt;&lt;D xsi:type="xsd:long"&gt;44651&lt;/D&gt;&lt;D xsi:type="xsd:long"&gt;44620&lt;/D&gt;&lt;D xsi:type="xsd:long"&gt;44592&lt;/D&gt;&lt;D xsi:type="xsd:long"&gt;44561&lt;/D&gt;&lt;D xsi:type="xsd:long"&gt;44530&lt;/D&gt;&lt;D xsi:type="xsd:long"&gt;44498&lt;/D&gt;&lt;D xsi:type="xsd:long"&gt;44469&lt;/D&gt;&lt;D xsi:type="xsd:long"&gt;44439&lt;/D&gt;&lt;D xsi:type="xsd:long"&gt;44407&lt;/D&gt;&lt;D xsi:type="xsd:long"&gt;44377&lt;/D&gt;&lt;D xsi:type="xsd:long"&gt;44344&lt;/D&gt;&lt;D xsi:type="xsd:long"&gt;44316&lt;/D&gt;&lt;D xsi:type="xsd:long"&gt;44286&lt;/D&gt;&lt;D xsi:type="xsd:long"&gt;44253&lt;/D&gt;&lt;D xsi:type="xsd:long"&gt;44225&lt;/D&gt;&lt;D xsi:type="xsd:long"&gt;44196&lt;/D&gt;&lt;D xsi:type="xsd:long"&gt;44165&lt;/D&gt;&lt;D xsi:type="xsd:long"&gt;44134&lt;/D&gt;&lt;D xsi:type="xsd:long"&gt;44104&lt;/D&gt;&lt;D xsi:type="xsd:long"&gt;44074&lt;/D&gt;&lt;D xsi:type="xsd:long"&gt;44043&lt;/D&gt;&lt;D xsi:type="xsd:long"&gt;44012&lt;/D&gt;&lt;D xsi:type="xsd:long"&gt;43980&lt;/D&gt;&lt;D xsi:type="xsd:long"&gt;43951&lt;/D&gt;&lt;D xsi:type="xsd:long"&gt;43921&lt;/D&gt;&lt;D xsi:type="xsd:long"&gt;43889&lt;/D&gt;&lt;D xsi:type="xsd:long"&gt;43861&lt;/D&gt;&lt;D xsi:type="xsd:long"&gt;43830&lt;/D&gt;&lt;D xsi:type="xsd:long"&gt;43798&lt;/D&gt;&lt;D xsi:type="xsd:long"&gt;43769&lt;/D&gt;&lt;D xsi:type="xsd:long"&gt;43738&lt;/D&gt;&lt;D xsi:type="xsd:long"&gt;43707&lt;/D&gt;&lt;D xsi:type="xsd:long"&gt;43677&lt;/D&gt;&lt;D xsi:type="xsd:long"&gt;43644&lt;/D&gt;&lt;D xsi:type="xsd:long"&gt;43616&lt;/D&gt;&lt;D xsi:type="xsd:long"&gt;43585&lt;/D&gt;&lt;D xsi:type="xsd:long"&gt;43553&lt;/D&gt;&lt;D xsi:type="xsd:long"&gt;43524&lt;/D&gt;&lt;D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891800^MSTS_TOTAL_RET_IDX(2/27/2026,1/31/2000,M,"USD","GROSS","")&lt;/Q&gt;&lt;R&gt;0&lt;/R&gt;&lt;C&gt;0&lt;/C&gt;&lt;/FQL&gt;&lt;FQL&gt;&lt;Q&gt;891800^JULIAN(MSTS_TOTAL_RET_IDX(2/27/2026,1/31/2000,M,"USD","GROSS","").DATES)&lt;/Q&gt;&lt;R&gt;314&lt;/R&gt;&lt;C&gt;1&lt;/C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</t>
        </r>
      </text>
    </comment>
    <comment ref="A69" authorId="0" shapeId="0">
      <text>
        <r>
          <rPr>
            <b/>
            <sz val="9"/>
            <color indexed="81"/>
            <rFont val="Tahoma"/>
            <family val="2"/>
          </rPr>
          <t>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xsi:type="xsd:string"&gt;@NA&lt;/D&gt;&lt;/FQL&gt;&lt;FQL&gt;&lt;Q&gt;990100^MSCI_TOTAL_RET_IDX(2/27/2026,1/31/2000,M,LOC,"GROSS")&lt;/Q&gt;&lt;R&gt;314&lt;/R&gt;&lt;C&gt;1&lt;/C&gt;&lt;D xsi:type="xsd:double"&gt;16804.828212&lt;/D&gt;&lt;D xsi:type="xsd:double"&gt;16640.583661&lt;/D&gt;&lt;D xsi:type="xsd:double"&gt;16358.79051&lt;/D&gt;&lt;D xsi:type="xsd:double"&gt;16267.18809&lt;/D&gt;&lt;D xsi:type="xsd:double"&gt;16221.973749&lt;/D&gt;&lt;D xsi:type="xsd:double"&gt;15812.472318&lt;/D&gt;&lt;D xsi:type="xsd:double"&gt;15311.856975&lt;/D&gt;&lt;D xsi:type="xsd:double"&gt;14998.319019&lt;/D&gt;&lt;D xsi:type="xsd:double"&gt;14697.423571&lt;/D&gt;&lt;D xsi:type="xsd:double"&gt;14158.300182&lt;/D&gt;&lt;D xsi:type="xsd:double"&gt;13357.331313&lt;/D&gt;&lt;D xsi:type="xsd:double"&gt;13401.392928&lt;/D&gt;&lt;D xsi:type="xsd:double"&gt;14101.020004&lt;/D&gt;&lt;D xsi:type="xsd:double"&gt;14232.959123&lt;/D&gt;&lt;D xsi:type="xsd:double"&gt;13754.351919&lt;/D&gt;&lt;D xsi:type="xsd:double"&gt;14018.35071&lt;/D&gt;&lt;D xsi:type="xsd:double"&gt;13361.472416&lt;/D&gt;&lt;D xsi:type="xsd:double"&gt;13482.241944&lt;/D&gt;&lt;D xsi:type="xsd:double"&gt;13277.609115&lt;/D&gt;&lt;D xsi:type="xsd:double"&gt;13030.022894&lt;/D&gt;&lt;D xsi:type="xsd:double"&gt;12866.757462&lt;/D&gt;&lt;D xsi:type="xsd:double"&gt;12570.791337&lt;/D&gt;&lt;D xsi:type="xsd:double"&gt;12071.790545&lt;/D&gt;&lt;D xsi:type="xsd:double"&gt;12466.349179&lt;/D&gt;&lt;D xsi:type="xsd:double"&gt;12054.222511&lt;/D&gt;&lt;D xsi:type="xsd:double"&gt;11518.864612&lt;/D&gt;&lt;D xsi:type="xsd:double"&gt;11314.055914&lt;/D&gt;&lt;D xsi:type="xsd:double"&gt;10858.428691&lt;/D&gt;&lt;D xsi:type="xsd:double"&gt;10021.841632&lt;/D&gt;&lt;D xsi:type="xsd:double"&gt;10289.64002&lt;/D&gt;&lt;D xsi:type="xsd:double"&gt;10680.521454&lt;/D&gt;&lt;D xsi:type="xsd:double"&gt;10866.786509&lt;/D&gt;&lt;D xsi:type="xsd:double"&gt;10556.395743&lt;/D&gt;&lt;D xsi:type="xsd:double"&gt;9984.881819&lt;/D&gt;&lt;D xsi:type="xsd:double"&gt;9998.800476&lt;/D&gt;&lt;D xsi:type="xsd:double"&gt;9836.120491&lt;/D&gt;&lt;D xsi:type="xsd:double"&gt;9590.918596&lt;/D&gt;&lt;D xsi:type="xsd:double"&gt;9739.89428&lt;/D&gt;&lt;D xsi:type="xsd:double"&gt;9142.921777&lt;/D&gt;&lt;D xsi:type="xsd:double"&gt;9628.386523&lt;/D&gt;&lt;D xsi:type="xsd:double"&gt;9108.903983&lt;/D&gt;&lt;D xsi:type="xsd:double"&gt;8499.401402&lt;/D&gt;&lt;D xsi:type="xsd:double"&gt;9265.028622&lt;/D&gt;&lt;D xsi:type="xsd:double"&gt;9592.950644&lt;/D&gt;&lt;D xsi:type="xsd:double"&gt;8882.047908&lt;/D&gt;&lt;D xsi:type="xsd:double"&gt;9626.977398&lt;/D&gt;&lt;D xsi:type="xsd:double"&gt;9642.156332&lt;/D&gt;&lt;D xsi:type="xsd:double"&gt;10351.69267&lt;/D&gt;&lt;D xsi:type="xsd:double"&gt;10033.640151&lt;/D&gt;&lt;D xsi:type="xsd:double"&gt;10303.432174&lt;/D&gt;&lt;D xsi:type="xsd:double"&gt;10835.641942&lt;/D&gt;&lt;D xsi:type="xsd:double"&gt;10416.192274&lt;/D&gt;&lt;D xsi:type="xsd:double"&gt;10567.724487&lt;/D&gt;&lt;D xsi:type="xsd:double"&gt;10013.797283&lt;/D&gt;&lt;D xsi:type="xsd:double"&gt;10392.396659&lt;/D&gt;&lt;D xsi:type="xsd:double"&gt;10118.750882&lt;/D&gt;&lt;D xsi:type="xsd:double"&gt;9945.802403&lt;/D&gt;&lt;D xsi:type="xsd:double"&gt;9736.861968&lt;/D&gt;&lt;D xsi:type="xsd:double"&gt;9610.340357&lt;/D&gt;&lt;D xsi:type="xsd:double"&gt;9232.81616&lt;/D&gt;&lt;D xsi:type="xsd:double"&gt;8854.93915&lt;/D&gt;&lt;D xsi:type="xsd:double"&gt;8623.728911&lt;/D&gt;&lt;D xsi:type="xsd:double"&gt;8688.756217&lt;/D&gt;&lt;D xsi:type="xsd:double"&gt;8391.549249&lt;/D&gt;&lt;D xsi:type="xsd:double"&gt;7491.519019&lt;/D&gt;&lt;D xsi:type="xsd:double"&gt;7725.378045&lt;/D&gt;&lt;D xsi:type="xsd:double"&gt;7952.143496&lt;/D&gt;&lt;D xsi:type="xsd:double"&gt;7480.284147&lt;/D&gt;&lt;D xsi:type="xsd:double"&gt;7232.589834&lt;/D&gt;&lt;D xsi:type="xsd:double"&gt;7062.702608&lt;/D&gt;&lt;D xsi:type="xsd:double"&gt;6740.001703&lt;/D&gt;&lt;D xsi:type="xsd:double"&gt;6095.949961&lt;/D&gt;&lt;D xsi:type="xsd:double"&gt;6988.513018&lt;/D&gt;&lt;D xsi:type="xsd:double"&gt;7600.605408&lt;/D&gt;&lt;D xsi:type="xsd:double"&gt;7617.614032&lt;/D&gt;&lt;D xsi:type="xsd:double"&gt;7445.395161&lt;/D&gt;&lt;D xsi:type="xsd:double"&gt;7214.619382&lt;/D&gt;&lt;D xsi:type="xsd:double"&gt;7079.688932&lt;/D&gt;&lt;D xsi:type="xsd:double"&gt;6914.675086&lt;/D&gt;&lt;D xsi:type="xsd:double"&gt;7048.735056&lt;/D&gt;&lt;D xsi:type="xsd:double"&gt;6964.306056&lt;/D&gt;&lt;D xsi:type="xsd:double"&gt;6573.952051&lt;/D&gt;&lt;D xsi:type="xsd:double"&gt;6964.444102&lt;/D&gt;&lt;D xsi:type="xsd:double"&gt;6708.001986&lt;/D&gt;&lt;D xsi:type="xsd:double"&gt;6597.121188&lt;/D&gt;&lt;D xsi:type="xsd:double"&gt;6380.933703&lt;/D&gt;&lt;D xsi:type="xsd:double"&gt;5948.21421&lt;/D&gt;&lt;D xsi:type="xsd:double"&gt;6453.227734&lt;/D&gt;&lt;D xsi:type="xsd:double"&gt;6376.557698&lt;/D&gt;&lt;D xsi:type="xsd:double"&gt;6840.348984&lt;/D&gt;&lt;D xsi:type="xsd:double"&gt;6788.106317&lt;/D&gt;&lt;D xsi:type="xsd:double"&gt;6695.317954&lt;/D&gt;&lt;D xsi:type="xsd:double"&gt;6489.537955&lt;/D&gt;&lt;D xsi:type="xsd:double"&gt;6465.886273&lt;/D&gt;&lt;D xsi:type="xsd:double"&gt;6378.709836&lt;/D&gt;&lt;D xsi:type="xsd:double"&gt;6249.4665&lt;/D&gt;&lt;D xsi:type="xsd:double"&gt;6397.042675&lt;/D&gt;&lt;D xsi:type="xsd:double"&gt;6628.284771&lt;/D&gt;&lt;D xsi:type="xsd:double"&gt;6386.38433&lt;/D&gt;&lt;D xsi:type="xsd:double"&gt;6314.751399&lt;/D&gt;&lt;D xsi:type="xsd:double"&gt;6213.815929&lt;/D&gt;&lt;D xsi:type="xsd:double"&gt;6058.283308&lt;/D&gt;&lt;D xsi:type="xsd:double"&gt;5918.607261&lt;/D&gt;&lt;D xsi:type="xsd:double"&gt;5906.882885&lt;/D&gt;&lt;D xsi:type="xsd:double"&gt;5821.756013&lt;/D&gt;&lt;D xsi:type="xsd:double"&gt;5818.231495&lt;/D&gt;&lt;D xsi:type="xsd:double"&gt;5727.831645&lt;/D&gt;&lt;D xsi:type="xsd:double"&gt;5659.818476&lt;/D&gt;&lt;D xsi:type="xsd:double"&gt;5601.812829&lt;/D&gt;&lt;D xsi:type="xsd:double"&gt;5430.963533&lt;/D&gt;&lt;D xsi:type="xsd:double"&gt;5360.723967&lt;/D&gt;&lt;D xsi:type="xsd:double"&gt;5214.074176&lt;/D&gt;&lt;D xsi:type="xsd:double"&gt;5077.528568&lt;/D&gt;&lt;D xsi:type="xsd:double"&gt;5110.391939&lt;/D&gt;&lt;D xsi:type="xsd:double"&gt;5098.159269&lt;/D&gt;&lt;D xsi:type="xsd:double"&gt;5074.235442&lt;/D&gt;&lt;D xsi:type="xsd:double"&gt;4872.202934&lt;/D&gt;&lt;D xsi:type="xsd:double"&gt;4934.774113&lt;/D&gt;&lt;D xsi:type="xsd:double"&gt;4844.940321&lt;/D&gt;&lt;D xsi:type="xsd:double"&gt;4800.684721&lt;/D&gt;&lt;D xsi:type="xsd:double"&gt;4557.420732&lt;/D&gt;&lt;D xsi:type="xsd:double"&gt;4625.557305&lt;/D&gt;&lt;D xsi:type="xsd:double"&gt;4889.031212&lt;/D&gt;&lt;D xsi:type="xsd:double"&gt;4994.783424&lt;/D&gt;&lt;D xsi:type="xsd:double"&gt;4960.570869&lt;/D&gt;&lt;D xsi:type="xsd:double"&gt;4597.243001&lt;/D&gt;&lt;D xsi:type="xsd:double"&gt;4764.189921&lt;/D&gt;&lt;D xsi:type="xsd:double"&gt;5101.541135&lt;/D&gt;&lt;D xsi:type="xsd:double"&gt;4975.782133&lt;/D&gt;&lt;D xsi:type="xsd:double"&gt;5124.450251&lt;/D&gt;&lt;D xsi:type="xsd:double"&gt;5056.019412&lt;/D&gt;&lt;D xsi:type="xsd:double"&gt;5001.395058&lt;/D&gt;&lt;D xsi:type="xsd:double"&gt;5019.735819&lt;/D&gt;&lt;D xsi:type="xsd:double"&gt;4738.118653&lt;/D&gt;&lt;D xsi:type="xsd:double"&gt;4763.031447&lt;/D&gt;&lt;D xsi:type="xsd:double"&gt;4798.31302&lt;/D&gt;&lt;D xsi:type="xsd:double"&gt;4661.455775&lt;/D&gt;&lt;D xsi:type="xsd:double"&gt;4607.923533&lt;/D&gt;&lt;D xsi:type="xsd:double"&gt;4652.318196&lt;/D&gt;&lt;D xsi:type="xsd:double"&gt;4530.775457&lt;/D&gt;&lt;D xsi:type="xsd:double"&gt;4565.37608&lt;/D&gt;&lt;D xsi:type="xsd:double"&gt;4501.274574&lt;/D&gt;&lt;D xsi:type="xsd:double"&gt;4398.195416&lt;/D&gt;&lt;D xsi:type="xsd:double"&gt;4364.000092&lt;/D&gt;&lt;D xsi:type="xsd:double"&gt;4353.421809&lt;/D&gt;&lt;D xsi:type="xsd:double"&gt;4175.353071&lt;/D&gt;&lt;D xsi:type="xsd:double"&gt;4314.242547&lt;/D&gt;&lt;D xsi:type="xsd:double"&gt;4224.449553&lt;/D&gt;&lt;D xsi:type="xsd:double"&gt;4132.791064&lt;/D&gt;&lt;D xsi:type="xsd:double"&gt;3974.535941&lt;/D&gt;&lt;D xsi:type="xsd:double"&gt;3830.0879&lt;/D&gt;&lt;D xsi:type="xsd:double"&gt;3909.029073&lt;/D&gt;&lt;D xsi:type="xsd:double"&gt;3731.346833&lt;/D&gt;&lt;D xsi:type="xsd:double"&gt;3822.272433&lt;/D&gt;&lt;D xsi:type="xsd:double"&gt;3764.781272&lt;/D&gt;&lt;D xsi:type="xsd:double"&gt;3660.445336&lt;/D&gt;&lt;D xsi:type="xsd:double"&gt;3563.001759&lt;/D&gt;&lt;D xsi:type="xsd:double"&gt;3509.477588&lt;/D&gt;&lt;D xsi:type="xsd:double"&gt;3329.551105&lt;/D&gt;&lt;D xsi:type="xsd:double"&gt;3265.333698&lt;/D&gt;&lt;D xsi:type="xsd:double"&gt;3216.32217&lt;/D&gt;&lt;D xsi:type="xsd:double"&gt;3230.303137&lt;/D&gt;&lt;D xsi:type="xsd:double"&gt;3160.951535&lt;/D&gt;&lt;D xsi:type="xsd:double"&gt;3097.352805&lt;/D&gt;&lt;D xsi:type="xsd:double"&gt;3055.353034&lt;/D&gt;&lt;D xsi:type="xsd:double"&gt;2928.472596&lt;/D&gt;&lt;D xsi:type="xsd:double"&gt;3137.673177&lt;/D&gt;&lt;D xsi:type="xsd:double"&gt;3184.268621&lt;/D&gt;&lt;D xsi:type="xsd:double"&gt;3127.411&lt;/D&gt;&lt;D xsi:type="xsd:double"&gt;2984.608353&lt;/D&gt;&lt;D xsi:type="xsd:double"&gt;2860.025781&lt;/D&gt;&lt;D xsi:type="xsd:double"&gt;2842.267414&lt;/D&gt;&lt;D xsi:type="xsd:double"&gt;2877.501678&lt;/D&gt;&lt;D xsi:type="xsd:double"&gt;2650.20684&lt;/D&gt;&lt;D xsi:type="xsd:double"&gt;2819.989422&lt;/D&gt;&lt;D xsi:type="xsd:double"&gt;3023.261967&lt;/D&gt;&lt;D xsi:type="xsd:double"&gt;3107.12597&lt;/D&gt;&lt;D xsi:type="xsd:double"&gt;3155.935756&lt;/D&gt;&lt;D xsi:type="xsd:double"&gt;3193.307646&lt;/D&gt;&lt;D xsi:type="xsd:double"&gt;3120.604502&lt;/D&gt;&lt;D xsi:type="xsd:double"&gt;3159.422&lt;/D&gt;&lt;D xsi:type="xsd:double"&gt;3068.381187&lt;/D&gt;&lt;D xsi:type="xsd:double"&gt;3009.335335&lt;/D&gt;&lt;D xsi:type="xsd:double"&gt;2847.37578&lt;/D&gt;&lt;D xsi:type="xsd:double"&gt;2855.404788&lt;/D&gt;&lt;D xsi:type="xsd:double"&gt;2775.70179&lt;/D&gt;&lt;D xsi:type="xsd:double"&gt;2594.38642&lt;/D&gt;&lt;D xsi:type="xsd:double"&gt;2683.563961&lt;/D&gt;&lt;D xsi:type="xsd:double"&gt;2537.317915&lt;/D&gt;&lt;D xsi:type="xsd:double"&gt;2646.269511&lt;/D&gt;&lt;D xsi:type="xsd:double"&gt;2860.545199&lt;/D&gt;&lt;D xsi:type="xsd:double"&gt;2851.798486&lt;/D&gt;&lt;D xsi:type="xsd:double"&gt;2675.771498&lt;/D&gt;&lt;D xsi:type="xsd:double"&gt;2623.675834&lt;/D&gt;&lt;D xsi:type="xsd:double"&gt;2721.601517&lt;/D&gt;&lt;D xsi:type="xsd:double"&gt;2623.840746&lt;/D&gt;&lt;D xsi:type="xsd:double"&gt;2543.893861&lt;/D&gt;&lt;D xsi:type="xsd:double"&gt;2601.742529&lt;/D&gt;&lt;D xsi:type="xsd:double"&gt;2523.305547&lt;/D&gt;&lt;D xsi:type="xsd:double"&gt;2431.710004&lt;/D&gt;&lt;D xsi:type="xsd:double"&gt;2263.170477&lt;/D&gt;&lt;D xsi:type="xsd:double"&gt;2263.752376&lt;/D&gt;&lt;D xsi:type="xsd:double"&gt;2140.750797&lt;/D&gt;&lt;D xsi:type="xsd:double"&gt;1938.517638&lt;/D&gt;&lt;D xsi:type="xsd:double"&gt;1821.592748&lt;/D&gt;&lt;D xsi:type="xsd:double"&gt;1999.316508&lt;/D&gt;&lt;D xsi:type="xsd:double"&gt;2151.253611&lt;/D&gt;&lt;D xsi:type="xsd:double"&gt;2128.405402&lt;/D&gt;&lt;D xsi:type="xsd:double"&gt;2264.364959&lt;/D&gt;&lt;D xsi:type="xsd:double"&gt;2706.702824&lt;/D&gt;&lt;D xsi:type="xsd:double"&gt;3032.355092&lt;/D&gt;&lt;D xsi:type="xsd:double"&gt;2996.32504&lt;/D&gt;&lt;D xsi:type="xsd:double"&gt;3051.038343&lt;/D&gt;&lt;D xsi:type="xsd:double"&gt;3323.472603&lt;/D&gt;&lt;D xsi:type="xsd:double"&gt;3267.124103&lt;/D&gt;&lt;D xsi:type="xsd:double"&gt;3075.661471&lt;/D&gt;&lt;D xsi:type="xsd:double"&gt;3140.997957&lt;/D&gt;&lt;D xsi:type="xsd:double"&gt;3194.470797&lt;/D&gt;&lt;D xsi:type="xsd:double"&gt;3486.806017&lt;/D&gt;&lt;D xsi:type="xsd:double"&gt;3514.260008&lt;/D&gt;&lt;D xsi:type="xsd:double"&gt;3670.045163&lt;/D&gt;&lt;D xsi:type="xsd:double"&gt;3592.279111&lt;/D&gt;&lt;D xsi:type="xsd:double"&gt;3486.572602&lt;/D&gt;&lt;D xsi:type="xsd:double"&gt;3486.844246&lt;/D&gt;&lt;D xsi:type="xsd:double"&gt;3596.030471&lt;/D&gt;&lt;D xsi:type="xsd:double"&gt;3630.072321&lt;/D&gt;&lt;D xsi:type="xsd:double"&gt;3508.290547&lt;/D&gt;&lt;D xsi:type="xsd:double"&gt;3387.81687&lt;/D&gt;&lt;D xsi:type="xsd:double"&gt;3336.060586&lt;/D&gt;&lt;D xsi:type="xsd:double"&gt;3374.54473&lt;/D&gt;&lt;D xsi:type="xsd:double"&gt;3314.449688&lt;/D&gt;&lt;D xsi:type="xsd:double"&gt;3228.146585&lt;/D&gt;&lt;D xsi:type="xsd:double"&gt;3190.550055&lt;/D&gt;&lt;D xsi:type="xsd:double"&gt;3094.472077&lt;/D&gt;&lt;D xsi:type="xsd:double"&gt;3038.648955&lt;/D&gt;&lt;D xsi:type="xsd:double"&gt;2961.355154&lt;/D&gt;&lt;D xsi:type="xsd:double"&gt;2944.456711&lt;/D&gt;&lt;D xsi:type="xsd:double"&gt;2928.554643&lt;/D&gt;&lt;D xsi:type="xsd:double"&gt;3060.229876&lt;/D&gt;&lt;D xsi:type="xsd:double"&gt;3031.114312&lt;/D&gt;&lt;D xsi:type="xsd:double"&gt;2957.453961&lt;/D&gt;&lt;D xsi:type="xsd:double"&gt;2946.688017&lt;/D&gt;&lt;D xsi:type="xsd:double"&gt;2854.395474&lt;/D&gt;&lt;D xsi:type="xsd:double"&gt;2793.433907&lt;/D&gt;&lt;D xsi:type="xsd:double"&gt;2678.897101&lt;/D&gt;&lt;D xsi:type="xsd:double"&gt;2730.663335&lt;/D&gt;&lt;D xsi:type="xsd:double"&gt;2643.019973&lt;/D&gt;&lt;D xsi:type="xsd:double"&gt;2639.561275&lt;/D&gt;&lt;D xsi:type="xsd:double"&gt;2543.396908&lt;/D&gt;&lt;D xsi:type="xsd:double"&gt;2500.23488&lt;/D&gt;&lt;D xsi:type="xsd:double"&gt;2412.619463&lt;/D&gt;&lt;D xsi:type="xsd:double"&gt;2467.348996&lt;/D&gt;&lt;D xsi:type="xsd:double"&gt;2491.40554&lt;/D&gt;&lt;D xsi:type="xsd:double"&gt;2429.651009&lt;/D&gt;&lt;D xsi:type="xsd:double"&gt;2453.505783&lt;/D&gt;&lt;D xsi:type="xsd:double"&gt;2373.285199&lt;/D&gt;&lt;D xsi:type="xsd:double"&gt;2295.746656&lt;/D&gt;&lt;D xsi:type="xsd:double"&gt;2267.26114&lt;/D&gt;&lt;D xsi:type="xsd:double"&gt;2237.785651&lt;/D&gt;&lt;D xsi:type="xsd:double"&gt;2233.146039&lt;/D&gt;&lt;D xsi:type="xsd:double"&gt;2298.984693&lt;/D&gt;&lt;D xsi:type="xsd:double"&gt;2248.561417&lt;/D&gt;&lt;D xsi:type="xsd:double"&gt;2245.074022&lt;/D&gt;&lt;D xsi:type="xsd:double"&gt;2252.519423&lt;/D&gt;&lt;D xsi:type="xsd:double"&gt;2272.082781&lt;/D&gt;&lt;D xsi:type="xsd:double"&gt;2231.610604&lt;/D&gt;&lt;D xsi:type="xsd:double"&gt;2194.037133&lt;/D&gt;&lt;D xsi:type="xsd:double"&gt;2098.990207&lt;/D&gt;&lt;D xsi:type="xsd:double"&gt;2084.693192&lt;/D&gt;&lt;D xsi:type="xsd:double"&gt;1976.779475&lt;/D&gt;&lt;D xsi:type="xsd:double"&gt;2007.372373&lt;/D&gt;&lt;D xsi:type="xsd:double"&gt;1958.955387&lt;/D&gt;&lt;D xsi:type="xsd:double"&gt;1904.11744&lt;/D&gt;&lt;D xsi:type="xsd:double"&gt;1864.091513&lt;/D&gt;&lt;D xsi:type="xsd:double"&gt;1787.112948&lt;/D&gt;&lt;D xsi:type="xsd:double"&gt;1649.623&lt;/D&gt;&lt;D xsi:type="xsd:double"&gt;1657.667&lt;/D&gt;&lt;D xsi:type="xsd:double"&gt;1684.558&lt;/D&gt;&lt;D xsi:type="xsd:double"&gt;1747.958&lt;/D&gt;&lt;D xsi:type="xsd:double"&gt;1867.321&lt;/D&gt;&lt;D xsi:type="xsd:double"&gt;1771.877&lt;/D&gt;&lt;D xsi:type="xsd:double"&gt;1649.351&lt;/D&gt;&lt;D xsi:type="xsd:double"&gt;1853.472&lt;/D&gt;&lt;D xsi:type="xsd:double"&gt;1849.748&lt;/D&gt;&lt;D xsi:type="xsd:double"&gt;2019.732&lt;/D&gt;&lt;D xsi:type="xsd:double"&gt;2188.185&lt;/D&gt;&lt;D xsi:type="xsd:double"&gt;2210.915&lt;/D&gt;&lt;D xsi:type="xsd:double"&gt;2320.688&lt;/D&gt;&lt;D xsi:type="xsd:double"&gt;2226.598&lt;/D&gt;&lt;D xsi:type="xsd:double"&gt;2248.513&lt;/D&gt;&lt;D xsi:type="xsd:double"&gt;2292.788&lt;/D&gt;&lt;D xsi:type="xsd:double"&gt;2267.494&lt;/D&gt;&lt;D xsi:type="xsd:double"&gt;2133.52&lt;/D&gt;&lt;D xsi:type="xsd:double"&gt;2080.56&lt;/D&gt;&lt;D xsi:type="xsd:double"&gt;2283.151&lt;/D&gt;&lt;D xsi:type="xsd:double"&gt;2433.874&lt;/D&gt;&lt;D xsi:type="xsd:double"&gt;2486.295&lt;/D&gt;&lt;D xsi:type="xsd:double"&gt;2550.354&lt;/D&gt;&lt;D xsi:type="xsd:double"&gt;2567.005&lt;/D&gt;&lt;D xsi:type="xsd:double"&gt;2398.622&lt;/D&gt;&lt;D xsi:type="xsd:double"&gt;2518.248&lt;/D&gt;&lt;D xsi:type="xsd:double"&gt;2732.634&lt;/D&gt;&lt;D xsi:type="xsd:double"&gt;2662.8759765625&lt;/D&gt;&lt;D xsi:type="xsd:double"&gt;2672.90209960938&lt;/D&gt;&lt;D xsi:type="xsd:double"&gt;2850.35498046875&lt;/D&gt;&lt;D xsi:type="xsd:double"&gt;2863.22705078125&lt;/D&gt;&lt;D xsi:type="xsd:double"&gt;3014.42797851562&lt;/D&gt;&lt;D xsi:type="xsd:double"&gt;2894.96801757812&lt;/D&gt;&lt;D xsi:type="xsd:double"&gt;2937.96704101562&lt;/D&gt;&lt;D xsi:type="xsd:double"&gt;2876.93408203125&lt;/D&gt;&lt;D xsi:type="xsd:double"&gt;2948.44897460938&lt;/D&gt;&lt;D xsi:type="xsd:double"&gt;3016.96899414062&lt;/D&gt;&lt;D xsi:type="xsd:double"&gt;2847.2509765625&lt;/D&gt;&lt;D xsi:type="xsd:double"&gt;2810.64111328125&lt;/D&gt;&lt;/FQL&gt;&lt;FQL&gt;&lt;Q&gt;990100^JULIAN(MSCI_TOTAL_RET_IDX(2/27/2026,1/31/2000,M,LOC,"GROSS").DATES)&lt;/Q&gt;&lt;R&gt;314&lt;/R&gt;&lt;C&gt;1&lt;/C&gt;&lt;D xsi:type="xsd:long"&gt;46080&lt;/D&gt;&lt;D xsi:type="xsd:long"&gt;46052&lt;/D&gt;&lt;D xsi:type="xsd:long"&gt;46022&lt;/D&gt;&lt;D xsi:type="xsd:long"&gt;45989&lt;/D&gt;&lt;D xsi:type="xsd:long"&gt;45961&lt;/D&gt;&lt;D xsi:type="xsd:long"&gt;45930&lt;/D&gt;&lt;D xsi:type="xsd:long"&gt;45898&lt;/D&gt;&lt;D xsi:type="xsd:long"&gt;45869&lt;/D&gt;&lt;D xsi:type="xsd:long"&gt;45838&lt;/D&gt;&lt;D xsi:type="xsd:long"&gt;45807&lt;/D&gt;&lt;D xsi:type="xsd:long"&gt;45777&lt;/D&gt;&lt;D xsi:type="xsd:long"&gt;45747&lt;/D&gt;&lt;D xsi:type="xsd:long"&gt;45716&lt;/D&gt;&lt;D xsi:type="xsd:long"&gt;45688&lt;/D&gt;&lt;D xsi:type="xsd:long"&gt;45657&lt;/D&gt;&lt;D xsi:type="xsd:long"&gt;45625&lt;/D&gt;&lt;D xsi:type="xsd:long"&gt;45596&lt;/D&gt;&lt;D xsi:type="xsd:long"&gt;45565&lt;/D&gt;&lt;D xsi:type="xsd:long"&gt;45534&lt;/D&gt;&lt;D xsi:type="xsd:long"&gt;45504&lt;/D&gt;&lt;D xsi:type="xsd:long"&gt;45471&lt;/D&gt;&lt;D xsi:type="xsd:long"&gt;45443&lt;/D&gt;&lt;D xsi:type="xsd:long"&gt;45412&lt;/D&gt;&lt;D xsi:type="xsd:long"&gt;45379&lt;/D&gt;&lt;D xsi:type="xsd:long"&gt;45351&lt;/D&gt;&lt;D xsi:type="xsd:long"&gt;45322&lt;/D&gt;&lt;D xsi:type="xsd:long"&gt;45289&lt;/D&gt;&lt;D xsi:type="xsd:long"&gt;45260&lt;/D&gt;&lt;D xsi:type="xsd:long"&gt;45230&lt;/D&gt;&lt;D xsi:type="xsd:long"&gt;45198&lt;/D&gt;&lt;D xsi:type="xsd:long"&gt;45169&lt;/D&gt;&lt;D xsi:type="xsd:long"&gt;45138&lt;/D&gt;&lt;D xsi:type="xsd:long"&gt;45107&lt;/D&gt;&lt;D xsi:type="xsd:long"&gt;45077&lt;/D&gt;&lt;D xsi:type="xsd:long"&gt;45044&lt;/D&gt;&lt;D xsi:type="xsd:long"&gt;45016&lt;/D&gt;&lt;D xsi:type="xsd:long"&gt;44985&lt;/D&gt;&lt;D xsi:type="xsd:long"&gt;44957&lt;/D&gt;&lt;D xsi:type="xsd:long"&gt;44925&lt;/D&gt;&lt;D xsi:type="xsd:long"&gt;44895&lt;/D&gt;&lt;D xsi:type="xsd:long"&gt;44865&lt;/D&gt;&lt;D xsi:type="xsd:long"&gt;44834&lt;/D&gt;&lt;D xsi:type="xsd:long"&gt;44804&lt;/D&gt;&lt;D xsi:type="xsd:long"&gt;44771&lt;/D&gt;&lt;D xsi:type="xsd:long"&gt;44742&lt;/D&gt;&lt;D xsi:type="xsd:long"&gt;44712&lt;/D&gt;&lt;D xsi:type="xsd:long"&gt;44680&lt;/D&gt;&lt;D xsi:type="xsd:long"&gt;44651&lt;/D&gt;&lt;D xsi:type="xsd:long"&gt;44620&lt;/D&gt;&lt;D xsi:type="xsd:long"&gt;44592&lt;/D&gt;&lt;D xsi:type="xsd:long"&gt;44561&lt;/D&gt;&lt;D xsi:type="xsd:long"&gt;44530&lt;/D&gt;&lt;D xsi:type="xsd:long"&gt;44498&lt;/D&gt;&lt;D xsi:type="xsd:long"&gt;44469&lt;/D&gt;&lt;D xsi:type="xsd:long"&gt;44439&lt;/D&gt;&lt;D xsi:type="xsd:long"&gt;44407&lt;/D&gt;&lt;D xsi:type="xsd:long"&gt;44377&lt;/D&gt;&lt;D xsi:type="xsd:long"&gt;44344&lt;/D&gt;&lt;D xsi:type="xsd:long"&gt;44316&lt;/D&gt;&lt;D xsi:type="xsd:long"&gt;44286&lt;/D&gt;&lt;D xsi:type="xsd:long"&gt;44253&lt;/D&gt;&lt;D xsi:type="xsd:long"&gt;44225&lt;/D&gt;&lt;D xsi:type="xsd:long"&gt;44196&lt;/D&gt;&lt;D xsi:type="xsd:long"&gt;44165&lt;/D&gt;&lt;D xsi:type="xsd:long"&gt;44134&lt;/D&gt;&lt;D xsi:type="xsd:long"&gt;44104&lt;/D&gt;&lt;D xsi:type="xsd:long"&gt;44074&lt;/D&gt;&lt;D xsi:type="xsd:long"&gt;44043&lt;/D&gt;&lt;D xsi:type="xsd:long"&gt;44012&lt;/D&gt;&lt;D xsi:type="xsd:long"&gt;43980&lt;/D&gt;&lt;D xsi:type="xsd:long"&gt;43951&lt;/D&gt;&lt;D xsi:type="xsd:long"&gt;43921&lt;/D&gt;&lt;D xsi:type="xsd:long"&gt;43889&lt;/D&gt;&lt;D xsi:type="xsd:long"&gt;43861&lt;/D&gt;&lt;D xsi:type="xsd:long"&gt;43830&lt;/D&gt;&lt;D xsi:type="xsd:long"&gt;43798&lt;/D&gt;&lt;D xsi:type="xsd:long"&gt;43769&lt;/D&gt;&lt;D xsi:type="xsd:long"&gt;43738&lt;/D&gt;&lt;D xsi:type="xsd:long"&gt;43707&lt;/D&gt;&lt;D xsi:type="xsd:long"&gt;43677&lt;/D&gt;&lt;D xsi:type="xsd:long"&gt;43644&lt;/D&gt;&lt;D xsi:type="xsd:long"&gt;43616&lt;/D&gt;&lt;D xsi:type="xsd:long"&gt;43585&lt;/D&gt;&lt;D xsi:type="xsd:long"&gt;43553&lt;/D&gt;&lt;D xsi:type="xsd:long"&gt;43524&lt;/D&gt;&lt;D xsi:type="xsd:long"&gt;43496&lt;/D&gt;&lt;D xsi:type="xsd:long"&gt;43465&lt;/D&gt;&lt;D xsi:type="xsd:long"&gt;43434&lt;/D&gt;&lt;D xsi:type="xsd:long"&gt;43404&lt;/D&gt;&lt;D xsi:type="xsd:long"&gt;43371&lt;/D&gt;&lt;D xsi:type="xsd:long"&gt;43343&lt;/D&gt;&lt;D xsi:type="xsd:long"&gt;43312&lt;/D&gt;&lt;D xsi:type="xsd:long"&gt;43280&lt;/D&gt;&lt;D xsi:type="xsd:long"&gt;43251&lt;/D&gt;&lt;D xsi:type="xsd:long"&gt;43220&lt;/D&gt;&lt;D xsi:type="xsd:long"&gt;43188&lt;/D&gt;&lt;D xsi:type="xsd:long"&gt;43159&lt;/D&gt;&lt;D xsi:type="xsd:long"&gt;43131&lt;/D&gt;&lt;D xsi:type="xsd:long"&gt;43098&lt;/D&gt;&lt;D xsi:type="xsd:long"&gt;43069&lt;/D&gt;&lt;D xsi:type="xsd:long"&gt;43039&lt;/D&gt;&lt;D xsi:type="xsd:long"&gt;43007&lt;/D&gt;&lt;D xsi:type="xsd:long"&gt;42978&lt;/D&gt;&lt;D xsi:type="xsd:long"&gt;42947&lt;/D&gt;&lt;D xsi:type="xsd:long"&gt;42916&lt;/D&gt;&lt;D xsi:type="xsd:long"&gt;42886&lt;/D&gt;&lt;D xsi:type="xsd:long"&gt;42853&lt;/D&gt;&lt;D xsi:type="xsd:long"&gt;42825&lt;/D&gt;&lt;D xsi:type="xsd:long"&gt;42794&lt;/D&gt;&lt;D xsi:type="xsd:long"&gt;42766&lt;/D&gt;&lt;D xsi:type="xsd:long"&gt;42734&lt;/D&gt;&lt;D xsi:type="xsd:long"&gt;42704&lt;/D&gt;&lt;D xsi:type="xsd:long"&gt;42674&lt;/D&gt;&lt;D xsi:type="xsd:long"&gt;42643&lt;/D&gt;&lt;D xsi:type="xsd:long"&gt;42613&lt;/D&gt;&lt;D xsi:type="xsd:long"&gt;42580&lt;/D&gt;&lt;D xsi:type="xsd:long"&gt;42551&lt;/D&gt;&lt;D xsi:type="xsd:long"&gt;42521&lt;/D&gt;&lt;D xsi:type="xsd:long"&gt;42489&lt;/D&gt;&lt;D xsi:type="xsd:long"&gt;42460&lt;/D&gt;&lt;D xsi:type="xsd:long"&gt;42429&lt;/D&gt;&lt;D xsi:type="xsd:long"&gt;42398&lt;/D&gt;&lt;D xsi:type="xsd:long"&gt;42369&lt;/D&gt;&lt;D xsi:type="xsd:long"&gt;42338&lt;/D&gt;&lt;D xsi:type="xsd:long"&gt;42307&lt;/D&gt;&lt;D xsi:type="xsd:long"&gt;42277&lt;/D&gt;&lt;D xsi:type="xsd:long"&gt;42247&lt;/D&gt;&lt;D xsi:type="xsd:long"&gt;42216&lt;/D&gt;&lt;D xsi:type="xsd:long"&gt;42185&lt;/D&gt;&lt;D xsi:type="xsd:long"&gt;42153&lt;/D&gt;&lt;D xsi:type="xsd:long"&gt;42124&lt;/D&gt;&lt;D xsi:type="xsd:long"&gt;42094&lt;/D&gt;&lt;D xsi:type="xsd:long"&gt;42062&lt;/D&gt;&lt;D xsi:type="xsd:long"&gt;42034&lt;/D&gt;&lt;D xsi:type="xsd:long"&gt;42004&lt;/D&gt;&lt;D xsi:type="xsd:long"&gt;41971&lt;/D&gt;&lt;D xsi:type="xsd:long"&gt;41943&lt;/D&gt;&lt;D xsi:type="xsd:long"&gt;41912&lt;/D&gt;&lt;D xsi:type="xsd:long"&gt;41880&lt;/D&gt;&lt;D xsi:type="xsd:long"&gt;41851&lt;/D&gt;&lt;D xsi:type="xsd:long"&gt;41820&lt;/D&gt;&lt;D xsi:type="xsd:long"&gt;41789&lt;/D&gt;&lt;D xsi:type="xsd:long"&gt;41759&lt;/D&gt;&lt;D xsi:type="xsd:long"&gt;41729&lt;/D&gt;&lt;D xsi:type="xsd:long"&gt;41698&lt;/D&gt;&lt;D xsi:type="xsd:long"&gt;41670&lt;/D&gt;&lt;D xsi:type="xsd:long"&gt;41639&lt;/D&gt;&lt;D xsi:type="xsd:long"&gt;41607&lt;/D&gt;&lt;D xsi:type="xsd:long"&gt;41578&lt;/D&gt;&lt;D xsi:type="xsd:long"&gt;41547&lt;/D&gt;&lt;D xsi:type="xsd:long"&gt;41516&lt;/D&gt;&lt;D xsi:type="xsd:long"&gt;41486&lt;/D&gt;&lt;D xsi:type="xsd:long"&gt;41453&lt;/D&gt;&lt;D xsi:type="xsd:long"&gt;41425&lt;/D&gt;&lt;D xsi:type="xsd:long"&gt;41394&lt;/D&gt;&lt;D xsi:type="xsd:long"&gt;41361&lt;/D&gt;&lt;D xsi:type="xsd:long"&gt;41333&lt;/D&gt;&lt;D xsi:type="xsd:long"&gt;41305&lt;/D&gt;&lt;D xsi:type="xsd:long"&gt;41274&lt;/D&gt;&lt;D xsi:type="xsd:long"&gt;41243&lt;/D&gt;&lt;D xsi:type="xsd:long"&gt;41213&lt;/D&gt;&lt;D xsi:type="xsd:long"&gt;41180&lt;/D&gt;&lt;D xsi:type="xsd:long"&gt;41152&lt;/D&gt;&lt;D xsi:type="xsd:long"&gt;41121&lt;/D&gt;&lt;D xsi:type="xsd:long"&gt;41089&lt;/D&gt;&lt;D xsi:type="xsd:long"&gt;41060&lt;/D&gt;&lt;D xsi:type="xsd:long"&gt;41029&lt;/D&gt;&lt;D xsi:type="xsd:long"&gt;40998&lt;/D&gt;&lt;D xsi:type="xsd:long"&gt;40968&lt;/D&gt;&lt;D xsi:type="xsd:long"&gt;40939&lt;/D&gt;&lt;D xsi:type="xsd:long"&gt;40907&lt;/D&gt;&lt;D xsi:type="xsd:long"&gt;40877&lt;/D&gt;&lt;D xsi:type="xsd:long"&gt;40847&lt;/D&gt;&lt;D xsi:type="xsd:long"&gt;40816&lt;/D&gt;&lt;D xsi:type="xsd:long"&gt;40786&lt;/D&gt;&lt;D xsi:type="xsd:long"&gt;40753&lt;/D&gt;&lt;D xsi:type="xsd:long"&gt;40724&lt;/D&gt;&lt;D xsi:type="xsd:long"&gt;40694&lt;/D&gt;&lt;D xsi:type="xsd:long"&gt;40662&lt;/D&gt;&lt;D xsi:type="xsd:long"&gt;40633&lt;/D&gt;&lt;D xsi:type="xsd:long"&gt;40602&lt;/D&gt;&lt;D xsi:type="xsd:long"&gt;40574&lt;/D&gt;&lt;D xsi:type="xsd:long"&gt;40543&lt;/D&gt;&lt;D xsi:type="xsd:long"&gt;40512&lt;/D&gt;&lt;D xsi:type="xsd:long"&gt;40480&lt;/D&gt;&lt;D xsi:type="xsd:long"&gt;40451&lt;/D&gt;&lt;D xsi:type="xsd:long"&gt;40421&lt;/D&gt;&lt;D xsi:type="xsd:long"&gt;40389&lt;/D&gt;&lt;D xsi:type="xsd:long"&gt;40359&lt;/D&gt;&lt;D xsi:type="xsd:long"&gt;40326&lt;/D&gt;&lt;D xsi:type="xsd:long"&gt;40298&lt;/D&gt;&lt;D xsi:type="xsd:long"&gt;40268&lt;/D&gt;&lt;D xsi:type="xsd:long"&gt;40235&lt;/D&gt;&lt;D xsi:type="xsd:long"&gt;40207&lt;/D&gt;&lt;D xsi:type="xsd:long"&gt;40178&lt;/D&gt;&lt;D xsi:type="xsd:long"&gt;40147&lt;/D&gt;&lt;D xsi:type="xsd:long"&gt;40116&lt;/D&gt;&lt;D xsi:type="xsd:long"&gt;40086&lt;/D&gt;&lt;D xsi:type="xsd:long"&gt;40056&lt;/D&gt;&lt;D xsi:type="xsd:long"&gt;40025&lt;/D&gt;&lt;D xsi:type="xsd:long"&gt;39994&lt;/D&gt;&lt;D xsi:type="xsd:long"&gt;39962&lt;/D&gt;&lt;D xsi:type="xsd:long"&gt;39933&lt;/D&gt;&lt;D xsi:type="xsd:long"&gt;39903&lt;/D&gt;&lt;D xsi:type="xsd:long"&gt;39871&lt;/D&gt;&lt;D xsi:type="xsd:long"&gt;39843&lt;/D&gt;&lt;D xsi:type="xsd:long"&gt;39813&lt;/D&gt;&lt;D xsi:type="xsd:long"&gt;39780&lt;/D&gt;&lt;D xsi:type="xsd:long"&gt;39752&lt;/D&gt;&lt;D xsi:type="xsd:long"&gt;39721&lt;/D&gt;&lt;D xsi:type="xsd:long"&gt;39689&lt;/D&gt;&lt;D xsi:type="xsd:long"&gt;39660&lt;/D&gt;&lt;D xsi:type="xsd:long"&gt;39629&lt;/D&gt;&lt;D xsi:type="xsd:long"&gt;39598&lt;/D&gt;&lt;D xsi:type="xsd:long"&gt;39568&lt;/D&gt;&lt;D xsi:type="xsd:long"&gt;39538&lt;/D&gt;&lt;D xsi:type="xsd:long"&gt;39507&lt;/D&gt;&lt;D xsi:type="xsd:long"&gt;39478&lt;/D&gt;&lt;D xsi:type="xsd:long"&gt;39447&lt;/D&gt;&lt;D xsi:type="xsd:long"&gt;39416&lt;/D&gt;&lt;D xsi:type="xsd:long"&gt;39386&lt;/D&gt;&lt;D xsi:type="xsd:long"&gt;39353&lt;/D&gt;&lt;D xsi:type="xsd:long"&gt;39325&lt;/D&gt;&lt;D xsi:type="xsd:long"&gt;39294&lt;/D&gt;&lt;D xsi:type="xsd:long"&gt;39262&lt;/D&gt;&lt;D xsi:type="xsd:long"&gt;39233&lt;/D&gt;&lt;D xsi:type="xsd:long"&gt;39202&lt;/D&gt;&lt;D xsi:type="xsd:long"&gt;39171&lt;/D&gt;&lt;D xsi:type="xsd:long"&gt;39141&lt;/D&gt;&lt;D xsi:type="xsd:long"&gt;39113&lt;/D&gt;&lt;D xsi:type="xsd:long"&gt;39080&lt;/D&gt;&lt;D xsi:type="xsd:long"&gt;39051&lt;/D&gt;&lt;D xsi:type="xsd:long"&gt;39021&lt;/D&gt;&lt;D xsi:type="xsd:long"&gt;38989&lt;/D&gt;&lt;D xsi:type="xsd:long"&gt;38960&lt;/D&gt;&lt;D xsi:type="xsd:long"&gt;38929&lt;/D&gt;&lt;D xsi:type="xsd:long"&gt;38898&lt;/D&gt;&lt;D xsi:type="xsd:long"&gt;38868&lt;/D&gt;&lt;D xsi:type="xsd:long"&gt;38835&lt;/D&gt;&lt;D xsi:type="xsd:long"&gt;38807&lt;/D&gt;&lt;D xsi:type="xsd:long"&gt;38776&lt;/D&gt;&lt;D xsi:type="xsd:long"&gt;38748&lt;/D&gt;&lt;D xsi:type="xsd:long"&gt;38716&lt;/D&gt;&lt;D xsi:type="xsd:long"&gt;38686&lt;/D&gt;&lt;D xsi:type="xsd:long"&gt;38656&lt;/D&gt;&lt;D xsi:type="xsd:long"&gt;38625&lt;/D&gt;&lt;D xsi:type="xsd:long"&gt;38595&lt;/D&gt;&lt;D xsi:type="xsd:long"&gt;38562&lt;/D&gt;&lt;D xsi:type="xsd:long"&gt;38533&lt;/D&gt;&lt;D xsi:type="xsd:long"&gt;38503&lt;/D&gt;&lt;D xsi:type="xsd:long"&gt;38471&lt;/D&gt;&lt;D xsi:type="xsd:long"&gt;38442&lt;/D&gt;&lt;D xsi:type="xsd:long"&gt;38411&lt;/D&gt;&lt;D xsi:type="xsd:long"&gt;38383&lt;/D&gt;&lt;D xsi:type="xsd:long"&gt;38352&lt;/D&gt;&lt;D xsi:type="xsd:long"&gt;38321&lt;/D&gt;&lt;D xsi:type="xsd:long"&gt;38289&lt;/D&gt;&lt;D xsi:type="xsd:long"&gt;38260&lt;/D&gt;&lt;D xsi:type="xsd:long"&gt;38230&lt;/D&gt;&lt;D xsi:type="xsd:long"&gt;38198&lt;/D&gt;&lt;D xsi:type="xsd:long"&gt;38168&lt;/D&gt;&lt;D xsi:type="xsd:long"&gt;38135&lt;/D&gt;&lt;D xsi:type="xsd:long"&gt;38107&lt;/D&gt;&lt;D xsi:type="xsd:long"&gt;38077&lt;/D&gt;&lt;D xsi:type="xsd:long"&gt;38044&lt;/D&gt;&lt;D xsi:type="xsd:long"&gt;38016&lt;/D&gt;&lt;D xsi:type="xsd:long"&gt;37986&lt;/D&gt;&lt;D xsi:type="xsd:long"&gt;37953&lt;/D&gt;&lt;D xsi:type="xsd:long"&gt;37925&lt;/D&gt;&lt;D xsi:type="xsd:long"&gt;37894&lt;/D&gt;&lt;D xsi:type="xsd:long"&gt;37862&lt;/D&gt;&lt;D xsi:type="xsd:long"&gt;37833&lt;/D&gt;&lt;D xsi:type="xsd:long"&gt;37802&lt;/D&gt;&lt;D xsi:type="xsd:long"&gt;37771&lt;/D&gt;&lt;D xsi:type="xsd:long"&gt;37741&lt;/D&gt;&lt;D xsi:type="xsd:long"&gt;37711&lt;/D&gt;&lt;D xsi:type="xsd:long"&gt;37680&lt;/D&gt;&lt;D xsi:type="xsd:long"&gt;37652&lt;/D&gt;&lt;D xsi:type="xsd:long"&gt;37621&lt;/D&gt;&lt;D xsi:type="xsd:long"&gt;37589&lt;/D&gt;&lt;D xsi:type="xsd:long"&gt;37560&lt;/D&gt;&lt;D xsi:type="xsd:long"&gt;37529&lt;/D&gt;&lt;D xsi:type="xsd:long"&gt;37498&lt;/D&gt;&lt;D xsi:type="xsd:long"&gt;37468&lt;/D&gt;&lt;D xsi:type="xsd:long"&gt;37435&lt;/D&gt;&lt;D xsi:type="xsd:long"&gt;37407&lt;/D&gt;&lt;D xsi:type="xsd:long"&gt;37376&lt;/D&gt;&lt;D xsi:type="xsd:long"&gt;37343&lt;/D&gt;&lt;D xsi:type="xsd:long"&gt;37315&lt;/D&gt;&lt;D xsi:type="xsd:long"&gt;37287&lt;/D&gt;&lt;D xsi:type="xsd:long"&gt;37256&lt;/D&gt;&lt;D xsi:type="xsd:long"&gt;37225&lt;/D&gt;&lt;D xsi:type="xsd:long"&gt;37195&lt;/D&gt;&lt;D xsi:type="xsd:long"&gt;37162&lt;/D&gt;&lt;D xsi:type="xsd:long"&gt;37134&lt;/D&gt;&lt;D xsi:type="xsd:long"&gt;37103&lt;/D&gt;&lt;D xsi:type="xsd:long"&gt;37071&lt;/D&gt;&lt;D xsi:type="xsd:long"&gt;37042&lt;/D&gt;&lt;D xsi:type="xsd:long"&gt;37011&lt;/D&gt;&lt;D xsi:type="xsd:long"&gt;36980&lt;/D&gt;&lt;D xsi:type="xsd:long"&gt;36950&lt;/D&gt;&lt;D xsi:type="xsd:long"&gt;36922&lt;/D&gt;&lt;D xsi:type="xsd:long"&gt;36889&lt;/D&gt;&lt;D xsi:type="xsd:long"&gt;36860&lt;/D&gt;&lt;D xsi:type="xsd:long"&gt;36830&lt;/D&gt;&lt;D xsi:type="xsd:long"&gt;36798&lt;/D&gt;&lt;D xsi:type="xsd:long"&gt;36769&lt;/D&gt;&lt;D xsi:type="xsd:long"&gt;36738&lt;/D&gt;&lt;D xsi:type="xsd:long"&gt;36707&lt;/D&gt;&lt;D xsi:type="xsd:long"&gt;36677&lt;/D&gt;&lt;D xsi:type="xsd:long"&gt;36644&lt;/D&gt;&lt;D xsi:type="xsd:long"&gt;36616&lt;/D&gt;&lt;D xsi:type="xsd:long"&gt;36585&lt;/D&gt;&lt;D xsi:type="xsd:long"&gt;36556&lt;/D&gt;&lt;/FQL&gt;&lt;FQL&gt;&lt;Q&gt;991000^MSCI_TOTAL_RET_IDX(2/27/2026,1/31/2000,M,LOC,"GROSS")&lt;/Q&gt;&lt;R&gt;314&lt;/R&gt;&lt;C&gt;1&lt;/C&gt;&lt;D xsi:type="xsd:double"&gt;10406.662296&lt;/D&gt;&lt;D xsi:type="xsd:double"&gt;9851.168786&lt;/D&gt;&lt;D xsi:type="xsd:double"&gt;9580.127735&lt;/D&gt;&lt;D xsi:type="xsd:double"&gt;9392.567949&lt;/D&gt;&lt;D xsi:type="xsd:double"&gt;9305.154676&lt;/D&gt;&lt;D xsi:type="xsd:double"&gt;9021.338574&lt;/D&gt;&lt;D xsi:type="xsd:double"&gt;8824.15094&lt;/D&gt;&lt;D xsi:type="xsd:double"&gt;8615.860187&lt;/D&gt;&lt;D xsi:type="xsd:double"&gt;8494.691902&lt;/D&gt;&lt;D xsi:type="xsd:double"&gt;8451.945995&lt;/D&gt;&lt;D xsi:type="xsd:double"&gt;8059.666683&lt;/D&gt;&lt;D xsi:type="xsd:double"&gt;8054.898864&lt;/D&gt;&lt;D xsi:type="xsd:double"&gt;8268.492264&lt;/D&gt;&lt;D xsi:type="xsd:double"&gt;8200.466815&lt;/D&gt;&lt;D xsi:type="xsd:double"&gt;7833.0901&lt;/D&gt;&lt;D xsi:type="xsd:double"&gt;7831.920654&lt;/D&gt;&lt;D xsi:type="xsd:double"&gt;7728.884705&lt;/D&gt;&lt;D xsi:type="xsd:double"&gt;7831.751825&lt;/D&gt;&lt;D xsi:type="xsd:double"&gt;7831.268968&lt;/D&gt;&lt;D xsi:type="xsd:double"&gt;7786.27677&lt;/D&gt;&lt;D xsi:type="xsd:double"&gt;7685.601249&lt;/D&gt;&lt;D xsi:type="xsd:double"&gt;7735.055617&lt;/D&gt;&lt;D xsi:type="xsd:double"&gt;7539.688448&lt;/D&gt;&lt;D xsi:type="xsd:double"&gt;7599.562926&lt;/D&gt;&lt;D xsi:type="xsd:double"&gt;7307.202072&lt;/D&gt;&lt;D xsi:type="xsd:double"&gt;7097.296956&lt;/D&gt;&lt;D xsi:type="xsd:double"&gt;6930.491587&lt;/D&gt;&lt;D xsi:type="xsd:double"&gt;6730.087199&lt;/D&gt;&lt;D xsi:type="xsd:double"&gt;6358.301868&lt;/D&gt;&lt;D xsi:type="xsd:double"&gt;6576.061588&lt;/D&gt;&lt;D xsi:type="xsd:double"&gt;6658.703774&lt;/D&gt;&lt;D xsi:type="xsd:double"&gt;6779.778758&lt;/D&gt;&lt;D xsi:type="xsd:double"&gt;6660.2935&lt;/D&gt;&lt;D xsi:type="xsd:double"&gt;6425.938077&lt;/D&gt;&lt;D xsi:type="xsd:double"&gt;6546.642914&lt;/D&gt;&lt;D xsi:type="xsd:double"&gt;6388.765342&lt;/D&gt;&lt;D xsi:type="xsd:double"&gt;6356.228694&lt;/D&gt;&lt;D xsi:type="xsd:double"&gt;6337.12016&lt;/D&gt;&lt;D xsi:type="xsd:double"&gt;5954.044632&lt;/D&gt;&lt;D xsi:type="xsd:double"&gt;6150.829216&lt;/D&gt;&lt;D xsi:type="xsd:double"&gt;5784.860209&lt;/D&gt;&lt;D xsi:type="xsd:double"&gt;5488.716332&lt;/D&gt;&lt;D xsi:type="xsd:double"&gt;5833.098352&lt;/D&gt;&lt;D xsi:type="xsd:double"&gt;5965.661874&lt;/D&gt;&lt;D xsi:type="xsd:double"&gt;5676.658607&lt;/D&gt;&lt;D xsi:type="xsd:double"&gt;6076.733403&lt;/D&gt;&lt;D xsi:type="xsd:double"&gt;6076.732469&lt;/D&gt;&lt;D xsi:type="xsd:double"&gt;6185.</t>
        </r>
      </text>
    </comment>
    <comment ref="A70" authorId="0" shapeId="0">
      <text>
        <r>
          <rPr>
            <b/>
            <sz val="9"/>
            <color indexed="81"/>
            <rFont val="Tahoma"/>
            <family val="2"/>
          </rPr>
          <t>23728&lt;/D&gt;&lt;D xsi:type="xsd:double"&gt;6039.162352&lt;/D&gt;&lt;D xsi:type="xsd:double"&gt;6158.789181&lt;/D&gt;&lt;D xsi:type="xsd:double"&gt;6366.621516&lt;/D&gt;&lt;D xsi:type="xsd:double"&gt;6109.829325&lt;/D&gt;&lt;D xsi:type="xsd:double"&gt;6259.625842&lt;/D&gt;&lt;D xsi:type="xsd:double"&gt;6105.608069&lt;/D&gt;&lt;D xsi:type="xsd:double"&gt;6188.2055&lt;/D&gt;&lt;D xsi:type="xsd:double"&gt;6056.307804&lt;/D&gt;&lt;D xsi:type="xsd:double"&gt;6029.816117&lt;/D&gt;&lt;D xsi:type="xsd:double"&gt;5979.691157&lt;/D&gt;&lt;D xsi:type="xsd:double"&gt;5805.315537&lt;/D&gt;&lt;D xsi:type="xsd:double"&gt;5723.427424&lt;/D&gt;&lt;D xsi:type="xsd:double"&gt;5438.048698&lt;/D&gt;&lt;D xsi:type="xsd:double"&gt;5289.039914&lt;/D&gt;&lt;D xsi:type="xsd:double"&gt;5310.757068&lt;/D&gt;&lt;D xsi:type="xsd:double"&gt;5184.938278&lt;/D&gt;&lt;D xsi:type="xsd:double"&gt;4593.052336&lt;/D&gt;&lt;D xsi:type="xsd:double"&gt;4777.575486&lt;/D&gt;&lt;D xsi:type="xsd:double"&gt;4830.127182&lt;/D&gt;&lt;D xsi:type="xsd:double"&gt;4645.934009&lt;/D&gt;&lt;D xsi:type="xsd:double"&gt;4703.701282&lt;/D&gt;&lt;D xsi:type="xsd:double"&gt;4583.153317&lt;/D&gt;&lt;D xsi:type="xsd:double"&gt;4406.850982&lt;/D&gt;&lt;D xsi:type="xsd:double"&gt;4162.141251&lt;/D&gt;&lt;D xsi:type="xsd:double"&gt;4772.244235&lt;/D&gt;&lt;D xsi:type="xsd:double"&gt;5178.969622&lt;/D&gt;&lt;D xsi:type="xsd:double"&gt;5229.035085&lt;/D&gt;&lt;D xsi:type="xsd:double"&gt;5164.292893&lt;/D&gt;&lt;D xsi:type="xsd:double"&gt;5051.1252&lt;/D&gt;&lt;D xsi:type="xsd:double"&gt;4979.250306&lt;/D&gt;&lt;D xsi:type="xsd:double"&gt;4813.931244&lt;/D&gt;&lt;D xsi:type="xsd:double"&gt;4920.931339&lt;/D&gt;&lt;D xsi:type="xsd:double"&gt;4889.282571&lt;/D&gt;&lt;D xsi:type="xsd:double"&gt;4694.720391&lt;/D&gt;&lt;D xsi:type="xsd:double"&gt;4910.741994&lt;/D&gt;&lt;D xsi:type="xsd:double"&gt;4744.339683&lt;/D&gt;&lt;D xsi:type="xsd:double"&gt;4678.994686&lt;/D&gt;&lt;D xsi:type="xsd:double"&gt;4522.844222&lt;/D&gt;&lt;D xsi:type="xsd:double"&gt;4276.38452&lt;/D&gt;&lt;D xsi:type="xsd:double"&gt;4540.846302&lt;/D&gt;&lt;D xsi:type="xsd:double"&gt;4543.015859&lt;/D&gt;&lt;D xsi:type="xsd:double"&gt;4859.099589&lt;/D&gt;&lt;D xsi:type="xsd:double"&gt;4798.308623&lt;/D&gt;&lt;D xsi:type="xsd:double"&gt;4878.006943&lt;/D&gt;&lt;D xsi:type="xsd:double"&gt;4757.544755&lt;/D&gt;&lt;D xsi:type="xsd:double"&gt;4762.885582&lt;/D&gt;&lt;D xsi:type="xsd:double"&gt;4773.31631&lt;/D&gt;&lt;D xsi:type="xsd:double"&gt;4565.70886&lt;/D&gt;&lt;D xsi:type="xsd:double"&gt;4664.9528&lt;/D&gt;&lt;D xsi:type="xsd:double"&gt;4821.084942&lt;/D&gt;&lt;D xsi:type="xsd:double"&gt;4773.124949&lt;/D&gt;&lt;D xsi:type="xsd:double"&gt;4716.206971&lt;/D&gt;&lt;D xsi:type="xsd:double"&gt;4735.409346&lt;/D&gt;&lt;D xsi:type="xsd:double"&gt;4598.870875&lt;/D&gt;&lt;D xsi:type="xsd:double"&gt;4472.984988&lt;/D&gt;&lt;D xsi:type="xsd:double"&gt;4472.200908&lt;/D&gt;&lt;D xsi:type="xsd:double"&gt;4444.032932&lt;/D&gt;&lt;D xsi:type="xsd:double"&gt;4477.869746&lt;/D&gt;&lt;D xsi:type="xsd:double"&gt;4394.017906&lt;/D&gt;&lt;D xsi:type="xsd:double"&gt;4334.199968&lt;/D&gt;&lt;D xsi:type="xsd:double"&gt;4232.433603&lt;/D&gt;&lt;D xsi:type="xsd:double"&gt;4150.852029&lt;/D&gt;&lt;D xsi:type="xsd:double"&gt;4143.68062&lt;/D&gt;&lt;D xsi:type="xsd:double"&gt;3974.112804&lt;/D&gt;&lt;D xsi:type="xsd:double"&gt;3920.096668&lt;/D&gt;&lt;D xsi:type="xsd:double"&gt;3873.786297&lt;/D&gt;&lt;D xsi:type="xsd:double"&gt;3857.339754&lt;/D&gt;&lt;D xsi:type="xsd:double"&gt;3820.950754&lt;/D&gt;&lt;D xsi:type="xsd:double"&gt;3650.219169&lt;/D&gt;&lt;D xsi:type="xsd:double"&gt;3780.049781&lt;/D&gt;&lt;D xsi:type="xsd:double"&gt;3709.295937&lt;/D&gt;&lt;D xsi:type="xsd:double"&gt;3653.15456&lt;/D&gt;&lt;D xsi:type="xsd:double"&gt;3540.335014&lt;/D&gt;&lt;D xsi:type="xsd:double"&gt;3659.715279&lt;/D&gt;&lt;D xsi:type="xsd:double"&gt;3872.177597&lt;/D&gt;&lt;D xsi:type="xsd:double"&gt;3980.906979&lt;/D&gt;&lt;D xsi:type="xsd:double"&gt;3933.92879&lt;/D&gt;&lt;D xsi:type="xsd:double"&gt;3662.21088&lt;/D&gt;&lt;D xsi:type="xsd:double"&gt;3842.11671&lt;/D&gt;&lt;D xsi:type="xsd:double"&gt;4148.050524&lt;/D&gt;&lt;D xsi:type="xsd:double"&gt;4017.046161&lt;/D&gt;&lt;D xsi:type="xsd:double"&gt;4196.104526&lt;/D&gt;&lt;D xsi:type="xsd:double"&gt;4138.807388&lt;/D&gt;&lt;D xsi:type="xsd:double"&gt;4084.59459&lt;/D&gt;&lt;D xsi:type="xsd:double"&gt;4039.508229&lt;/D&gt;&lt;D xsi:type="xsd:double"&gt;3808.487795&lt;/D&gt;&lt;D xsi:type="xsd:double"&gt;3705.831025&lt;/D&gt;&lt;D xsi:type="xsd:double"&gt;3755.296699&lt;/D&gt;&lt;D xsi:type="xsd:double"&gt;3634.439356&lt;/D&gt;&lt;D xsi:type="xsd:double"&gt;3650.774478&lt;/D&gt;&lt;D xsi:type="xsd:double"&gt;3657.576898&lt;/D&gt;&lt;D xsi:type="xsd:double"&gt;3619.173298&lt;/D&gt;&lt;D xsi:type="xsd:double"&gt;3617.593984&lt;/D&gt;&lt;D xsi:type="xsd:double"&gt;3597.518462&lt;/D&gt;&lt;D xsi:type="xsd:double"&gt;3516.957462&lt;/D&gt;&lt;D xsi:type="xsd:double"&gt;3481.764124&lt;/D&gt;&lt;D xsi:type="xsd:double"&gt;3491.435731&lt;/D&gt;&lt;D xsi:type="xsd:double"&gt;3365.618946&lt;/D&gt;&lt;D xsi:type="xsd:double"&gt;3469.93986&lt;/D&gt;&lt;D xsi:type="xsd:double"&gt;3419.885067&lt;/D&gt;&lt;D xsi:type="xsd:double"&gt;3370.138987&lt;/D&gt;&lt;D xsi:type="xsd:double"&gt;3257.761042&lt;/D&gt;&lt;D xsi:type="xsd:double"&gt;3123.128812&lt;/D&gt;&lt;D xsi:type="xsd:double"&gt;3158.779933&lt;/D&gt;&lt;D xsi:type="xsd:double"&gt;3032.645874&lt;/D&gt;&lt;D xsi:type="xsd:double"&gt;3146.421258&lt;/D&gt;&lt;D xsi:type="xsd:double"&gt;3120.578038&lt;/D&gt;&lt;D xsi:type="xsd:double"&gt;3004.207997&lt;/D&gt;&lt;D xsi:type="xsd:double"&gt;2957.882945&lt;/D&gt;&lt;D xsi:type="xsd:double"&gt;2905.525279&lt;/D&gt;&lt;D xsi:type="xsd:double"&gt;2753.305947&lt;/D&gt;&lt;D xsi:type="xsd:double"&gt;2670.349433&lt;/D&gt;&lt;D xsi:type="xsd:double"&gt;2604.562061&lt;/D&gt;&lt;D xsi:type="xsd:double"&gt;2574.236946&lt;/D&gt;&lt;D xsi:type="xsd:double"&gt;2529.288002&lt;/D&gt;&lt;D xsi:type="xsd:double"&gt;2486.75665&lt;/D&gt;&lt;D xsi:type="xsd:double"&gt;2452.782138&lt;/D&gt;&lt;D xsi:type="xsd:double"&gt;2340.770605&lt;/D&gt;&lt;D xsi:type="xsd:double"&gt;2524.469204&lt;/D&gt;&lt;D xsi:type="xsd:double"&gt;2587.433621&lt;/D&gt;&lt;D xsi:type="xsd:double"&gt;2579.861399&lt;/D&gt;&lt;D xsi:type="xsd:double"&gt;2452.207872&lt;/D&gt;&lt;D xsi:type="xsd:double"&gt;2358.602929&lt;/D&gt;&lt;D xsi:type="xsd:double"&gt;2352.557643&lt;/D&gt;&lt;D xsi:type="xsd:double"&gt;2406.68756&lt;/D&gt;&lt;D xsi:type="xsd:double"&gt;2268.463865&lt;/D&gt;&lt;D xsi:type="xsd:double"&gt;2382.520945&lt;/D&gt;&lt;D xsi:type="xsd:double"&gt;2587.324869&lt;/D&gt;&lt;D xsi:type="xsd:double"&gt;2679.788544&lt;/D&gt;&lt;D xsi:type="xsd:double"&gt;2717.930245&lt;/D&gt;&lt;D xsi:type="xsd:double"&gt;2752.609236&lt;/D&gt;&lt;D xsi:type="xsd:double"&gt;2708.386237&lt;/D&gt;&lt;D xsi:type="xsd:double"&gt;2778.649244&lt;/D&gt;&lt;D xsi:type="xsd:double"&gt;2708.40859&lt;/D&gt;&lt;D xsi:type="xsd:double"&gt;2667.185065&lt;/D&gt;&lt;D xsi:type="xsd:double"&gt;2546.950092&lt;/D&gt;&lt;D xsi:type="xsd:double"&gt;2563.990035&lt;/D&gt;&lt;D xsi:type="xsd:double"&gt;2516.798276&lt;/D&gt;&lt;D xsi:type="xsd:double"&gt;2396.327749&lt;/D&gt;&lt;D xsi:type="xsd:double"&gt;2451.169987&lt;/D&gt;&lt;D xsi:type="xsd:double"&gt;2343.85471&lt;/D&gt;&lt;D xsi:type="xsd:double"&gt;2413.890038&lt;/D&gt;&lt;D xsi:type="xsd:double"&gt;2592.239869&lt;/D&gt;&lt;D xsi:type="xsd:double"&gt;2616.803294&lt;/D&gt;&lt;D xsi:type="xsd:double"&gt;2441.937797&lt;/D&gt;&lt;D xsi:type="xsd:double"&gt;2419.103569&lt;/D&gt;&lt;D xsi:type="xsd:double"&gt;2511.352152&lt;/D&gt;&lt;D xsi:type="xsd:double"&gt;2385.345204&lt;/D&gt;&lt;D xsi:type="xsd:double"&gt;2370.198187&lt;/D&gt;&lt;D xsi:type="xsd:double"&gt;2430.931266&lt;/D&gt;&lt;D xsi:type="xsd:double"&gt;2373.736909&lt;/D&gt;&lt;D xsi:type="xsd:double"&gt;2281.894874&lt;/D&gt;&lt;D xsi:type="xsd:double"&gt;2125.661815&lt;/D&gt;&lt;D xsi:type="xsd:double"&gt;2131.275377&lt;/D&gt;&lt;D xsi:type="xsd:double"&gt;2010.488448&lt;/D&gt;&lt;D xsi:type="xsd:double"&gt;1807.207694&lt;/D&gt;&lt;D xsi:type="xsd:double"&gt;1733.566129&lt;/D&gt;&lt;D xsi:type="xsd:double"&gt;1873.713222&lt;/D&gt;&lt;D xsi:type="xsd:double"&gt;1993.352528&lt;/D&gt;&lt;D xsi:type="xsd:double"&gt;1976.62005&lt;/D&gt;&lt;D xsi:type="xsd:double"&gt;2072.16251&lt;/D&gt;&lt;D xsi:type="xsd:double"&gt;2456.229662&lt;/D&gt;&lt;D xsi:type="xsd:double"&gt;2799.41075&lt;/D&gt;&lt;D xsi:type="xsd:double"&gt;2769.490099&lt;/D&gt;&lt;D xsi:type="xsd:double"&gt;2836.45436&lt;/D&gt;&lt;D xsi:type="xsd:double"&gt;3090.989138&lt;/D&gt;&lt;D xsi:type="xsd:double"&gt;3035.108095&lt;/D&gt;&lt;D xsi:type="xsd:double"&gt;2826.513552&lt;/D&gt;&lt;D xsi:type="xsd:double"&gt;2930.417655&lt;/D&gt;&lt;D xsi:type="xsd:double"&gt;2940.720612&lt;/D&gt;&lt;D xsi:type="xsd:double"&gt;3283.343428&lt;/D&gt;&lt;D xsi:type="xsd:double"&gt;3315.580926&lt;/D&gt;&lt;D xsi:type="xsd:double"&gt;3463.369099&lt;/D&gt;&lt;D xsi:type="xsd:double"&gt;3375.68492&lt;/D&gt;&lt;D xsi:type="xsd:double"&gt;3299.00839&lt;/D&gt;&lt;D xsi:type="xsd:double"&gt;3345.57113&lt;/D&gt;&lt;D xsi:type="xsd:double"&gt;3448.587948&lt;/D&gt;&lt;D xsi:type="xsd:double"&gt;3457.292592&lt;/D&gt;&lt;D xsi:type="xsd:double"&gt;3342.122517&lt;/D&gt;&lt;D xsi:type="xsd:double"&gt;3248.146397&lt;/D&gt;&lt;D xsi:type="xsd:double"&gt;3184.919975&lt;/D&gt;&lt;D xsi:type="xsd:double"&gt;3199.983963&lt;/D&gt;&lt;D xsi:type="xsd:double"&gt;3143.037135&lt;/D&gt;&lt;D xsi:type="xsd:double"&gt;3019.579355&lt;/D&gt;&lt;D xsi:type="xsd:double"&gt;3008.031802&lt;/D&gt;&lt;D xsi:type="xsd:double"&gt;2926.117041&lt;/D&gt;&lt;D xsi:type="xsd:double"&gt;2892.803405&lt;/D&gt;&lt;D xsi:type="xsd:double"&gt;2814.07282&lt;/D&gt;&lt;D xsi:type="xsd:double"&gt;2791.445261&lt;/D&gt;&lt;D xsi:type="xsd:double"&gt;2764.105188&lt;/D&gt;&lt;D xsi:type="xsd:double"&gt;2927.009355&lt;/D&gt;&lt;D xsi:type="xsd:double"&gt;2908.938606&lt;/D&gt;&lt;D xsi:type="xsd:double"&gt;2804.624365&lt;/D&gt;&lt;D xsi:type="xsd:double"&gt;2787.082098&lt;/D&gt;&lt;D xsi:type="xsd:double"&gt;2686.712548&lt;/D&gt;&lt;D xsi:type="xsd:double"&gt;2571.005577&lt;/D&gt;&lt;D xsi:type="xsd:double"&gt;2459.731388&lt;/D&gt;&lt;D xsi:type="xsd:double"&gt;2514.600584&lt;/D&gt;&lt;D xsi:type="xsd:double"&gt;2371.233733&lt;/D&gt;&lt;D xsi:type="xsd:double"&gt;2339.87001&lt;/D&gt;&lt;D xsi:type="xsd:double"&gt;2254.115821&lt;/D&gt;&lt;D xsi:type="xsd:double"&gt;2178.786174&lt;/D&gt;&lt;D xsi:type="xsd:double"&gt;2094.330112&lt;/D&gt;&lt;D xsi:type="xsd:double"&gt;2151.738403&lt;/D&gt;&lt;D xsi:type="xsd:double"&gt;2157.955678&lt;/D&gt;&lt;D xsi:type="xsd:double"&gt;2093.781143&lt;/D&gt;&lt;D xsi:type="xsd:double"&gt;2078.696986&lt;/D&gt;&lt;D xsi:type="xsd:double"&gt;2013.589476&lt;/D&gt;&lt;D xsi:type="xsd:double"&gt;1964.077181&lt;/D&gt;&lt;D xsi:type="xsd:double"&gt;1945.248645&lt;/D&gt;&lt;D xsi:type="xsd:double"&gt;1914.954555&lt;/D&gt;&lt;D xsi:type="xsd:double"&gt;1917.813206&lt;/D&gt;&lt;D xsi:type="xsd:double"&gt;1961.179291&lt;/D&gt;&lt;D xsi:type="xsd:double"&gt;1910.1267&lt;/D&gt;&lt;D xsi:type="xsd:double"&gt;1934.545011&lt;/D&gt;&lt;D xsi:type="xsd:double"&gt;1913.410807&lt;/D&gt;&lt;D xsi:type="xsd:double"&gt;1913.530361&lt;/D&gt;&lt;D xsi:type="xsd:double"&gt;1866.471733&lt;/D&gt;&lt;D xsi:type="xsd:double"&gt;1837.034986&lt;/D&gt;&lt;D xsi:type="xsd:double"&gt;1771.273682&lt;/D&gt;&lt;D xsi:type="xsd:double"&gt;1765.285963&lt;/D&gt;&lt;D xsi:type="xsd:double"&gt;1678.947502&lt;/D&gt;&lt;D xsi:type="xsd:double"&gt;1713.033779&lt;/D&gt;&lt;D xsi:type="xsd:double"&gt;1659.044272&lt;/D&gt;&lt;D xsi:type="xsd:double"&gt;1591.171554&lt;/D&gt;&lt;D xsi:type="xsd:double"&gt;1539.295506&lt;/D&gt;&lt;D xsi:type="xsd:double"&gt;1495.388714&lt;/D&gt;&lt;D xsi:type="xsd:double"&gt;1380.746&lt;/D&gt;&lt;D xsi:type="xsd:double"&gt;1413.286&lt;/D&gt;&lt;D xsi:type="xsd:double"&gt;1437.679&lt;/D&gt;&lt;D xsi:type="xsd:double"&gt;1516.592&lt;/D&gt;&lt;D xsi:type="xsd:double"&gt;1628.499&lt;/D&gt;&lt;D xsi:type="xsd:double"&gt;1557.39&lt;/D&gt;&lt;D xsi:type="xsd:double"&gt;1478.908&lt;/D&gt;&lt;D xsi:type="xsd:double"&gt;1655.322&lt;/D&gt;&lt;D xsi:type="xsd:double"&gt;1658.092&lt;/D&gt;&lt;D xsi:type="xsd:double"&gt;1841.457&lt;/D&gt;&lt;D xsi:type="xsd:double"&gt;1998.266&lt;/D&gt;&lt;D xsi:type="xsd:double"&gt;2025.907&lt;/D&gt;&lt;D xsi:type="xsd:double"&gt;2078.298&lt;/D&gt;&lt;D xsi:type="xsd:double"&gt;1981.976&lt;/D&gt;&lt;D xsi:type="xsd:double"&gt;1975.531&lt;/D&gt;&lt;D xsi:type="xsd:double"&gt;2028.286&lt;/D&gt;&lt;D xsi:type="xsd:double"&gt;1993.375&lt;/D&gt;&lt;D xsi:type="xsd:double"&gt;1904.337&lt;/D&gt;&lt;D xsi:type="xsd:double"&gt;1835.027&lt;/D&gt;&lt;D xsi:type="xsd:double"&gt;2045.143&lt;/D&gt;&lt;D xsi:type="xsd:double"&gt;2168.605&lt;/D&gt;&lt;D xsi:type="xsd:double"&gt;2246.027&lt;/D&gt;&lt;D xsi:type="xsd:double"&gt;2309.683&lt;/D&gt;&lt;D xsi:type="xsd:double"&gt;2356.569&lt;/D&gt;&lt;D xsi:type="xsd:double"&gt;2218.573&lt;/D&gt;&lt;D xsi:type="xsd:double"&gt;2287.987&lt;/D&gt;&lt;D xsi:type="xsd:double"&gt;2451.852&lt;/D&gt;&lt;D xsi:type="xsd:double"&gt;2414.36889648438&lt;/D&gt;&lt;D xsi:type="xsd:double"&gt;2428.73999023438&lt;/D&gt;&lt;D xsi:type="xsd:double"&gt;2539.56103515625&lt;/D&gt;&lt;D xsi:type="xsd:double"&gt;2544.60498046875&lt;/D&gt;&lt;D xsi:type="xsd:double"&gt;2666.61694335938&lt;/D&gt;&lt;D xsi:type="xsd:double"&gt;2587.76000976562&lt;/D&gt;&lt;D xsi:type="xsd:double"&gt;2617.76611328125&lt;/D&gt;&lt;D xsi:type="xsd:double"&gt;2569.72094726562&lt;/D&gt;&lt;D xsi:type="xsd:double"&gt;2628.03198242188&lt;/D&gt;&lt;D xsi:type="xsd:double"&gt;2662.63989257812&lt;/D&gt;&lt;D xsi:type="xsd:double"&gt;2602.79907226562&lt;/D&gt;&lt;D xsi:type="xsd:double"&gt;2482.29296875&lt;/D&gt;&lt;/FQL&gt;&lt;FQL&gt;&lt;Q&gt;991000^JULIAN(MSCI_TOTAL_RET_IDX(2/27/2026,1/31/2000,M,LOC,"GROSS").DATES)&lt;/Q&gt;&lt;R&gt;314&lt;/R&gt;&lt;C&gt;1&lt;/C&gt;&lt;D xsi:type="xsd:long"&gt;46080&lt;/D&gt;&lt;D xsi:type="xsd:long"&gt;46052&lt;/D&gt;&lt;D xsi:type="xsd:long"&gt;46022&lt;/D&gt;&lt;D xsi:type="xsd:long"&gt;45989&lt;/D&gt;&lt;D xsi:type="xsd:long"&gt;45961&lt;/D&gt;&lt;D xsi:type="xsd:long"&gt;45930&lt;/D&gt;&lt;D xsi:type="xsd:long"&gt;45898&lt;/D&gt;&lt;D xsi:type="xsd:long"&gt;45869&lt;/D&gt;&lt;D xsi:type="xsd:long"&gt;45838&lt;/D&gt;&lt;D xsi:type="xsd:long"&gt;45807&lt;/D&gt;&lt;D xsi:type="xsd:long"&gt;45777&lt;/D&gt;&lt;D xsi:type="xsd:long"&gt;45747&lt;/D&gt;&lt;D xsi:type="xsd:long"&gt;45716&lt;/D&gt;&lt;D xsi:type="xsd:long"&gt;45688&lt;/D&gt;&lt;D xsi:type="xsd:long"&gt;45657&lt;/D&gt;&lt;D xsi:type="xsd:long"&gt;45625&lt;/D&gt;&lt;D xsi:type="xsd:long"&gt;45596&lt;/D&gt;&lt;D xsi:type="xsd:long"&gt;45565&lt;/D&gt;&lt;D xsi:type="xsd:long"&gt;45534&lt;/D&gt;&lt;D xsi:type="xsd:long"&gt;45504&lt;/D&gt;&lt;D xsi:type="xsd:long"&gt;45471&lt;/D&gt;&lt;D xsi:type="xsd:long"&gt;45443&lt;/D&gt;&lt;D xsi:type="xsd:long"&gt;45412&lt;/D&gt;&lt;D xsi:type="xsd:long"&gt;45379&lt;/D&gt;&lt;D xsi:type="xsd:long"&gt;45351&lt;/D&gt;&lt;D xsi:type="xsd:long"&gt;45322&lt;/D&gt;&lt;D xsi:type="xsd:long"&gt;45289&lt;/D&gt;&lt;D xsi:type="xsd:long"&gt;45260&lt;/D&gt;&lt;D xsi:type="xsd:long"&gt;45230&lt;/D&gt;&lt;D xsi:type="xsd:long"&gt;45198&lt;/D&gt;&lt;D xsi:type="xsd:long"&gt;45169&lt;/D&gt;&lt;D xsi:type="xsd:long"&gt;45138&lt;/D&gt;&lt;D xsi:type="xsd:long"&gt;45107&lt;/D&gt;&lt;D xsi:type="xsd:long"&gt;45077&lt;/D&gt;&lt;D xsi:type="xsd:long"&gt;45044&lt;/D&gt;&lt;D xsi:type="xsd:long"&gt;45016&lt;/D&gt;&lt;D xsi:type="xsd:long"&gt;44985&lt;/D&gt;&lt;D xsi:type="xsd:long"&gt;44957&lt;/D&gt;&lt;D xsi:type="xsd:long"&gt;44925&lt;/D&gt;&lt;D xsi:type="xsd:long"&gt;44895&lt;/D&gt;&lt;D xsi:type="xsd:long"&gt;44865&lt;/D&gt;&lt;D xsi:type="xsd:long"&gt;44834&lt;/D&gt;&lt;D xsi:type="xsd:long"&gt;44804&lt;/D&gt;&lt;D xsi:type="xsd:long"&gt;44771&lt;/D&gt;&lt;D xsi:type="xsd:long"&gt;44742&lt;/D&gt;&lt;D xsi:type="xsd:long"&gt;44712&lt;/D&gt;&lt;D xsi:type="xsd:long"&gt;44680&lt;/D&gt;&lt;D xsi:type="xsd:long"&gt;44651&lt;/D&gt;&lt;D xsi:type="xsd:long"&gt;44620&lt;/D&gt;&lt;D xsi:type="xsd:long"&gt;44592&lt;/D&gt;&lt;D xsi:type="xsd:long"&gt;44561&lt;/D&gt;&lt;D xsi:type="xsd:long"&gt;44530&lt;/D&gt;&lt;D xsi:type="xsd:long"&gt;44498&lt;/D&gt;&lt;D xsi:type="xsd:long"&gt;44469&lt;/D&gt;&lt;D xsi:type="xsd:long"&gt;44439&lt;/D&gt;&lt;D xsi:type="xsd:long"&gt;44407&lt;/D&gt;&lt;D xsi:type="xsd:long"&gt;44377&lt;/D&gt;&lt;D xsi:type="xsd:long"&gt;44344&lt;/D&gt;&lt;D xsi:type="xsd:long"&gt;44316&lt;/D&gt;&lt;D xsi:type="xsd:long"&gt;44286&lt;/D&gt;&lt;D xsi:type="xsd:long"&gt;44253&lt;/D&gt;&lt;D xsi:type="xsd:long"&gt;44225&lt;/D&gt;&lt;D xsi:type="xsd:long"&gt;44196&lt;/D&gt;&lt;D xsi:type="xsd:long"&gt;44165&lt;/D&gt;&lt;D xsi:type="xsd:long"&gt;44134&lt;/D&gt;&lt;D xsi:type="xsd:long"&gt;44104&lt;/D&gt;&lt;D xsi:type="xsd:long"&gt;44074&lt;/D&gt;&lt;D xsi:type="xsd:long"&gt;44043&lt;/D&gt;&lt;D xsi:type="xsd:long"&gt;44012&lt;/D&gt;&lt;D xsi:type="xsd:long"&gt;43980&lt;/D&gt;&lt;D xsi:type="xsd:long"&gt;43951&lt;/D&gt;&lt;D xsi:type="xsd:long"&gt;43921&lt;/D&gt;&lt;D xsi:type="xsd:long"&gt;43889&lt;/D&gt;&lt;D xsi:type="xsd:long"&gt;43861&lt;/D&gt;&lt;D xsi:type="xsd:long"&gt;43830&lt;/D&gt;&lt;D xsi:type="xsd:long"&gt;43798&lt;/D&gt;&lt;D xsi:type="xsd:long"&gt;43769&lt;/D&gt;&lt;D xsi:type="xsd:long"&gt;43738&lt;/D&gt;&lt;D xsi:type="xsd:long"&gt;43707&lt;/D&gt;&lt;D xsi:type="xsd:long"&gt;43677&lt;/D&gt;&lt;D xsi:type="xsd:long"&gt;43644&lt;/D&gt;&lt;D xsi:type="xsd:long"&gt;43616&lt;/D&gt;&lt;D xsi:type="xsd:long"&gt;43585&lt;/D&gt;&lt;D xsi:type="xsd:long"&gt;43553&lt;/D&gt;&lt;D xsi:type="xsd:long"&gt;43524&lt;/D&gt;&lt;D xsi:type="xsd:long"&gt;43496&lt;/D&gt;&lt;D xsi:type="xsd:long"&gt;43465&lt;/D&gt;&lt;D xsi:type="xsd:long"&gt;43434&lt;/D&gt;&lt;D xsi:type="xsd:long"&gt;43404&lt;/D&gt;&lt;D xsi:type="xsd:long"&gt;43371&lt;/D&gt;&lt;D xsi:type="xsd:long"&gt;43343&lt;/D&gt;&lt;D xsi:type="xsd:long"&gt;43312&lt;/D&gt;&lt;D xsi:type="xsd:long"&gt;43280&lt;/D&gt;&lt;D xsi:type="xsd:long"&gt;43251&lt;/D&gt;&lt;D xsi:type="xsd:long"&gt;43220&lt;/D&gt;&lt;D xsi:type="xsd:long"&gt;43188&lt;/D&gt;&lt;D xsi:type="xsd:long"&gt;43159&lt;/D&gt;&lt;D xsi:type="xsd:long"&gt;43131&lt;/D&gt;&lt;D xsi:type="xsd:long"&gt;43098&lt;/D&gt;&lt;D xsi:type="xsd:long"&gt;43069&lt;/D&gt;&lt;D xsi:type="xsd:long"&gt;43039&lt;/D&gt;&lt;D xsi:type="xsd:long"&gt;43007&lt;/D&gt;&lt;D xsi:type="xsd:long"&gt;42978&lt;/D&gt;&lt;D xsi:type="xsd:long"&gt;42947&lt;/D&gt;&lt;D xsi:type="xsd:long"&gt;42916&lt;/D&gt;&lt;D xsi:type="xsd:long"&gt;42886&lt;/D&gt;&lt;D xsi:type="xsd:long"&gt;42853&lt;/D&gt;&lt;D xsi:type="xsd:long"&gt;42825&lt;/D&gt;&lt;D xsi:type="xsd:long"&gt;42794&lt;/D&gt;&lt;D xsi:type="xsd:long"&gt;42766&lt;/D&gt;&lt;D xsi:type="xsd:long"&gt;42734&lt;/D&gt;&lt;D xsi:type="xsd:long"&gt;42704&lt;/D&gt;&lt;D xsi:type="xsd:long"&gt;42674&lt;/D&gt;&lt;D xsi:type="xsd:long"&gt;42643&lt;/D&gt;&lt;D xsi:type="xsd:long"&gt;42613&lt;/D&gt;&lt;D xsi:type="xsd:long"&gt;42580&lt;/D&gt;&lt;D xsi:type="xsd:long"&gt;42551&lt;/D&gt;&lt;D xsi:type="xsd:long"&gt;42521&lt;/D&gt;&lt;D xsi:type="xsd:long"&gt;42489&lt;/D&gt;&lt;D xsi:type="xsd:long"&gt;42460&lt;/D&gt;&lt;D xsi:type="xsd:long"&gt;42429&lt;/D&gt;&lt;D xsi:type="xsd:long"&gt;42398&lt;/D&gt;&lt;D xsi:type="xsd:long"&gt;42369&lt;/D&gt;&lt;D xsi:type="xsd:long"&gt;42338&lt;/D&gt;&lt;D xsi:type="xsd:long"&gt;42307&lt;/D&gt;&lt;D xsi:type="xsd:long"&gt;42277&lt;/D&gt;&lt;D xsi:type="xsd:long"&gt;42247&lt;/D&gt;&lt;D xsi:type="xsd:long"&gt;42216&lt;/D&gt;&lt;D xsi:type="xsd:long"&gt;42185&lt;/D&gt;&lt;D xsi:type="xsd:long"&gt;42153&lt;/D&gt;&lt;D xsi:type="xsd:long"&gt;42124&lt;/D&gt;&lt;D xsi:type="xsd:long"&gt;42094&lt;/D&gt;&lt;D xsi:type="xsd:long"&gt;42062&lt;/D&gt;&lt;D xsi:type="xsd:long"&gt;42034&lt;/D&gt;&lt;D xsi:type="xsd:long"&gt;42004&lt;/D&gt;&lt;D xsi:type="xsd:long"&gt;41971&lt;/D&gt;&lt;D xsi:type="xsd:long"&gt;41943&lt;/D&gt;&lt;D xsi:type="xsd:long"&gt;41912&lt;/D&gt;&lt;D xsi:type="xsd:long"&gt;41880&lt;/D&gt;&lt;D xsi:type="xsd:long"&gt;41851&lt;/D&gt;&lt;D xsi:type="xsd:long"&gt;41820&lt;/D&gt;&lt;D xsi:type="xsd:long"&gt;41789&lt;/D&gt;&lt;D xsi:type="xsd:long"&gt;41759&lt;/D&gt;&lt;D xsi:type="xsd:long"&gt;41729&lt;/D&gt;&lt;D xsi:type="xsd:long"&gt;41698&lt;/D&gt;&lt;D xsi:type="xsd:long"&gt;41670&lt;/D&gt;&lt;D xsi:type="xsd:long"&gt;41639&lt;/D&gt;&lt;D xsi:type="xsd:long"&gt;41607&lt;/D&gt;&lt;D xsi:type="xsd:long"&gt;41578&lt;/D&gt;&lt;D xsi:type="xsd:long"&gt;41547&lt;/D&gt;&lt;D xsi:type="xsd:long"&gt;41516&lt;/D&gt;&lt;D xsi:type="xsd:long"&gt;41486&lt;/D&gt;&lt;D xsi:type="xsd:long"&gt;41453&lt;/D&gt;&lt;D xsi:type="xsd:long"&gt;41425&lt;/D&gt;&lt;D xsi:type="xsd:long"&gt;41394&lt;/D&gt;&lt;D xsi:type="xsd:long"&gt;41361&lt;/D&gt;&lt;D xsi:type="xsd:long"&gt;41333&lt;/D&gt;&lt;D xsi:type="xsd:long"&gt;41305&lt;/D&gt;&lt;D xsi:type="xsd:long"&gt;41274&lt;/D&gt;&lt;D xsi:type="xsd:long"&gt;41243&lt;/D&gt;&lt;D xsi:type="xsd:long"&gt;41213&lt;/D&gt;&lt;D xsi:type="xsd:long"&gt;41180&lt;/D&gt;&lt;D xsi:type="xsd:long"&gt;41152&lt;/D&gt;&lt;D xsi:type="xsd:long"&gt;41121&lt;/D&gt;&lt;D xsi:type="xsd:long"&gt;41089&lt;/D&gt;&lt;D xsi:type="xsd:long"&gt;41060&lt;/D&gt;&lt;D xsi:type="xsd:long"&gt;41029&lt;/D&gt;&lt;D xsi:type="xsd:long"&gt;40998&lt;/D&gt;&lt;D xsi:type="xsd:long"&gt;40968&lt;/D&gt;&lt;D xsi:type="xsd:long"&gt;40939&lt;/D&gt;&lt;D xsi:type="xsd:long"&gt;40907&lt;/D&gt;&lt;D xsi:type="xsd:long"&gt;40877&lt;/D&gt;&lt;D xsi:type="xsd:long"&gt;40847&lt;/D&gt;&lt;D xsi:type="xsd:long"&gt;40816&lt;/D&gt;&lt;D xsi:type="xsd:long"&gt;40786&lt;/D&gt;&lt;D xsi:type="xsd:long"&gt;40753&lt;/D&gt;&lt;D xsi:type="xsd:long"&gt;40724&lt;/D&gt;&lt;D xsi:type="xsd:long"&gt;40694&lt;/D&gt;&lt;D xsi:type="xsd:long"&gt;40662&lt;/D&gt;&lt;D xsi:type="xsd:long"&gt;40633&lt;/D&gt;&lt;D xsi:type="xsd:long"&gt;40602&lt;/D&gt;&lt;D xsi:type="xsd:long"&gt;40574&lt;/D&gt;&lt;D xsi:type="xsd:long"&gt;40543&lt;/D&gt;&lt;D xsi:type="xsd:long"&gt;40512&lt;/D&gt;&lt;D xsi:type="xsd:long"&gt;40480&lt;/D&gt;&lt;D xsi:type="xsd:long"&gt;40451&lt;/D&gt;&lt;D xsi:type="xsd:long"&gt;40421&lt;/D&gt;&lt;D xsi:type="xsd:long"&gt;40389&lt;/D&gt;&lt;D xsi:type="xsd:long"&gt;40359&lt;/D&gt;&lt;D xsi:type="xsd:long"&gt;40326&lt;/D&gt;&lt;D xsi:type="xsd:long"&gt;40298&lt;/D&gt;&lt;D xsi:type="xsd:long"&gt;40268&lt;/D&gt;&lt;D xsi:type="xsd:long"&gt;40235&lt;/D&gt;&lt;D xsi:type="xsd:long"&gt;40207&lt;/D&gt;&lt;D xsi:type="xsd:long"&gt;40178&lt;/D&gt;&lt;D xsi:type="xsd:long"&gt;40147&lt;/D&gt;&lt;D xsi:type="xsd:long"&gt;40116&lt;/D&gt;&lt;D xsi:type="xsd:long"&gt;40086&lt;/D&gt;&lt;D xsi:type="xsd:long"&gt;40056&lt;/D&gt;&lt;D xsi:type="xsd:long"&gt;40025&lt;/D&gt;&lt;D xsi:type="xsd:long"&gt;39994&lt;/D&gt;&lt;D xsi:type="xsd:long"&gt;39962&lt;/D&gt;&lt;D xsi:type="xsd:long"&gt;39933&lt;/D&gt;&lt;D xsi:type="xsd:long"&gt;39903&lt;/D&gt;&lt;D xsi:type="xsd:long"&gt;39871&lt;/D&gt;&lt;D xsi:type="xsd:long"&gt;39843&lt;/D&gt;&lt;D xsi:type="xsd:long"&gt;39813&lt;/D&gt;&lt;D xsi:type="xsd:long"&gt;39780&lt;/D&gt;&lt;D xsi:type="xsd:long"&gt;39752&lt;/D&gt;&lt;D xsi:type="xsd:long"&gt;39721&lt;/D&gt;&lt;D xsi:type="xsd:long"&gt;39689&lt;/D&gt;&lt;D xsi:type="xsd:long"&gt;39660&lt;/D&gt;&lt;D xsi:type="xsd:long"&gt;39629&lt;/D&gt;&lt;D xsi:type="xsd:long"&gt;39598&lt;/D&gt;&lt;D xsi:type="xsd:long"&gt;39568&lt;/D&gt;&lt;D xsi:type="xsd:long"&gt;39538&lt;/D&gt;&lt;D xsi:type="xsd:long"&gt;39507&lt;/D&gt;&lt;D xsi:type="xsd:long"&gt;39478&lt;/D&gt;&lt;D xsi:type="xsd:long"&gt;39447&lt;/D&gt;&lt;D xsi:type="xsd:long"&gt;39416&lt;/D&gt;&lt;D xsi:type="xsd:long"&gt;39386&lt;/D&gt;&lt;D xsi:type="xsd:long"&gt;39353&lt;/D&gt;&lt;D xsi:type="xsd:long"&gt;39325&lt;/D&gt;&lt;D xsi:type="xsd:long"&gt;39294&lt;/D&gt;&lt;D xsi:type="xsd:long"&gt;39262&lt;/D&gt;&lt;D xsi:type="xsd:long"&gt;39233&lt;/D&gt;&lt;D xsi:type="xsd:long"&gt;39202&lt;/D&gt;&lt;D xsi:type="xsd:long"&gt;39171&lt;/D&gt;&lt;D xsi:type="xsd:long"&gt;39141&lt;/D&gt;&lt;D xsi:type="xsd:long"&gt;39113&lt;/D&gt;&lt;D xsi:type="xsd:long"&gt;39080&lt;/D&gt;&lt;D xsi:type="xsd:long"&gt;39051&lt;/D&gt;&lt;D xsi:type="xsd:long"&gt;39021&lt;/D&gt;&lt;D xsi:type="xsd:long"&gt;38989&lt;/D&gt;&lt;D xsi:type="xsd:long"&gt;38960&lt;/D&gt;&lt;D xsi:type="xsd:long"&gt;38929&lt;/D&gt;&lt;D xsi:type="xsd:long"&gt;38898&lt;/D&gt;&lt;D xsi:type="xsd:long"&gt;38868&lt;/D&gt;&lt;D xsi:type="xsd:long"&gt;38835&lt;/D&gt;&lt;D xsi:type="xsd:long"&gt;38807&lt;/D&gt;&lt;D xsi:type="xsd:long"&gt;38776&lt;/D&gt;&lt;D xsi:type="xsd:long"&gt;38748&lt;/D&gt;&lt;D xsi:type="xsd:long"&gt;38716&lt;/D&gt;&lt;D xsi:type="xsd:long"&gt;38686&lt;/D&gt;&lt;D xsi:type="xsd:long"&gt;38656&lt;/D&gt;&lt;D xsi:type="xsd:long"&gt;38625&lt;/D&gt;&lt;D xsi:type="xsd:long"&gt;38595&lt;/D&gt;&lt;D xsi:type="xsd:long"&gt;38562&lt;/D&gt;&lt;D xsi:type="xsd:long"&gt;38533&lt;/D&gt;&lt;D xsi:type="xsd:long"&gt;38503&lt;/D&gt;&lt;D xsi:type="xsd:long"&gt;38471&lt;/D&gt;&lt;D xsi:type="xsd:long"&gt;38442&lt;/D&gt;&lt;D xsi:type="xsd:long"&gt;38411&lt;/D&gt;&lt;D xsi:type="xsd:long"&gt;38383&lt;/D&gt;&lt;D xsi:type="xsd:long"&gt;38352&lt;/D&gt;&lt;D xsi:type="xsd:long"&gt;38321&lt;/D&gt;&lt;D xsi:type="xsd:long"&gt;38289&lt;/D&gt;&lt;D xsi:type="xsd:long"&gt;38260&lt;/D&gt;&lt;D xsi:type="xsd:long"&gt;38230&lt;/D&gt;&lt;D xsi:type="xsd:long"&gt;38198&lt;/D&gt;&lt;D xsi:type="xsd:long"&gt;38168&lt;/D&gt;&lt;D xsi:type="xsd:long"&gt;38135&lt;/D&gt;&lt;D xsi:type="xsd:long"&gt;38107&lt;/D&gt;&lt;D xsi:type="xsd:long"&gt;38077&lt;/D&gt;&lt;D xsi:type="xsd:long"&gt;38044&lt;/D&gt;&lt;D xsi:type="xsd:long"&gt;38016&lt;/D&gt;&lt;D xsi:type="xsd:long"&gt;37986&lt;/D&gt;&lt;D xsi:type="xsd:long"&gt;37953&lt;/D&gt;&lt;D xsi:type="xsd:long"&gt;37925&lt;/D&gt;&lt;D xsi:type="xsd:long"&gt;37894&lt;/D&gt;&lt;D xsi:type="xsd:long"&gt;37862&lt;/D&gt;&lt;D xsi:type="xsd:long"&gt;37833&lt;/D&gt;&lt;D xsi:type="xsd:long"&gt;37802&lt;/D&gt;&lt;D xsi:type="xsd:long"&gt;37771&lt;/D&gt;&lt;D xsi:type="xsd:long"&gt;37741&lt;/D&gt;&lt;D xsi:type="xsd:long"&gt;37711&lt;/D&gt;&lt;D xsi:type="xsd:long"&gt;37680&lt;/D&gt;&lt;D xsi:type="xsd:long"&gt;37652&lt;/D&gt;&lt;D xsi:type="xsd:long"&gt;37621&lt;/D&gt;&lt;D xsi:type="xsd:long"&gt;37589&lt;/D&gt;&lt;D xsi:type="xsd:long"&gt;37560&lt;/D&gt;&lt;D xsi:type="xsd:long"&gt;37529&lt;/D&gt;&lt;D xsi:type="xsd:long"&gt;37498&lt;/D&gt;&lt;D xsi:type="xsd:long"&gt;37468&lt;/D&gt;&lt;D xsi:type="xsd:long"&gt;37435&lt;/D&gt;&lt;D xsi:type="xsd:long"&gt;37407&lt;/D&gt;&lt;D xsi:type="xsd:long"&gt;37376&lt;/D&gt;&lt;D xsi:type="xsd:long"&gt;37343&lt;/D&gt;&lt;D xsi:type="xsd:long"&gt;37315&lt;/D&gt;&lt;D xsi:type="xsd:long"&gt;37287&lt;/D&gt;&lt;D xsi:type="xsd:long"&gt;37256&lt;/D&gt;&lt;D xsi:type="xsd:long"&gt;37225&lt;/D&gt;&lt;D xsi:type="xsd:long"&gt;37195&lt;/D&gt;&lt;D xsi:type="xsd:long"&gt;37162&lt;/D&gt;&lt;D xsi:type="xsd:long"&gt;37134&lt;/D&gt;&lt;D xsi:type="xsd:long"&gt;37103&lt;/D&gt;&lt;D xsi:type="xsd:long"&gt;37071&lt;/D&gt;&lt;D xsi:type="xsd:long"&gt;37042&lt;/D&gt;&lt;D xsi:type="xsd:long"&gt;37011&lt;/D&gt;&lt;D xsi:type="xsd:long"&gt;36980&lt;/D&gt;&lt;D xsi:type="xsd:long"&gt;36950&lt;/D&gt;&lt;D xsi:type="xsd:long"&gt;36922&lt;/D&gt;&lt;D xsi:type="xsd:long"&gt;36889&lt;/D&gt;&lt;D xsi:type="xsd:long"&gt;36860&lt;/D&gt;&lt;D xsi:type="xsd:long"&gt;36830&lt;/D&gt;&lt;D xsi:type="xsd:long"&gt;36798&lt;/D&gt;&lt;D xsi:type="xsd:long"&gt;36769&lt;/D&gt;&lt;D xsi:type="xsd:long"&gt;36738&lt;/D&gt;&lt;D xsi:type="xsd:long"&gt;36707&lt;/D&gt;&lt;D xsi:type="xsd:long"&gt;36677&lt;/D&gt;&lt;D xsi:type="xsd:long"&gt;36644&lt;/D&gt;&lt;D xsi:type="xsd:long"&gt;36616&lt;/D&gt;&lt;D xsi:type="xsd:long"&gt;36585&lt;/D&gt;&lt;D xsi:type="xsd:long"&gt;36556&lt;/D&gt;&lt;/FQL&gt;&lt;FQL&gt;&lt;Q&gt;892400^MSCI_TOTAL_RET_IDX(2/27/2026,1/31/2000,M,LOC,"GROSS")&lt;/Q&gt;&lt;R&gt;314&lt;/R&gt;&lt;C&gt;1&lt;/C&gt;&lt;D xsi:type="xsd:double"&gt;2985.007715&lt;/D&gt;&lt;D xsi:type="xsd:double"&gt;2942.34232&lt;/D&gt;&lt;D xsi:type="xsd:double"&gt;2870.658385&lt;/D&gt;&lt;D xsi:type="xsd:double"&gt;2848.244338&lt;/D&gt;&lt;D xsi:type="xsd:double"&gt;2846.113758&lt;/D&gt;&lt;D xsi:type="xsd:double"&gt;2768.356643&lt;/D&gt;&lt;D xsi:type="xsd:double"&gt;2670.455338&lt;/D&gt;&lt;D xsi:type="xsd:double"&gt;2617.221567&lt;/D&gt;&lt;D xsi:type="xsd:double"&gt;2561.08131&lt;/D&gt;&lt;D xsi:type="xsd:double"&gt;2464.223464&lt;/D&gt;&lt;D xsi:type="xsd:double"&gt;2331.330965&lt;/D&gt;&lt;D xsi:type="xsd:double"&gt;2338.730829&lt;/D&gt;&lt;D xsi:type="xsd:double"&gt;2447.389995&lt;/D&gt;&lt;D xsi:type="xsd:double"&gt;2466.22207&lt;/D&gt;&lt;D xsi:type="xsd:double"&gt;2387.537009&lt;/D&gt;&lt;D xsi:type="xsd:double"&gt;2425.927702&lt;/D&gt;&lt;D xsi:type="xsd:double"&gt;2329.817322&lt;/D&gt;&lt;D xsi:type="xsd:double"&gt;2355.509744&lt;/D&gt;&lt;D xsi:type="xsd:double"&gt;2310.352215&lt;/D&gt;&lt;D xsi:type="xsd:double"&gt;2270.575669&lt;/D&gt;&lt;D xsi:type="xsd:double"&gt;2243.459825&lt;/D&gt;&lt;D xsi:type="xsd:double"&gt;2187.62599&lt;/D&gt;&lt;D xsi:type="xsd:double"&gt;2108.405485&lt;/D&gt;&lt;D xsi:type="xsd:double"&gt;2166.507698&lt;/D&gt;&lt;D xsi:type="xsd:double"&gt;2096.18433&lt;/D&gt;&lt;D xsi:type="xsd:double"&gt;2002.19538&lt;/D&gt;&lt;D xsi:type="xsd:double"&gt;1977.338507&lt;/D&gt;&lt;D xsi:type="xsd:double"&gt;1899.676547&lt;/D&gt;&lt;D xsi:type="xsd:double"&gt;1757.046391&lt;/D&gt;&lt;D xsi:type="xsd:double"&gt;1805.931758&lt;/D&gt;&lt;D xsi:type="xsd:double"&gt;1870.640898&lt;/D&gt;&lt;D xsi:type="xsd:double"&gt;1909.359272&lt;/D&gt;&lt;D xsi:type="xsd:double"&gt;1850.217036&lt;/D&gt;&lt;D xsi:type="xsd:double"&gt;1753.947375&lt;/D&gt;&lt;D xsi:type="xsd:double"&gt;1757.942007&lt;/D&gt;&lt;D xsi:type="xsd:double"&gt;1733.673677&lt;/D&gt;&lt;D xsi:type="xsd:double"&gt;1691.118474&lt;/D&gt;&lt;D xsi:type="xsd:double"&gt;1723.55191&lt;/D&gt;&lt;D xsi:type="xsd:double"&gt;1617.918491&lt;/D&gt;&lt;D xsi:type="xsd:double"&gt;1697.777402&lt;/D&gt;&lt;D xsi:type="xsd:double"&gt;1596.965578&lt;/D&gt;&lt;D xsi:type="xsd:double"&gt;1505.407495&lt;/D&gt;&lt;D xsi:type="xsd:double"&gt;1643.231932&lt;/D&gt;&lt;D xsi:type="xsd:double"&gt;1692.525732&lt;/D&gt;&lt;D xsi:type="xsd:double"&gt;1580.419682&lt;/D&gt;&lt;D xsi:type="xsd:double"&gt;1706.032383&lt;/D&gt;&lt;D xsi:type="xsd:double"&gt;1708.695494&lt;/D&gt;&lt;D xsi:type="xsd:double"&gt;1827.253438&lt;/D&gt;&lt;D xsi:type="xsd:double"&gt;1781.439538&lt;/D&gt;&lt;D xsi:type="xsd:double"&gt;1828.820647&lt;/D&gt;&lt;D xsi:type="xsd:double"&gt;1916.239567&lt;/D&gt;&lt;D xsi:type="xsd:double"&gt;1847.121261&lt;/D&gt;&lt;D xsi:type="xsd:double"&gt;1877.888124&lt;/D&gt;&lt;D xsi:type="xsd:double"&gt;1788.83395&lt;/D&gt;&lt;D xsi:type="xsd:double"&gt;1854.503037&lt;/D&gt;&lt;D xsi:type="xsd:double"&gt;1806.559805&lt;/D&gt;&lt;D xsi:type="xsd:double"&gt;1793.35463&lt;/D&gt;&lt;D xsi:type="xsd:double"&gt;1756.147709&lt;/D&gt;&lt;D xsi:type="xsd:double"&gt;1735.553226&lt;/D&gt;&lt;D xsi:type="xsd:double"&gt;1672.554671&lt;/D&gt;&lt;D xsi:type="xsd:double"&gt;1614.880318&lt;/D&gt;&lt;D xsi:type="xsd:double"&gt;1576.169435&lt;/D&gt;&lt;D xsi:type="xsd:double"&gt;1578.390317&lt;/D&gt;&lt;D xsi:type="xsd:double"&gt;1519.489042&lt;/D&gt;&lt;D xsi:type="xsd:double"&gt;1363.237988&lt;/D&gt;&lt;D xsi:type="xsd:double"&gt;1397.631848&lt;/D&gt;&lt;D xsi:type="xsd:double"&gt;1436.436353&lt;/D&gt;&lt;D xsi:type="xsd:double"&gt;1357.778158&lt;/D&gt;&lt;D xsi:type="xsd:double"&gt;1305.485772&lt;/D&gt;&lt;D xsi:type="xsd:double"&gt;1268.591957&lt;/D&gt;&lt;D xsi:type="xsd:double"&gt;1216.314083&lt;/D&gt;&lt;D xsi:type="xsd:double"&gt;1102.165634&lt;/D&gt;&lt;D xsi:type="xsd:double"&gt;1263.748568&lt;/D&gt;&lt;D xsi:type="xsd:double"&gt;1367.035795&lt;/D&gt;&lt;D xsi:type="xsd:double"&gt;1375.258317&lt;/D&gt;&lt;D xsi:type="xsd:double"&gt;1338.778593&lt;/D&gt;&lt;D xsi:type="xsd:double"&gt;1301.153936&lt;/D&gt;&lt;D xsi:type="xsd:double"&gt;1275.240183&lt;/D&gt;&lt;D xsi:type="xsd:double"&gt;1246.759168&lt;/D&gt;&lt;D xsi:type="xsd:double"&gt;1271.814934&lt;/D&gt;&lt;D xsi:type="xsd:double"&gt;1259.689999&lt;/D&gt;&lt;D xsi:type="xsd:double"&gt;1190.752769&lt;/D&gt;&lt;D xsi:type="xsd:double"&gt;1262.849036&lt;/D&gt;&lt;D xsi:type="xsd:double"&gt;1218.065569&lt;/D&gt;&lt;D xsi:type="xsd:double"&gt;1198.330111&lt;/D&gt;&lt;D xsi:type="xsd:double"&gt;1162.116923&lt;/D&gt;&lt;D xsi:type="xsd:double"&gt;1083.428661&lt;/D&gt;&lt;D xsi:type="xsd:double"&gt;1167.717212&lt;/D&gt;&lt;D xsi:type="xsd:double"&gt;1151.654169&lt;/D&gt;&lt;D xsi:type="xsd:double"&gt;1236.884623&lt;/D&gt;&lt;D xsi:type="xsd:double"&gt;1230.024866&lt;/D&gt;&lt;D xsi:type="xsd:double"&gt;1215.818196&lt;/D&gt;&lt;D xsi:type="xsd:double"&gt;1180.293135&lt;/D&gt;&lt;D xsi:type="xsd:double"&gt;1179.879252&lt;/D&gt;&lt;D xsi:type="xsd:double"&gt;1168.891406&lt;/D&gt;&lt;D xsi:type="xsd:double"&gt;1146.218732&lt;/D&gt;&lt;D xsi:type="xsd:double"&gt;1172.798314&lt;/D&gt;&lt;D xsi:type="xsd:double"&gt;1215.742222&lt;/D&gt;&lt;D xsi:type="xsd:double"&gt;1167.393071&lt;/D&gt;&lt;D xsi:type="xsd:double"&gt;1152.323369&lt;/D&gt;&lt;D xsi:type="xsd:double"&gt;1137.147289&lt;/D&gt;&lt;D xsi:type="xsd:double"&gt;1107.027612&lt;/D&gt;&lt;D xsi:type="xsd:double"&gt;1083.865185&lt;/D&gt;&lt;D xsi:type="xsd:double"&gt;1079.286741&lt;/D&gt;&lt;D xsi:type="xsd:double"&gt;1059.605647&lt;/D&gt;&lt;D xsi:type="xsd:double"&gt;1057.020459&lt;/D&gt;&lt;D xsi:type="xsd:double"&gt;1039.567601&lt;/D&gt;&lt;D xsi:type="xsd:double"&gt;1025.954224&lt;/D&gt;&lt;D xsi:type="xsd:double"&gt;1014.436478&lt;/D&gt;&lt;D xsi:type="xsd:double"&gt;985.015905&lt;/D&gt;&lt;D xsi:type="xsd:double"&gt;969.596424&lt;/D&gt;&lt;D xsi:type="xsd:double"&gt;945.639446&lt;/D&gt;&lt;D xsi:type="xsd:double"&gt;925.743262&lt;/D&gt;&lt;D xsi:type="xsd:double"&gt;930.441567&lt;/D&gt;&lt;D xsi:type="xsd:double"&gt;927.989941&lt;/D&gt;&lt;D xsi:type="xsd:double"&gt;921.372127&lt;/D&gt;&lt;D xsi:type="xsd:double"&gt;884.550511&lt;/D&gt;&lt;D xsi:type="xsd:double"&gt;893.206283&lt;/D&gt;&lt;D xsi:type="xsd:double"&gt;879.238646&lt;/D&gt;&lt;D xsi:type="xsd:double"&gt;872.074513&lt;/D&gt;&lt;D xsi:type="xsd:double"&gt;825.569278&lt;/D&gt;&lt;D xsi:type="xsd:double"&gt;836.643942&lt;/D&gt;&lt;D xsi:type="xsd:double"&gt;884.148949&lt;/D&gt;&lt;D xsi:type="xsd:double"&gt;902.294911&lt;/D&gt;&lt;D xsi:type="xsd:double"&gt;899.016685&lt;/D&gt;&lt;D xsi:type="xsd:double"&gt;835.051534&lt;/D&gt;&lt;D xsi:type="xsd:double"&gt;863.804379&lt;/D&gt;&lt;D xsi:type="xsd:double"&gt;924.8635&lt;/D&gt;&lt;D xsi:type="xsd:double"&gt;908.460827&lt;/D&gt;&lt;D xsi:type="xsd:double"&gt;934.87192&lt;/D&gt;&lt;D xsi:type="xsd:double"&gt;926.212042&lt;/D&gt;&lt;D xsi:type="xsd:double"&gt;911.836994&lt;/D&gt;&lt;D xsi:type="xsd:double"&gt;914.677231&lt;/D&gt;&lt;D xsi:type="xsd:double"&gt;865.643857&lt;/D&gt;&lt;D xsi:type="xsd:double"&gt;868.430888&lt;/D&gt;&lt;D xsi:type="xsd:double"&gt;876.433829&lt;/D&gt;&lt;D xsi:type="xsd:double"&gt;853.041388&lt;/D&gt;&lt;D xsi:type="xsd:double"&gt;842.995793&lt;/D&gt;&lt;D xsi:type="xsd:double"&gt;854.276843&lt;/D&gt;&lt;D xsi:type="xsd:double"&gt;832.557647&lt;/D&gt;&lt;D xsi:type="xsd:double"&gt;835.427473&lt;/D&gt;&lt;D xsi:type="xsd:double"&gt;822.798395&lt;/D&gt;&lt;D xsi:type="xsd:double"&gt;803.522978&lt;/D&gt;&lt;D xsi:type="xsd:double"&gt;798.042174&lt;/D&gt;&lt;D xsi:type="xsd:double"&gt;794.741024&lt;/D&gt;&lt;D xsi:type="xsd:double"&gt;763.811174&lt;/D&gt;&lt;D xsi:type="xsd:double"&gt;790.267096&lt;/D&gt;&lt;D xsi:type="xsd:double"&gt;776.399833&lt;/D&gt;&lt;D xsi:type="xsd:double"&gt;761.409957&lt;/D&gt;&lt;D xsi:type="xsd:double"&gt;732.226734&lt;/D&gt;&lt;D xsi:type="xsd:double"&gt;705.258438&lt;/D&gt;&lt;D xsi:type="xsd:double"&gt;718.233913&lt;/D&gt;&lt;D xsi:type="xsd:double"&gt;687.99988&lt;/D&gt;&lt;D xsi:type="xsd:double"&gt;707.01533&lt;/D&gt;&lt;D xsi:type="xsd:double"&gt;696.959481&lt;/D&gt;&lt;D xsi:type="xsd:double"&gt;679.797678&lt;/D&gt;&lt;D xsi:type="xsd:double"&gt;664.834249&lt;/D&gt;&lt;D xsi:type="xsd:double"&gt;656.903959&lt;/D&gt;&lt;D xsi:type="xsd:double"&gt;626.363819&lt;/D&gt;&lt;D xsi:type="xsd:double"&gt;612.755746&lt;/D&gt;&lt;D xsi:type="xsd:double"&gt;603.490183&lt;/D&gt;&lt;D xsi:type="xsd:double"&gt;605.976328&lt;/D&gt;&lt;D xsi:type="xsd:double"&gt;591.469677&lt;/D&gt;&lt;D xsi:type="xsd:double"&gt;581.136665&lt;/D&gt;&lt;D xsi:type="xsd:double"&gt;572.932414&lt;/D&gt;&lt;D xsi:type="xsd:double"&gt;550.571849&lt;/D&gt;&lt;D xsi:type="xsd:double"&gt;589.900351&lt;/D&gt;&lt;D xsi:type="xsd:double"&gt;597.931461&lt;/D&gt;&lt;D xsi:type="xsd:double"&gt;589.754525&lt;/D&gt;&lt;D xsi:type="xsd:double"&gt;562.992693&lt;/D&gt;&lt;D xsi:type="xsd:double"&gt;537.458714&lt;/D&gt;&lt;D xsi:type="xsd:double"&gt;534.547219&lt;/D&gt;&lt;D xsi:type="xsd:double"&gt;543.010166&lt;/D&gt;&lt;D xsi:type="xsd:double"&gt;499.795963&lt;/D&gt;&lt;D xsi:type="xsd:double"&gt;532.791281&lt;/D&gt;&lt;D xsi:type="xsd:double"&gt;571.660808&lt;/D&gt;&lt;D xsi:type="xsd:double"&gt;586.043195&lt;/D&gt;&lt;D xsi:type="xsd:double"&gt;595.491861&lt;/D&gt;&lt;D xsi:type="xsd:double"&gt;602.866575&lt;/D&gt;&lt;D xsi:type="xsd:double"&gt;590.334351&lt;/D&gt;&lt;D xsi:type="xsd:double"&gt;593.368298&lt;/D&gt;&lt;D xsi:type="xsd:double"&gt;579.532816&lt;/D&gt;&lt;D xsi:type="xsd:double"&gt;571.539644&lt;/D&gt;&lt;D xsi:type="xsd:double"&gt;541.639997&lt;/D&gt;&lt;D xsi:type="xsd:double"&gt;543.756323&lt;/D&gt;&lt;D xsi:type="xsd:double"&gt;528.972621&lt;/D&gt;&lt;D xsi:type="xsd:double"&gt;493.937767&lt;/D&gt;&lt;D xsi:type="xsd:double"&gt;509.54864&lt;/D&gt;&lt;D xsi:type="xsd:double"&gt;481.499172&lt;/D&gt;&lt;D xsi:type="xsd:double"&gt;498.978054&lt;/D&gt;&lt;D xsi:type="xsd:double"&gt;538.470519&lt;/D&gt;&lt;D xsi:type="xsd:double"&gt;536.948316&lt;/D&gt;&lt;D xsi:type="xsd:double"&gt;504.013788&lt;/D&gt;&lt;D xsi:type="xsd:double"&gt;495.536231&lt;/D&gt;&lt;D xsi:type="xsd:double"&gt;514.578051&lt;/D&gt;&lt;D xsi:type="xsd:double"&gt;495.803461&lt;/D&gt;&lt;D xsi:type="xsd:double"&gt;480.610529&lt;/D&gt;&lt;D xsi:type="xsd:double"&gt;490.398033&lt;/D&gt;&lt;D xsi:type="xsd:double"&gt;473.868128&lt;/D&gt;&lt;D xsi:type="xsd:double"&gt;458.658703&lt;/D&gt;&lt;D xsi:type="xsd:double"&gt;425.690391&lt;/D&gt;&lt;D xsi:type="xsd:double"&gt;426.483683&lt;/D&gt;&lt;D xsi:type="xsd:double"&gt;400.411512&lt;/D&gt;&lt;D xsi:type="xsd:double"&gt;361.940513&lt;/D&gt;&lt;D xsi:type="xsd:double"&gt;338.798239&lt;/D&gt;&lt;D xsi:type="xsd:double"&gt;369.486296&lt;/D&gt;&lt;D xsi:type="xsd:double"&gt;395.91867&lt;/D&gt;&lt;D xsi:type="xsd:double"&gt;390.493348&lt;/D&gt;&lt;D xsi:type="xsd:double"&gt;414.595386&lt;/D&gt;&lt;D xsi:type="xsd:double"&gt;499.02096&lt;/D&gt;&lt;D xsi:type="xsd:double"&gt;560.21958&lt;/D&gt;&lt;D xsi:type="xsd:double"&gt;557.336075&lt;/D&gt;&lt;D xsi:type="xsd:double"&gt;569.669041&lt;/D&gt;&lt;D xsi:type="xsd:double"&gt;621.852984&lt;/D&gt;&lt;D xsi:type="xsd:double"&gt;611.192627&lt;/D&gt;&lt;D xsi:type="xsd:double"&gt;574.722759&lt;/D&gt;&lt;D xsi:type="xsd:double"&gt;588.407887&lt;/D&gt;&lt;D xsi:type="xsd:double"&gt;593.294463&lt;/D&gt;&lt;D xsi:type="xsd:double"&gt;650.809525&lt;/D&gt;&lt;D xsi:type="xsd:double"&gt;654.907142&lt;/D&gt;&lt;D xsi:type="xsd:double"&gt;685.424906&lt;/D&gt;&lt;D xsi:type="xsd:double"&gt;666.306939&lt;/D&gt;&lt;D xsi:type="xsd:double"&gt;643.418052&lt;/D&gt;&lt;D xsi:type="xsd:double"&gt;644.068906&lt;/D&gt;&lt;D xsi:type="xsd:double"&gt;659.312612&lt;/D&gt;&lt;D xsi:type="xsd:double"&gt;662.282467&lt;/D&gt;&lt;D xsi:type="xsd:double"&gt;639.771924&lt;/D&gt;&lt;D xsi:type="xsd:double"&gt;617.862282&lt;/D&gt;&lt;D xsi:type="xsd:double"&gt;607.566081&lt;/D&gt;&lt;D xsi:type="xsd:double"&gt;614.337552&lt;/D&gt;&lt;D xsi:type="xsd:double"&gt;604.410978&lt;/D&gt;&lt;D xsi:type="xsd:double"&gt;588.076378&lt;/D&gt;&lt;D xsi:type="xsd:double"&gt;578.891899&lt;/D&gt;&lt;D xsi:type="xsd:double"&gt;561.291124&lt;/D&gt;&lt;D xsi:type="xsd:double"&gt;551.32564&lt;/D&gt;&lt;D xsi:type="xsd:double"&gt;537.202177&lt;/D&gt;&lt;D xsi:type="xsd:double"&gt;533.926609&lt;/D&gt;&lt;D xsi:type="xsd:double"&gt;531.216848&lt;/D&gt;&lt;D xsi:type="xsd:double"&gt;556.57711&lt;/D&gt;&lt;D xsi:type="xsd:double"&gt;549.595653&lt;/D&gt;&lt;D xsi:type="xsd:double"&gt;536.64066&lt;/D&gt;&lt;D xsi:type="xsd:double"&gt;534.838151&lt;/D&gt;&lt;D xsi:type="xsd:double"&gt;516.398104&lt;/D&gt;&lt;D xsi:type="xsd:double"&gt;504.304651&lt;/D&gt;&lt;D xsi:type="xsd:double"&gt;482.730372&lt;/D&gt;&lt;D xsi:type="xsd:double"&gt;493.226696&lt;/D&gt;&lt;D xsi:type="xsd:double"&gt;475.87053&lt;/D&gt;&lt;D xsi:type="xsd:double"&gt;474.887371&lt;/D&gt;&lt;D xsi:type="xsd:double"&gt;456.805032&lt;/D&gt;&lt;D xsi:type="xsd:double"&gt;448.523117&lt;/D&gt;&lt;D xsi:type="xsd:double"&gt;432.619127&lt;/D&gt;&lt;D xsi:type="xsd:double"&gt;442.775224&lt;/D&gt;&lt;D xsi:type="xsd:double"&gt;448.033063&lt;/D&gt;&lt;D xsi:type="xsd:double"&gt;435.883785&lt;/D&gt;&lt;D xsi:type="xsd:double"&gt;439.6903&lt;/D&gt;&lt;D xsi:type="xsd:double"&gt;425.363486&lt;/D&gt;&lt;D xsi:type="xsd:double"&gt;411.107301&lt;/D&gt;&lt;D xsi:type="xsd:double"&gt;406.112705&lt;/D&gt;&lt;D xsi:type="xsd:double"&gt;400.180747&lt;/D&gt;&lt;D xsi:type="xsd:double"&gt;398.550331&lt;/D&gt;&lt;D xsi:type="xsd:double"&gt;410.052748&lt;/D&gt;&lt;D xsi:type="xsd:double"&gt;401.619763&lt;/D&gt;&lt;D xsi:type="xsd:double"&gt;401.339293&lt;/D&gt;&lt;D xsi:type="xsd:double"&gt;403.751034&lt;/D&gt;&lt;D xsi:type="xsd:double"&gt;407.117287&lt;/D&gt;&lt;D xsi:type="xsd:double"&gt;399.49404&lt;/D&gt;&lt;D xsi:type="xsd:double"&gt;392.406751&lt;/D&gt;&lt;D xsi:type="xsd:double"&gt;375.024236&lt;/D&gt;&lt;D xsi:type="xsd:double"&gt;372.423068&lt;/D&gt;&lt;D xsi:type="xsd:double"&gt;352.632757&lt;/D&gt;&lt;D xsi:type="xsd:double"&gt;358.016651&lt;/D&gt;&lt;D xsi:type="xsd:double"&gt;348.776688&lt;/D&gt;&lt;D xsi:type="xsd:double"&gt;338.562025&lt;/D&gt;&lt;D xsi:type="xsd:double"&gt;331.169891&lt;/D&gt;&lt;D xsi:type="xsd:double"&gt;317.036368&lt;/D&gt;&lt;D xsi:type="xsd:double"&gt;293.01&lt;/D&gt;&lt;D xsi:type="xsd:double"&gt;294.723&lt;/D&gt;&lt;D xsi:type="xsd:double"&gt;299.65&lt;/D&gt;&lt;D xsi:type="xsd:double"&gt;310.536&lt;/D&gt;&lt;D xsi:type="xsd:double"&gt;331.505&lt;/D&gt;&lt;D xsi:type="xsd:double"&gt;314.571&lt;/D&gt;&lt;D xsi:type="xsd:double"&gt;293.084&lt;/D&gt;&lt;D xsi:type="xsd:double"&gt;328.949&lt;/D&gt;&lt;D xsi:type="xsd:double"&gt;328.155&lt;/D&gt;&lt;D xsi:type="xsd:double"&gt;358.018&lt;/D&gt;&lt;D xsi:type="xsd:double"&gt;387.667&lt;/D&gt;&lt;D xsi:type="xsd:double"&gt;392.06&lt;/D&gt;&lt;D xsi:type="xsd:double"&gt;410.603&lt;/D&gt;&lt;D xsi:type="xsd:double"&gt;393.703&lt;/D&gt;&lt;D xsi:type="xsd:double"&gt;397.051&lt;/D&gt;&lt;D xsi:type="xsd:double"&gt;403.8&lt;/D&gt;&lt;D xsi:type="xsd:double"&gt;398.001&lt;/D&gt;&lt;D xsi:type="xsd:double"&gt;373.82&lt;/D&gt;&lt;D xsi:type="xsd:double"&gt;363.893&lt;/D&gt;&lt;D xsi:type="xsd:double"&gt;400.289&lt;/D&gt;&lt;D xsi:type="xsd:double"&gt;425.502&lt;/D&gt;&lt;D xsi:type="xsd:double"&gt;435.376&lt;/D&gt;&lt;D xsi:type="xsd:double"&gt;446.397&lt;/D&gt;&lt;D xsi:type="xsd:double"&gt;448.615&lt;/D&gt;&lt;D xsi:type="xsd:double"&gt;419.665&lt;/D&gt;&lt;D xsi:type="xsd:double"&gt;441.368&lt;/D&gt;&lt;D xsi:type="xsd:double"&gt;478.677&lt;/D&gt;&lt;D xsi:type="xsd:double"&gt;463.946990966797&lt;/D&gt;&lt;D xsi:type="xsd:double"&gt;465.157012939453&lt;/D&gt;&lt;D xsi:type="xsd:double"&gt;496.459991455078&lt;/D&gt;&lt;D xsi:ty</t>
        </r>
      </text>
    </comment>
    <comment ref="A71" authorId="0" shapeId="0">
      <text>
        <r>
          <rPr>
            <b/>
            <sz val="9"/>
            <color indexed="81"/>
            <rFont val="Tahoma"/>
            <family val="2"/>
          </rPr>
          <t>pe="xsd:double"&gt;499.928985595703&lt;/D&gt;&lt;D xsi:type="xsd:double"&gt;527.1240234375&lt;/D&gt;&lt;D xsi:type="xsd:double"&gt;507.136993408203&lt;/D&gt;&lt;D xsi:type="xsd:double"&gt;515.695007324219&lt;/D&gt;&lt;D xsi:type="xsd:double"&gt;504.690002441406&lt;/D&gt;&lt;D xsi:type="xsd:double"&gt;517.351013183594&lt;/D&gt;&lt;D xsi:type="xsd:double"&gt;530.898986816406&lt;/D&gt;&lt;D xsi:type="xsd:double"&gt;502.507995605469&lt;/D&gt;&lt;D xsi:type="xsd:double"&gt;496.037994384766&lt;/D&gt;&lt;/FQL&gt;&lt;FQL&gt;&lt;Q&gt;892400^JULIAN(MSCI_TOTAL_RET_IDX(2/27/2026,1/31/2000,M,LOC,"GROSS").DATES)&lt;/Q&gt;&lt;R&gt;314&lt;/R&gt;&lt;C&gt;1&lt;/C&gt;&lt;D xsi:type="xsd:long"&gt;46080&lt;/D&gt;&lt;D xsi:type="xsd:long"&gt;46052&lt;/D&gt;&lt;D xsi:type="xsd:long"&gt;46022&lt;/D&gt;&lt;D xsi:type="xsd:long"&gt;45989&lt;/D&gt;&lt;D xsi:type="xsd:long"&gt;45961&lt;/D&gt;&lt;D xsi:type="xsd:long"&gt;45930&lt;/D&gt;&lt;D xsi:type="xsd:long"&gt;45898&lt;/D&gt;&lt;D xsi:type="xsd:long"&gt;45869&lt;/D&gt;&lt;D xsi:type="xsd:long"&gt;45838&lt;/D&gt;&lt;D xsi:type="xsd:long"&gt;45807&lt;/D&gt;&lt;D xsi:type="xsd:long"&gt;45777&lt;/D&gt;&lt;D xsi:type="xsd:long"&gt;45747&lt;/D&gt;&lt;D xsi:type="xsd:long"&gt;45716&lt;/D&gt;&lt;D xsi:type="xsd:long"&gt;45688&lt;/D&gt;&lt;D xsi:type="xsd:long"&gt;45657&lt;/D&gt;&lt;D xsi:type="xsd:long"&gt;45625&lt;/D&gt;&lt;D xsi:type="xsd:long"&gt;45596&lt;/D&gt;&lt;D xsi:type="xsd:long"&gt;45565&lt;/D&gt;&lt;D xsi:type="xsd:long"&gt;45534&lt;/D&gt;&lt;D xsi:type="xsd:long"&gt;45504&lt;/D&gt;&lt;D xsi:type="xsd:long"&gt;45471&lt;/D&gt;&lt;D xsi:type="xsd:long"&gt;45443&lt;/D&gt;&lt;D xsi:type="xsd:long"&gt;45412&lt;/D&gt;&lt;D xsi:type="xsd:long"&gt;45379&lt;/D&gt;&lt;D xsi:type="xsd:long"&gt;45351&lt;/D&gt;&lt;D xsi:type="xsd:long"&gt;45322&lt;/D&gt;&lt;D xsi:type="xsd:long"&gt;45289&lt;/D&gt;&lt;D xsi:type="xsd:long"&gt;45260&lt;/D&gt;&lt;D xsi:type="xsd:long"&gt;45230&lt;/D&gt;&lt;D xsi:type="xsd:long"&gt;45198&lt;/D&gt;&lt;D xsi:type="xsd:long"&gt;45169&lt;/D&gt;&lt;D xsi:type="xsd:long"&gt;45138&lt;/D&gt;&lt;D xsi:type="xsd:long"&gt;45107&lt;/D&gt;&lt;D xsi:type="xsd:long"&gt;45077&lt;/D&gt;&lt;D xsi:type="xsd:long"&gt;45044&lt;/D&gt;&lt;D xsi:type="xsd:long"&gt;45016&lt;/D&gt;&lt;D xsi:type="xsd:long"&gt;44985&lt;/D&gt;&lt;D xsi:type="xsd:long"&gt;44957&lt;/D&gt;&lt;D xsi:type="xsd:long"&gt;44925&lt;/D&gt;&lt;D xsi:type="xsd:long"&gt;44895&lt;/D&gt;&lt;D xsi:type="xsd:long"&gt;44865&lt;/D&gt;&lt;D xsi:type="xsd:long"&gt;44834&lt;/D&gt;&lt;D xsi:type="xsd:long"&gt;44804&lt;/D&gt;&lt;D xsi:type="xsd:long"&gt;44771&lt;/D&gt;&lt;D xsi:type="xsd:long"&gt;44742&lt;/D&gt;&lt;D xsi:type="xsd:long"&gt;44712&lt;/D&gt;&lt;D xsi:type="xsd:long"&gt;44680&lt;/D&gt;&lt;D xsi:type="xsd:long"&gt;44651&lt;/D&gt;&lt;D xsi:type="xsd:long"&gt;44620&lt;/D&gt;&lt;D xsi:type="xsd:long"&gt;44592&lt;/D&gt;&lt;D xsi:type="xsd:long"&gt;44561&lt;/D&gt;&lt;D xsi:type="xsd:long"&gt;44530&lt;/D&gt;&lt;D xsi:type="xsd:long"&gt;44498&lt;/D&gt;&lt;D xsi:type="xsd:long"&gt;44469&lt;/D&gt;&lt;D xsi:type="xsd:long"&gt;44439&lt;/D&gt;&lt;D xsi:type="xsd:long"&gt;44407&lt;/D&gt;&lt;D xsi:type="xsd:long"&gt;44377&lt;/D&gt;&lt;D xsi:type="xsd:long"&gt;44344&lt;/D&gt;&lt;D xsi:type="xsd:long"&gt;44316&lt;/D&gt;&lt;D xsi:type="xsd:long"&gt;44286&lt;/D&gt;&lt;D xsi:type="xsd:long"&gt;44253&lt;/D&gt;&lt;D xsi:type="xsd:long"&gt;44225&lt;/D&gt;&lt;D xsi:type="xsd:long"&gt;44196&lt;/D&gt;&lt;D xsi:type="xsd:long"&gt;44165&lt;/D&gt;&lt;D xsi:type="xsd:long"&gt;44134&lt;/D&gt;&lt;D xsi:type="xsd:long"&gt;44104&lt;/D&gt;&lt;D xsi:type="xsd:long"&gt;44074&lt;/D&gt;&lt;D xsi:type="xsd:long"&gt;44043&lt;/D&gt;&lt;D xsi:type="xsd:long"&gt;44012&lt;/D&gt;&lt;D xsi:type="xsd:long"&gt;43980&lt;/D&gt;&lt;D xsi:type="xsd:long"&gt;43951&lt;/D&gt;&lt;D xsi:type="xsd:long"&gt;43921&lt;/D&gt;&lt;D xsi:type="xsd:long"&gt;43889&lt;/D&gt;&lt;D xsi:type="xsd:long"&gt;43861&lt;/D&gt;&lt;D xsi:type="xsd:long"&gt;43830&lt;/D&gt;&lt;D xsi:type="xsd:long"&gt;43798&lt;/D&gt;&lt;D xsi:type="xsd:long"&gt;43769&lt;/D&gt;&lt;D xsi:type="xsd:long"&gt;43738&lt;/D&gt;&lt;D xsi:type="xsd:long"&gt;43707&lt;/D&gt;&lt;D xsi:type="xsd:long"&gt;43677&lt;/D&gt;&lt;D xsi:type="xsd:long"&gt;43644&lt;/D&gt;&lt;D xsi:type="xsd:long"&gt;43616&lt;/D&gt;&lt;D xsi:type="xsd:long"&gt;43585&lt;/D&gt;&lt;D xsi:type="xsd:long"&gt;43553&lt;/D&gt;&lt;D xsi:type="xsd:long"&gt;43524&lt;/D&gt;&lt;D xsi:type="xsd:long"&gt;43496&lt;/D&gt;&lt;D xsi:type="xsd:long"&gt;43465&lt;/D&gt;&lt;D xsi:type="xsd:long"&gt;43434&lt;/D&gt;&lt;D xsi:type="xsd:long"&gt;43404&lt;/D&gt;&lt;D xsi:type="xsd:long"&gt;43371&lt;/D&gt;&lt;D xsi:type="xsd:long"&gt;43343&lt;/D&gt;&lt;D xsi:type="xsd:long"&gt;43312&lt;/D&gt;&lt;D xsi:type="xsd:long"&gt;43280&lt;/D&gt;&lt;D xsi:type="xsd:long"&gt;43251&lt;/D&gt;&lt;D xsi:type="xsd:long"&gt;43220&lt;/D&gt;&lt;D xsi:type="xsd:long"&gt;43188&lt;/D&gt;&lt;D xsi:type="xsd:long"&gt;43159&lt;/D&gt;&lt;D xsi:type="xsd:long"&gt;43131&lt;/D&gt;&lt;D xsi:type="xsd:long"&gt;43098&lt;/D&gt;&lt;D xsi:type="xsd:long"&gt;43069&lt;/D&gt;&lt;D xsi:type="xsd:long"&gt;43039&lt;/D&gt;&lt;D xsi:type="xsd:long"&gt;43007&lt;/D&gt;&lt;D xsi:type="xsd:long"&gt;42978&lt;/D&gt;&lt;D xsi:type="xsd:long"&gt;42947&lt;/D&gt;&lt;D xsi:type="xsd:long"&gt;42916&lt;/D&gt;&lt;D xsi:type="xsd:long"&gt;42886&lt;/D&gt;&lt;D xsi:type="xsd:long"&gt;42853&lt;/D&gt;&lt;D xsi:type="xsd:long"&gt;42825&lt;/D&gt;&lt;D xsi:type="xsd:long"&gt;42794&lt;/D&gt;&lt;D xsi:type="xsd:long"&gt;42766&lt;/D&gt;&lt;D xsi:type="xsd:long"&gt;42734&lt;/D&gt;&lt;D xsi:type="xsd:long"&gt;42704&lt;/D&gt;&lt;D xsi:type="xsd:long"&gt;42674&lt;/D&gt;&lt;D xsi:type="xsd:long"&gt;42643&lt;/D&gt;&lt;D xsi:type="xsd:long"&gt;42613&lt;/D&gt;&lt;D xsi:type="xsd:long"&gt;42580&lt;/D&gt;&lt;D xsi:type="xsd:long"&gt;42551&lt;/D&gt;&lt;D xsi:type="xsd:long"&gt;42521&lt;/D&gt;&lt;D xsi:type="xsd:long"&gt;42489&lt;/D&gt;&lt;D xsi:type="xsd:long"&gt;42460&lt;/D&gt;&lt;D xsi:type="xsd:long"&gt;42429&lt;/D&gt;&lt;D xsi:type="xsd:long"&gt;42398&lt;/D&gt;&lt;D xsi:type="xsd:long"&gt;42369&lt;/D&gt;&lt;D xsi:type="xsd:long"&gt;42338&lt;/D&gt;&lt;D xsi:type="xsd:long"&gt;42307&lt;/D&gt;&lt;D xsi:type="xsd:long"&gt;42277&lt;/D&gt;&lt;D xsi:type="xsd:long"&gt;42247&lt;/D&gt;&lt;D xsi:type="xsd:long"&gt;42216&lt;/D&gt;&lt;D xsi:type="xsd:long"&gt;42185&lt;/D&gt;&lt;D xsi:type="xsd:long"&gt;42153&lt;/D&gt;&lt;D xsi:type="xsd:long"&gt;42124&lt;/D&gt;&lt;D xsi:type="xsd:long"&gt;42094&lt;/D&gt;&lt;D xsi:type="xsd:long"&gt;42062&lt;/D&gt;&lt;D xsi:type="xsd:long"&gt;42034&lt;/D&gt;&lt;D xsi:type="xsd:long"&gt;42004&lt;/D&gt;&lt;D xsi:type="xsd:long"&gt;41971&lt;/D&gt;&lt;D xsi:type="xsd:long"&gt;41943&lt;/D&gt;&lt;D xsi:type="xsd:long"&gt;41912&lt;/D&gt;&lt;D xsi:type="xsd:long"&gt;41880&lt;/D&gt;&lt;D xsi:type="xsd:long"&gt;41851&lt;/D&gt;&lt;D xsi:type="xsd:long"&gt;41820&lt;/D&gt;&lt;D xsi:type="xsd:long"&gt;41789&lt;/D&gt;&lt;D xsi:type="xsd:long"&gt;41759&lt;/D&gt;&lt;D xsi:type="xsd:long"&gt;41729&lt;/D&gt;&lt;D xsi:type="xsd:long"&gt;41698&lt;/D&gt;&lt;D xsi:type="xsd:long"&gt;41670&lt;/D&gt;&lt;D xsi:type="xsd:long"&gt;41639&lt;/D&gt;&lt;D xsi:type="xsd:long"&gt;41607&lt;/D&gt;&lt;D xsi:type="xsd:long"&gt;41578&lt;/D&gt;&lt;D xsi:type="xsd:long"&gt;41547&lt;/D&gt;&lt;D xsi:type="xsd:long"&gt;41516&lt;/D&gt;&lt;D xsi:type="xsd:long"&gt;41486&lt;/D&gt;&lt;D xsi:type="xsd:long"&gt;41453&lt;/D&gt;&lt;D xsi:type="xsd:long"&gt;41425&lt;/D&gt;&lt;D xsi:type="xsd:long"&gt;41394&lt;/D&gt;&lt;D xsi:type="xsd:long"&gt;41361&lt;/D&gt;&lt;D xsi:type="xsd:long"&gt;41333&lt;/D&gt;&lt;D xsi:type="xsd:long"&gt;41305&lt;/D&gt;&lt;D xsi:type="xsd:long"&gt;41274&lt;/D&gt;&lt;D xsi:type="xsd:long"&gt;41243&lt;/D&gt;&lt;D xsi:type="xsd:long"&gt;41213&lt;/D&gt;&lt;D xsi:type="xsd:long"&gt;41180&lt;/D&gt;&lt;D xsi:type="xsd:long"&gt;41152&lt;/D&gt;&lt;D xsi:type="xsd:long"&gt;41121&lt;/D&gt;&lt;D xsi:type="xsd:long"&gt;41089&lt;/D&gt;&lt;D xsi:type="xsd:long"&gt;41060&lt;/D&gt;&lt;D xsi:type="xsd:long"&gt;41029&lt;/D&gt;&lt;D xsi:type="xsd:long"&gt;40998&lt;/D&gt;&lt;D xsi:type="xsd:long"&gt;40968&lt;/D&gt;&lt;D xsi:type="xsd:long"&gt;40939&lt;/D&gt;&lt;D xsi:type="xsd:long"&gt;40907&lt;/D&gt;&lt;D xsi:type="xsd:long"&gt;40877&lt;/D&gt;&lt;D xsi:type="xsd:long"&gt;40847&lt;/D&gt;&lt;D xsi:type="xsd:long"&gt;40816&lt;/D&gt;&lt;D xsi:type="xsd:long"&gt;40786&lt;/D&gt;&lt;D xsi:type="xsd:long"&gt;40753&lt;/D&gt;&lt;D xsi:type="xsd:long"&gt;40724&lt;/D&gt;&lt;D xsi:type="xsd:long"&gt;40694&lt;/D&gt;&lt;D xsi:type="xsd:long"&gt;40662&lt;/D&gt;&lt;D xsi:type="xsd:long"&gt;40633&lt;/D&gt;&lt;D xsi:type="xsd:long"&gt;40602&lt;/D&gt;&lt;D xsi:type="xsd:long"&gt;40574&lt;/D&gt;&lt;D xsi:type="xsd:long"&gt;40543&lt;/D&gt;&lt;D xsi:type="xsd:long"&gt;40512&lt;/D&gt;&lt;D xsi:type="xsd:long"&gt;40480&lt;/D&gt;&lt;D xsi:type="xsd:long"&gt;40451&lt;/D&gt;&lt;D xsi:type="xsd:long"&gt;40421&lt;/D&gt;&lt;D xsi:type="xsd:long"&gt;40389&lt;/D&gt;&lt;D xsi:type="xsd:long"&gt;40359&lt;/D&gt;&lt;D xsi:type="xsd:long"&gt;40326&lt;/D&gt;&lt;D xsi:type="xsd:long"&gt;40298&lt;/D&gt;&lt;D xsi:type="xsd:long"&gt;40268&lt;/D&gt;&lt;D xsi:type="xsd:long"&gt;40235&lt;/D&gt;&lt;D xsi:type="xsd:long"&gt;40207&lt;/D&gt;&lt;D xsi:type="xsd:long"&gt;40178&lt;/D&gt;&lt;D xsi:type="xsd:long"&gt;40147&lt;/D&gt;&lt;D xsi:type="xsd:long"&gt;40116&lt;/D&gt;&lt;D xsi:type="xsd:long"&gt;40086&lt;/D&gt;&lt;D xsi:type="xsd:long"&gt;40056&lt;/D&gt;&lt;D xsi:type="xsd:long"&gt;40025&lt;/D&gt;&lt;D xsi:type="xsd:long"&gt;39994&lt;/D&gt;&lt;D xsi:type="xsd:long"&gt;39962&lt;/D&gt;&lt;D xsi:type="xsd:long"&gt;39933&lt;/D&gt;&lt;D xsi:type="xsd:long"&gt;39903&lt;/D&gt;&lt;D xsi:type="xsd:long"&gt;39871&lt;/D&gt;&lt;D xsi:type="xsd:long"&gt;39843&lt;/D&gt;&lt;D xsi:type="xsd:long"&gt;39813&lt;/D&gt;&lt;D xsi:type="xsd:long"&gt;39780&lt;/D&gt;&lt;D xsi:type="xsd:long"&gt;39752&lt;/D&gt;&lt;D xsi:type="xsd:long"&gt;39721&lt;/D&gt;&lt;D xsi:type="xsd:long"&gt;39689&lt;/D&gt;&lt;D xsi:type="xsd:long"&gt;39660&lt;/D&gt;&lt;D xsi:type="xsd:long"&gt;39629&lt;/D&gt;&lt;D xsi:type="xsd:long"&gt;39598&lt;/D&gt;&lt;D xsi:type="xsd:long"&gt;39568&lt;/D&gt;&lt;D xsi:type="xsd:long"&gt;39538&lt;/D&gt;&lt;D xsi:type="xsd:long"&gt;39507&lt;/D&gt;&lt;D xsi:type="xsd:long"&gt;39478&lt;/D&gt;&lt;D xsi:type="xsd:long"&gt;39447&lt;/D&gt;&lt;D xsi:type="xsd:long"&gt;39416&lt;/D&gt;&lt;D xsi:type="xsd:long"&gt;39386&lt;/D&gt;&lt;D xsi:type="xsd:long"&gt;39353&lt;/D&gt;&lt;D xsi:type="xsd:long"&gt;39325&lt;/D&gt;&lt;D xsi:type="xsd:long"&gt;39294&lt;/D&gt;&lt;D xsi:type="xsd:long"&gt;39262&lt;/D&gt;&lt;D xsi:type="xsd:long"&gt;39233&lt;/D&gt;&lt;D xsi:type="xsd:long"&gt;39202&lt;/D&gt;&lt;D xsi:type="xsd:long"&gt;39171&lt;/D&gt;&lt;D xsi:type="xsd:long"&gt;39141&lt;/D&gt;&lt;D xsi:type="xsd:long"&gt;39113&lt;/D&gt;&lt;D xsi:type="xsd:long"&gt;39080&lt;/D&gt;&lt;D xsi:type="xsd:long"&gt;39051&lt;/D&gt;&lt;D xsi:type="xsd:long"&gt;39021&lt;/D&gt;&lt;D xsi:type="xsd:long"&gt;38989&lt;/D&gt;&lt;D xsi:type="xsd:long"&gt;38960&lt;/D&gt;&lt;D xsi:type="xsd:long"&gt;38929&lt;/D&gt;&lt;D xsi:type="xsd:long"&gt;38898&lt;/D&gt;&lt;D xsi:type="xsd:long"&gt;38868&lt;/D&gt;&lt;D xsi:type="xsd:long"&gt;38835&lt;/D&gt;&lt;D xsi:type="xsd:long"&gt;38807&lt;/D&gt;&lt;D xsi:type="xsd:long"&gt;38776&lt;/D&gt;&lt;D xsi:type="xsd:long"&gt;38748&lt;/D&gt;&lt;D xsi:type="xsd:long"&gt;38716&lt;/D&gt;&lt;D xsi:type="xsd:long"&gt;38686&lt;/D&gt;&lt;D xsi:type="xsd:long"&gt;38656&lt;/D&gt;&lt;D xsi:type="xsd:long"&gt;38625&lt;/D&gt;&lt;D xsi:type="xsd:long"&gt;38595&lt;/D&gt;&lt;D xsi:type="xsd:long"&gt;38562&lt;/D&gt;&lt;D xsi:type="xsd:long"&gt;38533&lt;/D&gt;&lt;D xsi:type="xsd:long"&gt;38503&lt;/D&gt;&lt;D xsi:type="xsd:long"&gt;38471&lt;/D&gt;&lt;D xsi:type="xsd:long"&gt;38442&lt;/D&gt;&lt;D xsi:type="xsd:long"&gt;38411&lt;/D&gt;&lt;D xsi:type="xsd:long"&gt;38383&lt;/D&gt;&lt;D xsi:type="xsd:long"&gt;38352&lt;/D&gt;&lt;D xsi:type="xsd:long"&gt;38321&lt;/D&gt;&lt;D xsi:type="xsd:long"&gt;38289&lt;/D&gt;&lt;D xsi:type="xsd:long"&gt;38260&lt;/D&gt;&lt;D xsi:type="xsd:long"&gt;38230&lt;/D&gt;&lt;D xsi:type="xsd:long"&gt;38198&lt;/D&gt;&lt;D xsi:type="xsd:long"&gt;38168&lt;/D&gt;&lt;D xsi:type="xsd:long"&gt;38135&lt;/D&gt;&lt;D xsi:type="xsd:long"&gt;38107&lt;/D&gt;&lt;D xsi:type="xsd:long"&gt;38077&lt;/D&gt;&lt;D xsi:type="xsd:long"&gt;38044&lt;/D&gt;&lt;D xsi:type="xsd:long"&gt;38016&lt;/D&gt;&lt;D xsi:type="xsd:long"&gt;37986&lt;/D&gt;&lt;D xsi:type="xsd:long"&gt;37953&lt;/D&gt;&lt;D xsi:type="xsd:long"&gt;37925&lt;/D&gt;&lt;D xsi:type="xsd:long"&gt;37894&lt;/D&gt;&lt;D xsi:type="xsd:long"&gt;37862&lt;/D&gt;&lt;D xsi:type="xsd:long"&gt;37833&lt;/D&gt;&lt;D xsi:type="xsd:long"&gt;37802&lt;/D&gt;&lt;D xsi:type="xsd:long"&gt;37771&lt;/D&gt;&lt;D xsi:type="xsd:long"&gt;37741&lt;/D&gt;&lt;D xsi:type="xsd:long"&gt;37711&lt;/D&gt;&lt;D xsi:type="xsd:long"&gt;37680&lt;/D&gt;&lt;D xsi:type="xsd:long"&gt;37652&lt;/D&gt;&lt;D xsi:type="xsd:long"&gt;37621&lt;/D&gt;&lt;D xsi:type="xsd:long"&gt;37589&lt;/D&gt;&lt;D xsi:type="xsd:long"&gt;37560&lt;/D&gt;&lt;D xsi:type="xsd:long"&gt;37529&lt;/D&gt;&lt;D xsi:type="xsd:long"&gt;37498&lt;/D&gt;&lt;D xsi:type="xsd:long"&gt;37468&lt;/D&gt;&lt;D xsi:type="xsd:long"&gt;37435&lt;/D&gt;&lt;D xsi:type="xsd:long"&gt;37407&lt;/D&gt;&lt;D xsi:type="xsd:long"&gt;37376&lt;/D&gt;&lt;D xsi:type="xsd:long"&gt;37343&lt;/D&gt;&lt;D xsi:type="xsd:long"&gt;37315&lt;/D&gt;&lt;D xsi:type="xsd:long"&gt;37287&lt;/D&gt;&lt;D xsi:type="xsd:long"&gt;37256&lt;/D&gt;&lt;D xsi:type="xsd:long"&gt;37225&lt;/D&gt;&lt;D xsi:type="xsd:long"&gt;37195&lt;/D&gt;&lt;D xsi:type="xsd:long"&gt;37162&lt;/D&gt;&lt;D xsi:type="xsd:long"&gt;37134&lt;/D&gt;&lt;D xsi:type="xsd:long"&gt;37103&lt;/D&gt;&lt;D xsi:type="xsd:long"&gt;37071&lt;/D&gt;&lt;D xsi:type="xsd:long"&gt;37042&lt;/D&gt;&lt;D xsi:type="xsd:long"&gt;37011&lt;/D&gt;&lt;D xsi:type="xsd:long"&gt;36980&lt;/D&gt;&lt;D xsi:type="xsd:long"&gt;36950&lt;/D&gt;&lt;D xsi:type="xsd:long"&gt;36922&lt;/D&gt;&lt;D xsi:type="xsd:long"&gt;36889&lt;/D&gt;&lt;D xsi:type="xsd:long"&gt;36860&lt;/D&gt;&lt;D xsi:type="xsd:long"&gt;36830&lt;/D&gt;&lt;D xsi:type="xsd:long"&gt;36798&lt;/D&gt;&lt;D xsi:type="xsd:long"&gt;36769&lt;/D&gt;&lt;D xsi:type="xsd:long"&gt;36738&lt;/D&gt;&lt;D xsi:type="xsd:long"&gt;36707&lt;/D&gt;&lt;D xsi:type="xsd:long"&gt;36677&lt;/D&gt;&lt;D xsi:type="xsd:long"&gt;36644&lt;/D&gt;&lt;D xsi:type="xsd:long"&gt;36616&lt;/D&gt;&lt;D xsi:type="xsd:long"&gt;36585&lt;/D&gt;&lt;D xsi:type="xsd:long"&gt;36556&lt;/D&gt;&lt;/FQL&gt;&lt;FQL&gt;&lt;Q&gt;891800^MSCI_TOTAL_RET_IDX(2/27/2026,1/31/2000,M,LOC,"GROSS")&lt;/Q&gt;&lt;R&gt;314&lt;/R&gt;&lt;C&gt;1&lt;/C&gt;&lt;D xsi:type="xsd:double"&gt;273361.58622&lt;/D&gt;&lt;D xsi:type="xsd:double"&gt;260424.223346&lt;/D&gt;&lt;D xsi:type="xsd:double"&gt;239388.257204&lt;/D&gt;&lt;D xsi:type="xsd:double"&gt;233226.448963&lt;/D&gt;&lt;D xsi:type="xsd:double"&gt;236995.65862&lt;/D&gt;&lt;D xsi:type="xsd:double"&gt;226523.915085&lt;/D&gt;&lt;D xsi:type="xsd:double"&gt;211546.537098&lt;/D&gt;&lt;D xsi:type="xsd:double"&gt;208304.518913&lt;/D&gt;&lt;D xsi:type="xsd:double"&gt;201373.08176&lt;/D&gt;&lt;D xsi:type="xsd:double"&gt;191772.833185&lt;/D&gt;&lt;D xsi:type="xsd:double"&gt;185882.924222&lt;/D&gt;&lt;D xsi:type="xsd:double"&gt;186224.748365&lt;/D&gt;&lt;D xsi:type="xsd:double"&gt;185600.447223&lt;/D&gt;&lt;D xsi:type="xsd:double"&gt;184210.838878&lt;/D&gt;&lt;D xsi:type="xsd:double"&gt;181277.018355&lt;/D&gt;&lt;D xsi:type="xsd:double"&gt;179069.804982&lt;/D&gt;&lt;D xsi:type="xsd:double"&gt;184098.286801&lt;/D&gt;&lt;D xsi:type="xsd:double"&gt;189299.860461&lt;/D&gt;&lt;D xsi:type="xsd:double"&gt;179263.126655&lt;/D&gt;&lt;D xsi:type="xsd:double"&gt;178485.361855&lt;/D&gt;&lt;D xsi:type="xsd:double"&gt;177290.017446&lt;/D&gt;&lt;D xsi:type="xsd:double"&gt;169943.656351&lt;/D&gt;&lt;D xsi:type="xsd:double"&gt;169088.160711&lt;/D&gt;&lt;D xsi:type="xsd:double"&gt;166260.579717&lt;/D&gt;&lt;D xsi:type="xsd:double"&gt;161763.076206&lt;/D&gt;&lt;D xsi:type="xsd:double"&gt;153893.411884&lt;/D&gt;&lt;D xsi:type="xsd:double"&gt;159436.604151&lt;/D&gt;&lt;D xsi:type="xsd:double"&gt;154524.234368&lt;/D&gt;&lt;D xsi:type="xsd:double"&gt;145507.737991&lt;/D&gt;&lt;D xsi:type="xsd:double"&gt;150914.983595&lt;/D&gt;&lt;D xsi:type="xsd:double"&gt;153609.905961&lt;/D&gt;&lt;D xsi:type="xsd:double"&gt;161102.061626&lt;/D&gt;&lt;D xsi:type="xsd:double"&gt;152889.284327&lt;/D&gt;&lt;D xsi:type="xsd:double"&gt;147660.561194&lt;/D&gt;&lt;D xsi:type="xsd:double"&gt;149094.14387&lt;/D&gt;&lt;D xsi:type="xsd:double"&gt;150112.315355&lt;/D&gt;&lt;D xsi:type="xsd:double"&gt;146876.148927&lt;/D&gt;&lt;D xsi:type="xsd:double"&gt;154034.107835&lt;/D&gt;&lt;D xsi:type="xsd:double"&gt;144561.405716&lt;/D&gt;&lt;D xsi:type="xsd:double"&gt;147429.528417&lt;/D&gt;&lt;D xsi:type="xsd:double"&gt;131990.209899&lt;/D&gt;&lt;D xsi:type="xsd:double"&gt;135532.392496&lt;/D&gt;&lt;D xsi:type="xsd:double"&gt;149478.526632&lt;/D&gt;&lt;D xsi:type="xsd:double"&gt;147639.643758&lt;/D&gt;&lt;D xsi:type="xsd:double"&gt;147352.585222&lt;/D&gt;&lt;D xsi:type="xsd:double"&gt;154248.967537&lt;/D&gt;&lt;D xsi:type="xsd:double"&gt;154470.976177&lt;/D&gt;&lt;D xsi:type="xsd:double"&gt;160081.576053&lt;/D&gt;&lt;D xsi:type="xsd:double"&gt;163395.230189&lt;/D&gt;&lt;D xsi:type="xsd:double"&gt;167362.355668&lt;/D&gt;&lt;D xsi:type="xsd:double"&gt;170400.668148&lt;/D&gt;&lt;D xsi:type="xsd:double"&gt;167827.9043&lt;/D&gt;&lt;D xsi:type="xsd:double"&gt;173399.892264&lt;/D&gt;&lt;D xsi:type="xsd:double"&gt;171842.167525&lt;/D&gt;&lt;D xsi:type="xsd:double"&gt;176764.657754&lt;/D&gt;&lt;D xsi:type="xsd:double"&gt;172804.309993&lt;/D&gt;&lt;D xsi:type="xsd:double"&gt;183924.717536&lt;/D&gt;&lt;D xsi:type="xsd:double"&gt;180422.936201&lt;/D&gt;&lt;D xsi:type="xsd:double"&gt;179876.017635&lt;/D&gt;&lt;D xsi:type="xsd:double"&gt;177014.150161&lt;/D&gt;&lt;D xsi:type="xsd:double"&gt;178525.046525&lt;/D&gt;&lt;D xsi:type="xsd:double"&gt;176690.027945&lt;/D&gt;&lt;D xsi:type="xsd:double"&gt;170169.532591&lt;/D&gt;&lt;D xsi:type="xsd:double"&gt;160366.631385&lt;/D&gt;&lt;D xsi:type="xsd:double"&gt;148790.213442&lt;/D&gt;&lt;D xsi:type="xsd:double"&gt;146579.577702&lt;/D&gt;&lt;D xsi:type="xsd:double"&gt;149002.127964&lt;/D&gt;&lt;D xsi:type="xsd:double"&gt;145796.536105&lt;/D&gt;&lt;D xsi:type="xsd:double"&gt;134740.51137&lt;/D&gt;&lt;D xsi:type="xsd:double"&gt;126304.111078&lt;/D&gt;&lt;D xsi:type="xsd:double"&gt;125481.329106&lt;/D&gt;&lt;D xsi:type="xsd:double"&gt;115315.118776&lt;/D&gt;&lt;D xsi:type="xsd:double"&gt;132447.674108&lt;/D&gt;&lt;D xsi:type="xsd:double"&gt;137721.168406&lt;/D&gt;&lt;D xsi:type="xsd:double"&gt;142402.09082&lt;/D&gt;&lt;D xsi:type="xsd:double"&gt;134595.000037&lt;/D&gt;&lt;D xsi:type="xsd:double"&gt;133804.310804&lt;/D&gt;&lt;D xsi:type="xsd:double"&gt;129899.069531&lt;/D&gt;&lt;D xsi:type="xsd:double"&gt;127975.190836&lt;/D&gt;&lt;D xsi:type="xsd:double"&gt;131256.846285&lt;/D&gt;&lt;D xsi:type="xsd:double"&gt;132453.933673&lt;/D&gt;&lt;D xsi:type="xsd:double"&gt;126525.444141&lt;/D&gt;&lt;D xsi:type="xsd:double"&gt;135424.891792&lt;/D&gt;&lt;D xsi:type="xsd:double"&gt;132018.164143&lt;/D&gt;&lt;D xsi:type="xsd:double"&gt;130206.799625&lt;/D&gt;&lt;D xsi:type="xsd:double"&gt;128782.216334&lt;/D&gt;&lt;D xsi:type="xsd:double"&gt;120164.345389&lt;/D&gt;&lt;D xsi:type="xsd:double"&gt;123178.366673&lt;/D&gt;&lt;D xsi:type="xsd:double"&gt;119620.501077&lt;/D&gt;&lt;D xsi:type="xsd:double"&gt;129696.893567&lt;/D&gt;&lt;D xsi:type="xsd:double"&gt;131175.545396&lt;/D&gt;&lt;D xsi:type="xsd:double"&gt;131861.287726&lt;/D&gt;&lt;D xsi:type="xsd:double"&gt;129552.136235&lt;/D&gt;&lt;D xsi:type="xsd:double"&gt;132734.015545&lt;/D&gt;&lt;D xsi:type="xsd:double"&gt;135707.149002&lt;/D&gt;&lt;D xsi:type="xsd:double"&gt;133935.969404&lt;/D&gt;&lt;D xsi:type="xsd:double"&gt;136641.50078&lt;/D&gt;&lt;D xsi:type="xsd:double"&gt;142120.70169&lt;/D&gt;&lt;D xsi:type="xsd:double"&gt;133101.891086&lt;/D&gt;&lt;D xsi:type="xsd:double"&gt;129710.781345&lt;/D&gt;&lt;D xsi:type="xsd:double"&gt;130779.667061&lt;/D&gt;&lt;D xsi:type="xsd:double"&gt;125873.251115&lt;/D&gt;&lt;D xsi:type="xsd:double"&gt;125288.29782&lt;/D&gt;&lt;D xsi:type="xsd:double"&gt;122656.345994&lt;/D&gt;&lt;D xsi:type="xsd:double"&gt;116850.380789&lt;/D&gt;&lt;D xsi:type="xsd:double"&gt;114888.816308&lt;/D&gt;&lt;D xsi:type="xsd:double"&gt;112105.848443&lt;/D&gt;&lt;D xsi:type="xsd:double"&gt;109536.039088&lt;/D&gt;&lt;D xsi:type="xsd:double"&gt;107432.940299&lt;/D&gt;&lt;D xsi:type="xsd:double"&gt;105647.696497&lt;/D&gt;&lt;D xsi:type="xsd:double"&gt;101606.938929&lt;/D&gt;&lt;D xsi:type="xsd:double"&gt;101395.170372&lt;/D&gt;&lt;D xsi:type="xsd:double"&gt;103647.451916&lt;/D&gt;&lt;D xsi:type="xsd:double"&gt;103006.395683&lt;/D&gt;&lt;D xsi:type="xsd:double"&gt;102522.496569&lt;/D&gt;&lt;D xsi:type="xsd:double"&gt;99737.02764&lt;/D&gt;&lt;D xsi:type="xsd:double"&gt;95630.767356&lt;/D&gt;&lt;D xsi:type="xsd:double"&gt;94042.551458&lt;/D&gt;&lt;D xsi:type="xsd:double"&gt;94786.806763&lt;/D&gt;&lt;D xsi:type="xsd:double"&gt;94841.537441&lt;/D&gt;&lt;D xsi:type="xsd:double"&gt;87531.698904&lt;/D&gt;&lt;D xsi:type="xsd:double"&gt;87465.562706&lt;/D&gt;&lt;D xsi:type="xsd:double"&gt;92280.67339&lt;/D&gt;&lt;D xsi:type="xsd:double"&gt;93225.56018&lt;/D&gt;&lt;D xsi:type="xsd:double"&gt;95793.399884&lt;/D&gt;&lt;D xsi:type="xsd:double"&gt;90858.767307&lt;/D&gt;&lt;D xsi:type="xsd:double"&gt;92406.456135&lt;/D&gt;&lt;D xsi:type="xsd:double"&gt;98782.228295&lt;/D&gt;&lt;D xsi:type="xsd:double"&gt;103214.426619&lt;/D&gt;&lt;D xsi:type="xsd:double"&gt;105515.264302&lt;/D&gt;&lt;D xsi:type="xsd:double"&gt;108213.909823&lt;/D&gt;&lt;D xsi:type="xsd:double"&gt;102375.802874&lt;/D&gt;&lt;D xsi:type="xsd:double"&gt;102209.778205&lt;/D&gt;&lt;D xsi:type="xsd:double"&gt;98946.594704&lt;/D&gt;&lt;D xsi:type="xsd:double"&gt;97552.705288&lt;/D&gt;&lt;D xsi:type="xsd:double"&gt;99991.057447&lt;/D&gt;&lt;D xsi:type="xsd:double"&gt;98871.131884&lt;/D&gt;&lt;D xsi:type="xsd:double"&gt;97475.28228&lt;/D&gt;&lt;D xsi:type="xsd:double"&gt;101779.077307&lt;/D&gt;&lt;D xsi:type="xsd:double"&gt;99758.15557&lt;/D&gt;&lt;D xsi:type="xsd:double"&gt;96799.073024&lt;/D&gt;&lt;D xsi:type="xsd:double"&gt;94493.30481&lt;/D&gt;&lt;D xsi:type="xsd:double"&gt;91849.106188&lt;/D&gt;&lt;D xsi:type="xsd:double"&gt;91974.464369&lt;/D&gt;&lt;D xsi:type="xsd:double"&gt;90242.559251&lt;/D&gt;&lt;D xsi:type="xsd:double"&gt;88315.137426&lt;/D&gt;&lt;D xsi:type="xsd:double"&gt;92405.570852&lt;/D&gt;&lt;D xsi:type="xsd:double"&gt;93314.09557&lt;/D&gt;&lt;D xsi:type="xsd:double"&gt;93341.523984&lt;/D&gt;&lt;D xsi:type="xsd:double"&gt;89724.957044&lt;/D&gt;&lt;D xsi:type="xsd:double"&gt;86066.271799&lt;/D&gt;&lt;D xsi:type="xsd:double"&gt;86116.546082&lt;/D&gt;&lt;D xsi:type="xsd:double"&gt;84834.495453&lt;/D&gt;&lt;D xsi:type="xsd:double"&gt;89341.667459&lt;/D&gt;&lt;D xsi:type="xsd:double"&gt;88593.121792&lt;/D&gt;&lt;D xsi:type="xsd:double"&gt;88440.259873&lt;/D&gt;&lt;D xsi:type="xsd:double"&gt;89405.796045&lt;/D&gt;&lt;D xsi:type="xsd:double"&gt;90272.972053&lt;/D&gt;&lt;D xsi:type="xsd:double"&gt;89029.634301&lt;/D&gt;&lt;D xsi:type="xsd:double"&gt;85645.002527&lt;/D&gt;&lt;D xsi:type="xsd:double"&gt;84285.421354&lt;/D&gt;&lt;D xsi:type="xsd:double"&gt;84498.007553&lt;/D&gt;&lt;D xsi:type="xsd:double"&gt;81019.204072&lt;/D&gt;&lt;D xsi:type="xsd:double"&gt;81134.532518&lt;/D&gt;&lt;D xsi:type="xsd:double"&gt;79679.9067&lt;/D&gt;&lt;D xsi:type="xsd:double"&gt;77973.352938&lt;/D&gt;&lt;D xsi:type="xsd:double"&gt;83535.314671&lt;/D&gt;&lt;D xsi:type="xsd:double"&gt;83991.141643&lt;/D&gt;&lt;D xsi:type="xsd:double"&gt;85189.160542&lt;/D&gt;&lt;D xsi:type="xsd:double"&gt;81481.843515&lt;/D&gt;&lt;D xsi:type="xsd:double"&gt;75842.897903&lt;/D&gt;&lt;D xsi:type="xsd:double"&gt;75849.14105&lt;/D&gt;&lt;D xsi:type="xsd:double"&gt;78883.241792&lt;/D&gt;&lt;D xsi:type="xsd:double"&gt;72324.417388&lt;/D&gt;&lt;D xsi:type="xsd:double"&gt;78105.910271&lt;/D&gt;&lt;D xsi:type="xsd:double"&gt;84249.259603&lt;/D&gt;&lt;D xsi:type="xsd:double"&gt;85006.25977&lt;/D&gt;&lt;D xsi:type="xsd:double"&gt;86609.769557&lt;/D&gt;&lt;D xsi:type="xsd:double"&gt;87975.636649&lt;/D&gt;&lt;D xsi:type="xsd:double"&gt;87254.808262&lt;/D&gt;&lt;D xsi:type="xsd:double"&gt;83651.561931&lt;/D&gt;&lt;D xsi:type="xsd:double"&gt;84825.411054&lt;/D&gt;&lt;D xsi:type="xsd:double"&gt;86645.253911&lt;/D&gt;&lt;D xsi:type="xsd:double"&gt;82931.181401&lt;/D&gt;&lt;D xsi:type="xsd:double"&gt;83823.482489&lt;/D&gt;&lt;D xsi:type="xsd:double"&gt;81922.038506&lt;/D&gt;&lt;D xsi:type="xsd:double"&gt;76037.755998&lt;/D&gt;&lt;D xsi:type="xsd:double"&gt;77101.503396&lt;/D&gt;&lt;D xsi:type="xsd:double"&gt;72575.804396&lt;/D&gt;&lt;D xsi:type="xsd:double"&gt;72100.71127&lt;/D&gt;&lt;D xsi:type="xsd:double"&gt;76916.67275&lt;/D&gt;&lt;D xsi:type="xsd:double"&gt;76822.42699&lt;/D&gt;&lt;D xsi:type="xsd:double"&gt;72313.632823&lt;/D&gt;&lt;D xsi:type="xsd:double"&gt;72420.742581&lt;/D&gt;&lt;D xsi:type="xsd:double"&gt;75736.178476&lt;/D&gt;&lt;D xsi:type="xsd:double"&gt;72690.475335&lt;/D&gt;&lt;D xsi:type="xsd:double"&gt;70377.6078&lt;/D&gt;&lt;D xsi:type="xsd:double"&gt;70648.369712&lt;/D&gt;&lt;D xsi:type="xsd:double"&gt;66451.877755&lt;/D&gt;&lt;D xsi:type="xsd:double"&gt;66401.827132&lt;/D&gt;&lt;D xsi:type="xsd:double"&gt;60411.634012&lt;/D&gt;&lt;D xsi:type="xsd:double"&gt;61231.291094&lt;/D&gt;&lt;D xsi:type="xsd:double"&gt;54413.792296&lt;/D&gt;&lt;D xsi:type="xsd:double"&gt;48494.517506&lt;/D&gt;&lt;D xsi:type="xsd:double"&gt;43896.632649&lt;/D&gt;&lt;D xsi:type="xsd:double"&gt;45175.287514&lt;/D&gt;&lt;D xsi:type="xsd:double"&gt;46532.218587&lt;/D&gt;&lt;D xsi:type="xsd:double"&gt;44475.921265&lt;/D&gt;&lt;D xsi:type="xsd:double"&gt;46323.288559&lt;/D&gt;&lt;D xsi:type="xsd:double"&gt;59617.398185&lt;/D&gt;&lt;D xsi:type="xsd:double"&gt;68032.707292&lt;/D&gt;&lt;D xsi:type="xsd:double"&gt;71465.472328&lt;/D&gt;&lt;D xsi:type="xsd:double"&gt;75242.342357&lt;/D&gt;&lt;D xsi:type="xsd:double"&gt;83477.623386&lt;/D&gt;&lt;D xsi:type="xsd:double"&gt;81936.811428&lt;/D&gt;&lt;D xsi:type="xsd:double"&gt;76392.028949&lt;/D&gt;&lt;D xsi:type="xsd:double"&gt;79750.283174&lt;/D&gt;&lt;D xsi:type="xsd:double"&gt;75130.598669&lt;/D&gt;&lt;D xsi:type="xsd:double"&gt;85772.732474&lt;/D&gt;&lt;D xsi:type="xsd:double"&gt;85239.298583&lt;/D&gt;&lt;D xsi:type="xsd:double"&gt;90829.941936&lt;/D&gt;&lt;D xsi:type="xsd:double"&gt;83360.174108&lt;/D&gt;&lt;D xsi:type="xsd:double"&gt;76900.743287&lt;/D&gt;&lt;D xsi:type="xsd:double"&gt;77617.962928&lt;/D&gt;&lt;D xsi:type="xsd:double"&gt;74024.249157&lt;/D&gt;&lt;D xsi:type="xsd:double"&gt;70727.206072&lt;/D&gt;&lt;D xsi:type="xsd:double"&gt;68044.403321&lt;/D&gt;&lt;D xsi:type="xsd:double"&gt;65711.283876&lt;/D&gt;&lt;D xsi:type="xsd:double"&gt;63623.927775&lt;/D&gt;&lt;D xsi:type="xsd:double"&gt;64051.055106&lt;/D&gt;&lt;D xsi:type="xsd:double"&gt;64204.92277&lt;/D&gt;&lt;D xsi:type="xsd:double"&gt;61759.891871&lt;/D&gt;&lt;D xsi:type="xsd:double"&gt;57965.159983&lt;/D&gt;&lt;D xsi:type="xsd:double"&gt;55998.58995&lt;/D&gt;&lt;D xsi:type="xsd:double"&gt;55203.745819&lt;/D&gt;&lt;D xsi:type="xsd:double"&gt;53654.691911&lt;/D&gt;&lt;D xsi:type="xsd:double"&gt;53074.102873&lt;/D&gt;&lt;D xsi:type="xsd:double"&gt;53028.313766&lt;/D&gt;&lt;D xsi:type="xsd:double"&gt;57537.281075&lt;/D&gt;&lt;D xsi:type="xsd:double"&gt;54651.232877&lt;/D&gt;&lt;D xsi:type="xsd:double"&gt;53880.099879&lt;/D&gt;&lt;D xsi:type="xsd:double"&gt;53896.469086&lt;/D&gt;&lt;D xsi:type="xsd:double"&gt;49831.591576&lt;/D&gt;&lt;D xsi:type="xsd:double"&gt;47253.176807&lt;/D&gt;&lt;D xsi:type="xsd:double"&gt;44017.804022&lt;/D&gt;&lt;D xsi:type="xsd:double"&gt;46572.642164&lt;/D&gt;&lt;D xsi:type="xsd:double"&gt;42845.777529&lt;/D&gt;&lt;D xsi:type="xsd:double"&gt;42261.092667&lt;/D&gt;&lt;D xsi:type="xsd:double"&gt;39571.42567&lt;/D&gt;&lt;D xsi:type="xsd:double"&gt;38114.539992&lt;/D&gt;&lt;D xsi:type="xsd:double"&gt;36486.556279&lt;/D&gt;&lt;D xsi:type="xsd:double"&gt;37854.546123&lt;/D&gt;&lt;D xsi:type="xsd:double"&gt;39717.099442&lt;/D&gt;&lt;D xsi:type="xsd:double"&gt;37083.11656&lt;/D&gt;&lt;D xsi:type="xsd:double"&gt;36691.843021&lt;/D&gt;&lt;D xsi:type="xsd:double"&gt;35575.359704&lt;/D&gt;&lt;D xsi:type="xsd:double"&gt;33824.922514&lt;/D&gt;&lt;D xsi:type="xsd:double"&gt;33586.047909&lt;/D&gt;&lt;D xsi:type="xsd:double"&gt;32057.517176&lt;/D&gt;&lt;D xsi:type="xsd:double"&gt;30641.941706&lt;/D&gt;&lt;D xsi:type="xsd:double"&gt;31129.280923&lt;/D&gt;&lt;D xsi:type="xsd:double"&gt;31400.413485&lt;/D&gt;&lt;D xsi:type="xsd:double"&gt;31943.237867&lt;/D&gt;&lt;D xsi:type="xsd:double"&gt;33903.290491&lt;/D&gt;&lt;D xsi:type="xsd:double"&gt;33956.588017&lt;/D&gt;&lt;D xsi:type="xsd:double"&gt;32698.208463&lt;/D&gt;&lt;D xsi:type="xsd:double"&gt;31509.58897&lt;/D&gt;&lt;D xsi:type="xsd:double"&gt;29468.038368&lt;/D&gt;&lt;D xsi:type="xsd:double"&gt;29186.095344&lt;/D&gt;&lt;D xsi:type="xsd:double"&gt;26790.016115&lt;/D&gt;&lt;D xsi:type="xsd:double"&gt;27078.66405&lt;/D&gt;&lt;D xsi:type="xsd:double"&gt;25375.077009&lt;/D&gt;&lt;D xsi:type="xsd:double"&gt;23875.917486&lt;/D&gt;&lt;D xsi:type="xsd:double"&gt;22887.454192&lt;/D&gt;&lt;D xsi:type="xsd:double"&gt;21151.760978&lt;/D&gt;&lt;D xsi:type="xsd:double"&gt;20153.909&lt;/D&gt;&lt;D xsi:type="xsd:double"&gt;20754.313&lt;/D&gt;&lt;D xsi:type="xsd:double"&gt;21348.027&lt;/D&gt;&lt;D xsi:type="xsd:double"&gt;21472.376&lt;/D&gt;&lt;D xsi:type="xsd:double"&gt;22528.182&lt;/D&gt;&lt;D xsi:type="xsd:double"&gt;21394.601&lt;/D&gt;&lt;D xsi:type="xsd:double"&gt;20408.634&lt;/D&gt;&lt;D xsi:type="xsd:double"&gt;22222.368&lt;/D&gt;&lt;D xsi:type="xsd:double"&gt;21942.424&lt;/D&gt;&lt;D xsi:type="xsd:double"&gt;23463.5&lt;/D&gt;&lt;D xsi:type="xsd:double"&gt;25075.75&lt;/D&gt;&lt;D xsi:type="xsd:double"&gt;25822.249&lt;/D&gt;&lt;D xsi:type="xsd:double"&gt;25888.679&lt;/D&gt;&lt;D xsi:type="xsd:double"&gt;24504.063&lt;/D&gt;&lt;D xsi:type="xsd:double"&gt;24054.149&lt;/D&gt;&lt;D xsi:type="xsd:double"&gt;23118.462&lt;/D&gt;&lt;D xsi:type="xsd:double"&gt;21114.801&lt;/D&gt;&lt;D xsi:type="xsd:double"&gt;19173.791&lt;/D&gt;&lt;D xsi:type="xsd:double"&gt;18010.018&lt;/D&gt;&lt;D xsi:type="xsd:double"&gt;20786.586&lt;/D&gt;&lt;D xsi:type="xsd:double"&gt;20924.876&lt;/D&gt;&lt;D xsi:type="xsd:double"&gt;22086.122&lt;/D&gt;&lt;D xsi:type="xsd:double"&gt;22467.994&lt;/D&gt;&lt;D xsi:type="xsd:double"&gt;21963.377&lt;/D&gt;&lt;D xsi:type="xsd:double"&gt;20969.192&lt;/D&gt;&lt;D xsi:type="xsd:double"&gt;22736.018&lt;/D&gt;&lt;D xsi:type="xsd:double"&gt;24388.978&lt;/D&gt;&lt;D xsi:type="xsd:double"&gt;21424.814453125&lt;/D&gt;&lt;D xsi:type="xsd:double"&gt;21019.765625&lt;/D&gt;&lt;D xsi:type="xsd:double"&gt;22795.015625&lt;/D&gt;&lt;D xsi:type="xsd:double"&gt;24028.34765625&lt;/D&gt;&lt;D xsi:type="xsd:double"&gt;26011.841796875&lt;/D&gt;&lt;D xsi:type="xsd:double"&gt;25793.072265625&lt;/D&gt;&lt;D xsi:type="xsd:double"&gt;27108.416015625&lt;/D&gt;&lt;D xsi:type="xsd:double"&gt;26284.828125&lt;/D&gt;&lt;D xsi:type="xsd:double"&gt;27077.708984375&lt;/D&gt;&lt;D xsi:type="xsd:double"&gt;29364.0234375&lt;/D&gt;&lt;D xsi:type="xsd:double"&gt;29298.373046875&lt;/D&gt;&lt;D xsi:type="xsd:double"&gt;28916.5546875&lt;/D&gt;&lt;/FQL&gt;&lt;FQL&gt;&lt;Q&gt;891800^JULIAN(MSCI_TOTAL_RET_IDX(2/27/2026,1/31/2000,M,LOC,"GROSS").DATES)&lt;/Q&gt;&lt;R&gt;314&lt;/R&gt;&lt;C&gt;1&lt;/C&gt;&lt;D xsi:type="xsd:long"&gt;46080&lt;/D&gt;&lt;D xsi:type="xsd:long"&gt;46052&lt;/D&gt;&lt;D xsi:type="xsd:long"&gt;46022&lt;/D&gt;&lt;D xsi:type="xsd:long"&gt;45989&lt;/D&gt;&lt;D xsi:type="xsd:long"&gt;45961&lt;/D&gt;&lt;D xsi:type="xsd:long"&gt;45930&lt;/D&gt;&lt;D xsi:type="xsd:long"&gt;45898&lt;/D&gt;&lt;D xsi:type="xsd:long"&gt;45869&lt;/D&gt;&lt;D xsi:type="xsd:long"&gt;45838&lt;/D&gt;&lt;D xsi:type="xsd:long"&gt;45807&lt;/D&gt;&lt;D xsi:type="xsd:long"&gt;45777&lt;/D&gt;&lt;D xsi:type="xsd:long"&gt;45747&lt;/D&gt;&lt;D xsi:type="xsd:long"&gt;45716&lt;/D&gt;&lt;D xsi:type="xsd:long"&gt;45688&lt;/D&gt;&lt;D xsi:type="xsd:long"&gt;45657&lt;/D&gt;&lt;D xsi:type="xsd:long"&gt;45625&lt;/D&gt;&lt;D xsi:type="xsd:long"&gt;45596&lt;/D&gt;&lt;D xsi:type="xsd:long"&gt;45565&lt;/D&gt;&lt;D xsi:type="xsd:long"&gt;45534&lt;/D&gt;&lt;D xsi:type="xsd:long"&gt;45504&lt;/D&gt;&lt;D xsi:type="xsd:long"&gt;45471&lt;/D&gt;&lt;D xsi:type="xsd:long"&gt;45443&lt;/D&gt;&lt;D xsi:type="xsd:long"&gt;45412&lt;/D&gt;&lt;D xsi:type="xsd:long"&gt;45379&lt;/D&gt;&lt;D xsi:type="xsd:long"&gt;45351&lt;/D&gt;&lt;D xsi:type="xsd:long"&gt;45322&lt;/D&gt;&lt;D xsi:type="xsd:long"&gt;45289&lt;/D&gt;&lt;D xsi:type="xsd:long"&gt;45260&lt;/D&gt;&lt;D xsi:type="xsd:long"&gt;45230&lt;/D&gt;&lt;D xsi:type="xsd:long"&gt;45198&lt;/D&gt;&lt;D xsi:type="xsd:long"&gt;45169&lt;/D&gt;&lt;D xsi:type="xsd:long"&gt;45138&lt;/D&gt;&lt;D xsi:type="xsd:long"&gt;45107&lt;/D&gt;&lt;D xsi:type="xsd:long"&gt;45077&lt;/D&gt;&lt;D xsi:type="xsd:long"&gt;45044&lt;/D&gt;&lt;D xsi:type="xsd:long"&gt;45016&lt;/D&gt;&lt;D xsi:type="xsd:long"&gt;44985&lt;/D&gt;&lt;D xsi:type="xsd:long"&gt;44957&lt;/D&gt;&lt;D xsi:type="xsd:long"&gt;44925&lt;/D&gt;&lt;D xsi:type="xsd:long"&gt;44895&lt;/D&gt;&lt;D xsi:type="xsd:long"&gt;44865&lt;/D&gt;&lt;D xsi:type="xsd:long"&gt;44834&lt;/D&gt;&lt;D xsi:type="xsd:long"&gt;44804&lt;/D&gt;&lt;D xsi:type="xsd:long"&gt;44771&lt;/D&gt;&lt;D xsi:type="xsd:long"&gt;44742&lt;/D&gt;&lt;D xsi:type="xsd:long"&gt;44712&lt;/D&gt;&lt;D xsi:type="xsd:long"&gt;44680&lt;/D&gt;&lt;D xsi:type="xsd:long"&gt;44651&lt;/D&gt;&lt;D xsi:type="xsd:long"&gt;44620&lt;/D&gt;&lt;D xsi:type="xsd:long"&gt;44592&lt;/D&gt;&lt;D xsi:type="xsd:long"&gt;44561&lt;/D&gt;&lt;D xsi:type="xsd:long"&gt;44530&lt;/D&gt;&lt;D xsi:type="xsd:long"&gt;44498&lt;/D&gt;&lt;D xsi:type="xsd:long"&gt;44469&lt;/D&gt;&lt;D xsi:type="xsd:long"&gt;44439&lt;/D&gt;&lt;D xsi:type="xsd:long"&gt;44407&lt;/D&gt;&lt;D xsi:type="xsd:long"&gt;44377&lt;/D&gt;&lt;D xsi:type="xsd:long"&gt;44344&lt;/D&gt;&lt;D xsi:type="xsd:long"&gt;44316&lt;/D&gt;&lt;D xsi:type="xsd:long"&gt;44286&lt;/D&gt;&lt;D xsi:type="xsd:long"&gt;44253&lt;/D&gt;&lt;D xsi:type="xsd:long"&gt;44225&lt;/D&gt;&lt;D xsi:type="xsd:long"&gt;44196&lt;/D&gt;&lt;D xsi:type="xsd:long"&gt;44165&lt;/D&gt;&lt;D xsi:type="xsd:long"&gt;44134&lt;/D&gt;&lt;D xsi:type="xsd:long"&gt;44104&lt;/D&gt;&lt;D xsi:type="xsd:long"&gt;44074&lt;/D&gt;&lt;D xsi:type="xsd:long"&gt;44043&lt;/D&gt;&lt;D xsi:type="xsd:long"&gt;44012&lt;/D&gt;&lt;D xsi:type="xsd:long"&gt;43980&lt;/D&gt;&lt;D xsi:type="xsd:long"&gt;43951&lt;/D&gt;&lt;D xsi:type="xsd:long"&gt;43921&lt;/D&gt;&lt;D xsi:type="xsd:long"&gt;43889&lt;/D&gt;&lt;D xsi:type="xsd:long"&gt;43861&lt;/D&gt;&lt;D xsi:type="xsd:long"&gt;43830&lt;/D&gt;&lt;D xsi:type="xsd:long"&gt;43798&lt;/D&gt;&lt;D xsi:type="xsd:long"&gt;43769&lt;/D&gt;&lt;D xsi:type="xsd:long"&gt;43738&lt;/D&gt;&lt;D xsi:type="xsd:long"&gt;43707&lt;/D&gt;&lt;D xsi:type="xsd:long"&gt;43677&lt;/D&gt;&lt;D xsi:type="xsd:long"&gt;43644&lt;/D&gt;&lt;D xsi:type="xsd:long"&gt;43616&lt;/D&gt;&lt;D xsi:type="xsd:long"&gt;43585&lt;/D&gt;&lt;D xsi:type="xsd:long"&gt;43553&lt;/D&gt;&lt;D xsi:type="xsd:long"&gt;43524&lt;/D&gt;&lt;D xsi:type="xsd:long"&gt;43496&lt;/D&gt;&lt;D xsi:type="xsd:long"&gt;43465&lt;/D&gt;&lt;D xsi:type="xsd:long"&gt;43434&lt;/D&gt;&lt;D xsi:type="xsd:long"&gt;43404&lt;/D&gt;&lt;D xsi:type="xsd:long"&gt;43371&lt;/D&gt;&lt;D xsi:type="xsd:long"&gt;43343&lt;/D&gt;&lt;D xsi:type="xsd:long"&gt;43312&lt;/D&gt;&lt;D xsi:type="xsd:long"&gt;43280&lt;/D&gt;&lt;D xsi:type="xsd:long"&gt;43251&lt;/D&gt;&lt;D xsi:type="xsd:long"&gt;43220&lt;/D&gt;&lt;D xsi:type="xsd:long"&gt;43188&lt;/D&gt;&lt;D xsi:type="xsd:long"&gt;43159&lt;/D&gt;&lt;D xsi:type="xsd:long"&gt;43131&lt;/D&gt;&lt;D xsi:type="xsd:long"&gt;43098&lt;/D&gt;&lt;D xsi:type="xsd:long"&gt;43069&lt;/D&gt;&lt;D xsi:type="xsd:long"&gt;43039&lt;/D&gt;&lt;D xsi:type="xsd:long"&gt;43007&lt;/D&gt;&lt;D xsi:type="xsd:long"&gt;42978&lt;/D&gt;&lt;D xsi:type="xsd:long"&gt;42947&lt;/D&gt;&lt;D xsi:type="xsd:long"&gt;42916&lt;/D&gt;&lt;D xsi:type="xsd:long"&gt;42886&lt;/D&gt;&lt;D xsi:type="xsd:long"&gt;42853&lt;/D&gt;&lt;D xsi:type="xsd:long"&gt;42825&lt;/D&gt;&lt;D xsi:type="xsd:long"&gt;42794&lt;/D&gt;&lt;D xsi:type="xsd:long"&gt;42766&lt;/D&gt;&lt;D xsi:type="xsd:long"&gt;42734&lt;/D&gt;&lt;D xsi:type="xsd:long"&gt;42704&lt;/D&gt;&lt;D xsi:type="xsd:long"&gt;42674&lt;/D&gt;&lt;D xsi:type="xsd:long"&gt;42643&lt;/D&gt;&lt;D xsi:type="xsd:long"&gt;42613&lt;/D&gt;&lt;D xsi:type="xsd:long"&gt;42580&lt;/D&gt;&lt;D xsi:type="xsd:long"&gt;42551&lt;/D&gt;&lt;D xsi:type="xsd:long"&gt;42521&lt;/D&gt;&lt;D xsi:type="xsd:long"&gt;42489&lt;/D&gt;&lt;D xsi:type="xsd:long"&gt;42460&lt;/D&gt;&lt;D xsi:type="xsd:long"&gt;42429&lt;/D&gt;&lt;D xsi:type="xsd:long"&gt;42398&lt;/D&gt;&lt;D xsi:type="xsd:long"&gt;42369&lt;/D&gt;&lt;D xsi:type="xsd:long"&gt;42338&lt;/D&gt;&lt;D xsi:type="xsd:long"&gt;42307&lt;/D&gt;&lt;D xsi:type="xsd:long"&gt;42277&lt;/D&gt;&lt;D xsi:type="xsd:long"&gt;42247&lt;/D&gt;&lt;D xsi:type="xsd:long"&gt;42216&lt;/D&gt;&lt;D xsi:type="xsd:long"&gt;42185&lt;/D&gt;&lt;D xsi:type="xsd:long"&gt;42153&lt;/D&gt;&lt;D xsi:type="xsd:long"&gt;42124&lt;/D&gt;&lt;D xsi:type="xsd:long"&gt;42094&lt;/D&gt;&lt;D xsi:type="xsd:long"&gt;42062&lt;/D&gt;&lt;D xsi:type="xsd:long"&gt;42034&lt;/D&gt;&lt;D xsi:type="xsd:long"&gt;42004&lt;/D&gt;&lt;D xsi:type="xsd:long"&gt;41971&lt;/D&gt;&lt;D xsi:type="xsd:long"&gt;41943&lt;/D&gt;&lt;D xsi:type="xsd:long"&gt;41912&lt;/D&gt;&lt;D xsi:type="xsd:long"&gt;41880&lt;/D&gt;&lt;D xsi:type="xsd:long"&gt;41851&lt;/D&gt;&lt;D xsi:type="xsd:long"&gt;41820&lt;/D&gt;&lt;D xsi:type="xsd:long"&gt;41789&lt;/D&gt;&lt;D xsi:type="xsd:long"&gt;41759&lt;/D&gt;&lt;D xsi:type="xsd:long"&gt;41729&lt;/D&gt;&lt;D xsi:type="xsd:long"&gt;41698&lt;/D&gt;&lt;D xsi:type="xsd:long"&gt;41670&lt;/D&gt;&lt;D xsi:type="xsd:long"&gt;41639&lt;/D&gt;&lt;D xsi:type="xsd:long"&gt;41607&lt;/D&gt;&lt;D xsi:type="xsd:long"&gt;41578&lt;/D&gt;&lt;D xsi:type="xsd:long"&gt;41547&lt;/D&gt;&lt;D xsi:type="xsd:long"&gt;41516&lt;/D&gt;&lt;D xsi:type="xsd:long"&gt;41486&lt;/D&gt;&lt;D xsi:type="xsd:long"&gt;41453&lt;/D&gt;&lt;D xsi:type="xsd:long"&gt;41425&lt;/D&gt;&lt;D xsi:type="xsd:long"&gt;41394&lt;/D&gt;&lt;D xsi:type="xsd:long"&gt;41361&lt;/D&gt;&lt;D xsi:type="xsd:long"&gt;41333&lt;/D&gt;&lt;D xsi:type="xsd:long"&gt;41305&lt;/D&gt;&lt;D xsi:type="xsd:long"&gt;41274&lt;/D&gt;&lt;D xsi:type="xsd:long"&gt;41243&lt;/D&gt;&lt;D xsi:type="xsd:long"&gt;41213&lt;/D&gt;&lt;D xsi:type="xsd:long"&gt;41180&lt;/D&gt;&lt;D xsi:type="xsd:long"&gt;41152&lt;/D&gt;&lt;D xsi:type="xsd:long"&gt;41121&lt;/D&gt;&lt;D xsi:type="xsd:long"&gt;41089&lt;/D&gt;&lt;D xsi:type="xsd:long"&gt;41060&lt;/D&gt;&lt;D xsi:type="xsd:long"&gt;41029&lt;/D&gt;&lt;D xsi:type="xsd:long"&gt;40998&lt;/D&gt;&lt;D xsi:type="xsd:long"&gt;40968&lt;/D&gt;&lt;D xsi:type="xsd:long"&gt;40939&lt;/D&gt;&lt;D xsi:type="xsd:long"&gt;40907&lt;/D&gt;&lt;D xsi:type="xsd:long"&gt;40877&lt;/D&gt;&lt;D xsi:type="xsd:long"&gt;40847&lt;/D&gt;&lt;D xsi:type="xsd:long"&gt;40816&lt;/D&gt;&lt;D xsi:type="xsd:long"&gt;40786&lt;/D&gt;&lt;D xsi:type="xsd:long"&gt;40753&lt;/D&gt;&lt;D xsi:type="xsd:long"&gt;40724&lt;/D&gt;&lt;D xsi:type="xsd:long"&gt;40694&lt;/D&gt;&lt;D xsi:type="xsd:long"&gt;40662&lt;/D&gt;&lt;D xsi:type="xsd:long"&gt;40633&lt;/D&gt;&lt;D xsi:type="xsd:long"&gt;40602&lt;/D&gt;&lt;D xsi:type="xsd:long"&gt;40574&lt;/D&gt;&lt;D xsi:type="xsd:long"&gt;40543&lt;/D&gt;&lt;D xsi:type="xsd:long"&gt;40512&lt;/D&gt;&lt;D xsi:type="xsd:long"&gt;40480&lt;/D&gt;&lt;D xsi:type="xsd:long"&gt;40451&lt;/D&gt;&lt;D xsi:type="xsd:long"&gt;40421&lt;/D&gt;&lt;D xsi:type="xsd:long"&gt;40389&lt;/D&gt;&lt;D xsi:type="xsd:long"&gt;40359&lt;/D&gt;&lt;D xsi:type="xsd:long"&gt;40326&lt;/D&gt;&lt;D xsi:type="xsd:long"&gt;40298&lt;/D&gt;&lt;D xsi:type="xsd:long"&gt;40268&lt;/D&gt;&lt;D xsi:type="xsd:long"&gt;40235&lt;/D&gt;&lt;D xsi:type="xsd:long"&gt;40207&lt;/D&gt;&lt;D xsi:type="xsd:long"&gt;40178&lt;/D&gt;&lt;D xsi:type="xsd:long"&gt;40147&lt;/D&gt;&lt;D xsi:type="xsd:long"&gt;40116&lt;/D&gt;&lt;D xsi:type="xsd:long"&gt;40086&lt;/D&gt;&lt;D xsi:type="xsd:long"&gt;40056&lt;/D&gt;&lt;D xsi:type="xsd:long"&gt;40025&lt;/D&gt;&lt;D xsi:type="xsd:long"&gt;39994&lt;/D&gt;&lt;D xsi:type="xsd:long"&gt;39962&lt;/D&gt;&lt;D xsi:type="xsd:long"&gt;39933&lt;/D&gt;&lt;D xsi:type="xsd:long"&gt;39903&lt;/D&gt;&lt;D xsi:type="xsd:long"&gt;39871&lt;/D&gt;&lt;D xsi:type="xsd:long"&gt;39843&lt;/D&gt;&lt;D xsi:type="xsd:long"&gt;39813&lt;/D&gt;&lt;D xsi:type="xsd:long"&gt;39780&lt;/D&gt;&lt;D xsi:type="xsd:long"&gt;39752&lt;/D&gt;&lt;D xsi:type="xsd:long"&gt;39721&lt;/D&gt;&lt;D xsi:type="xsd:long"&gt;39689&lt;/D&gt;&lt;D xsi:type="xsd:long"&gt;39660&lt;/D&gt;&lt;D xsi:type="xsd:long"&gt;39629&lt;/D&gt;&lt;D xsi:type="xsd:long"&gt;39598&lt;/D&gt;&lt;D xsi:type="xsd:long"&gt;39568&lt;/D&gt;&lt;D xsi:type="xsd:long"&gt;39538&lt;/D&gt;&lt;D xsi:type="xsd:long"&gt;39507&lt;/D&gt;&lt;D xsi:type="xsd:long"&gt;39478&lt;/D&gt;&lt;D xsi:type="xsd:long"&gt;39447&lt;/D&gt;&lt;D xsi:type="xsd:long"&gt;39416&lt;/D&gt;&lt;D xsi:type="xsd:long"&gt;39386&lt;/D&gt;&lt;D xsi:type="xsd:long"&gt;39353&lt;/D&gt;&lt;D xsi:type="xsd:long"&gt;39325&lt;/D&gt;&lt;D xsi:type="xsd:long"&gt;39294&lt;/D&gt;&lt;D xsi:type="xsd:long"&gt;39262&lt;/D&gt;&lt;D xsi:type="xsd:long"&gt;39233&lt;/D&gt;&lt;D xsi:type="xsd:long"&gt;39202&lt;/D&gt;&lt;D xsi:type="xsd:long"&gt;39171&lt;/D&gt;&lt;D xsi:type="xsd:long"&gt;39141&lt;/D&gt;&lt;D xsi:type="xsd:long"&gt;39113&lt;/D&gt;&lt;D xsi:type="xsd:long"&gt;39080&lt;/D&gt;&lt;D xsi:type="xsd:long"&gt;39051&lt;/D&gt;&lt;D xsi:type="xsd:long"&gt;39021&lt;/D&gt;&lt;D xsi:type="xsd:long"&gt;38989&lt;/D&gt;&lt;D xsi:type="xsd:long"&gt;38960&lt;/D&gt;&lt;D xsi:type="xsd:long"&gt;38929&lt;/D&gt;&lt;D xsi:type="xsd:long"&gt;38898&lt;/D&gt;&lt;D xsi:type="xsd:long"&gt;38868&lt;/D&gt;&lt;D xsi:type="xsd:long"&gt;38835&lt;/D&gt;&lt;D xsi:type="xsd:long"&gt;38807&lt;/D&gt;&lt;D xsi:type="xsd:long"&gt;38776&lt;/D&gt;&lt;D xsi:type="xsd:long"&gt;38748&lt;/D&gt;&lt;D xsi:type="xsd:long"&gt;38716&lt;/D&gt;&lt;D xsi:type="xsd:long"&gt;38686&lt;/D&gt;&lt;D xsi:type="xsd:long"&gt;38656&lt;/D&gt;&lt;D xsi:type="xsd:long"&gt;38625&lt;/D&gt;&lt;D xsi:type="xsd:long"&gt;38595&lt;/D&gt;&lt;D xsi:type="xsd:long"&gt;38562&lt;/D&gt;&lt;D xsi:type="xsd:long"&gt;38533&lt;/D&gt;&lt;D xsi:type="xsd:long"&gt;38503&lt;/D&gt;&lt;D xsi:type="xsd:long"&gt;38471&lt;/D&gt;&lt;D xsi:type="xsd:long"&gt;38442&lt;/D&gt;&lt;D xsi:type="xsd:long"&gt;38411&lt;/D&gt;&lt;D xsi:type="xsd:long"&gt;38383&lt;/D&gt;&lt;D xsi:type="xsd:long"&gt;38352&lt;/D&gt;&lt;D xsi:type="xsd:long"&gt;38321&lt;/D&gt;&lt;D xsi:type="xsd:long"&gt;38289&lt;/D&gt;&lt;D xsi:type="xsd:long"&gt;38260&lt;/D&gt;&lt;D xsi:type="xsd:long"&gt;38230&lt;/D&gt;&lt;D xsi:type="xsd:long"&gt;38198&lt;/D&gt;&lt;D xsi:type="xsd:long"&gt;38168&lt;/D&gt;&lt;D xsi:type="xsd:long"&gt;38135&lt;/D&gt;&lt;D xsi:type="xsd:long"&gt;38107&lt;/D&gt;&lt;D xsi:type="xsd:long"&gt;38077&lt;/D&gt;&lt;D xsi:type="xsd:long"&gt;38044&lt;/D&gt;&lt;D xsi:type="xsd:long"&gt;38016&lt;/D&gt;&lt;D xsi:type="xsd:long"&gt;37986&lt;/D&gt;&lt;D xsi:type="xsd:long"&gt;37953&lt;/D&gt;&lt;D xsi:type="xsd:long"&gt;37925&lt;/D&gt;&lt;D xsi:type="xsd:long"&gt;37894&lt;/D&gt;&lt;D xsi:type="xsd:long"&gt;37862&lt;/D&gt;&lt;D xsi:type="xsd:long"&gt;37833&lt;/D&gt;&lt;D xsi:type="xsd:long"&gt;37802&lt;/D&gt;&lt;D xsi:type="xsd:long"&gt;37771&lt;/D&gt;&lt;D xsi:type="xsd:long"&gt;37741&lt;/D&gt;&lt;D xsi:type="xsd:long"&gt;37711&lt;/D&gt;&lt;D xsi:type="xsd:long"&gt;37680&lt;/D&gt;&lt;D xsi:type="xsd:long"&gt;37652&lt;/D&gt;&lt;D xsi:type="xsd:long"&gt;37621&lt;/D&gt;&lt;D xsi:type="xsd:long"&gt;37589&lt;/D&gt;&lt;D xsi:type="xsd:long"&gt;37560&lt;/D&gt;&lt;D xsi:type="xsd:long"&gt;37529&lt;/D&gt;&lt;D xsi:type="xsd:long"&gt;37498&lt;/D&gt;&lt;D xsi:type="xsd:long"&gt;37468&lt;/D&gt;&lt;D xsi:type="xsd:lon</t>
        </r>
      </text>
    </comment>
    <comment ref="A72" authorId="0" shapeId="0">
      <text>
        <r>
          <rPr>
            <b/>
            <sz val="9"/>
            <color indexed="81"/>
            <rFont val="Tahoma"/>
            <family val="2"/>
          </rPr>
          <t>g"&gt;37435&lt;/D&gt;&lt;D xsi:type="xsd:long"&gt;37407&lt;/D&gt;&lt;D xsi:type="xsd:long"&gt;37376&lt;/D&gt;&lt;D xsi:type="xsd:long"&gt;37343&lt;/D&gt;&lt;D xsi:type="xsd:long"&gt;37315&lt;/D&gt;&lt;D xsi:type="xsd:long"&gt;37287&lt;/D&gt;&lt;D xsi:type="xsd:long"&gt;37256&lt;/D&gt;&lt;D xsi:type="xsd:long"&gt;37225&lt;/D&gt;&lt;D xsi:type="xsd:long"&gt;37195&lt;/D&gt;&lt;D xsi:type="xsd:long"&gt;37162&lt;/D&gt;&lt;D xsi:type="xsd:long"&gt;37134&lt;/D&gt;&lt;D xsi:type="xsd:long"&gt;37103&lt;/D&gt;&lt;D xsi:type="xsd:long"&gt;37071&lt;/D&gt;&lt;D xsi:type="xsd:long"&gt;37042&lt;/D&gt;&lt;D xsi:type="xsd:long"&gt;37011&lt;/D&gt;&lt;D xsi:type="xsd:long"&gt;36980&lt;/D&gt;&lt;D xsi:type="xsd:long"&gt;36950&lt;/D&gt;&lt;D xsi:type="xsd:long"&gt;36922&lt;/D&gt;&lt;D xsi:type="xsd:long"&gt;36889&lt;/D&gt;&lt;D xsi:type="xsd:long"&gt;36860&lt;/D&gt;&lt;D xsi:type="xsd:long"&gt;36830&lt;/D&gt;&lt;D xsi:type="xsd:long"&gt;36798&lt;/D&gt;&lt;D xsi:type="xsd:long"&gt;36769&lt;/D&gt;&lt;D xsi:type="xsd:long"&gt;36738&lt;/D&gt;&lt;D xsi:type="xsd:long"&gt;36707&lt;/D&gt;&lt;D xsi:type="xsd:long"&gt;36677&lt;/D&gt;&lt;D xsi:type="xsd:long"&gt;36644&lt;/D&gt;&lt;D xsi:type="xsd:long"&gt;36616&lt;/D&gt;&lt;D xsi:type="xsd:long"&gt;36585&lt;/D&gt;&lt;D xsi:type="xsd:long"&gt;36556&lt;/D&gt;&lt;/FQL&gt;&lt;FQL&gt;&lt;Q&gt;990100^MSCB_TOTAL_RET_IDX(2/27/2026,1/31/2000,M,"USD","GROSS","")&lt;/Q&gt;&lt;R&gt;0&lt;/R&gt;&lt;C&gt;0&lt;/C&gt;&lt;/FQL&gt;&lt;FQL&gt;&lt;Q&gt;990100^JULIAN(MSCB_TOTAL_RET_IDX(2/27/2026,1/31/2000,M,"USD","GROSS","").DATES)&lt;/Q&gt;&lt;R&gt;314&lt;/R&gt;&lt;C&gt;1&lt;/C&gt;&lt;D xsi:type="xsd:long"&gt;46080&lt;/D&gt;&lt;D xsi:type="xsd:long"&gt;46052&lt;/D&gt;&lt;D xsi:type="xsd:long"&gt;46022&lt;/D&gt;&lt;D xsi:type="xsd:long"&gt;45989&lt;/D&gt;&lt;D xsi:type="xsd:long"&gt;45961&lt;/D&gt;&lt;D xsi:type="xsd:long"&gt;45930&lt;/D&gt;&lt;D xsi:type="xsd:long"&gt;45898&lt;/D&gt;&lt;D xsi:type="xsd:long"&gt;45869&lt;/D&gt;&lt;D xsi:type="xsd:long"&gt;45838&lt;/D&gt;&lt;D xsi:type="xsd:long"&gt;45807&lt;/D&gt;&lt;D xsi:type="xsd:long"&gt;45777&lt;/D&gt;&lt;D xsi:type="xsd:long"&gt;45747&lt;/D&gt;&lt;D xsi:type="xsd:long"&gt;45716&lt;/D&gt;&lt;D xsi:type="xsd:long"&gt;45688&lt;/D&gt;&lt;D xsi:type="xsd:long"&gt;45657&lt;/D&gt;&lt;D xsi:type="xsd:long"&gt;45625&lt;/D&gt;&lt;D xsi:type="xsd:long"&gt;45596&lt;/D&gt;&lt;D xsi:type="xsd:long"&gt;45565&lt;/D&gt;&lt;D xsi:type="xsd:long"&gt;45534&lt;/D&gt;&lt;D xsi:type="xsd:long"&gt;45504&lt;/D&gt;&lt;D xsi:type="xsd:long"&gt;45471&lt;/D&gt;&lt;D xsi:type="xsd:long"&gt;45443&lt;/D&gt;&lt;D xsi:type="xsd:long"&gt;45412&lt;/D&gt;&lt;D xsi:type="xsd:long"&gt;45379&lt;/D&gt;&lt;D xsi:type="xsd:long"&gt;45351&lt;/D&gt;&lt;D xsi:type="xsd:long"&gt;45322&lt;/D&gt;&lt;D xsi:type="xsd:long"&gt;45289&lt;/D&gt;&lt;D xsi:type="xsd:long"&gt;45260&lt;/D&gt;&lt;D xsi:type="xsd:long"&gt;45230&lt;/D&gt;&lt;D xsi:type="xsd:long"&gt;45198&lt;/D&gt;&lt;D xsi:type="xsd:long"&gt;45169&lt;/D&gt;&lt;D xsi:type="xsd:long"&gt;45138&lt;/D&gt;&lt;D xsi:type="xsd:long"&gt;45107&lt;/D&gt;&lt;D xsi:type="xsd:long"&gt;45077&lt;/D&gt;&lt;D xsi:type="xsd:long"&gt;45044&lt;/D&gt;&lt;D xsi:type="xsd:long"&gt;45016&lt;/D&gt;&lt;D xsi:type="xsd:long"&gt;44985&lt;/D&gt;&lt;D xsi:type="xsd:long"&gt;44957&lt;/D&gt;&lt;D xsi:type="xsd:long"&gt;44925&lt;/D&gt;&lt;D xsi:type="xsd:long"&gt;44895&lt;/D&gt;&lt;D xsi:type="xsd:long"&gt;44865&lt;/D&gt;&lt;D xsi:type="xsd:long"&gt;44834&lt;/D&gt;&lt;D xsi:type="xsd:long"&gt;44804&lt;/D&gt;&lt;D xsi:type="xsd:long"&gt;44771&lt;/D&gt;&lt;D xsi:type="xsd:long"&gt;44742&lt;/D&gt;&lt;D xsi:type="xsd:long"&gt;44712&lt;/D&gt;&lt;D xsi:type="xsd:long"&gt;44680&lt;/D&gt;&lt;D xsi:type="xsd:long"&gt;44651&lt;/D&gt;&lt;D xsi:type="xsd:long"&gt;44620&lt;/D&gt;&lt;D xsi:type="xsd:long"&gt;44592&lt;/D&gt;&lt;D xsi:type="xsd:long"&gt;44561&lt;/D&gt;&lt;D xsi:type="xsd:long"&gt;44530&lt;/D&gt;&lt;D xsi:type="xsd:long"&gt;44498&lt;/D&gt;&lt;D xsi:type="xsd:long"&gt;44469&lt;/D&gt;&lt;D xsi:type="xsd:long"&gt;44439&lt;/D&gt;&lt;D xsi:type="xsd:long"&gt;44407&lt;/D&gt;&lt;D xsi:type="xsd:long"&gt;44377&lt;/D&gt;&lt;D xsi:type="xsd:long"&gt;44344&lt;/D&gt;&lt;D xsi:type="xsd:long"&gt;44316&lt;/D&gt;&lt;D xsi:type="xsd:long"&gt;44286&lt;/D&gt;&lt;D xsi:type="xsd:long"&gt;44253&lt;/D&gt;&lt;D xsi:type="xsd:long"&gt;44225&lt;/D&gt;&lt;D xsi:type="xsd:long"&gt;44196&lt;/D&gt;&lt;D xsi:type="xsd:long"&gt;44165&lt;/D&gt;&lt;D xsi:type="xsd:long"&gt;44134&lt;/D&gt;&lt;D xsi:type="xsd:long"&gt;44104&lt;/D&gt;&lt;D xsi:type="xsd:long"&gt;44074&lt;/D&gt;&lt;D xsi:type="xsd:long"&gt;44043&lt;/D&gt;&lt;D xsi:type="xsd:long"&gt;44012&lt;/D&gt;&lt;D xsi:type="xsd:long"&gt;43980&lt;/D&gt;&lt;D xsi:type="xsd:long"&gt;43951&lt;/D&gt;&lt;D xsi:type="xsd:long"&gt;43921&lt;/D&gt;&lt;D xsi:type="xsd:long"&gt;43889&lt;/D&gt;&lt;D xsi:type="xsd:long"&gt;43861&lt;/D&gt;&lt;D xsi:type="xsd:long"&gt;43830&lt;/D&gt;&lt;D xsi:type="xsd:long"&gt;43798&lt;/D&gt;&lt;D xsi:type="xsd:long"&gt;43769&lt;/D&gt;&lt;D xsi:type="xsd:long"&gt;43738&lt;/D&gt;&lt;D xsi:type="xsd:long"&gt;43707&lt;/D&gt;&lt;D xsi:type="xsd:long"&gt;43677&lt;/D&gt;&lt;D xsi:type="xsd:long"&gt;43644&lt;/D&gt;&lt;D xsi:type="xsd:long"&gt;43616&lt;/D&gt;&lt;D xsi:type="xsd:long"&gt;43585&lt;/D&gt;&lt;D xsi:type="xsd:long"&gt;43553&lt;/D&gt;&lt;D xsi:type="xsd:long"&gt;43524&lt;/D&gt;&lt;D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991000^MSCB_TOTAL_RET_IDX(2/27/2026,1/31/2000,M,"USD","GROSS","")&lt;/Q&gt;&lt;R&gt;0&lt;/R&gt;&lt;C&gt;0&lt;/C&gt;&lt;/FQL&gt;&lt;FQL&gt;&lt;Q&gt;991000^JULIAN(MSCB_TOTAL_RET_IDX(2/27/2026,1/31/2000,M,"USD","GROSS","").DATES)&lt;/Q&gt;&lt;R&gt;0&lt;/R&gt;&lt;C&gt;0&lt;/C&gt;&lt;/FQL&gt;&lt;FQL&gt;&lt;Q&gt;892400^MSCB_TOTAL_RET_IDX(2/27/2026,1/31/2000,M,"USD","GROSS","")&lt;/Q&gt;&lt;R&gt;0&lt;/R&gt;&lt;C&gt;0&lt;/C&gt;&lt;/FQL&gt;&lt;FQL&gt;&lt;Q&gt;892400^JULIAN(MSCB_TOTAL_RET_IDX(2/27/2026,1/31/2000,M,"USD","GROSS","").DATES)&lt;/Q&gt;&lt;R&gt;314&lt;/R&gt;&lt;C&gt;1&lt;/C&gt;&lt;D xsi:type="xsd:long"&gt;46080&lt;/D&gt;&lt;D xsi:type="xsd:long"&gt;46052&lt;/D&gt;&lt;D xsi:type="xsd:long"&gt;46022&lt;/D&gt;&lt;D xsi:type="xsd:long"&gt;45989&lt;/D&gt;&lt;D xsi:type="xsd:long"&gt;45961&lt;/D&gt;&lt;D xsi:type="xsd:long"&gt;45930&lt;/D&gt;&lt;D xsi:type="xsd:long"&gt;45898&lt;/D&gt;&lt;D xsi:type="xsd:long"&gt;45869&lt;/D&gt;&lt;D xsi:type="xsd:long"&gt;45838&lt;/D&gt;&lt;D xsi:type="xsd:long"&gt;45807&lt;/D&gt;&lt;D xsi:type="xsd:long"&gt;45777&lt;/D&gt;&lt;D xsi:type="xsd:long"&gt;45747&lt;/D&gt;&lt;D xsi:type="xsd:long"&gt;45716&lt;/D&gt;&lt;D xsi:type="xsd:long"&gt;45688&lt;/D&gt;&lt;D xsi:type="xsd:long"&gt;45657&lt;/D&gt;&lt;D xsi:type="xsd:long"&gt;45625&lt;/D&gt;&lt;D xsi:type="xsd:long"&gt;45596&lt;/D&gt;&lt;D xsi:type="xsd:long"&gt;45565&lt;/D&gt;&lt;D xsi:type="xsd:long"&gt;45534&lt;/D&gt;&lt;D xsi:type="xsd:long"&gt;45504&lt;/D&gt;&lt;D xsi:type="xsd:long"&gt;45471&lt;/D&gt;&lt;D xsi:type="xsd:long"&gt;45443&lt;/D&gt;&lt;D xsi:type="xsd:long"&gt;45412&lt;/D&gt;&lt;D xsi:type="xsd:long"&gt;45379&lt;/D&gt;&lt;D xsi:type="xsd:long"&gt;45351&lt;/D&gt;&lt;D xsi:type="xsd:long"&gt;45322&lt;/D&gt;&lt;D xsi:type="xsd:long"&gt;45289&lt;/D&gt;&lt;D xsi:type="xsd:long"&gt;45260&lt;/D&gt;&lt;D xsi:type="xsd:long"&gt;45230&lt;/D&gt;&lt;D xsi:type="xsd:long"&gt;45198&lt;/D&gt;&lt;D xsi:type="xsd:long"&gt;45169&lt;/D&gt;&lt;D xsi:type="xsd:long"&gt;45138&lt;/D&gt;&lt;D xsi:type="xsd:long"&gt;45107&lt;/D&gt;&lt;D xsi:type="xsd:long"&gt;45077&lt;/D&gt;&lt;D xsi:type="xsd:long"&gt;45044&lt;/D&gt;&lt;D xsi:type="xsd:long"&gt;45016&lt;/D&gt;&lt;D xsi:type="xsd:long"&gt;44985&lt;/D&gt;&lt;D xsi:type="xsd:long"&gt;44957&lt;/D&gt;&lt;D xsi:type="xsd:long"&gt;44925&lt;/D&gt;&lt;D xsi:type="xsd:long"&gt;44895&lt;/D&gt;&lt;D xsi:type="xsd:long"&gt;44865&lt;/D&gt;&lt;D xsi:type="xsd:long"&gt;44834&lt;/D&gt;&lt;D xsi:type="xsd:long"&gt;44804&lt;/D&gt;&lt;D xsi:type="xsd:long"&gt;44771&lt;/D&gt;&lt;D xsi:type="xsd:long"&gt;44742&lt;/D&gt;&lt;D xsi:type="xsd:long"&gt;44712&lt;/D&gt;&lt;D xsi:type="xsd:long"&gt;44680&lt;/D&gt;&lt;D xsi:type="xsd:long"&gt;44651&lt;/D&gt;&lt;D xsi:type="xsd:long"&gt;44620&lt;/D&gt;&lt;D xsi:type="xsd:long"&gt;44592&lt;/D&gt;&lt;D xsi:type="xsd:long"&gt;44561&lt;/D&gt;&lt;D xsi:type="xsd:long"&gt;44530&lt;/D&gt;&lt;D xsi:type="xsd:long"&gt;44498&lt;/D&gt;&lt;D xsi:type="xsd:long"&gt;44469&lt;/D&gt;&lt;D xsi:type="xsd:long"&gt;44439&lt;/D&gt;&lt;D xsi:type="xsd:long"&gt;44407&lt;/D&gt;&lt;D xsi:type="xsd:long"&gt;44377&lt;/D&gt;&lt;D xsi:type="xsd:long"&gt;44344&lt;/D&gt;&lt;D xsi:type="xsd:long"&gt;44316&lt;/D&gt;&lt;D xsi:type="xsd:long"&gt;44286&lt;/D&gt;&lt;D xsi:type="xsd:long"&gt;44253&lt;/D&gt;&lt;D xsi:type="xsd:long"&gt;44225&lt;/D&gt;&lt;D xsi:type="xsd:long"&gt;44196&lt;/D&gt;&lt;D xsi:type="xsd:long"&gt;44165&lt;/D&gt;&lt;D xsi:type="xsd:long"&gt;44134&lt;/D&gt;&lt;D xsi:type="xsd:long"&gt;44104&lt;/D&gt;&lt;D xsi:type="xsd:long"&gt;44074&lt;/D&gt;&lt;D xsi:type="xsd:long"&gt;44043&lt;/D&gt;&lt;D xsi:type="xsd:long"&gt;44012&lt;/D&gt;&lt;D xsi:type="xsd:long"&gt;43980&lt;/D&gt;&lt;D xsi:type="xsd:long"&gt;43951&lt;/D&gt;&lt;D xsi:type="xsd:long"&gt;43921&lt;/D&gt;&lt;D xsi:type="xsd:long"&gt;43889&lt;/D&gt;&lt;D xsi:type="xsd:long"&gt;43861&lt;/D&gt;&lt;D xsi:type="xsd:long"&gt;43830&lt;/D&gt;&lt;D xsi:type="xsd:long"&gt;43798&lt;/D&gt;&lt;D xsi:type="xsd:long"&gt;43769&lt;/D&gt;&lt;D xsi:type="xsd:long"&gt;43738&lt;/D&gt;&lt;D xsi:type="xsd:long"&gt;43707&lt;/D&gt;&lt;D xsi:type="xsd:long"&gt;43677&lt;/D&gt;&lt;D xsi:type="xsd:long"&gt;43644&lt;/D&gt;&lt;D xsi:type="xsd:long"&gt;43616&lt;/D&gt;&lt;D xsi:type="xsd:long"&gt;43585&lt;/D&gt;&lt;D xsi:type="xsd:long"&gt;43553&lt;/D&gt;&lt;D xsi:type="xsd:long"&gt;43524&lt;/D&gt;&lt;D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891800^MSCB_TOTAL_RET_IDX(2/27/2026,1/31/2000,M,"USD","GROSS","")&lt;/Q&gt;&lt;R&gt;0&lt;/R&gt;&lt;C&gt;0&lt;/C&gt;&lt;/FQL&gt;&lt;FQL&gt;&lt;Q&gt;891800^JULIAN(MSCB_TOTAL_RET_IDX(2/27/2026,1/31/2000,M,"USD","GROSS","").DATES)&lt;/Q&gt;&lt;R&gt;314&lt;/R&gt;&lt;C&gt;1&lt;/C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xsi:type="xsd:string"&gt;@NA&lt;/D&gt;&lt;/FQL&gt;&lt;FQL&gt;&lt;Q&gt;990100^MSCP_TOTAL_RET_IDX_GIMI(2/27/2026,1/31/2000,M,LOC,"GROSS")&lt;/Q&gt;&lt;R&gt;314&lt;/R&gt;&lt;C&gt;1&lt;/C&gt;&lt;D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</t>
        </r>
      </text>
    </comment>
    <comment ref="A73" authorId="0" shapeId="0">
      <text>
        <r>
          <rPr>
            <b/>
            <sz val="9"/>
            <color indexed="81"/>
            <rFont val="Tahoma"/>
            <family val="2"/>
          </rPr>
          <t>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xsi:type="xsd:double"&gt;3051.03834254269&lt;/D&gt;&lt;D xsi:type="xsd:double"&gt;3323.47260441924&lt;/D&gt;&lt;D xsi:type="xsd:double"&gt;3264.3659215491&lt;/D&gt;&lt;D xsi:type="xsd:double"&gt;3072.7489809459&lt;/D&gt;&lt;D xsi:type="xsd:double"&gt;3140.07832002977&lt;/D&gt;&lt;D xsi:type="xsd:double"&gt;3192.88991669736&lt;/D&gt;&lt;D xsi:type="xsd:double"&gt;3485.60270928991&lt;/D&gt;&lt;D xsi:type="xsd:double"&gt;3513.70607505044&lt;/D&gt;&lt;D xsi:type="xsd:double"&gt;3664.4929754071&lt;/D&gt;&lt;D xsi:type="xsd:double"&gt;3586.59367081644&lt;/D&gt;&lt;D xsi:type="xsd:double"&gt;3479.21424388842&lt;/D&gt;&lt;D xsi:type="xsd:double"&gt;3479.60480126541&lt;/D&gt;&lt;D xsi:type="xsd:double"&gt;3587.06558194177&lt;/D&gt;&lt;D xsi:type="xsd:double"&gt;3621.032997&lt;/D&gt;&lt;D xsi:type="xsd:double"&gt;3498.145784&lt;/D&gt;&lt;D xsi:type="xsd:double"&gt;3377.486042&lt;/D&gt;&lt;D xsi:type="xsd:double"&gt;3327.072827&lt;/D&gt;&lt;D xsi:type="xsd:double"&gt;3367.583016&lt;/D&gt;&lt;D xsi:type="xsd:double"&gt;3309.35956&lt;/D&gt;&lt;D xsi:type="xsd:double"&gt;3223.306351&lt;/D&gt;&lt;D xsi:type="xsd:double"&gt;3187.441258&lt;/D&gt;&lt;D xsi:type="xsd:double"&gt;3092.657711&lt;/D&gt;&lt;D xsi:type="xsd:double"&gt;3037.316624&lt;/D&gt;&lt;D xsi:type="xsd:double"&gt;2960.508672&lt;/D&gt;&lt;D xsi:type="xsd:double"&gt;2938.914789&lt;/D&gt;&lt;D xsi:type="xsd:double"&gt;2920.551242&lt;/D&gt;&lt;D xsi:type="xsd:double"&gt;3047.268384&lt;/D&gt;&lt;D xsi:type="xsd:double"&gt;3018.55266&lt;/D&gt;&lt;D xsi:type="xsd:double"&gt;2946.304741&lt;/D&gt;&lt;D xsi:type="xsd:double"&gt;2936.238269&lt;/D&gt;&lt;D xsi:type="xsd:double"&gt;2845.943956&lt;/D&gt;&lt;D xsi:type="xsd:double"&gt;2787.161148&lt;/D&gt;&lt;D xsi:type="xsd:double"&gt;2675.899374&lt;/D&gt;&lt;D xsi:type="xsd:double"&gt;2723.681533&lt;/D&gt;&lt;D xsi:type="xsd:double"&gt;2637.423572&lt;/D&gt;&lt;D xsi:type="xsd:double"&gt;2633.392917&lt;/D&gt;&lt;D xsi:type="xsd:double"&gt;2536.862687&lt;/D&gt;&lt;D xsi:type="xsd:double"&gt;2493.975398&lt;/D&gt;&lt;D xsi:type="xsd:double"&gt;2406.467587&lt;/D&gt;&lt;D xsi:type="xsd:double"&gt;2459.969923&lt;/D&gt;&lt;D xsi:type="xsd:double"&gt;2484.336772&lt;/D&gt;&lt;D xsi:type="xsd:double"&gt;2422.946829&lt;/D&gt;&lt;D xsi:type="xsd:double"&gt;2449.97673&lt;/D&gt;&lt;D xsi:type="xsd:double"&gt;2369.552573&lt;/D&gt;&lt;D xsi:type="xsd:double"&gt;2293.910634&lt;/D&gt;&lt;D xsi:type="xsd:double"&gt;2265.449067&lt;/D&gt;&lt;D xsi:type="xsd:double"&gt;2236.087164&lt;/D&gt;&lt;D xsi:type="xsd:double"&gt;2231.704148&lt;/D&gt;&lt;D xsi:type="xsd:double"&gt;2296.896053&lt;/D&gt;&lt;D xsi:type="xsd:double"&gt;2248.466857&lt;/D&gt;&lt;D xsi:type="xsd:double"&gt;2243.149145&lt;/D&gt;&lt;D xsi:type="xsd:double"&gt;2252.867688&lt;/D&gt;&lt;D xsi:type="xsd:double"&gt;2272.520227&lt;/D&gt;&lt;D xsi:type="xsd:double"&gt;2230.325738&lt;/D&gt;&lt;D xsi:type="xsd:double"&gt;2192.110035&lt;/D&gt;&lt;D xsi:type="xsd:double"&gt;2097.966434&lt;/D&gt;&lt;D xsi:type="xsd:double"&gt;2083.30772&lt;/D&gt;&lt;D xsi:type="xsd:double"&gt;1977.022858&lt;/D&gt;&lt;D xsi:type="xsd:double"&gt;2006.339977&lt;/D&gt;&lt;D xsi:type="xsd:double"&gt;1959.994936&lt;/D&gt;&lt;D xsi:type="xsd:double"&gt;1908.293491&lt;/D&gt;&lt;D xsi:type="xsd:double"&gt;1869.476567&lt;/D&gt;&lt;D xsi:type="xsd:double"&gt;1789.902996&lt;/D&gt;&lt;D xsi:type="xsd:double"&gt;1655.473953&lt;/D&gt;&lt;D xsi:type="xsd:double"&gt;1661.620142&lt;/D&gt;&lt;D xsi:type="xsd:double"&gt;1687.710384&lt;/D&gt;&lt;D xsi:type="xsd:double"&gt;1751.814049&lt;/D&gt;&lt;D xsi:type="xsd:double"&gt;1867.613728&lt;/D&gt;&lt;D xsi:type="xsd:double"&gt;1775.113442&lt;/D&gt;&lt;D xsi:type="xsd:double"&gt;1654.064789&lt;/D&gt;&lt;D xsi:type="xsd:double"&gt;1852.530033&lt;/D&gt;&lt;D xsi:type="xsd:double"&gt;1845.688524&lt;/D&gt;&lt;D xsi:type="xsd:double"&gt;2011.206321&lt;/D&gt;&lt;D xsi:type="xsd:double"&gt;2176.947082&lt;/D&gt;&lt;D xsi:type="xsd:double"&gt;2197.075333&lt;/D&gt;&lt;D xsi:type="xsd:double"&gt;2296.494064&lt;/D&gt;&lt;D xsi:type="xsd:double"&gt;2196.630019&lt;/D&gt;&lt;D xsi:type="xsd:double"&gt;2221.300173&lt;/D&gt;&lt;D xsi:type="xsd:double"&gt;2268.953889&lt;/D&gt;&lt;D xsi:type="xsd:double"&gt;2240.298222&lt;/D&gt;&lt;D xsi:type="xsd:double"&gt;2111.063952&lt;/D&gt;&lt;D xsi:type="xsd:double"&gt;2047.884753&lt;/D&gt;&lt;D xsi:type="xsd:double"&gt;2254.254626&lt;/D&gt;&lt;D xsi:type="xsd:double"&gt;2401.343199&lt;/D&gt;&lt;D xsi:type="xsd:double"&gt;2467.256709&lt;/D&gt;&lt;D xsi:type="xsd:double"&gt;2527.387055&lt;/D&gt;&lt;D xsi:type="xsd:double"&gt;2543.401196&lt;/D&gt;&lt;D xsi:type="xsd:double"&gt;2367.87202&lt;/D&gt;&lt;D xsi:type="xsd:double"&gt;2498.1121&lt;/D&gt;&lt;D xsi:type="xsd:double"&gt;2728.188698&lt;/D&gt;&lt;D xsi:type="xsd:double"&gt;2654.650224&lt;/D&gt;&lt;D xsi:type="xsd:double"&gt;2654.047968&lt;/D&gt;&lt;D xsi:type="xsd:double"&gt;2868.904162&lt;/D&gt;&lt;D xsi:type="xsd:double"&gt;2912.322486&lt;/D&gt;&lt;D xsi:type="xsd:double"&gt;3058.367022&lt;/D&gt;&lt;D xsi:type="xsd:double"&gt;2897.232528&lt;/D&gt;&lt;D xsi:type="xsd:double"&gt;2949.164059&lt;/D&gt;&lt;D xsi:type="xsd:double"&gt;2862.472264&lt;/D&gt;&lt;D xsi:type="xsd:double"&gt;2964.801226&lt;/D&gt;&lt;D xsi:type="xsd:double"&gt;3079.657341&lt;/D&gt;&lt;D xsi:type="xsd:double"&gt;2969.874006&lt;/D&gt;&lt;D xsi:type="xsd:double"&gt;2872.61319&lt;/D&gt;&lt;/FQL&gt;&lt;FQL&gt;&lt;Q&gt;990100^JULIAN(MSCP_TOTAL_RET_IDX_GIMI(2/27/2026,1/31/2000,M,LOC,"GROSS").DATES)&lt;/Q&gt;&lt;R&gt;314&lt;/R&gt;&lt;C&gt;1&lt;/C&gt;&lt;D xsi:type="xsd:long"&gt;46080&lt;/D&gt;&lt;D xsi:type="xsd:long"&gt;46052&lt;/D&gt;&lt;D xsi:type="xsd:long"&gt;46022&lt;/D&gt;&lt;D xsi:type="xsd:long"&gt;45989&lt;/D&gt;&lt;D xsi:type="xsd:long"&gt;45961&lt;/D&gt;&lt;D xsi:type="xsd:long"&gt;45930&lt;/D&gt;&lt;D xsi:type="xsd:long"&gt;45898&lt;/D&gt;&lt;D xsi:type="xsd:long"&gt;45869&lt;/D&gt;&lt;D xsi:type="xsd:long"&gt;45838&lt;/D&gt;&lt;D xsi:type="xsd:long"&gt;45807&lt;/D&gt;&lt;D xsi:type="xsd:long"&gt;45777&lt;/D&gt;&lt;D xsi:type="xsd:long"&gt;45747&lt;/D&gt;&lt;D xsi:type="xsd:long"&gt;45716&lt;/D&gt;&lt;D xsi:type="xsd:long"&gt;45688&lt;/D&gt;&lt;D xsi:type="xsd:long"&gt;45657&lt;/D&gt;&lt;D xsi:type="xsd:long"&gt;45625&lt;/D&gt;&lt;D xsi:type="xsd:long"&gt;45596&lt;/D&gt;&lt;D xsi:type="xsd:long"&gt;45565&lt;/D&gt;&lt;D xsi:type="xsd:long"&gt;45534&lt;/D&gt;&lt;D xsi:type="xsd:long"&gt;45504&lt;/D&gt;&lt;D xsi:type="xsd:long"&gt;45471&lt;/D&gt;&lt;D xsi:type="xsd:long"&gt;45443&lt;/D&gt;&lt;D xsi:type="xsd:long"&gt;45412&lt;/D&gt;&lt;D xsi:type="xsd:long"&gt;45379&lt;/D&gt;&lt;D xsi:type="xsd:long"&gt;45351&lt;/D&gt;&lt;D xsi:type="xsd:long"&gt;45322&lt;/D&gt;&lt;D xsi:type="xsd:long"&gt;45289&lt;/D&gt;&lt;D xsi:type="xsd:long"&gt;45260&lt;/D&gt;&lt;D xsi:type="xsd:long"&gt;45230&lt;/D&gt;&lt;D xsi:type="xsd:long"&gt;45198&lt;/D&gt;&lt;D xsi:type="xsd:long"&gt;45169&lt;/D&gt;&lt;D xsi:type="xsd:long"&gt;45138&lt;/D&gt;&lt;D xsi:type="xsd:long"&gt;45107&lt;/D&gt;&lt;D xsi:type="xsd:long"&gt;45077&lt;/D&gt;&lt;D xsi:type="xsd:long"&gt;45044&lt;/D&gt;&lt;D xsi:type="xsd:long"&gt;45016&lt;/D&gt;&lt;D xsi:type="xsd:long"&gt;44985&lt;/D&gt;&lt;D xsi:type="xsd:long"&gt;44957&lt;/D&gt;&lt;D xsi:type="xsd:long"&gt;44925&lt;/D&gt;&lt;D xsi:type="xsd:long"&gt;44895&lt;/D&gt;&lt;D xsi:type="xsd:long"&gt;44865&lt;/D&gt;&lt;D xsi:type="xsd:long"&gt;44834&lt;/D&gt;&lt;D xsi:type="xsd:long"&gt;44804&lt;/D&gt;&lt;D xsi:type="xsd:long"&gt;44771&lt;/D&gt;&lt;D xsi:type="xsd:long"&gt;44742&lt;/D&gt;&lt;D xsi:type="xsd:long"&gt;44712&lt;/D&gt;&lt;D xsi:type="xsd:long"&gt;44680&lt;/D&gt;&lt;D xsi:type="xsd:long"&gt;44651&lt;/D&gt;&lt;D xsi:type="xsd:long"&gt;44620&lt;/D&gt;&lt;D xsi:type="xsd:long"&gt;44592&lt;/D&gt;&lt;D xsi:type="xsd:long"&gt;44561&lt;/D&gt;&lt;D xsi:type="xsd:long"&gt;44530&lt;/D&gt;&lt;D xsi:type="xsd:long"&gt;44498&lt;/D&gt;&lt;D xsi:type="xsd:long"&gt;44469&lt;/D&gt;&lt;D xsi:type="xsd:long"&gt;44439&lt;/D&gt;&lt;D xsi:type="xsd:long"&gt;44407&lt;/D&gt;&lt;D xsi:type="xsd:long"&gt;44377&lt;/D&gt;&lt;D xsi:type="xsd:long"&gt;44344&lt;/D&gt;&lt;D xsi:type="xsd:long"&gt;44316&lt;/D&gt;&lt;D xsi:type="xsd:long"&gt;44286&lt;/D&gt;&lt;D xsi:type="xsd:long"&gt;44253&lt;/D&gt;&lt;D xsi:type="xsd:long"&gt;44225&lt;/D&gt;&lt;D xsi:type="xsd:long"&gt;44196&lt;/D&gt;&lt;D xsi:type="xsd:long"&gt;44165&lt;/D&gt;&lt;D xsi:type="xsd:long"&gt;44134&lt;/D&gt;&lt;D xsi:type="xsd:long"&gt;44104&lt;/D&gt;&lt;D xsi:type="xsd:long"&gt;44074&lt;/D&gt;&lt;D xsi:type="xsd:long"&gt;44043&lt;/D&gt;&lt;D xsi:type="xsd:long"&gt;44012&lt;/D&gt;&lt;D xsi:type="xsd:long"&gt;43980&lt;/D&gt;&lt;D xsi:type="xsd:long"&gt;43951&lt;/D&gt;&lt;D xsi:type="xsd:long"&gt;43921&lt;/D&gt;&lt;D xsi:type="xsd:long"&gt;43889&lt;/D&gt;&lt;D xsi:type="xsd:long"&gt;43861&lt;/D&gt;&lt;D xsi:type="xsd:long"&gt;43830&lt;/D&gt;&lt;D xsi:type="xsd:long"&gt;43798&lt;/D&gt;&lt;D xsi:type="xsd:long"&gt;43769&lt;/D&gt;&lt;D xsi:type="xsd:long"&gt;43738&lt;/D&gt;&lt;D xsi:type="xsd:long"&gt;43707&lt;/D&gt;&lt;D xsi:type="xsd:long"&gt;43677&lt;/D&gt;&lt;D xsi:type="xsd:long"&gt;43644&lt;/D&gt;&lt;D xsi:type="xsd:long"&gt;43616&lt;/D&gt;&lt;D xsi:type="xsd:long"&gt;43585&lt;/D&gt;&lt;D xsi:type="xsd:long"&gt;43553&lt;/D&gt;&lt;D xsi:type="xsd:long"&gt;43524&lt;/D&gt;&lt;D xsi:type="xsd:long"&gt;43496&lt;/D&gt;&lt;D xsi:type="xsd:long"&gt;43465&lt;/D&gt;&lt;D xsi:type="xsd:long"&gt;43434&lt;/D&gt;&lt;D xsi:type="xsd:long"&gt;43404&lt;/D&gt;&lt;D xsi:type="xsd:long"&gt;43371&lt;/D&gt;&lt;D xsi:type="xsd:long"&gt;43343&lt;/D&gt;&lt;D xsi:type="xsd:long"&gt;43312&lt;/D&gt;&lt;D xsi:type="xsd:long"&gt;43280&lt;/D&gt;&lt;D xsi:type="xsd:long"&gt;43251&lt;/D&gt;&lt;D xsi:type="xsd:long"&gt;43220&lt;/D&gt;&lt;D xsi:type="xsd:long"&gt;43188&lt;/D&gt;&lt;D xsi:type="xsd:long"&gt;43159&lt;/D&gt;&lt;D xsi:type="xsd:long"&gt;43131&lt;/D&gt;&lt;D xsi:type="xsd:long"&gt;43098&lt;/D&gt;&lt;D xsi:type="xsd:long"&gt;43069&lt;/D&gt;&lt;D xsi:type="xsd:long"&gt;43039&lt;/D&gt;&lt;D xsi:type="xsd:long"&gt;43007&lt;/D&gt;&lt;D xsi:type="xsd:long"&gt;42978&lt;/D&gt;&lt;D xsi:type="xsd:long"&gt;42947&lt;/D&gt;&lt;D xsi:type="xsd:long"&gt;42916&lt;/D&gt;&lt;D xsi:type="xsd:long"&gt;42886&lt;/D&gt;&lt;D xsi:type="xsd:long"&gt;42853&lt;/D&gt;&lt;D xsi:type="xsd:long"&gt;42825&lt;/D&gt;&lt;D xsi:type="xsd:long"&gt;42794&lt;/D&gt;&lt;D xsi:type="xsd:long"&gt;42766&lt;/D&gt;&lt;D xsi:type="xsd:long"&gt;42734&lt;/D&gt;&lt;D xsi:type="xsd:long"&gt;42704&lt;/D&gt;&lt;D xsi:type="xsd:long"&gt;42674&lt;/D&gt;&lt;D xsi:type="xsd:long"&gt;42643&lt;/D&gt;&lt;D xsi:type="xsd:long"&gt;42613&lt;/D&gt;&lt;D xsi:type="xsd:long"&gt;42580&lt;/D&gt;&lt;D xsi:type="xsd:long"&gt;42551&lt;/D&gt;&lt;D xsi:type="xsd:long"&gt;42521&lt;/D&gt;&lt;D xsi:type="xsd:long"&gt;42489&lt;/D&gt;&lt;D xsi:type="xsd:long"&gt;42460&lt;/D&gt;&lt;D xsi:type="xsd:long"&gt;42429&lt;/D&gt;&lt;D xsi:type="xsd:long"&gt;42398&lt;/D&gt;&lt;D xsi:type="xsd:long"&gt;42369&lt;/D&gt;&lt;D xsi:type="xsd:long"&gt;42338&lt;/D&gt;&lt;D xsi:type="xsd:long"&gt;42307&lt;/D&gt;&lt;D xsi:type="xsd:long"&gt;42277&lt;/D&gt;&lt;D xsi:type="xsd:long"&gt;42247&lt;/D&gt;&lt;D xsi:type="xsd:long"&gt;42216&lt;/D&gt;&lt;D xsi:type="xsd:long"&gt;42185&lt;/D&gt;&lt;D xsi:type="xsd:long"&gt;42153&lt;/D&gt;&lt;D xsi:type="xsd:long"&gt;42124&lt;/D&gt;&lt;D xsi:type="xsd:long"&gt;42094&lt;/D&gt;&lt;D xsi:type="xsd:long"&gt;42062&lt;/D&gt;&lt;D xsi:type="xsd:long"&gt;42034&lt;/D&gt;&lt;D xsi:type="xsd:long"&gt;42004&lt;/D&gt;&lt;D xsi:type="xsd:long"&gt;41971&lt;/D&gt;&lt;D xsi:type="xsd:long"&gt;41943&lt;/D&gt;&lt;D xsi:type="xsd:long"&gt;41912&lt;/D&gt;&lt;D xsi:type="xsd:long"&gt;41880&lt;/D&gt;&lt;D xsi:type="xsd:long"&gt;41851&lt;/D&gt;&lt;D xsi:type="xsd:long"&gt;41820&lt;/D&gt;&lt;D xsi:type="xsd:long"&gt;41789&lt;/D&gt;&lt;D xsi:type="xsd:long"&gt;41759&lt;/D&gt;&lt;D xsi:type="xsd:long"&gt;41729&lt;/D&gt;&lt;D xsi:type="xsd:long"&gt;41698&lt;/D&gt;&lt;D xsi:type="xsd:long"&gt;41670&lt;/D&gt;&lt;D xsi:type="xsd:long"&gt;41639&lt;/D&gt;&lt;D xsi:type="xsd:long"&gt;41607&lt;/D&gt;&lt;D xsi:type="xsd:long"&gt;41578&lt;/D&gt;&lt;D xsi:type="xsd:long"&gt;41547&lt;/D&gt;&lt;D xsi:type="xsd:long"&gt;41516&lt;/D&gt;&lt;D xsi:type="xsd:long"&gt;41486&lt;/D&gt;&lt;D xsi:type="xsd:long"&gt;41453&lt;/D&gt;&lt;D xsi:type="xsd:long"&gt;41425&lt;/D&gt;&lt;D xsi:type="xsd:long"&gt;41394&lt;/D&gt;&lt;D xsi:type="xsd:long"&gt;41361&lt;/D&gt;&lt;D xsi:type="xsd:long"&gt;41333&lt;/D&gt;&lt;D xsi:type="xsd:long"&gt;41305&lt;/D&gt;&lt;D xsi:type="xsd:long"&gt;41274&lt;/D&gt;&lt;D xsi:type="xsd:long"&gt;41243&lt;/D&gt;&lt;D xsi:type="xsd:long"&gt;41213&lt;/D&gt;&lt;D xsi:type="xsd:long"&gt;41180&lt;/D&gt;&lt;D xsi:type="xsd:long"&gt;41152&lt;/D&gt;&lt;D xsi:type="xsd:long"&gt;41121&lt;/D&gt;&lt;D xsi:type="xsd:long"&gt;41089&lt;/D&gt;&lt;D xsi:type="xsd:long"&gt;41060&lt;/D&gt;&lt;D xsi:type="xsd:long"&gt;41029&lt;/D&gt;&lt;D xsi:type="xsd:long"&gt;40998&lt;/D&gt;&lt;D xsi:type="xsd:long"&gt;40968&lt;/D&gt;&lt;D xsi:type="xsd:long"&gt;40939&lt;/D&gt;&lt;D xsi:type="xsd:long"&gt;40907&lt;/D&gt;&lt;D xsi:type="xsd:long"&gt;40877&lt;/D&gt;&lt;D xsi:type="xsd:long"&gt;40847&lt;/D&gt;&lt;D xsi:type="xsd:long"&gt;40816&lt;/D&gt;&lt;D xsi:type="xsd:long"&gt;40786&lt;/D&gt;&lt;D xsi:type="xsd:long"&gt;40753&lt;/D&gt;&lt;D xsi:type="xsd:long"&gt;40724&lt;/D&gt;&lt;D xsi:type="xsd:long"&gt;40694&lt;/D&gt;&lt;D xsi:type="xsd:long"&gt;40662&lt;/D&gt;&lt;D xsi:type="xsd:long"&gt;40633&lt;/D&gt;&lt;D xsi:type="xsd:long"&gt;40602&lt;/D&gt;&lt;D xsi:type="xsd:long"&gt;40574&lt;/D&gt;&lt;D xsi:type="xsd:long"&gt;40543&lt;/D&gt;&lt;D xsi:type="xsd:long"&gt;40512&lt;/D&gt;&lt;D xsi:type="xsd:long"&gt;40480&lt;/D&gt;&lt;D xsi:type="xsd:long"&gt;40451&lt;/D&gt;&lt;D xsi:type="xsd:long"&gt;40421&lt;/D&gt;&lt;D xsi:type="xsd:long"&gt;40389&lt;/D&gt;&lt;D xsi:type="xsd:long"&gt;40359&lt;/D&gt;&lt;D xsi:type="xsd:long"&gt;40326&lt;/D&gt;&lt;D xsi:type="xsd:long"&gt;40298&lt;/D&gt;&lt;D xsi:type="xsd:long"&gt;40268&lt;/D&gt;&lt;D xsi:type="xsd:long"&gt;40235&lt;/D&gt;&lt;D xsi:type="xsd:long"&gt;40207&lt;/D&gt;&lt;D xsi:type="xsd:long"&gt;40178&lt;/D&gt;&lt;D xsi:type="xsd:long"&gt;40147&lt;/D&gt;&lt;D xsi:type="xsd:long"&gt;40116&lt;/D&gt;&lt;D xsi:type="xsd:long"&gt;40086&lt;/D&gt;&lt;D xsi:type="xsd:long"&gt;40056&lt;/D&gt;&lt;D xsi:type="xsd:long"&gt;40025&lt;/D&gt;&lt;D xsi:type="xsd:long"&gt;39994&lt;/D&gt;&lt;D xsi:type="xsd:long"&gt;39962&lt;/D&gt;&lt;D xsi:type="xsd:long"&gt;39933&lt;/D&gt;&lt;D xsi:type="xsd:long"&gt;39903&lt;/D&gt;&lt;D xsi:type="xsd:long"&gt;39871&lt;/D&gt;&lt;D xsi:type="xsd:long"&gt;39843&lt;/D&gt;&lt;D xsi:type="xsd:long"&gt;39813&lt;/D&gt;&lt;D xsi:type="xsd:long"&gt;39780&lt;/D&gt;&lt;D xsi:type="xsd:long"&gt;39752&lt;/D&gt;&lt;D xsi:type="xsd:long"&gt;39721&lt;/D&gt;&lt;D xsi:type="xsd:long"&gt;39689&lt;/D&gt;&lt;D xsi:type="xsd:long"&gt;39660&lt;/D&gt;&lt;D xsi:type="xsd:long"&gt;39629&lt;/D&gt;&lt;D xsi:type="xsd:long"&gt;39598&lt;/D&gt;&lt;D xsi:type="xsd:long"&gt;39568&lt;/D&gt;&lt;D xsi:type="xsd:long"&gt;39538&lt;/D&gt;&lt;D xsi:type="xsd:long"&gt;39507&lt;/D&gt;&lt;D xsi:type="xsd:long"&gt;39478&lt;/D&gt;&lt;D xsi:type="xsd:long"&gt;39447&lt;/D&gt;&lt;D xsi:type="xsd:long"&gt;39416&lt;/D&gt;&lt;D xsi:type="xsd:long"&gt;39386&lt;/D&gt;&lt;D xsi:type="xsd:long"&gt;39353&lt;/D&gt;&lt;D xsi:type="xsd:long"&gt;39325&lt;/D&gt;&lt;D xsi:type="xsd:long"&gt;39294&lt;/D&gt;&lt;D xsi:type="xsd:long"&gt;39262&lt;/D&gt;&lt;D xsi:type="xsd:long"&gt;39233&lt;/D&gt;&lt;D xsi:type="xsd:long"&gt;39202&lt;/D&gt;&lt;D xsi:type="xsd:long"&gt;39171&lt;/D&gt;&lt;D xsi:type="xsd:long"&gt;39141&lt;/D&gt;&lt;D xsi:type="xsd:long"&gt;39113&lt;/D&gt;&lt;D xsi:type="xsd:long"&gt;39080&lt;/D&gt;&lt;D xsi:type="xsd:long"&gt;39051&lt;/D&gt;&lt;D xsi:type="xsd:long"&gt;39021&lt;/D&gt;&lt;D xsi:type="xsd:long"&gt;38989&lt;/D&gt;&lt;D xsi:type="xsd:long"&gt;38960&lt;/D&gt;&lt;D xsi:type="xsd:long"&gt;38929&lt;/D&gt;&lt;D xsi:type="xsd:long"&gt;38898&lt;/D&gt;&lt;D xsi:type="xsd:long"&gt;38868&lt;/D&gt;&lt;D xsi:type="xsd:long"&gt;38835&lt;/D&gt;&lt;D xsi:type="xsd:long"&gt;38807&lt;/D&gt;&lt;D xsi:type="xsd:long"&gt;38776&lt;/D&gt;&lt;D xsi:type="xsd:long"&gt;38748&lt;/D&gt;&lt;D xsi:type="xsd:long"&gt;38716&lt;/D&gt;&lt;D xsi:type="xsd:long"&gt;38686&lt;/D&gt;&lt;D xsi:type="xsd:long"&gt;38656&lt;/D&gt;&lt;D xsi:type="xsd:long"&gt;38625&lt;/D&gt;&lt;D xsi:type="xsd:long"&gt;38595&lt;/D&gt;&lt;D xsi:type="xsd:long"&gt;38562&lt;/D&gt;&lt;D xsi:type="xsd:long"&gt;38533&lt;/D&gt;&lt;D xsi:type="xsd:long"&gt;38503&lt;/D&gt;&lt;D xsi:type="xsd:long"&gt;38471&lt;/D&gt;&lt;D xsi:type="xsd:long"&gt;38442&lt;/D&gt;&lt;D xsi:type="xsd:long"&gt;38411&lt;/D&gt;&lt;D xsi:type="xsd:long"&gt;38383&lt;/D&gt;&lt;D xsi:type="xsd:long"&gt;38352&lt;/D&gt;&lt;D xsi:type="xsd:long"&gt;38321&lt;/D&gt;&lt;D xsi:type="xsd:long"&gt;38289&lt;/D&gt;&lt;D xsi:type="xsd:long"&gt;38260&lt;/D&gt;&lt;D xsi:type="xsd:long"&gt;38230&lt;/D&gt;&lt;D xsi:type="xsd:long"&gt;38198&lt;/D&gt;&lt;D xsi:type="xsd:long"&gt;38168&lt;/D&gt;&lt;D xsi:type="xsd:long"&gt;38135&lt;/D&gt;&lt;D xsi:type="xsd:long"&gt;38107&lt;/D&gt;&lt;D xsi:type="xsd:long"&gt;38077&lt;/D&gt;&lt;D xsi:type="xsd:long"&gt;38044&lt;/D&gt;&lt;D xsi:type="xsd:long"&gt;38016&lt;/D&gt;&lt;D xsi:type="xsd:long"&gt;37986&lt;/D&gt;&lt;D xsi:type="xsd:long"&gt;37953&lt;/D&gt;&lt;D xsi:type="xsd:long"&gt;37925&lt;/D&gt;&lt;D xsi:type="xsd:long"&gt;37894&lt;/D&gt;&lt;D xsi:type="xsd:long"&gt;37862&lt;/D&gt;&lt;D xsi:type="xsd:long"&gt;37833&lt;/D&gt;&lt;D xsi:type="xsd:long"&gt;37802&lt;/D&gt;&lt;D xsi:type="xsd:long"&gt;37771&lt;/D&gt;&lt;D xsi:type="xsd:long"&gt;37741&lt;/D&gt;&lt;D xsi:type="xsd:long"&gt;37711&lt;/D&gt;&lt;D xsi:type="xsd:long"&gt;37680&lt;/D&gt;&lt;D xsi:type="xsd:long"&gt;37652&lt;/D&gt;&lt;D xsi:type="xsd:long"&gt;37621&lt;/D&gt;&lt;D xsi:type="xsd:long"&gt;37589&lt;/D&gt;&lt;D xsi:type="xsd:long"&gt;37560&lt;/D&gt;&lt;D xsi:type="xsd:long"&gt;37529&lt;/D&gt;&lt;D xsi:type="xsd:long"&gt;37498&lt;/D&gt;&lt;D xsi:type="xsd:long"&gt;37468&lt;/D&gt;&lt;D xsi:type="xsd:long"&gt;37435&lt;/D&gt;&lt;D xsi:type="xsd:long"&gt;37407&lt;/D&gt;&lt;D xsi:type="xsd:long"&gt;37376&lt;/D&gt;&lt;D xsi:type="xsd:long"&gt;37343&lt;/D&gt;&lt;D xsi:type="xsd:long"&gt;37315&lt;/D&gt;&lt;D xsi:type="xsd:long"&gt;37287&lt;/D&gt;&lt;D xsi:type="xsd:long"&gt;37256&lt;/D&gt;&lt;D xsi:type="xsd:long"&gt;37225&lt;/D&gt;&lt;D xsi:type="xsd:long"&gt;37195&lt;/D&gt;&lt;D xsi:type="xsd:long"&gt;37162&lt;/D&gt;&lt;D xsi:type="xsd:long"&gt;37134&lt;/D&gt;&lt;D xsi:type="xsd:long"&gt;37103&lt;/D&gt;&lt;D xsi:type="xsd:long"&gt;37071&lt;/D&gt;&lt;D xsi:type="xsd:long"&gt;37042&lt;/D&gt;&lt;D xsi:type="xsd:long"&gt;37011&lt;/D&gt;&lt;D xsi:type="xsd:long"&gt;36980&lt;/D&gt;&lt;D xsi:type="xsd:long"&gt;36950&lt;/D&gt;&lt;D xsi:type="xsd:long"&gt;36922&lt;/D&gt;&lt;D xsi:type="xsd:long"&gt;36889&lt;/D&gt;&lt;D xsi:type="xsd:long"&gt;36860&lt;/D&gt;&lt;D xsi:type="xsd:long"&gt;36830&lt;/D&gt;&lt;D xsi:type="xsd:long"&gt;36798&lt;/D&gt;&lt;D xsi:type="xsd:long"&gt;36769&lt;/D&gt;&lt;D xsi:type="xsd:long"&gt;36738&lt;/D&gt;&lt;D xsi:type="xsd:long"&gt;36707&lt;/D&gt;&lt;D xsi:type="xsd:long"&gt;36677&lt;/D&gt;&lt;D xsi:type="xsd:long"&gt;36644&lt;/D&gt;&lt;D xsi:type="xsd:long"&gt;36616&lt;/D&gt;&lt;D xsi:type="xsd:long"&gt;36585&lt;/D&gt;&lt;D xsi:type="xsd:long"&gt;36556&lt;/D&gt;&lt;/FQL&gt;&lt;FQL&gt;&lt;Q&gt;991000^MSCP_TOTAL_RET_IDX_GIMI(2/27/2026,1/31/2000,M,LOC,"GROSS")&lt;/Q&gt;&lt;R&gt;314&lt;/R&gt;&lt;C&gt;1&lt;/C&gt;&lt;D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xsi:type="xsd:double"&gt;2836.45436016132&lt;/D&gt;&lt;D xsi:type="xsd:double"&gt;3090.98913636261&lt;/D&gt;&lt;D xsi:type="xsd:double"&gt;3032.46245477759&lt;/D&gt;&lt;D xsi:type="xsd:double"&gt;2823.76156047737&lt;/D&gt;&lt;D xsi:type="xsd:double"&gt;2927.92870486115&lt;/D&gt;&lt;D xsi:type="xsd:double"&gt;2938.06185600499&lt;/D&gt;&lt;D xsi:type="xsd:double"&gt;3281.06879599866&lt;/D&gt;&lt;D xsi:type="xsd:double"&gt;3315.22578112581&lt;/D&gt;&lt;D xsi:type="xsd:double"&gt;3457.16676198114&lt;/D&gt;&lt;D xsi:type="xsd:double"&gt;3367.95855241125&lt;/D&gt;&lt;D xsi:type="xsd:double"&gt;3290.76337371627&lt;/D&gt;&lt;D xsi:type="xsd:double"&gt;3337.67000450741&lt;/D&gt;&lt;D xsi:type="xsd:double"&gt;3439.91589339764&lt;/D&gt;&lt;D xsi:type="xsd:double"&gt;3448.554965&lt;/D&gt;&lt;D xsi:type="xsd:double"&gt;3331.453796&lt;/D&gt;&lt;D xsi:type="xsd:double"&gt;3237.405606&lt;/D&gt;&lt;D xsi:type="xsd:double"&gt;3177.668327&lt;/D&gt;&lt;D xsi:type="xsd:double"&gt;3192.380538&lt;/D&gt;&lt;D xsi:type="xsd:double"&gt;3137.178109&lt;/D&gt;&lt;D xsi:type="xsd:double"&gt;3016.708674&lt;/D&gt;&lt;D xsi:type="xsd:double"&gt;3009.496241&lt;/D&gt;&lt;D xsi:type="xsd:double"&gt;2928.012087&lt;/D&gt;&lt;D xsi:type="xsd:double"&gt;2895.56225&lt;/D&gt;&lt;D xsi:type="xsd:double"&gt;2816.71453&lt;/D&gt;&lt;D xsi:type="xsd:double"&gt;2789.447771&lt;/D&gt;&lt;D xsi:type="xsd:double"&gt;2760.271273&lt;/D&gt;&lt;D xsi:type="xsd:double"&gt;2918.855969&lt;/D&gt;&lt;D xsi:type="xsd:double"&gt;2901.875629&lt;/D&gt;&lt;D xsi:type="xsd:double"&gt;2799.87972&lt;/D&gt;&lt;D xsi:type="xsd:double"&gt;2782.232016&lt;/D&gt;&lt;D xsi:type="xsd:double"&gt;2684.853022&lt;/D&gt;&lt;D xsi:type="xsd:double"&gt;2571.082382&lt;/D&gt;&lt;D xsi:type="xsd:double"&gt;2460.601903&lt;/D&gt;&lt;D xsi:type="xsd:double"&gt;2510.739329&lt;/D&gt;&lt;D xsi:type="xsd:double"&gt;2366.042659&lt;/D&gt;&lt;D xsi:type="xsd:double"&gt;2334.702892&lt;/D&gt;&lt;D xsi:type="xsd:double"&gt;2248.281547&lt;/D&gt;&lt;D xsi:type="xsd:double"&gt;2173.077396&lt;/D&gt;&lt;D xsi:type="xsd:double"&gt;2089.198611&lt;/D&gt;&lt;D xsi:type="xsd:double"&gt;2144.314765&lt;/D&gt;&lt;D xsi:type="xsd:double"&gt;2148.818081&lt;/D&gt;&lt;D xsi:type="xsd:double"&gt;2085.77634&lt;/D&gt;&lt;D xsi:type="xsd:double"&gt;2074.158245&lt;/D&gt;&lt;D xsi:type="xsd:double"&gt;2010.249056&lt;/D&gt;&lt;D xsi:type="xsd:double"&gt;1963.675848&lt;/D&gt;&lt;D xsi:type="xsd:double"&gt;1943.768549&lt;/D&gt;&lt;D xsi:type="xsd:double"&gt;1915.178433&lt;/D&gt;&lt;D xsi:type="xsd:double"&gt;1917.852733&lt;/D&gt;&lt;D xsi:type="xsd:double"&gt;1960.513493&lt;/D&gt;&lt;D xsi:type="xsd:double"&gt;1911.455308&lt;/D&gt;&lt;D xsi:type="xsd:double"&gt;1935.013261&lt;/D&gt;&lt;D xsi:type="xsd:double"&gt;1914.094083&lt;/D&gt;&lt;D xsi:type="xsd:double"&gt;1915.17913&lt;/D&gt;&lt;D xsi:type="xsd:double"&gt;1868.132776&lt;/D&gt;&lt;D xsi:type="xsd:double"&gt;1840.789133&lt;/D&gt;&lt;D xsi:type="xsd:double"&gt;1774.007325&lt;/D&gt;&lt;D xsi:type="xsd:double"&gt;1768.85692&lt;/D&gt;&lt;D xsi:type="xsd:double"&gt;1683.483129&lt;/D&gt;&lt;D xsi:type="xsd:double"&gt;1717.214813&lt;/D&gt;&lt;D xsi:type="xsd:double"&gt;1666.908112&lt;/D&gt;&lt;D xsi:type="xsd:double"&gt;1601.267671&lt;/D&gt;&lt;D xsi:type="xsd:double"&gt;1550.663173&lt;/D&gt;&lt;D xsi:type="xsd:double"&gt;1506.938558&lt;/D&gt;&lt;D xsi:type="xsd:double"&gt;1392.352666&lt;/D&gt;&lt;D xsi:type="xsd:double"&gt;1425.323523&lt;/D&gt;&lt;D xsi:type="xsd:double"&gt;1448.095261&lt;/D&gt;&lt;D xsi:type="xsd:double"&gt;1529.481633&lt;/D&gt;&lt;D xsi:type="xsd:double"&gt;1642.371266&lt;/D&gt;&lt;D xsi:type="xsd:double"&gt;1571.501012&lt;/D&gt;&lt;D xsi:type="xsd:double"&gt;1490.322849&lt;/D&gt;&lt;D xsi:type="xsd:double"&gt;1668.068173&lt;/D&gt;&lt;D xsi:type="xsd:double"&gt;1668.060261&lt;/D&gt;&lt;D xsi:type="xsd:double"&gt;1847.450663&lt;/D&gt;&lt;D xsi:type="xsd:double"&gt;2005.71846&lt;/D&gt;&lt;D xsi:type="xsd:double"&gt;2026.21265&lt;/D&gt;&lt;D xsi:type="xsd:double"&gt;2077.821263&lt;/D&gt;&lt;D xsi:type="xsd:double"&gt;1974.096656&lt;/D&gt;&lt;D xsi:type="xsd:double"&gt;1970.604151&lt;/D&gt;&lt;D xsi:type="xsd:double"&gt;2021.764536&lt;/D&gt;&lt;D xsi:type="xsd:double"&gt;1994.585653&lt;/D&gt;&lt;D xsi:type="xsd:double"&gt;1916.316647&lt;/D&gt;&lt;D xsi:type="xsd:double"&gt;1841.519894&lt;/D&gt;&lt;D xsi:type="xsd:double"&gt;2045.098841&lt;/D&gt;&lt;D xsi:type="xsd:double"&gt;2172.368969&lt;/D&gt;&lt;D xsi:type="xsd:double"&gt;2264.221256&lt;/D&gt;&lt;D xsi:type="xsd:double"&gt;2325.444529&lt;/D&gt;&lt;D xsi:type="xsd:double"&gt;2374.63612&lt;/D&gt;&lt;D xsi:type="xsd:double"&gt;2231.293836&lt;/D&gt;&lt;D xsi:type="xsd:double"&gt;2306.681009&lt;/D&gt;&lt;D xsi:type="xsd:double"&gt;2477.216928&lt;/D&gt;&lt;D xsi:type="xsd:double"&gt;2431.761303&lt;/D&gt;&lt;D xsi:type="xsd:double"&gt;2466.32648&lt;/D&gt;&lt;D xsi:type="xsd:double"&gt;2580.770832&lt;/D&gt;&lt;D xsi:type="xsd:double"&gt;2613.58439&lt;/D&gt;&lt;D xsi:type="xsd:double"&gt;2739.009482&lt;/D&gt;&lt;D xsi:type="xsd:double"&gt;2644.274622&lt;/D&gt;&lt;D xsi:type="xsd:double"&gt;2690.011078&lt;/D&gt;&lt;D xsi:type="xsd:double"&gt;2643.913679&lt;/D&gt;&lt;D xsi:type="xsd:double"&gt;2740.193272&lt;/D&gt;&lt;D xsi:type="xsd:double"&gt;2802.173497&lt;/D&gt;&lt;D xsi:type="xsd:double"&gt;2787.279105&lt;/D&gt;&lt;D xsi:type="xsd:double"&gt;2635.170714&lt;/D&gt;&lt;/FQL&gt;&lt;FQL&gt;&lt;Q&gt;991000^JULIAN(MSCP_TOTAL_RET_IDX_GIMI(2/27/2026,1/31/2000,M,LOC,"GROSS").DATES)&lt;/Q&gt;&lt;R&gt;314&lt;/R&gt;&lt;C&gt;1&lt;/C&gt;&lt;D xsi:type="xsd:long"&gt;46080&lt;/D&gt;&lt;D xsi:type="xsd:long"&gt;46052&lt;/D&gt;&lt;D xsi:type="xsd:long"&gt;46022&lt;/D&gt;&lt;D xsi:type="xsd:long"&gt;45989&lt;/D&gt;&lt;D xsi:type="xsd:long"&gt;45961&lt;/D&gt;&lt;D xsi:type="xsd:long"&gt;45930&lt;/D&gt;&lt;D xsi:type="xsd:long"&gt;45898&lt;/D&gt;&lt;D xsi:type="xsd:long"&gt;45869&lt;/D&gt;&lt;D xsi:type="xsd:long"&gt;45838&lt;/D&gt;&lt;D xsi:type="xsd:long"&gt;45807&lt;/D&gt;&lt;D xsi:type="xsd:long"&gt;45777&lt;/D&gt;&lt;D xsi:type="xsd:long"&gt;45747&lt;/D&gt;&lt;D xsi:type="xsd:long"&gt;45716&lt;/D&gt;&lt;D xsi:type="xsd:long"&gt;45688&lt;/D&gt;&lt;D xsi:type="xsd:long"&gt;45657&lt;/D&gt;&lt;D xsi:type="xsd:long"&gt;45625&lt;/D&gt;&lt;D xsi:type="xsd:long"&gt;45596&lt;/D&gt;&lt;D xsi:type="xsd:long"&gt;45565&lt;/D&gt;&lt;D xsi:type="xsd:long"&gt;45534&lt;/D&gt;&lt;D xsi:type="xsd:long"&gt;45504&lt;/D&gt;&lt;D xsi:type="xsd:long"&gt;45471&lt;/D&gt;&lt;D xsi:type="xsd:long"&gt;45443&lt;/D&gt;&lt;D xsi:type="xsd:long"&gt;45412&lt;/D&gt;&lt;D xsi:type="xsd:long"&gt;45379&lt;/D&gt;&lt;D xsi:type="xsd:long"&gt;45351&lt;/D&gt;&lt;D xsi:type="xsd:long"&gt;45322&lt;/D&gt;&lt;D xsi:type="xsd:long"&gt;45289&lt;/D&gt;&lt;D xsi:type="xsd:long"&gt;45260&lt;/D&gt;&lt;D xsi:type="xsd:long"&gt;45230&lt;/D&gt;&lt;D xsi:type="xsd:long"&gt;45198&lt;/D&gt;&lt;D xsi:type="xsd:long"&gt;45169&lt;/D&gt;&lt;D xsi:type="xsd:long"&gt;45138&lt;/D&gt;&lt;D xsi:type="xsd:long"&gt;45107&lt;/D&gt;&lt;D xsi:type="xsd:long"&gt;45077&lt;/D&gt;&lt;D xsi:type="xsd:long"&gt;45044&lt;/D&gt;&lt;D xsi:type="xsd:long"&gt;45016&lt;/D&gt;&lt;D xsi:type="xsd:long"&gt;44985&lt;/D&gt;&lt;D xsi:type="xsd:long"&gt;44957&lt;/D&gt;&lt;D xsi:type="xsd:long"&gt;44925&lt;/D&gt;&lt;D xsi:type="xsd:long"&gt;44895&lt;/</t>
        </r>
      </text>
    </comment>
    <comment ref="A74" authorId="0" shapeId="0">
      <text>
        <r>
          <rPr>
            <b/>
            <sz val="9"/>
            <color indexed="81"/>
            <rFont val="Tahoma"/>
            <family val="2"/>
          </rPr>
          <t>D&gt;&lt;D xsi:type="xsd:long"&gt;44865&lt;/D&gt;&lt;D xsi:type="xsd:long"&gt;44834&lt;/D&gt;&lt;D xsi:type="xsd:long"&gt;44804&lt;/D&gt;&lt;D xsi:type="xsd:long"&gt;44771&lt;/D&gt;&lt;D xsi:type="xsd:long"&gt;44742&lt;/D&gt;&lt;D xsi:type="xsd:long"&gt;44712&lt;/D&gt;&lt;D xsi:type="xsd:long"&gt;44680&lt;/D&gt;&lt;D xsi:type="xsd:long"&gt;44651&lt;/D&gt;&lt;D xsi:type="xsd:long"&gt;44620&lt;/D&gt;&lt;D xsi:type="xsd:long"&gt;44592&lt;/D&gt;&lt;D xsi:type="xsd:long"&gt;44561&lt;/D&gt;&lt;D xsi:type="xsd:long"&gt;44530&lt;/D&gt;&lt;D xsi:type="xsd:long"&gt;44498&lt;/D&gt;&lt;D xsi:type="xsd:long"&gt;44469&lt;/D&gt;&lt;D xsi:type="xsd:long"&gt;44439&lt;/D&gt;&lt;D xsi:type="xsd:long"&gt;44407&lt;/D&gt;&lt;D xsi:type="xsd:long"&gt;44377&lt;/D&gt;&lt;D xsi:type="xsd:long"&gt;44344&lt;/D&gt;&lt;D xsi:type="xsd:long"&gt;44316&lt;/D&gt;&lt;D xsi:type="xsd:long"&gt;44286&lt;/D&gt;&lt;D xsi:type="xsd:long"&gt;44253&lt;/D&gt;&lt;D xsi:type="xsd:long"&gt;44225&lt;/D&gt;&lt;D xsi:type="xsd:long"&gt;44196&lt;/D&gt;&lt;D xsi:type="xsd:long"&gt;44165&lt;/D&gt;&lt;D xsi:type="xsd:long"&gt;44134&lt;/D&gt;&lt;D xsi:type="xsd:long"&gt;44104&lt;/D&gt;&lt;D xsi:type="xsd:long"&gt;44074&lt;/D&gt;&lt;D xsi:type="xsd:long"&gt;44043&lt;/D&gt;&lt;D xsi:type="xsd:long"&gt;44012&lt;/D&gt;&lt;D xsi:type="xsd:long"&gt;43980&lt;/D&gt;&lt;D xsi:type="xsd:long"&gt;43951&lt;/D&gt;&lt;D xsi:type="xsd:long"&gt;43921&lt;/D&gt;&lt;D xsi:type="xsd:long"&gt;43889&lt;/D&gt;&lt;D xsi:type="xsd:long"&gt;43861&lt;/D&gt;&lt;D xsi:type="xsd:long"&gt;43830&lt;/D&gt;&lt;D xsi:type="xsd:long"&gt;43798&lt;/D&gt;&lt;D xsi:type="xsd:long"&gt;43769&lt;/D&gt;&lt;D xsi:type="xsd:long"&gt;43738&lt;/D&gt;&lt;D xsi:type="xsd:long"&gt;43707&lt;/D&gt;&lt;D xsi:type="xsd:long"&gt;43677&lt;/D&gt;&lt;D xsi:type="xsd:long"&gt;43644&lt;/D&gt;&lt;D xsi:type="xsd:long"&gt;43616&lt;/D&gt;&lt;D xsi:type="xsd:long"&gt;43585&lt;/D&gt;&lt;D xsi:type="xsd:long"&gt;43553&lt;/D&gt;&lt;D xsi:type="xsd:long"&gt;43524&lt;/D&gt;&lt;D xsi:type="xsd:long"&gt;43496&lt;/D&gt;&lt;D xsi:type="xsd:long"&gt;43465&lt;/D&gt;&lt;D xsi:type="xsd:long"&gt;43434&lt;/D&gt;&lt;D xsi:type="xsd:long"&gt;43404&lt;/D&gt;&lt;D xsi:type="xsd:long"&gt;43371&lt;/D&gt;&lt;D xsi:type="xsd:long"&gt;43343&lt;/D&gt;&lt;D xsi:type="xsd:long"&gt;43312&lt;/D&gt;&lt;D xsi:type="xsd:long"&gt;43280&lt;/D&gt;&lt;D xsi:type="xsd:long"&gt;43251&lt;/D&gt;&lt;D xsi:type="xsd:long"&gt;43220&lt;/D&gt;&lt;D xsi:type="xsd:long"&gt;43188&lt;/D&gt;&lt;D xsi:type="xsd:long"&gt;43159&lt;/D&gt;&lt;D xsi:type="xsd:long"&gt;43131&lt;/D&gt;&lt;D xsi:type="xsd:long"&gt;43098&lt;/D&gt;&lt;D xsi:type="xsd:long"&gt;43069&lt;/D&gt;&lt;D xsi:type="xsd:long"&gt;43039&lt;/D&gt;&lt;D xsi:type="xsd:long"&gt;43007&lt;/D&gt;&lt;D xsi:type="xsd:long"&gt;42978&lt;/D&gt;&lt;D xsi:type="xsd:long"&gt;42947&lt;/D&gt;&lt;D xsi:type="xsd:long"&gt;42916&lt;/D&gt;&lt;D xsi:type="xsd:long"&gt;42886&lt;/D&gt;&lt;D xsi:type="xsd:long"&gt;42853&lt;/D&gt;&lt;D xsi:type="xsd:long"&gt;42825&lt;/D&gt;&lt;D xsi:type="xsd:long"&gt;42794&lt;/D&gt;&lt;D xsi:type="xsd:long"&gt;42766&lt;/D&gt;&lt;D xsi:type="xsd:long"&gt;42734&lt;/D&gt;&lt;D xsi:type="xsd:long"&gt;42704&lt;/D&gt;&lt;D xsi:type="xsd:long"&gt;42674&lt;/D&gt;&lt;D xsi:type="xsd:long"&gt;42643&lt;/D&gt;&lt;D xsi:type="xsd:long"&gt;42613&lt;/D&gt;&lt;D xsi:type="xsd:long"&gt;42580&lt;/D&gt;&lt;D xsi:type="xsd:long"&gt;42551&lt;/D&gt;&lt;D xsi:type="xsd:long"&gt;42521&lt;/D&gt;&lt;D xsi:type="xsd:long"&gt;42489&lt;/D&gt;&lt;D xsi:type="xsd:long"&gt;42460&lt;/D&gt;&lt;D xsi:type="xsd:long"&gt;42429&lt;/D&gt;&lt;D xsi:type="xsd:long"&gt;42398&lt;/D&gt;&lt;D xsi:type="xsd:long"&gt;42369&lt;/D&gt;&lt;D xsi:type="xsd:long"&gt;42338&lt;/D&gt;&lt;D xsi:type="xsd:long"&gt;42307&lt;/D&gt;&lt;D xsi:type="xsd:long"&gt;42277&lt;/D&gt;&lt;D xsi:type="xsd:long"&gt;42247&lt;/D&gt;&lt;D xsi:type="xsd:long"&gt;42216&lt;/D&gt;&lt;D xsi:type="xsd:long"&gt;42185&lt;/D&gt;&lt;D xsi:type="xsd:long"&gt;42153&lt;/D&gt;&lt;D xsi:type="xsd:long"&gt;42124&lt;/D&gt;&lt;D xsi:type="xsd:long"&gt;42094&lt;/D&gt;&lt;D xsi:type="xsd:long"&gt;42062&lt;/D&gt;&lt;D xsi:type="xsd:long"&gt;42034&lt;/D&gt;&lt;D xsi:type="xsd:long"&gt;42004&lt;/D&gt;&lt;D xsi:type="xsd:long"&gt;41971&lt;/D&gt;&lt;D xsi:type="xsd:long"&gt;41943&lt;/D&gt;&lt;D xsi:type="xsd:long"&gt;41912&lt;/D&gt;&lt;D xsi:type="xsd:long"&gt;41880&lt;/D&gt;&lt;D xsi:type="xsd:long"&gt;41851&lt;/D&gt;&lt;D xsi:type="xsd:long"&gt;41820&lt;/D&gt;&lt;D xsi:type="xsd:long"&gt;41789&lt;/D&gt;&lt;D xsi:type="xsd:long"&gt;41759&lt;/D&gt;&lt;D xsi:type="xsd:long"&gt;41729&lt;/D&gt;&lt;D xsi:type="xsd:long"&gt;41698&lt;/D&gt;&lt;D xsi:type="xsd:long"&gt;41670&lt;/D&gt;&lt;D xsi:type="xsd:long"&gt;41639&lt;/D&gt;&lt;D xsi:type="xsd:long"&gt;41607&lt;/D&gt;&lt;D xsi:type="xsd:long"&gt;41578&lt;/D&gt;&lt;D xsi:type="xsd:long"&gt;41547&lt;/D&gt;&lt;D xsi:type="xsd:long"&gt;41516&lt;/D&gt;&lt;D xsi:type="xsd:long"&gt;41486&lt;/D&gt;&lt;D xsi:type="xsd:long"&gt;41453&lt;/D&gt;&lt;D xsi:type="xsd:long"&gt;41425&lt;/D&gt;&lt;D xsi:type="xsd:long"&gt;41394&lt;/D&gt;&lt;D xsi:type="xsd:long"&gt;41361&lt;/D&gt;&lt;D xsi:type="xsd:long"&gt;41333&lt;/D&gt;&lt;D xsi:type="xsd:long"&gt;41305&lt;/D&gt;&lt;D xsi:type="xsd:long"&gt;41274&lt;/D&gt;&lt;D xsi:type="xsd:long"&gt;41243&lt;/D&gt;&lt;D xsi:type="xsd:long"&gt;41213&lt;/D&gt;&lt;D xsi:type="xsd:long"&gt;41180&lt;/D&gt;&lt;D xsi:type="xsd:long"&gt;41152&lt;/D&gt;&lt;D xsi:type="xsd:long"&gt;41121&lt;/D&gt;&lt;D xsi:type="xsd:long"&gt;41089&lt;/D&gt;&lt;D xsi:type="xsd:long"&gt;41060&lt;/D&gt;&lt;D xsi:type="xsd:long"&gt;41029&lt;/D&gt;&lt;D xsi:type="xsd:long"&gt;40998&lt;/D&gt;&lt;D xsi:type="xsd:long"&gt;40968&lt;/D&gt;&lt;D xsi:type="xsd:long"&gt;40939&lt;/D&gt;&lt;D xsi:type="xsd:long"&gt;40907&lt;/D&gt;&lt;D xsi:type="xsd:long"&gt;40877&lt;/D&gt;&lt;D xsi:type="xsd:long"&gt;40847&lt;/D&gt;&lt;D xsi:type="xsd:long"&gt;40816&lt;/D&gt;&lt;D xsi:type="xsd:long"&gt;40786&lt;/D&gt;&lt;D xsi:type="xsd:long"&gt;40753&lt;/D&gt;&lt;D xsi:type="xsd:long"&gt;40724&lt;/D&gt;&lt;D xsi:type="xsd:long"&gt;40694&lt;/D&gt;&lt;D xsi:type="xsd:long"&gt;40662&lt;/D&gt;&lt;D xsi:type="xsd:long"&gt;40633&lt;/D&gt;&lt;D xsi:type="xsd:long"&gt;40602&lt;/D&gt;&lt;D xsi:type="xsd:long"&gt;40574&lt;/D&gt;&lt;D xsi:type="xsd:long"&gt;40543&lt;/D&gt;&lt;D xsi:type="xsd:long"&gt;40512&lt;/D&gt;&lt;D xsi:type="xsd:long"&gt;40480&lt;/D&gt;&lt;D xsi:type="xsd:long"&gt;40451&lt;/D&gt;&lt;D xsi:type="xsd:long"&gt;40421&lt;/D&gt;&lt;D xsi:type="xsd:long"&gt;40389&lt;/D&gt;&lt;D xsi:type="xsd:long"&gt;40359&lt;/D&gt;&lt;D xsi:type="xsd:long"&gt;40326&lt;/D&gt;&lt;D xsi:type="xsd:long"&gt;40298&lt;/D&gt;&lt;D xsi:type="xsd:long"&gt;40268&lt;/D&gt;&lt;D xsi:type="xsd:long"&gt;40235&lt;/D&gt;&lt;D xsi:type="xsd:long"&gt;40207&lt;/D&gt;&lt;D xsi:type="xsd:long"&gt;40178&lt;/D&gt;&lt;D xsi:type="xsd:long"&gt;40147&lt;/D&gt;&lt;D xsi:type="xsd:long"&gt;40116&lt;/D&gt;&lt;D xsi:type="xsd:long"&gt;40086&lt;/D&gt;&lt;D xsi:type="xsd:long"&gt;40056&lt;/D&gt;&lt;D xsi:type="xsd:long"&gt;40025&lt;/D&gt;&lt;D xsi:type="xsd:long"&gt;39994&lt;/D&gt;&lt;D xsi:type="xsd:long"&gt;39962&lt;/D&gt;&lt;D xsi:type="xsd:long"&gt;39933&lt;/D&gt;&lt;D xsi:type="xsd:long"&gt;39903&lt;/D&gt;&lt;D xsi:type="xsd:long"&gt;39871&lt;/D&gt;&lt;D xsi:type="xsd:long"&gt;39843&lt;/D&gt;&lt;D xsi:type="xsd:long"&gt;39813&lt;/D&gt;&lt;D xsi:type="xsd:long"&gt;39780&lt;/D&gt;&lt;D xsi:type="xsd:long"&gt;39752&lt;/D&gt;&lt;D xsi:type="xsd:long"&gt;39721&lt;/D&gt;&lt;D xsi:type="xsd:long"&gt;39689&lt;/D&gt;&lt;D xsi:type="xsd:long"&gt;39660&lt;/D&gt;&lt;D xsi:type="xsd:long"&gt;39629&lt;/D&gt;&lt;D xsi:type="xsd:long"&gt;39598&lt;/D&gt;&lt;D xsi:type="xsd:long"&gt;39568&lt;/D&gt;&lt;D xsi:type="xsd:long"&gt;39538&lt;/D&gt;&lt;D xsi:type="xsd:long"&gt;39507&lt;/D&gt;&lt;D xsi:type="xsd:long"&gt;39478&lt;/D&gt;&lt;D xsi:type="xsd:long"&gt;39447&lt;/D&gt;&lt;D xsi:type="xsd:long"&gt;39416&lt;/D&gt;&lt;D xsi:type="xsd:long"&gt;39386&lt;/D&gt;&lt;D xsi:type="xsd:long"&gt;39353&lt;/D&gt;&lt;D xsi:type="xsd:long"&gt;39325&lt;/D&gt;&lt;D xsi:type="xsd:long"&gt;39294&lt;/D&gt;&lt;D xsi:type="xsd:long"&gt;39262&lt;/D&gt;&lt;D xsi:type="xsd:long"&gt;39233&lt;/D&gt;&lt;D xsi:type="xsd:long"&gt;39202&lt;/D&gt;&lt;D xsi:type="xsd:long"&gt;39171&lt;/D&gt;&lt;D xsi:type="xsd:long"&gt;39141&lt;/D&gt;&lt;D xsi:type="xsd:long"&gt;39113&lt;/D&gt;&lt;D xsi:type="xsd:long"&gt;39080&lt;/D&gt;&lt;D xsi:type="xsd:long"&gt;39051&lt;/D&gt;&lt;D xsi:type="xsd:long"&gt;39021&lt;/D&gt;&lt;D xsi:type="xsd:long"&gt;38989&lt;/D&gt;&lt;D xsi:type="xsd:long"&gt;38960&lt;/D&gt;&lt;D xsi:type="xsd:long"&gt;38929&lt;/D&gt;&lt;D xsi:type="xsd:long"&gt;38898&lt;/D&gt;&lt;D xsi:type="xsd:long"&gt;38868&lt;/D&gt;&lt;D xsi:type="xsd:long"&gt;38835&lt;/D&gt;&lt;D xsi:type="xsd:long"&gt;38807&lt;/D&gt;&lt;D xsi:type="xsd:long"&gt;38776&lt;/D&gt;&lt;D xsi:type="xsd:long"&gt;38748&lt;/D&gt;&lt;D xsi:type="xsd:long"&gt;38716&lt;/D&gt;&lt;D xsi:type="xsd:long"&gt;38686&lt;/D&gt;&lt;D xsi:type="xsd:long"&gt;38656&lt;/D&gt;&lt;D xsi:type="xsd:long"&gt;38625&lt;/D&gt;&lt;D xsi:type="xsd:long"&gt;38595&lt;/D&gt;&lt;D xsi:type="xsd:long"&gt;38562&lt;/D&gt;&lt;D xsi:type="xsd:long"&gt;38533&lt;/D&gt;&lt;D xsi:type="xsd:long"&gt;38503&lt;/D&gt;&lt;D xsi:type="xsd:long"&gt;38471&lt;/D&gt;&lt;D xsi:type="xsd:long"&gt;38442&lt;/D&gt;&lt;D xsi:type="xsd:long"&gt;38411&lt;/D&gt;&lt;D xsi:type="xsd:long"&gt;38383&lt;/D&gt;&lt;D xsi:type="xsd:long"&gt;38352&lt;/D&gt;&lt;D xsi:type="xsd:long"&gt;38321&lt;/D&gt;&lt;D xsi:type="xsd:long"&gt;38289&lt;/D&gt;&lt;D xsi:type="xsd:long"&gt;38260&lt;/D&gt;&lt;D xsi:type="xsd:long"&gt;38230&lt;/D&gt;&lt;D xsi:type="xsd:long"&gt;38198&lt;/D&gt;&lt;D xsi:type="xsd:long"&gt;38168&lt;/D&gt;&lt;D xsi:type="xsd:long"&gt;38135&lt;/D&gt;&lt;D xsi:type="xsd:long"&gt;38107&lt;/D&gt;&lt;D xsi:type="xsd:long"&gt;38077&lt;/D&gt;&lt;D xsi:type="xsd:long"&gt;38044&lt;/D&gt;&lt;D xsi:type="xsd:long"&gt;38016&lt;/D&gt;&lt;D xsi:type="xsd:long"&gt;37986&lt;/D&gt;&lt;D xsi:type="xsd:long"&gt;37953&lt;/D&gt;&lt;D xsi:type="xsd:long"&gt;37925&lt;/D&gt;&lt;D xsi:type="xsd:long"&gt;37894&lt;/D&gt;&lt;D xsi:type="xsd:long"&gt;37862&lt;/D&gt;&lt;D xsi:type="xsd:long"&gt;37833&lt;/D&gt;&lt;D xsi:type="xsd:long"&gt;37802&lt;/D&gt;&lt;D xsi:type="xsd:long"&gt;37771&lt;/D&gt;&lt;D xsi:type="xsd:long"&gt;37741&lt;/D&gt;&lt;D xsi:type="xsd:long"&gt;37711&lt;/D&gt;&lt;D xsi:type="xsd:long"&gt;37680&lt;/D&gt;&lt;D xsi:type="xsd:long"&gt;37652&lt;/D&gt;&lt;D xsi:type="xsd:long"&gt;37621&lt;/D&gt;&lt;D xsi:type="xsd:long"&gt;37589&lt;/D&gt;&lt;D xsi:type="xsd:long"&gt;37560&lt;/D&gt;&lt;D xsi:type="xsd:long"&gt;37529&lt;/D&gt;&lt;D xsi:type="xsd:long"&gt;37498&lt;/D&gt;&lt;D xsi:type="xsd:long"&gt;37468&lt;/D&gt;&lt;D xsi:type="xsd:long"&gt;37435&lt;/D&gt;&lt;D xsi:type="xsd:long"&gt;37407&lt;/D&gt;&lt;D xsi:type="xsd:long"&gt;37376&lt;/D&gt;&lt;D xsi:type="xsd:long"&gt;37343&lt;/D&gt;&lt;D xsi:type="xsd:long"&gt;37315&lt;/D&gt;&lt;D xsi:type="xsd:long"&gt;37287&lt;/D&gt;&lt;D xsi:type="xsd:long"&gt;37256&lt;/D&gt;&lt;D xsi:type="xsd:long"&gt;37225&lt;/D&gt;&lt;D xsi:type="xsd:long"&gt;37195&lt;/D&gt;&lt;D xsi:type="xsd:long"&gt;37162&lt;/D&gt;&lt;D xsi:type="xsd:long"&gt;37134&lt;/D&gt;&lt;D xsi:type="xsd:long"&gt;37103&lt;/D&gt;&lt;D xsi:type="xsd:long"&gt;37071&lt;/D&gt;&lt;D xsi:type="xsd:long"&gt;37042&lt;/D&gt;&lt;D xsi:type="xsd:long"&gt;37011&lt;/D&gt;&lt;D xsi:type="xsd:long"&gt;36980&lt;/D&gt;&lt;D xsi:type="xsd:long"&gt;36950&lt;/D&gt;&lt;D xsi:type="xsd:long"&gt;36922&lt;/D&gt;&lt;D xsi:type="xsd:long"&gt;36889&lt;/D&gt;&lt;D xsi:type="xsd:long"&gt;36860&lt;/D&gt;&lt;D xsi:type="xsd:long"&gt;36830&lt;/D&gt;&lt;D xsi:type="xsd:long"&gt;36798&lt;/D&gt;&lt;D xsi:type="xsd:long"&gt;36769&lt;/D&gt;&lt;D xsi:type="xsd:long"&gt;36738&lt;/D&gt;&lt;D xsi:type="xsd:long"&gt;36707&lt;/D&gt;&lt;D xsi:type="xsd:long"&gt;36677&lt;/D&gt;&lt;D xsi:type="xsd:long"&gt;36644&lt;/D&gt;&lt;D xsi:type="xsd:long"&gt;36616&lt;/D&gt;&lt;D xsi:type="xsd:long"&gt;36585&lt;/D&gt;&lt;D xsi:type="xsd:long"&gt;36556&lt;/D&gt;&lt;/FQL&gt;&lt;FQL&gt;&lt;Q&gt;892400^MSCP_TOTAL_RET_IDX_GIMI(2/27/2026,1/31/2000,M,LOC,"GROSS")&lt;/Q&gt;&lt;R&gt;314&lt;/R&gt;&lt;C&gt;1&lt;/C&gt;&lt;D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xsi:type="xsd:double"&gt;569.669041311044&lt;/D&gt;&lt;D xsi:type="xsd:double"&gt;621.852983981049&lt;/D&gt;&lt;D xsi:type="xsd:double"&gt;610.614424494646&lt;/D&gt;&lt;D xsi:type="xsd:double"&gt;574.087290726519&lt;/D&gt;&lt;D xsi:type="xsd:double"&gt;588.075466403961&lt;/D&gt;&lt;D xsi:type="xsd:double"&gt;592.835730605987&lt;/D&gt;&lt;D xsi:type="xsd:double"&gt;650.42989573714&lt;/D&gt;&lt;D xsi:type="xsd:double"&gt;654.709874736795&lt;/D&gt;&lt;D xsi:type="xsd:double"&gt;684.120824416654&lt;/D&gt;&lt;D xsi:type="xsd:double"&gt;664.97002379528&lt;/D&gt;&lt;D xsi:type="xsd:double"&gt;641.804887098785&lt;/D&gt;&lt;D xsi:type="xsd:double"&gt;642.443847070131&lt;/D&gt;&lt;D xsi:type="xsd:double"&gt;657.437603978542&lt;/D&gt;&lt;D xsi:type="xsd:double"&gt;660.39917&lt;/D&gt;&lt;D xsi:type="xsd:double"&gt;637.922972&lt;/D&gt;&lt;D xsi:type="xsd:double"&gt;616.057524&lt;/D&gt;&lt;D xsi:type="xsd:double"&gt;606.093876&lt;/D&gt;&lt;D xsi:type="xsd:double"&gt;613.265955&lt;/D&gt;&lt;D xsi:type="xsd:double"&gt;603.715503&lt;/D&gt;&lt;D xsi:type="xsd:double"&gt;587.400629&lt;/D&gt;&lt;D xsi:type="xsd:double"&gt;578.535929&lt;/D&gt;&lt;D xsi:type="xsd:double"&gt;561.226731&lt;/D&gt;&lt;D xsi:type="xsd:double"&gt;551.42311&lt;/D&gt;&lt;D xsi:type="xsd:double"&gt;537.380634&lt;/D&gt;&lt;D xsi:type="xsd:double"&gt;533.315194&lt;/D&gt;&lt;D xsi:type="xsd:double"&gt;530.131939&lt;/D&gt;&lt;D xsi:type="xsd:double"&gt;554.534657&lt;/D&gt;&lt;D xsi:type="xsd:double"&gt;547.622297&lt;/D&gt;&lt;D xsi:type="xsd:double"&gt;535.013614&lt;/D&gt;&lt;D xsi:type="xsd:double"&gt;533.373706&lt;/D&gt;&lt;D xsi:type="xsd:double"&gt;515.354176&lt;/D&gt;&lt;D xsi:type="xsd:double"&gt;503.549198&lt;/D&gt;&lt;D xsi:type="xsd:double"&gt;482.589854&lt;/D&gt;&lt;D xsi:type="xsd:double"&gt;492.379694&lt;/D&gt;&lt;D xsi:type="xsd:double"&gt;475.357956&lt;/D&gt;&lt;D xsi:type="xsd:double"&gt;474.314594&lt;/D&gt;&lt;D xsi:type="xsd:double"&gt;456.177822&lt;/D&gt;&lt;D xsi:type="xsd:double"&gt;447.953512&lt;/D&gt;&lt;D xsi:type="xsd:double"&gt;431.979775&lt;/D&gt;&lt;D xsi:type="xsd:double"&gt;441.922779&lt;/D&gt;&lt;D xsi:type="xsd:double"&gt;447.17316&lt;/D&gt;&lt;D xsi:type="xsd:double"&gt;435.102811&lt;/D&gt;&lt;D xsi:type="xsd:double"&gt;439.491131&lt;/D&gt;&lt;D xsi:type="xsd:double"&gt;425.096538&lt;/D&gt;&lt;D xsi:type="xsd:double"&gt;411.231943&lt;/D&gt;&lt;D xsi:type="xsd:double"&gt;406.205255&lt;/D&gt;&lt;D xsi:type="xsd:double"&gt;400.355605&lt;/D&gt;&lt;D xsi:type="xsd:double"&gt;398.808258&lt;/D&gt;&lt;D xsi:type="xsd:double"&gt;410.300102&lt;/D&gt;&lt;D xsi:type="xsd:double"&gt;402.157328&lt;/D&gt;&lt;D xsi:type="xsd:double"&gt;401.45664&lt;/D&gt;&lt;D xsi:type="xsd:double"&gt;404.178861&lt;/D&gt;&lt;D xsi:type="xsd:double"&gt;407.539681&lt;/D&gt;&lt;D xsi:type="xsd:double"&gt;399.595103&lt;/D&gt;&lt;D xsi:type="xsd:double"&gt;392.338918&lt;/D&gt;&lt;D xsi:type="xsd:double"&gt;375.189303&lt;/D&gt;&lt;D xsi:type="xsd:double"&gt;372.550259&lt;/D&gt;&lt;D xsi:type="xsd:double"&gt;353.105768&lt;/D&gt;&lt;D xsi:type="xsd:double"&gt;358.346899&lt;/D&gt;&lt;D xsi:type="xsd:double"&gt;349.474866&lt;/D&gt;&lt;D xsi:type="xsd:double"&gt;339.858579&lt;/D&gt;&lt;D xsi:type="xsd:double"&gt;332.680641&lt;/D&gt;&lt;D xsi:type="xsd:double"&gt;318.126332&lt;/D&gt;&lt;D xsi:type="xsd:double"&gt;294.571126&lt;/D&gt;&lt;D xsi:type="xsd:double"&gt;295.966133&lt;/D&gt;&lt;D xsi:type="xsd:double"&gt;300.773252&lt;/D&gt;&lt;D xsi:type="xsd:double"&gt;311.880352&lt;/D&gt;&lt;D xsi:type="xsd:double"&gt;332.354815&lt;/D&gt;&lt;D xsi:type="xsd:double"&gt;315.910965&lt;/D&gt;&lt;D xsi:type="xsd:double"&gt;294.618734&lt;/D&gt;&lt;D xsi:type="xsd:double"&gt;329.62337&lt;/D&gt;&lt;D xsi:type="xsd:double"&gt;328.255669&lt;/D&gt;&lt;D xsi:type="xsd:double"&gt;357.540277&lt;/D&gt;&lt;D xsi:type="xsd:double"&gt;386.83979&lt;/D&gt;&lt;D xsi:type="xsd:double"&gt;390.976335&lt;/D&gt;&lt;D xsi:type="xsd:double"&gt;407.537277&lt;/D&gt;&lt;D xsi:type="xsd:double"&gt;389.529509&lt;/D&gt;&lt;D xsi:type="xsd:double"&gt;393.164521&lt;/D&gt;&lt;D xsi:type="xsd:double"&gt;400.263906&lt;/D&gt;&lt;D xsi:type="xsd:double"&gt;393.360251&lt;/D&gt;&lt;D xsi:type="xsd:double"&gt;369.872756&lt;/D&gt;&lt;D xsi:type="xsd:double"&gt;358.27866&lt;/D&gt;&lt;D xsi:type="xsd:double"&gt;395.390276&lt;/D&gt;&lt;D xsi:type="xsd:double"&gt;420.11772&lt;/D&gt;&lt;D xsi:type="xsd:double"&gt;432.26746&lt;/D&gt;&lt;D xsi:type="xsd:double"&gt;442.56598&lt;/D&gt;&lt;D xsi:type="xsd:double"&gt;444.759394&lt;/D&gt;&lt;D xsi:type="xsd:double"&gt;414.618336&lt;/D&gt;&lt;D xsi:type="xsd:double"&gt;438.067471&lt;/D&gt;&lt;D xsi:type="xsd:double"&gt;478.006126&lt;/D&gt;&lt;D xsi:type="xsd:double"&gt;462.62911&lt;/D&gt;&lt;D xsi:type="xsd:double"&gt;462.148292&lt;/D&gt;&lt;D xsi:type="xsd:double"&gt;499.561163&lt;/D&gt;&lt;D xsi:type="xsd:double"&gt;508.190656&lt;/D&gt;&lt;D xsi:type="xsd:double"&gt;534.894777&lt;/D&gt;&lt;D xsi:type="xsd:double"&gt;507.7534&lt;/D&gt;&lt;D xsi:type="xsd:double"&gt;517.81226&lt;/D&gt;&lt;D xsi:type="xsd:double"&gt;502.379896&lt;/D&gt;&lt;D xsi:type="xsd:double"&gt;520.385573&lt;/D&gt;&lt;D xsi:type="xsd:double"&gt;542.151638&lt;/D&gt;&lt;D xsi:type="xsd:double"&gt;523.79701&lt;/D&gt;&lt;D xsi:type="xsd:double"&gt;507.553873&lt;/D&gt;&lt;/FQL&gt;&lt;FQL&gt;&lt;Q&gt;892400^JULIAN(MSCP_TOTAL_RET_IDX_GIMI(2/27/2026,1/31/2000,M,LOC,"GROSS").DATES)&lt;/Q&gt;&lt;R&gt;314&lt;/R&gt;&lt;C&gt;1&lt;/C&gt;&lt;D xsi:type="xsd:long"&gt;46080&lt;/D&gt;&lt;D xsi:type="xsd:long"&gt;46052&lt;/D&gt;&lt;D xsi:type="xsd:long"&gt;46022&lt;/D&gt;&lt;D xsi:type="xsd:long"&gt;45989&lt;/D&gt;&lt;D xsi:type="xsd:long"&gt;45961&lt;/D&gt;&lt;D xsi:type="xsd:long"&gt;45930&lt;/D&gt;&lt;D xsi:type="xsd:long"&gt;45898&lt;/D&gt;&lt;D xsi:type="xsd:long"&gt;45869&lt;/D&gt;&lt;D xsi:type="xsd:long"&gt;45838&lt;/D&gt;&lt;D xsi:type="xsd:long"&gt;45807&lt;/D&gt;&lt;D xsi:type="xsd:long"&gt;45777&lt;/D&gt;&lt;D xsi:type="xsd:long"&gt;45747&lt;/D&gt;&lt;D xsi:type="xsd:long"&gt;45716&lt;/D&gt;&lt;D xsi:type="xsd:long"&gt;45688&lt;/D&gt;&lt;D xsi:type="xsd:long"&gt;45657&lt;/D&gt;&lt;D xsi:type="xsd:long"&gt;45625&lt;/D&gt;&lt;D xsi:type="xsd:long"&gt;45596&lt;/D&gt;&lt;D xsi:type="xsd:long"&gt;45565&lt;/D&gt;&lt;D xsi:type="xsd:long"&gt;45534&lt;/D&gt;&lt;D xsi:type="xsd:long"&gt;45504&lt;/D&gt;&lt;D xsi:type="xsd:long"&gt;45471&lt;/D&gt;&lt;D xsi:type="xsd:long"&gt;45443&lt;/D&gt;&lt;D xsi:type="xsd:long"&gt;45412&lt;/D&gt;&lt;D xsi:type="xsd:long"&gt;45379&lt;/D&gt;&lt;D xsi:type="xsd:long"&gt;45351&lt;/D&gt;&lt;D xsi:type="xsd:long"&gt;45322&lt;/D&gt;&lt;D xsi:type="xsd:long"&gt;45289&lt;/D&gt;&lt;D xsi:type="xsd:long"&gt;45260&lt;/D&gt;&lt;D xsi:type="xsd:long"&gt;45230&lt;/D&gt;&lt;D xsi:type="xsd:long"&gt;45198&lt;/D&gt;&lt;D xsi:type="xsd:long"&gt;45169&lt;/D&gt;&lt;D xsi:type="xsd:long"&gt;45138&lt;/D&gt;&lt;D xsi:type="xsd:long"&gt;45107&lt;/D&gt;&lt;D xsi:type="xsd:long"&gt;45077&lt;/D&gt;&lt;D xsi:type="xsd:long"&gt;45044&lt;/D&gt;&lt;D xsi:type="xsd:long"&gt;45016&lt;/D&gt;&lt;D xsi:type="xsd:long"&gt;44985&lt;/D&gt;&lt;D xsi:type="xsd:long"&gt;44957&lt;/D&gt;&lt;D xsi:type="xsd:long"&gt;44925&lt;/D&gt;&lt;D xsi:type="xsd:long"&gt;44895&lt;/D&gt;&lt;D xsi:type="xsd:long"&gt;44865&lt;/D&gt;&lt;D xsi:type="xsd:long"&gt;44834&lt;/D&gt;&lt;D xsi:type="xsd:long"&gt;44804&lt;/D&gt;&lt;D xsi:type="xsd:long"&gt;44771&lt;/D&gt;&lt;D xsi:type="xsd:long"&gt;44742&lt;/D&gt;&lt;D xsi:type="xsd:long"&gt;44712&lt;/D&gt;&lt;D xsi:type="xsd:long"&gt;44680&lt;/D&gt;&lt;D xsi:type="xsd:long"&gt;44651&lt;/D&gt;&lt;D xsi:type="xsd:long"&gt;44620&lt;/D&gt;&lt;D xsi:type="xsd:long"&gt;44592&lt;/D&gt;&lt;D xsi:type="xsd:long"&gt;44561&lt;/D&gt;&lt;D xsi:type="xsd:long"&gt;44530&lt;/D&gt;&lt;D xsi:type="xsd:long"&gt;44498&lt;/D&gt;&lt;D xsi:type="xsd:long"&gt;44469&lt;/D&gt;&lt;D xsi:type="xsd:long"&gt;44439&lt;/D&gt;&lt;D xsi:type="xsd:long"&gt;44407&lt;/D&gt;&lt;D xsi:type="xsd:long"&gt;44377&lt;/D&gt;&lt;D xsi:type="xsd:long"&gt;44344&lt;/D&gt;&lt;D xsi:type="xsd:long"&gt;44316&lt;/D&gt;&lt;D xsi:type="xsd:long"&gt;44286&lt;/D&gt;&lt;D xsi:type="xsd:long"&gt;44253&lt;/D&gt;&lt;D xsi:type="xsd:long"&gt;44225&lt;/D&gt;&lt;D xsi:type="xsd:long"&gt;44196&lt;/D&gt;&lt;D xsi:type="xsd:long"&gt;44165&lt;/D&gt;&lt;D xsi:type="xsd:long"&gt;44134&lt;/D&gt;&lt;D xsi:type="xsd:long"&gt;44104&lt;/D&gt;&lt;D xsi:type="xsd:long"&gt;44074&lt;/D&gt;&lt;D xsi:type="xsd:long"&gt;44043&lt;/D&gt;&lt;D xsi:type="xsd:long"&gt;44012&lt;/D&gt;&lt;D xsi:type="xsd:long"&gt;43980&lt;/D&gt;&lt;D xsi:type="xsd:long"&gt;43951&lt;/D&gt;&lt;D xsi:type="xsd:long"&gt;43921&lt;/D&gt;&lt;D xsi:type="xsd:long"&gt;43889&lt;/D&gt;&lt;D xsi:type="xsd:long"&gt;43861&lt;/D&gt;&lt;D xsi:type="xsd:long"&gt;43830&lt;/D&gt;&lt;D xsi:type="xsd:long"&gt;43798&lt;/D&gt;&lt;D xsi:type="xsd:long"&gt;43769&lt;/D&gt;&lt;D xsi:type="xsd:long"&gt;43738&lt;/D&gt;&lt;D xsi:type="xsd:long"&gt;43707&lt;/D&gt;&lt;D xsi:type="xsd:long"&gt;43677&lt;/D&gt;&lt;D xsi:type="xsd:long"&gt;43644&lt;/D&gt;&lt;D xsi:type="xsd:long"&gt;43616&lt;/D&gt;&lt;D xsi:type="xsd:long"&gt;43585&lt;/D&gt;&lt;D xsi:type="xsd:long"&gt;43553&lt;/D&gt;&lt;D xsi:type="xsd:long"&gt;43524&lt;/D&gt;&lt;D xsi:type="xsd:long"&gt;43496&lt;/D&gt;&lt;D xsi:type="xsd:long"&gt;43465&lt;/D&gt;&lt;D xsi:type="xsd:long"&gt;43434&lt;/D&gt;&lt;D xsi:type="xsd:long"&gt;43404&lt;/D&gt;&lt;D xsi:type="xsd:long"&gt;43371&lt;/D&gt;&lt;D xsi:type="xsd:long"&gt;43343&lt;/D&gt;&lt;D xsi:type="xsd:long"&gt;43312&lt;/D&gt;&lt;D xsi:type="xsd:long"&gt;43280&lt;/D&gt;&lt;D xsi:type="xsd:long"&gt;43251&lt;/D&gt;&lt;D xsi:type="xsd:long"&gt;43220&lt;/D&gt;&lt;D xsi:type="xsd:long"&gt;43188&lt;/D&gt;&lt;D xsi:type="xsd:long"&gt;43159&lt;/D&gt;&lt;D xsi:type="xsd:long"&gt;43131&lt;/D&gt;&lt;D xsi:type="xsd:long"&gt;43098&lt;/D&gt;&lt;D xsi:type="xsd:long"&gt;43069&lt;/D&gt;&lt;D xsi:type="xsd:long"&gt;43039&lt;/D&gt;&lt;D xsi:type="xsd:long"&gt;43007&lt;/D&gt;&lt;D xsi:type="xsd:long"&gt;42978&lt;/D&gt;&lt;D xsi:type="xsd:long"&gt;42947&lt;/D&gt;&lt;D xsi:type="xsd:long"&gt;42916&lt;/D&gt;&lt;D xsi:type="xsd:long"&gt;42886&lt;/D&gt;&lt;D xsi:type="xsd:long"&gt;42853&lt;/D&gt;&lt;D xsi:type="xsd:long"&gt;42825&lt;/D&gt;&lt;D xsi:type="xsd:long"&gt;42794&lt;/D&gt;&lt;D xsi:type="xsd:long"&gt;42766&lt;/D&gt;&lt;D xsi:type="xsd:long"&gt;42734&lt;/D&gt;&lt;D xsi:type="xsd:long"&gt;42704&lt;/D&gt;&lt;D xsi:type="xsd:long"&gt;42674&lt;/D&gt;&lt;D xsi:type="xsd:long"&gt;42643&lt;/D&gt;&lt;D xsi:type="xsd:long"&gt;42613&lt;/D&gt;&lt;D xsi:type="xsd:long"&gt;42580&lt;/D&gt;&lt;D xsi:type="xsd:long"&gt;42551&lt;/D&gt;&lt;D xsi:type="xsd:long"&gt;42521&lt;/D&gt;&lt;D xsi:type="xsd:long"&gt;42489&lt;/D&gt;&lt;D xsi:type="xsd:long"&gt;42460&lt;/D&gt;&lt;D xsi:type="xsd:long"&gt;42429&lt;/D&gt;&lt;D xsi:type="xsd:long"&gt;42398&lt;/D&gt;&lt;D xsi:type="xsd:long"&gt;42369&lt;/D&gt;&lt;D xsi:type="xsd:long"&gt;42338&lt;/D&gt;&lt;D xsi:type="xsd:long"&gt;42307&lt;/D&gt;&lt;D xsi:type="xsd:long"&gt;42277&lt;/D&gt;&lt;D xsi:type="xsd:long"&gt;42247&lt;/D&gt;&lt;D xsi:type="xsd:long"&gt;42216&lt;/D&gt;&lt;D xsi:type="xsd:long"&gt;42185&lt;/D&gt;&lt;D xsi:type="xsd:long"&gt;42153&lt;/D&gt;&lt;D xsi:type="xsd:long"&gt;42124&lt;/D&gt;&lt;D xsi:type="xsd:long"&gt;42094&lt;/D&gt;&lt;D xsi:type="xsd:long"&gt;42062&lt;/D&gt;&lt;D xsi:type="xsd:long"&gt;42034&lt;/D&gt;&lt;D xsi:type="xsd:long"&gt;42004&lt;/D&gt;&lt;D xsi:type="xsd:long"&gt;41971&lt;/D&gt;&lt;D xsi:type="xsd:long"&gt;41943&lt;/D&gt;&lt;D xsi:type="xsd:long"&gt;41912&lt;/D&gt;&lt;D xsi:type="xsd:long"&gt;41880&lt;/D&gt;&lt;D xsi:type="xsd:long"&gt;41851&lt;/D&gt;&lt;D xsi:type="xsd:long"&gt;41820&lt;/D&gt;&lt;D xsi:type="xsd:long"&gt;41789&lt;/D&gt;&lt;D xsi:type="xsd:long"&gt;41759&lt;/D&gt;&lt;D xsi:type="xsd:long"&gt;41729&lt;/D&gt;&lt;D xsi:type="xsd:long"&gt;41698&lt;/D&gt;&lt;D xsi:type="xsd:long"&gt;41670&lt;/D&gt;&lt;D xsi:type="xsd:long"&gt;41639&lt;/D&gt;&lt;D xsi:type="xsd:long"&gt;41607&lt;/D&gt;&lt;D xsi:type="xsd:long"&gt;41578&lt;/D&gt;&lt;D xsi:type="xsd:long"&gt;41547&lt;/D&gt;&lt;D xsi:type="xsd:long"&gt;41516&lt;/D&gt;&lt;D xsi:type="xsd:long"&gt;41486&lt;/D&gt;&lt;D xsi:type="xsd:long"&gt;41453&lt;/D&gt;&lt;D xsi:type="xsd:long"&gt;41425&lt;/D&gt;&lt;D xsi:type="xsd:long"&gt;41394&lt;/D&gt;&lt;D xsi:type="xsd:long"&gt;41361&lt;/D&gt;&lt;D xsi:type="xsd:long"&gt;41333&lt;/D&gt;&lt;D xsi:type="xsd:long"&gt;41305&lt;/D&gt;&lt;D xsi:type="xsd:long"&gt;41274&lt;/D&gt;&lt;D xsi:type="xsd:long"&gt;41243&lt;/D&gt;&lt;D xsi:type="xsd:long"&gt;41213&lt;/D&gt;&lt;D xsi:type="xsd:long"&gt;41180&lt;/D&gt;&lt;D xsi:type="xsd:long"&gt;41152&lt;/D&gt;&lt;D xsi:type="xsd:long"&gt;41121&lt;/D&gt;&lt;D xsi:type="xsd:long"&gt;41089&lt;/D&gt;&lt;D xsi:type="xsd:long"&gt;41060&lt;/D&gt;&lt;D xsi:type="xsd:long"&gt;41029&lt;/D&gt;&lt;D xsi:type="xsd:long"&gt;40998&lt;/D&gt;&lt;D xsi:type="xsd:long"&gt;40968&lt;/D&gt;&lt;D xsi:type="xsd:long"&gt;40939&lt;/D&gt;&lt;D xsi:type="xsd:long"&gt;40907&lt;/D&gt;&lt;D xsi:type="xsd:long"&gt;40877&lt;/D&gt;&lt;D xsi:type="xsd:long"&gt;40847&lt;/D&gt;&lt;D xsi:type="xsd:long"&gt;40816&lt;/D&gt;&lt;D xsi:type="xsd:long"&gt;40786&lt;/D&gt;&lt;D xsi:type="xsd:long"&gt;40753&lt;/D&gt;&lt;D xsi:type="xsd:long"&gt;40724&lt;/D&gt;&lt;D xsi:type="xsd:long"&gt;40694&lt;/D&gt;&lt;D xsi:type="xsd:long"&gt;40662&lt;/D&gt;&lt;D xsi:type="xsd:long"&gt;40633&lt;/D&gt;&lt;D xsi:type="xsd:long"&gt;40602&lt;/D&gt;&lt;D xsi:type="xsd:long"&gt;40574&lt;/D&gt;&lt;D xsi:type="xsd:long"&gt;40543&lt;/D&gt;&lt;D xsi:type="xsd:long"&gt;40512&lt;/D&gt;&lt;D xsi:type="xsd:long"&gt;40480&lt;/D&gt;&lt;D xsi:type="xsd:long"&gt;40451&lt;/D&gt;&lt;D xsi:type="xsd:long"&gt;40421&lt;/D&gt;&lt;D xsi:type="xsd:long"&gt;40389&lt;/D&gt;&lt;D xsi:type="xsd:long"&gt;40359&lt;/D&gt;&lt;D xsi:type="xsd:long"&gt;40326&lt;/D&gt;&lt;D xsi:type="xsd:long"&gt;40298&lt;/D&gt;&lt;D xsi:type="xsd:long"&gt;40268&lt;/D&gt;&lt;D xsi:type="xsd:long"&gt;40235&lt;/D&gt;&lt;D xsi:type="xsd:long"&gt;40207&lt;/D&gt;&lt;D xsi:type="xsd:long"&gt;40178&lt;/D&gt;&lt;D xsi:type="xsd:long"&gt;40147&lt;/D&gt;&lt;D xsi:type="xsd:long"&gt;40116&lt;/D&gt;&lt;D xsi:type="xsd:long"&gt;40086&lt;/D&gt;&lt;D xsi:type="xsd:long"&gt;40056&lt;/D&gt;&lt;D xsi:type="xsd:long"&gt;40025&lt;/D&gt;&lt;D xsi:type="xsd:long"&gt;39994&lt;/D&gt;&lt;D xsi:type="xsd:long"&gt;39962&lt;/D&gt;&lt;D xsi:type="xsd:long"&gt;39933&lt;/D&gt;&lt;D xsi:type="xsd:long"&gt;39903&lt;/D&gt;&lt;D xsi:type="xsd:long"&gt;39871&lt;/D&gt;&lt;D xsi:type="xsd:long"&gt;39843&lt;/D&gt;&lt;D xsi:type="xsd:long"&gt;39813&lt;/D&gt;&lt;D xsi:type="xsd:long"&gt;39780&lt;/D&gt;&lt;D xsi:type="xsd:long"&gt;39752&lt;/D&gt;&lt;D xsi:type="xsd:long"&gt;39721&lt;/D&gt;&lt;D xsi:type="xsd:long"&gt;39689&lt;/D&gt;&lt;D xsi:type="xsd:long"&gt;39660&lt;/D&gt;&lt;D xsi:type="xsd:long"&gt;39629&lt;/D&gt;&lt;D xsi:type="xsd:long"&gt;39598&lt;/D&gt;&lt;D xsi:type="xsd:long"&gt;39568&lt;/D&gt;&lt;D xsi:type="xsd:long"&gt;39538&lt;/D&gt;&lt;D xsi:type="xsd:long"&gt;39507&lt;/D&gt;&lt;D xsi:type="xsd:long"&gt;39478&lt;/D&gt;&lt;D xsi:type="xsd:long"&gt;39447&lt;/D&gt;&lt;D xsi:type="xsd:long"&gt;39416&lt;/D&gt;&lt;D xsi:type="xsd:long"&gt;39386&lt;/D&gt;&lt;D xsi:type="xsd:long"&gt;39353&lt;/D&gt;&lt;D xsi:type="xsd:long"&gt;39325&lt;/D&gt;&lt;D xsi:type="xsd:long"&gt;39294&lt;/D&gt;&lt;D xsi:type="xsd:long"&gt;39262&lt;/D&gt;&lt;D xsi:type="xsd:long"&gt;39233&lt;/D&gt;&lt;D xsi:type="xsd:long"&gt;39202&lt;/D&gt;&lt;D xsi:type="xsd:long"&gt;39171&lt;/D&gt;&lt;D xsi:type="xsd:long"&gt;39141&lt;/D&gt;&lt;D xsi:type="xsd:long"&gt;39113&lt;/D&gt;&lt;D xsi:type="xsd:long"&gt;39080&lt;/D&gt;&lt;D xsi:type="xsd:long"&gt;39051&lt;/D&gt;&lt;D xsi:type="xsd:long"&gt;39021&lt;/D&gt;&lt;D xsi:type="xsd:long"&gt;38989&lt;/D&gt;&lt;D xsi:type="xsd:long"&gt;38960&lt;/D&gt;&lt;D xsi:type="xsd:long"&gt;38929&lt;/D&gt;&lt;D xsi:type="xsd:long"&gt;38898&lt;/D&gt;&lt;D xsi:type="xsd:long"&gt;38868&lt;/D&gt;&lt;D xsi:type="xsd:long"&gt;38835&lt;/D&gt;&lt;D xsi:type="xsd:long"&gt;38807&lt;/D&gt;&lt;D xsi:type="xsd:long"&gt;38776&lt;/D&gt;&lt;D xsi:type="xsd:long"&gt;38748&lt;/D&gt;&lt;D xsi:type="xsd:long"&gt;38716&lt;/D&gt;&lt;D xsi:type="xsd:long"&gt;38686&lt;/D&gt;&lt;D xsi:type="xsd:long"&gt;38656&lt;/D&gt;&lt;D xsi:type="xsd:long"&gt;38625&lt;/D&gt;&lt;D xsi:type="xsd:long"&gt;38595&lt;/D&gt;&lt;D xsi:type="xsd:long"&gt;38562&lt;/D&gt;&lt;D xsi:type="xsd:long"&gt;38533&lt;/D&gt;&lt;D xsi:type="xsd:long"&gt;38503&lt;/D&gt;&lt;D xsi:type="xsd:long"&gt;38471&lt;/D&gt;&lt;D xsi:type="xsd:long"&gt;38442&lt;/D&gt;&lt;D xsi:type="xsd:long"&gt;38411&lt;/D&gt;&lt;D xsi:type="xsd:long"&gt;38383&lt;/D&gt;&lt;D xsi:type="xsd:long"&gt;38352&lt;/D&gt;&lt;D xsi:type="xsd:long"&gt;38321&lt;/D&gt;&lt;D xsi:type="xsd:long"&gt;38289&lt;/D&gt;&lt;D xsi:type="xsd:long"&gt;38260&lt;/D&gt;&lt;D xsi:type="xsd:long"&gt;38230&lt;/D&gt;&lt;D xsi:type="xsd:long"&gt;38198&lt;/D&gt;&lt;D xsi:type="xsd:long"&gt;38168&lt;/D&gt;&lt;D xsi:type="xsd:long"&gt;38135&lt;/D&gt;&lt;D xsi:type="xsd:long"&gt;38107&lt;/D&gt;&lt;D xsi:type="xsd:long"&gt;38077&lt;/D&gt;&lt;D xsi:type="xsd:long"&gt;38044&lt;/D&gt;&lt;D xsi:type="xsd:long"&gt;38016&lt;/D&gt;&lt;D xsi:type="xsd:long"&gt;37986&lt;/D&gt;&lt;D xsi:type="xsd:long"&gt;37953&lt;/D&gt;&lt;D xsi:type="xsd:long"&gt;37925&lt;/D&gt;&lt;D xsi:type="xsd:long"&gt;37894&lt;/D&gt;&lt;D xsi:type="xsd:long"&gt;37862&lt;/D&gt;&lt;D xsi:type="xsd:long"&gt;37833&lt;/D&gt;&lt;D xsi:type="xsd:long"&gt;37802&lt;/D&gt;&lt;D xsi:type="xsd:long"&gt;37771&lt;/D&gt;&lt;D xsi:type="xsd:long"&gt;37741&lt;/D&gt;&lt;D xsi:type="xsd:long"&gt;37711&lt;/D&gt;&lt;D xsi:type="xsd:long"&gt;37680&lt;/D&gt;&lt;D xsi:type="xsd:long"&gt;37652&lt;/D&gt;&lt;D xsi:type="xsd:long"&gt;37621&lt;/D&gt;&lt;D xsi:type="xsd:long"&gt;37589&lt;/D&gt;&lt;D xsi:type="xsd:long"&gt;37560&lt;/D&gt;&lt;D xsi:type="xsd:long"&gt;37529&lt;/D&gt;&lt;D xsi:type="xsd:long"&gt;37498&lt;/D&gt;&lt;D xsi:type="xsd:long"&gt;37468&lt;/D&gt;&lt;D xsi:type="xsd:long"&gt;37435&lt;/D&gt;&lt;D xsi:type="xsd:long"&gt;37407&lt;/D&gt;&lt;D xsi:type="xsd:long"&gt;37376&lt;/D&gt;&lt;D xsi:type="xsd:long"&gt;37343&lt;/D&gt;&lt;D xsi:type="xsd:long"&gt;37315&lt;/D&gt;&lt;D xsi:type="xsd:long"&gt;37287&lt;/D&gt;&lt;D xsi:type="xsd:long"&gt;37256&lt;/D&gt;&lt;D xsi:type="xsd:long"&gt;37225&lt;/D&gt;&lt;D xsi:type="xsd:long"&gt;37195&lt;/D&gt;&lt;D xsi:type="xsd:long"&gt;37162&lt;/D&gt;&lt;D xsi:type="xsd:long"&gt;37134&lt;/D&gt;&lt;D xsi:type="xsd:long"&gt;37103&lt;/D&gt;&lt;D xsi:type="xsd:long"&gt;37071&lt;/D&gt;&lt;D xsi:type="xsd:long"&gt;37042&lt;/D&gt;&lt;D xsi:type="xsd:long"&gt;37011&lt;/D&gt;&lt;D xsi:type="xsd:long"&gt;36980&lt;/D&gt;&lt;D xsi:type="xsd:long"&gt;36950&lt;/D&gt;&lt;D xsi:type="xsd:long"&gt;36922&lt;/D&gt;&lt;D xsi:type="xsd:long"&gt;36889&lt;/D&gt;&lt;D xsi:type="xsd:long"&gt;36860&lt;/D&gt;&lt;D xsi:type="xsd:long"&gt;36830&lt;/D&gt;&lt;D xsi:type="xsd:long"&gt;36798&lt;/D&gt;&lt;D xsi:type="xsd:long"&gt;36769&lt;/D&gt;&lt;D xsi:type="xsd:long"&gt;36738&lt;/D&gt;&lt;D xsi:type="xsd:long"&gt;36707&lt;/D&gt;&lt;D xsi:type="xsd:long"&gt;36677&lt;/D&gt;&lt;D xsi:type="xsd:long"&gt;36644&lt;/D&gt;&lt;D xsi:type="xsd:long"&gt;36616&lt;/D&gt;&lt;D xsi:type="xsd:long"&gt;36585&lt;/D&gt;&lt;D xsi:type="xsd:long"&gt;36556&lt;/D&gt;&lt;/FQL&gt;&lt;FQL&gt;&lt;Q&gt;891800^MSCP_TOTAL_RET_IDX_GIMI(2/27/2026,1/31/2000,M,LOC,"GROSS")&lt;/Q&gt;&lt;R&gt;314&lt;/R&gt;&lt;C&gt;1&lt;/C&gt;&lt;D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</t>
        </r>
      </text>
    </comment>
    <comment ref="A75" authorId="0" shapeId="0">
      <text>
        <r>
          <rPr>
            <b/>
            <sz val="9"/>
            <color indexed="81"/>
            <rFont val="Tahoma"/>
            <family val="2"/>
          </rPr>
          <t>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xsi:type="xsd:double"&gt;75242.3423639386&lt;/D&gt;&lt;D xsi:type="xsd:double"&gt;83472.7920537629&lt;/D&gt;&lt;D xsi:type="xsd:double"&gt;81790.4411839607&lt;/D&gt;&lt;D xsi:type="xsd:double"&gt;76208.6998472033&lt;/D&gt;&lt;D xsi:type="xsd:double"&gt;79535.1208607871&lt;/D&gt;&lt;D xsi:type="xsd:double"&gt;74896.9202186696&lt;/D&gt;&lt;D xsi:type="xsd:double"&gt;85556.8746248771&lt;/D&gt;&lt;D xsi:type="xsd:double"&gt;85112.5202553665&lt;/D&gt;&lt;D xsi:type="xsd:double"&gt;90374.650235618&lt;/D&gt;&lt;D xsi:type="xsd:double"&gt;82861.5676937895&lt;/D&gt;&lt;D xsi:type="xsd:double"&gt;76382.2192500605&lt;/D&gt;&lt;D xsi:type="xsd:double"&gt;77064.6671077592&lt;/D&gt;&lt;D xsi:type="xsd:double"&gt;73480.4918904819&lt;/D&gt;&lt;D xsi:type="xsd:double"&gt;70161.46365&lt;/D&gt;&lt;D xsi:type="xsd:double"&gt;67693.430165&lt;/D&gt;&lt;D xsi:type="xsd:double"&gt;65538.194199&lt;/D&gt;&lt;D xsi:type="xsd:double"&gt;63544.888274&lt;/D&gt;&lt;D xsi:type="xsd:double"&gt;64046.607032&lt;/D&gt;&lt;D xsi:type="xsd:double"&gt;64319.254611&lt;/D&gt;&lt;D xsi:type="xsd:double"&gt;61835.624441&lt;/D&gt;&lt;D xsi:type="xsd:double"&gt;58025.20864&lt;/D&gt;&lt;D xsi:type="xsd:double"&gt;56160.564664&lt;/D&gt;&lt;D xsi:type="xsd:double"&gt;55483.310535&lt;/D&gt;&lt;D xsi:type="xsd:double"&gt;53934.311528&lt;/D&gt;&lt;D xsi:type="xsd:double"&gt;53336.410715&lt;/D&gt;&lt;D xsi:type="xsd:double"&gt;53214.042458&lt;/D&gt;&lt;D xsi:type="xsd:double"&gt;57603.630476&lt;/D&gt;&lt;D xsi:type="xsd:double"&gt;54651.775898&lt;/D&gt;&lt;D xsi:type="xsd:double"&gt;54061.493942&lt;/D&gt;&lt;D xsi:type="xsd:double"&gt;54149.975617&lt;/D&gt;&lt;D xsi:type="xsd:double"&gt;50127.133522&lt;/D&gt;&lt;D xsi:type="xsd:double"&gt;47378.515663&lt;/D&gt;&lt;D xsi:type="xsd:double"&gt;44168.565942&lt;/D&gt;&lt;D xsi:type="xsd:double"&gt;46772.225138&lt;/D&gt;&lt;D xsi:type="xsd:double"&gt;43077.818312&lt;/D&gt;&lt;D xsi:type="xsd:double"&gt;42521.159903&lt;/D&gt;&lt;D xsi:type="xsd:double"&gt;39793.668672&lt;/D&gt;&lt;D xsi:type="xsd:double"&gt;38316.663735&lt;/D&gt;&lt;D xsi:type="xsd:double"&gt;36545.875227&lt;/D&gt;&lt;D xsi:type="xsd:double"&gt;37928.834562&lt;/D&gt;&lt;D xsi:type="xsd:double"&gt;39771.614455&lt;/D&gt;&lt;D xsi:type="xsd:double"&gt;37080.23258&lt;/D&gt;&lt;D xsi:type="xsd:double"&gt;36706.697565&lt;/D&gt;&lt;D xsi:type="xsd:double"&gt;35561.149011&lt;/D&gt;&lt;D xsi:type="xsd:double"&gt;33908.60486&lt;/D&gt;&lt;D xsi:type="xsd:double"&gt;33627.233714&lt;/D&gt;&lt;D xsi:type="xsd:double"&gt;32131.708009&lt;/D&gt;&lt;D xsi:type="xsd:double"&gt;30666.618789&lt;/D&gt;&lt;D xsi:type="xsd:double"&gt;31275.468384&lt;/D&gt;&lt;D xsi:type="xsd:double"&gt;31555.646511&lt;/D&gt;&lt;D xsi:type="xsd:double"&gt;31946.605823&lt;/D&gt;&lt;D xsi:type="xsd:double"&gt;33900.015587&lt;/D&gt;&lt;D xsi:type="xsd:double"&gt;33889.545693&lt;/D&gt;&lt;D xsi:type="xsd:double"&gt;32549.163511&lt;/D&gt;&lt;D xsi:type="xsd:double"&gt;31219.091186&lt;/D&gt;&lt;D xsi:type="xsd:double"&gt;29312.248683&lt;/D&gt;&lt;D xsi:type="xsd:double"&gt;29074.158027&lt;/D&gt;&lt;D xsi:type="xsd:double"&gt;26771.511161&lt;/D&gt;&lt;D xsi:type="xsd:double"&gt;27179.785785&lt;/D&gt;&lt;D xsi:type="xsd:double"&gt;25426.843477&lt;/D&gt;&lt;D xsi:type="xsd:double"&gt;23997.859216&lt;/D&gt;&lt;D xsi:type="xsd:double"&gt;22999.551742&lt;/D&gt;&lt;D xsi:type="xsd:double"&gt;21259.691394&lt;/D&gt;&lt;D xsi:type="xsd:double"&gt;20312.390827&lt;/D&gt;&lt;D xsi:type="xsd:double"&gt;20984.673795&lt;/D&gt;&lt;D xsi:type="xsd:double"&gt;21629.144787&lt;/D&gt;&lt;D xsi:type="xsd:double"&gt;21832.331766&lt;/D&gt;&lt;D xsi:type="xsd:double"&gt;22997.500058&lt;/D&gt;&lt;D xsi:type="xsd:double"&gt;21892.031545&lt;/D&gt;&lt;D xsi:type="xsd:double"&gt;20931.460528&lt;/D&gt;&lt;D xsi:type="xsd:double"&gt;22760.634608&lt;/D&gt;&lt;D xsi:type="xsd:double"&gt;22376.13739&lt;/D&gt;&lt;D xsi:type="xsd:double"&gt;24092.142501&lt;/D&gt;&lt;D xsi:type="xsd:double"&gt;25773.705774&lt;/D&gt;&lt;D xsi:type="xsd:double"&gt;26596.636402&lt;/D&gt;&lt;D xsi:type="xsd:double"&gt;26630.45862&lt;/D&gt;&lt;D xsi:type="xsd:double"&gt;25173.563028&lt;/D&gt;&lt;D xsi:type="xsd:double"&gt;24697.430686&lt;/D&gt;&lt;D xsi:type="xsd:double"&gt;23850.442772&lt;/D&gt;&lt;D xsi:type="xsd:double"&gt;21659.627065&lt;/D&gt;&lt;D xsi:type="xsd:double"&gt;19560.521351&lt;/D&gt;&lt;D xsi:type="xsd:double"&gt;18403.92973&lt;/D&gt;&lt;D xsi:type="xsd:double"&gt;21355.427694&lt;/D&gt;&lt;D xsi:type="xsd:double"&gt;21615.279634&lt;/D&gt;&lt;D xsi:type="xsd:double"&gt;22853.29952&lt;/D&gt;&lt;D xsi:type="xsd:double"&gt;23175.145615&lt;/D&gt;&lt;D xsi:type="xsd:double"&gt;22709.511849&lt;/D&gt;&lt;D xsi:type="xsd:double"&gt;21698.888524&lt;/D&gt;&lt;D xsi:type="xsd:double"&gt;23537.960052&lt;/D&gt;&lt;D xsi:type="xsd:double"&gt;25294.497996&lt;/D&gt;&lt;D xsi:type="xsd:double"&gt;22133.752063&lt;/D&gt;&lt;D xsi:type="xsd:double"&gt;21770.117481&lt;/D&gt;&lt;D xsi:type="xsd:double"&gt;23521.520834&lt;/D&gt;&lt;D xsi:type="xsd:double"&gt;24940.266007&lt;/D&gt;&lt;D xsi:type="xsd:double"&gt;27369.766217&lt;/D&gt;&lt;D xsi:type="xsd:double"&gt;26950.199634&lt;/D&gt;&lt;D xsi:type="xsd:double"&gt;28390.395914&lt;/D&gt;&lt;D xsi:type="xsd:double"&gt;27340.844725&lt;/D&gt;&lt;D xsi:type="xsd:double"&gt;28365.367276&lt;/D&gt;&lt;D xsi:type="xsd:double"&gt;31343.981335&lt;/D&gt;&lt;D xsi:type="xsd:double"&gt;31346.497044&lt;/D&gt;&lt;D xsi:type="xsd:double"&gt;31369.382612&lt;/D&gt;&lt;/FQL&gt;&lt;FQL&gt;&lt;Q&gt;891800^JULIAN(MSCP_TOTAL_RET_IDX_GIMI(2/27/2026,1/31/2000,M,LOC,"GROSS").DATES)&lt;/Q&gt;&lt;R&gt;314&lt;/R&gt;&lt;C&gt;1&lt;/C&gt;&lt;D xsi:type="xsd:long"&gt;46080&lt;/D&gt;&lt;D xsi:type="xsd:long"&gt;46052&lt;/D&gt;&lt;D xsi:type="xsd:long"&gt;46022&lt;/D&gt;&lt;D xsi:type="xsd:long"&gt;45989&lt;/D&gt;&lt;D xsi:type="xsd:long"&gt;45961&lt;/D&gt;&lt;D xsi:type="xsd:long"&gt;45930&lt;/D&gt;&lt;D xsi:type="xsd:long"&gt;45898&lt;/D&gt;&lt;D xsi:type="xsd:long"&gt;45869&lt;/D&gt;&lt;D xsi:type="xsd:long"&gt;45838&lt;/D&gt;&lt;D xsi:type="xsd:long"&gt;45807&lt;/D&gt;&lt;D xsi:type="xsd:long"&gt;45777&lt;/D&gt;&lt;D xsi:type="xsd:long"&gt;45747&lt;/D&gt;&lt;D xsi:type="xsd:long"&gt;45716&lt;/D&gt;&lt;D xsi:type="xsd:long"&gt;45688&lt;/D&gt;&lt;D xsi:type="xsd:long"&gt;45657&lt;/D&gt;&lt;D xsi:type="xsd:long"&gt;45625&lt;/D&gt;&lt;D xsi:type="xsd:long"&gt;45596&lt;/D&gt;&lt;D xsi:type="xsd:long"&gt;45565&lt;/D&gt;&lt;D xsi:type="xsd:long"&gt;45534&lt;/D&gt;&lt;D xsi:type="xsd:long"&gt;45504&lt;/D&gt;&lt;D xsi:type="xsd:long"&gt;45471&lt;/D&gt;&lt;D xsi:type="xsd:long"&gt;45443&lt;/D&gt;&lt;D xsi:type="xsd:long"&gt;45412&lt;/D&gt;&lt;D xsi:type="xsd:long"&gt;45379&lt;/D&gt;&lt;D xsi:type="xsd:long"&gt;45351&lt;/D&gt;&lt;D xsi:type="xsd:long"&gt;45322&lt;/D&gt;&lt;D xsi:type="xsd:long"&gt;45289&lt;/D&gt;&lt;D xsi:type="xsd:long"&gt;45260&lt;/D&gt;&lt;D xsi:type="xsd:long"&gt;45230&lt;/D&gt;&lt;D xsi:type="xsd:long"&gt;45198&lt;/D&gt;&lt;D xsi:type="xsd:long"&gt;45169&lt;/D&gt;&lt;D xsi:type="xsd:long"&gt;45138&lt;/D&gt;&lt;D xsi:type="xsd:long"&gt;45107&lt;/D&gt;&lt;D xsi:type="xsd:long"&gt;45077&lt;/D&gt;&lt;D xsi:type="xsd:long"&gt;45044&lt;/D&gt;&lt;D xsi:type="xsd:long"&gt;45016&lt;/D&gt;&lt;D xsi:type="xsd:long"&gt;44985&lt;/D&gt;&lt;D xsi:type="xsd:long"&gt;44957&lt;/D&gt;&lt;D xsi:type="xsd:long"&gt;44925&lt;/D&gt;&lt;D xsi:type="xsd:long"&gt;44895&lt;/D&gt;&lt;D xsi:type="xsd:long"&gt;44865&lt;/D&gt;&lt;D xsi:type="xsd:long"&gt;44834&lt;/D&gt;&lt;D xsi:type="xsd:long"&gt;44804&lt;/D&gt;&lt;D xsi:type="xsd:long"&gt;44771&lt;/D&gt;&lt;D xsi:type="xsd:long"&gt;44742&lt;/D&gt;&lt;D xsi:type="xsd:long"&gt;44712&lt;/D&gt;&lt;D xsi:type="xsd:long"&gt;44680&lt;/D&gt;&lt;D xsi:type="xsd:long"&gt;44651&lt;/D&gt;&lt;D xsi:type="xsd:long"&gt;44620&lt;/D&gt;&lt;D xsi:type="xsd:long"&gt;44592&lt;/D&gt;&lt;D xsi:type="xsd:long"&gt;44561&lt;/D&gt;&lt;D xsi:type="xsd:long"&gt;44530&lt;/D&gt;&lt;D xsi:type="xsd:long"&gt;44498&lt;/D&gt;&lt;D xsi:type="xsd:long"&gt;44469&lt;/D&gt;&lt;D xsi:type="xsd:long"&gt;44439&lt;/D&gt;&lt;D xsi:type="xsd:long"&gt;44407&lt;/D&gt;&lt;D xsi:type="xsd:long"&gt;44377&lt;/D&gt;&lt;D xsi:type="xsd:long"&gt;44344&lt;/D&gt;&lt;D xsi:type="xsd:long"&gt;44316&lt;/D&gt;&lt;D xsi:type="xsd:long"&gt;44286&lt;/D&gt;&lt;D xsi:type="xsd:long"&gt;44253&lt;/D&gt;&lt;D xsi:type="xsd:long"&gt;44225&lt;/D&gt;&lt;D xsi:type="xsd:long"&gt;44196&lt;/D&gt;&lt;D xsi:type="xsd:long"&gt;44165&lt;/D&gt;&lt;D xsi:type="xsd:long"&gt;44134&lt;/D&gt;&lt;D xsi:type="xsd:long"&gt;44104&lt;/D&gt;&lt;D xsi:type="xsd:long"&gt;44074&lt;/D&gt;&lt;D xsi:type="xsd:long"&gt;44043&lt;/D&gt;&lt;D xsi:type="xsd:long"&gt;44012&lt;/D&gt;&lt;D xsi:type="xsd:long"&gt;43980&lt;/D&gt;&lt;D xsi:type="xsd:long"&gt;43951&lt;/D&gt;&lt;D xsi:type="xsd:long"&gt;43921&lt;/D&gt;&lt;D xsi:type="xsd:long"&gt;43889&lt;/D&gt;&lt;D xsi:type="xsd:long"&gt;43861&lt;/D&gt;&lt;D xsi:type="xsd:long"&gt;43830&lt;/D&gt;&lt;D xsi:type="xsd:long"&gt;43798&lt;/D&gt;&lt;D xsi:type="xsd:long"&gt;43769&lt;/D&gt;&lt;D xsi:type="xsd:long"&gt;43738&lt;/D&gt;&lt;D xsi:type="xsd:long"&gt;43707&lt;/D&gt;&lt;D xsi:type="xsd:long"&gt;43677&lt;/D&gt;&lt;D xsi:type="xsd:long"&gt;43644&lt;/D&gt;&lt;D xsi:type="xsd:long"&gt;43616&lt;/D&gt;&lt;D xsi:type="xsd:long"&gt;43585&lt;/D&gt;&lt;D xsi:type="xsd:long"&gt;43553&lt;/D&gt;&lt;D xsi:type="xsd:long"&gt;43524&lt;/D&gt;&lt;D xsi:type="xsd:long"&gt;43496&lt;/D&gt;&lt;D xsi:type="xsd:long"&gt;43465&lt;/D&gt;&lt;D xsi:type="xsd:long"&gt;43434&lt;/D&gt;&lt;D xsi:type="xsd:long"&gt;43404&lt;/D&gt;&lt;D xsi:type="xsd:long"&gt;43371&lt;/D&gt;&lt;D xsi:type="xsd:long"&gt;43343&lt;/D&gt;&lt;D xsi:type="xsd:long"&gt;43312&lt;/D&gt;&lt;D xsi:type="xsd:long"&gt;43280&lt;/D&gt;&lt;D xsi:type="xsd:long"&gt;43251&lt;/D&gt;&lt;D xsi:type="xsd:long"&gt;43220&lt;/D&gt;&lt;D xsi:type="xsd:long"&gt;43188&lt;/D&gt;&lt;D xsi:type="xsd:long"&gt;43159&lt;/D&gt;&lt;D xsi:type="xsd:long"&gt;43131&lt;/D&gt;&lt;D xsi:type="xsd:long"&gt;43098&lt;/D&gt;&lt;D xsi:type="xsd:long"&gt;43069&lt;/D&gt;&lt;D xsi:type="xsd:long"&gt;43039&lt;/D&gt;&lt;D xsi:type="xsd:long"&gt;43007&lt;/D&gt;&lt;D xsi:type="xsd:long"&gt;42978&lt;/D&gt;&lt;D xsi:type="xsd:long"&gt;42947&lt;/D&gt;&lt;D xsi:type="xsd:long"&gt;42916&lt;/D&gt;&lt;D xsi:type="xsd:long"&gt;42886&lt;/D&gt;&lt;D xsi:type="xsd:long"&gt;42853&lt;/D&gt;&lt;D xsi:type="xsd:long"&gt;42825&lt;/D&gt;&lt;D xsi:type="xsd:long"&gt;42794&lt;/D&gt;&lt;D xsi:type="xsd:long"&gt;42766&lt;/D&gt;&lt;D xsi:type="xsd:long"&gt;42734&lt;/D&gt;&lt;D xsi:type="xsd:long"&gt;42704&lt;/D&gt;&lt;D xsi:type="xsd:long"&gt;42674&lt;/D&gt;&lt;D xsi:type="xsd:long"&gt;42643&lt;/D&gt;&lt;D xsi:type="xsd:long"&gt;42613&lt;/D&gt;&lt;D xsi:type="xsd:long"&gt;42580&lt;/D&gt;&lt;D xsi:type="xsd:long"&gt;42551&lt;/D&gt;&lt;D xsi:type="xsd:long"&gt;42521&lt;/D&gt;&lt;D xsi:type="xsd:long"&gt;42489&lt;/D&gt;&lt;D xsi:type="xsd:long"&gt;42460&lt;/D&gt;&lt;D xsi:type="xsd:long"&gt;42429&lt;/D&gt;&lt;D xsi:type="xsd:long"&gt;42398&lt;/D&gt;&lt;D xsi:type="xsd:long"&gt;42369&lt;/D&gt;&lt;D xsi:type="xsd:long"&gt;42338&lt;/D&gt;&lt;D xsi:type="xsd:long"&gt;42307&lt;/D&gt;&lt;D xsi:type="xsd:long"&gt;42277&lt;/D&gt;&lt;D xsi:type="xsd:long"&gt;42247&lt;/D&gt;&lt;D xsi:type="xsd:long"&gt;42216&lt;/D&gt;&lt;D xsi:type="xsd:long"&gt;42185&lt;/D&gt;&lt;D xsi:type="xsd:long"&gt;42153&lt;/D&gt;&lt;D xsi:type="xsd:long"&gt;42124&lt;/D&gt;&lt;D xsi:type="xsd:long"&gt;42094&lt;/D&gt;&lt;D xsi:type="xsd:long"&gt;42062&lt;/D&gt;&lt;D xsi:type="xsd:long"&gt;42034&lt;/D&gt;&lt;D xsi:type="xsd:long"&gt;42004&lt;/D&gt;&lt;D xsi:type="xsd:long"&gt;41971&lt;/D&gt;&lt;D xsi:type="xsd:long"&gt;41943&lt;/D&gt;&lt;D xsi:type="xsd:long"&gt;41912&lt;/D&gt;&lt;D xsi:type="xsd:long"&gt;41880&lt;/D&gt;&lt;D xsi:type="xsd:long"&gt;41851&lt;/D&gt;&lt;D xsi:type="xsd:long"&gt;41820&lt;/D&gt;&lt;D xsi:type="xsd:long"&gt;41789&lt;/D&gt;&lt;D xsi:type="xsd:long"&gt;41759&lt;/D&gt;&lt;D xsi:type="xsd:long"&gt;41729&lt;/D&gt;&lt;D xsi:type="xsd:long"&gt;41698&lt;/D&gt;&lt;D xsi:type="xsd:long"&gt;41670&lt;/D&gt;&lt;D xsi:type="xsd:long"&gt;41639&lt;/D&gt;&lt;D xsi:type="xsd:long"&gt;41607&lt;/D&gt;&lt;D xsi:type="xsd:long"&gt;41578&lt;/D&gt;&lt;D xsi:type="xsd:long"&gt;41547&lt;/D&gt;&lt;D xsi:type="xsd:long"&gt;41516&lt;/D&gt;&lt;D xsi:type="xsd:long"&gt;41486&lt;/D&gt;&lt;D xsi:type="xsd:long"&gt;41453&lt;/D&gt;&lt;D xsi:type="xsd:long"&gt;41425&lt;/D&gt;&lt;D xsi:type="xsd:long"&gt;41394&lt;/D&gt;&lt;D xsi:type="xsd:long"&gt;41361&lt;/D&gt;&lt;D xsi:type="xsd:long"&gt;41333&lt;/D&gt;&lt;D xsi:type="xsd:long"&gt;41305&lt;/D&gt;&lt;D xsi:type="xsd:long"&gt;41274&lt;/D&gt;&lt;D xsi:type="xsd:long"&gt;41243&lt;/D&gt;&lt;D xsi:type="xsd:long"&gt;41213&lt;/D&gt;&lt;D xsi:type="xsd:long"&gt;41180&lt;/D&gt;&lt;D xsi:type="xsd:long"&gt;41152&lt;/D&gt;&lt;D xsi:type="xsd:long"&gt;41121&lt;/D&gt;&lt;D xsi:type="xsd:long"&gt;41089&lt;/D&gt;&lt;D xsi:type="xsd:long"&gt;41060&lt;/D&gt;&lt;D xsi:type="xsd:long"&gt;41029&lt;/D&gt;&lt;D xsi:type="xsd:long"&gt;40998&lt;/D&gt;&lt;D xsi:type="xsd:long"&gt;40968&lt;/D&gt;&lt;D xsi:type="xsd:long"&gt;40939&lt;/D&gt;&lt;D xsi:type="xsd:long"&gt;40907&lt;/D&gt;&lt;D xsi:type="xsd:long"&gt;40877&lt;/D&gt;&lt;D xsi:type="xsd:long"&gt;40847&lt;/D&gt;&lt;D xsi:type="xsd:long"&gt;40816&lt;/D&gt;&lt;D xsi:type="xsd:long"&gt;40786&lt;/D&gt;&lt;D xsi:type="xsd:long"&gt;40753&lt;/D&gt;&lt;D xsi:type="xsd:long"&gt;40724&lt;/D&gt;&lt;D xsi:type="xsd:long"&gt;40694&lt;/D&gt;&lt;D xsi:type="xsd:long"&gt;40662&lt;/D&gt;&lt;D xsi:type="xsd:long"&gt;40633&lt;/D&gt;&lt;D xsi:type="xsd:long"&gt;40602&lt;/D&gt;&lt;D xsi:type="xsd:long"&gt;40574&lt;/D&gt;&lt;D xsi:type="xsd:long"&gt;40543&lt;/D&gt;&lt;D xsi:type="xsd:long"&gt;40512&lt;/D&gt;&lt;D xsi:type="xsd:long"&gt;40480&lt;/D&gt;&lt;D xsi:type="xsd:long"&gt;40451&lt;/D&gt;&lt;D xsi:type="xsd:long"&gt;40421&lt;/D&gt;&lt;D xsi:type="xsd:long"&gt;40389&lt;/D&gt;&lt;D xsi:type="xsd:long"&gt;40359&lt;/D&gt;&lt;D xsi:type="xsd:long"&gt;40326&lt;/D&gt;&lt;D xsi:type="xsd:long"&gt;40298&lt;/D&gt;&lt;D xsi:type="xsd:long"&gt;40268&lt;/D&gt;&lt;D xsi:type="xsd:long"&gt;40235&lt;/D&gt;&lt;D xsi:type="xsd:long"&gt;40207&lt;/D&gt;&lt;D xsi:type="xsd:long"&gt;40178&lt;/D&gt;&lt;D xsi:type="xsd:long"&gt;40147&lt;/D&gt;&lt;D xsi:type="xsd:long"&gt;40116&lt;/D&gt;&lt;D xsi:type="xsd:long"&gt;40086&lt;/D&gt;&lt;D xsi:type="xsd:long"&gt;40056&lt;/D&gt;&lt;D xsi:type="xsd:long"&gt;40025&lt;/D&gt;&lt;D xsi:type="xsd:long"&gt;39994&lt;/D&gt;&lt;D xsi:type="xsd:long"&gt;39962&lt;/D&gt;&lt;D xsi:type="xsd:long"&gt;39933&lt;/D&gt;&lt;D xsi:type="xsd:long"&gt;39903&lt;/D&gt;&lt;D xsi:type="xsd:long"&gt;39871&lt;/D&gt;&lt;D xsi:type="xsd:long"&gt;39843&lt;/D&gt;&lt;D xsi:type="xsd:long"&gt;39813&lt;/D&gt;&lt;D xsi:type="xsd:long"&gt;39780&lt;/D&gt;&lt;D xsi:type="xsd:long"&gt;39752&lt;/D&gt;&lt;D xsi:type="xsd:long"&gt;39721&lt;/D&gt;&lt;D xsi:type="xsd:long"&gt;39689&lt;/D&gt;&lt;D xsi:type="xsd:long"&gt;39660&lt;/D&gt;&lt;D xsi:type="xsd:long"&gt;39629&lt;/D&gt;&lt;D xsi:type="xsd:long"&gt;39598&lt;/D&gt;&lt;D xsi:type="xsd:long"&gt;39568&lt;/D&gt;&lt;D xsi:type="xsd:long"&gt;39538&lt;/D&gt;&lt;D xsi:type="xsd:long"&gt;39507&lt;/D&gt;&lt;D xsi:type="xsd:long"&gt;39478&lt;/D&gt;&lt;D xsi:type="xsd:long"&gt;39447&lt;/D&gt;&lt;D xsi:type="xsd:long"&gt;39416&lt;/D&gt;&lt;D xsi:type="xsd:long"&gt;39386&lt;/D&gt;&lt;D xsi:type="xsd:long"&gt;39353&lt;/D&gt;&lt;D xsi:type="xsd:long"&gt;39325&lt;/D&gt;&lt;D xsi:type="xsd:long"&gt;39294&lt;/D&gt;&lt;D xsi:type="xsd:long"&gt;39262&lt;/D&gt;&lt;D xsi:type="xsd:long"&gt;39233&lt;/D&gt;&lt;D xsi:type="xsd:long"&gt;39202&lt;/D&gt;&lt;D xsi:type="xsd:long"&gt;39171&lt;/D&gt;&lt;D xsi:type="xsd:long"&gt;39141&lt;/D&gt;&lt;D xsi:type="xsd:long"&gt;39113&lt;/D&gt;&lt;D xsi:type="xsd:long"&gt;39080&lt;/D&gt;&lt;D xsi:type="xsd:long"&gt;39051&lt;/D&gt;&lt;D xsi:type="xsd:long"&gt;39021&lt;/D&gt;&lt;D xsi:type="xsd:long"&gt;38989&lt;/D&gt;&lt;D xsi:type="xsd:long"&gt;38960&lt;/D&gt;&lt;D xsi:type="xsd:long"&gt;38929&lt;/D&gt;&lt;D xsi:type="xsd:long"&gt;38898&lt;/D&gt;&lt;D xsi:type="xsd:long"&gt;38868&lt;/D&gt;&lt;D xsi:type="xsd:long"&gt;38835&lt;/D&gt;&lt;D xsi:type="xsd:long"&gt;38807&lt;/D&gt;&lt;D xsi:type="xsd:long"&gt;38776&lt;/D&gt;&lt;D xsi:type="xsd:long"&gt;38748&lt;/D&gt;&lt;D xsi:type="xsd:long"&gt;38716&lt;/D&gt;&lt;D xsi:type="xsd:long"&gt;38686&lt;/D&gt;&lt;D xsi:type="xsd:long"&gt;38656&lt;/D&gt;&lt;D xsi:type="xsd:long"&gt;38625&lt;/D&gt;&lt;D xsi:type="xsd:long"&gt;38595&lt;/D&gt;&lt;D xsi:type="xsd:long"&gt;38562&lt;/D&gt;&lt;D xsi:type="xsd:long"&gt;38533&lt;/D&gt;&lt;D xsi:type="xsd:long"&gt;38503&lt;/D&gt;&lt;D xsi:type="xsd:long"&gt;38471&lt;/D&gt;&lt;D xsi:type="xsd:long"&gt;38442&lt;/D&gt;&lt;D xsi:type="xsd:long"&gt;38411&lt;/D&gt;&lt;D xsi:type="xsd:long"&gt;38383&lt;/D&gt;&lt;D xsi:type="xsd:long"&gt;38352&lt;/D&gt;&lt;D xsi:type="xsd:long"&gt;38321&lt;/D&gt;&lt;D xsi:type="xsd:long"&gt;38289&lt;/D&gt;&lt;D xsi:type="xsd:long"&gt;38260&lt;/D&gt;&lt;D xsi:type="xsd:long"&gt;38230&lt;/D&gt;&lt;D xsi:type="xsd:long"&gt;38198&lt;/D&gt;&lt;D xsi:type="xsd:long"&gt;38168&lt;/D&gt;&lt;D xsi:type="xsd:long"&gt;38135&lt;/D&gt;&lt;D xsi:type="xsd:long"&gt;38107&lt;/D&gt;&lt;D xsi:type="xsd:long"&gt;38077&lt;/D&gt;&lt;D xsi:type="xsd:long"&gt;38044&lt;/D&gt;&lt;D xsi:type="xsd:long"&gt;38016&lt;/D&gt;&lt;D xsi:type="xsd:long"&gt;37986&lt;/D&gt;&lt;D xsi:type="xsd:long"&gt;37953&lt;/D&gt;&lt;D xsi:type="xsd:long"&gt;37925&lt;/D&gt;&lt;D xsi:type="xsd:long"&gt;37894&lt;/D&gt;&lt;D xsi:type="xsd:long"&gt;37862&lt;/D&gt;&lt;D xsi:type="xsd:long"&gt;37833&lt;/D&gt;&lt;D xsi:type="xsd:long"&gt;37802&lt;/D&gt;&lt;D xsi:type="xsd:long"&gt;37771&lt;/D&gt;&lt;D xsi:type="xsd:long"&gt;37741&lt;/D&gt;&lt;D xsi:type="xsd:long"&gt;37711&lt;/D&gt;&lt;D xsi:type="xsd:long"&gt;37680&lt;/D&gt;&lt;D xsi:type="xsd:long"&gt;37652&lt;/D&gt;&lt;D xsi:type="xsd:long"&gt;37621&lt;/D&gt;&lt;D xsi:type="xsd:long"&gt;37589&lt;/D&gt;&lt;D xsi:type="xsd:long"&gt;37560&lt;/D&gt;&lt;D xsi:type="xsd:long"&gt;37529&lt;/D&gt;&lt;D xsi:type="xsd:long"&gt;37498&lt;/D&gt;&lt;D xsi:type="xsd:long"&gt;37468&lt;/D&gt;&lt;D xsi:type="xsd:long"&gt;37435&lt;/D&gt;&lt;D xsi:type="xsd:long"&gt;37407&lt;/D&gt;&lt;D xsi:type="xsd:long"&gt;37376&lt;/D&gt;&lt;D xsi:type="xsd:long"&gt;37343&lt;/D&gt;&lt;D xsi:type="xsd:long"&gt;37315&lt;/D&gt;&lt;D xsi:type="xsd:long"&gt;37287&lt;/D&gt;&lt;D xsi:type="xsd:long"&gt;37256&lt;/D&gt;&lt;D xsi:type="xsd:long"&gt;37225&lt;/D&gt;&lt;D xsi:type="xsd:long"&gt;37195&lt;/D&gt;&lt;D xsi:type="xsd:long"&gt;37162&lt;/D&gt;&lt;D xsi:type="xsd:long"&gt;37134&lt;/D&gt;&lt;D xsi:type="xsd:long"&gt;37103&lt;/D&gt;&lt;D xsi:type="xsd:long"&gt;37071&lt;/D&gt;&lt;D xsi:type="xsd:long"&gt;37042&lt;/D&gt;&lt;D xsi:type="xsd:long"&gt;37011&lt;/D&gt;&lt;D xsi:type="xsd:long"&gt;36980&lt;/D&gt;&lt;D xsi:type="xsd:long"&gt;36950&lt;/D&gt;&lt;D xsi:type="xsd:long"&gt;36922&lt;/D&gt;&lt;D xsi:type="xsd:long"&gt;36889&lt;/D&gt;&lt;D xsi:type="xsd:long"&gt;36860&lt;/D&gt;&lt;D xsi:type="xsd:long"&gt;36830&lt;/D&gt;&lt;D xsi:type="xsd:long"&gt;36798&lt;/D&gt;&lt;D xsi:type="xsd:long"&gt;36769&lt;/D&gt;&lt;D xsi:type="xsd:long"&gt;36738&lt;/D&gt;&lt;D xsi:type="xsd:long"&gt;36707&lt;/D&gt;&lt;D xsi:type="xsd:long"&gt;36677&lt;/D&gt;&lt;D xsi:type="xsd:long"&gt;36644&lt;/D&gt;&lt;D xsi:type="xsd:long"&gt;36616&lt;/D&gt;&lt;D xsi:type="xsd:long"&gt;36585&lt;/D&gt;&lt;D xsi:type="xsd:long"&gt;36556&lt;/D&gt;&lt;/FQL&gt;&lt;FQL&gt;&lt;Q&gt;990100^MSCP_TOTAL_RET_IDX_GIMI(2/27/2026,1/31/2000,M,USD,"GROSS")&lt;/Q&gt;&lt;R&gt;314&lt;/R&gt;&lt;C&gt;1&lt;/C&gt;&lt;D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xsi:type="xsd:double"&gt;4392.1724420734&lt;/D&gt;&lt;D xsi:type="xsd:double"&gt;4770.99343244242&lt;/D&gt;&lt;D xsi:type="xsd:double"&gt;4689.57774677483&lt;/D&gt;&lt;D xsi:type="xsd:double"&gt;4451.37189793823&lt;/D&gt;&lt;D xsi:type="xsd:double"&gt;4495.48435490459&lt;/D&gt;&lt;D xsi:type="xsd:double"&gt;4518.80323771071&lt;/D&gt;&lt;D xsi:type="xsd:double"&gt;4892.56245619397&lt;/D&gt;&lt;D xsi:type="xsd:double"&gt;4955.92638559135&lt;/D&gt;&lt;D xsi:type="xsd:double"&gt;5157.9520998063&lt;/D&gt;&lt;D xsi:type="xsd:double"&gt;5003.21525208289&lt;/D&gt;&lt;D xsi:type="xsd:double"&gt;4772.67883801279&lt;/D&gt;&lt;D xsi:type="xsd:double"&gt;4774.24023045464&lt;/D&gt;&lt;D xsi:type="xsd:double"&gt;4879.76611634819&lt;/D&gt;&lt;D xsi:type="xsd:double"&gt;4916.083744&lt;/D&gt;&lt;D xsi:type="xsd:double"&gt;4775.011979&lt;/D&gt;&lt;D xsi:type="xsd:double"&gt;4570.528234&lt;/D&gt;&lt;D xsi:type="xsd:double"&gt;4488.293412&lt;/D&gt;&lt;D xsi:type="xsd:double"&gt;4512.961247&lt;/D&gt;&lt;D xsi:type="xsd:double"&gt;4461.676518&lt;/D&gt;&lt;D xsi:type="xsd:double"&gt;4371.607113&lt;/D&gt;&lt;D xsi:type="xsd:double"&gt;4268.257639&lt;/D&gt;&lt;D xsi:type="xsd:double"&gt;4118.426421&lt;/D&gt;&lt;D xsi:type="xsd:double"&gt;4068.784562&lt;/D&gt;&lt;D xsi:type="xsd:double"&gt;3964.584305&lt;/D&gt;&lt;D xsi:type="xsd:double"&gt;3932.878841&lt;/D&gt;&lt;D xsi:type="xsd:double"&gt;3928.587475&lt;/D&gt;&lt;D xsi:type="xsd:double"&gt;4058.696396&lt;/D&gt;&lt;D xsi:type="xsd:double"&gt;3939.945034&lt;/D&gt;&lt;D xsi:type="xsd:double"&gt;3854.982573&lt;/D&gt;&lt;D xsi:type="xsd:double"&gt;3859.248665&lt;/D&gt;&lt;D xsi:type="xsd:double"&gt;3697.046861&lt;/D&gt;&lt;D xsi:type="xsd:double"&gt;3618.620209&lt;/D&gt;&lt;D xsi:type="xsd:double"&gt;3503.204124&lt;/D&gt;&lt;D xsi:type="xsd:double"&gt;3583.936537&lt;/D&gt;&lt;D xsi:type="xsd:double"&gt;3493.071919&lt;/D&gt;&lt;D xsi:type="xsd:double"&gt;3465.476953&lt;/D&gt;&lt;D xsi:type="xsd:double"&gt;3347.125655&lt;/D&gt;&lt;D xsi:type="xsd:double"&gt;3316.301745&lt;/D&gt;&lt;D xsi:type="xsd:double"&gt;3253.633647&lt;/D&gt;&lt;D xsi:type="xsd:double"&gt;3322.379202&lt;/D&gt;&lt;D xsi:type="xsd:double"&gt;3385.907284&lt;/D&gt;&lt;D xsi:type="xsd:double"&gt;3281.84652&lt;/D&gt;&lt;D xsi:type="xsd:double"&gt;3359.470123&lt;/D&gt;&lt;D xsi:type="xsd:double"&gt;3235.254614&lt;/D&gt;&lt;D xsi:type="xsd:double"&gt;3076.849618&lt;/D&gt;&lt;D xsi:type="xsd:double"&gt;3003.75009&lt;/D&gt;&lt;D xsi:type="xsd:double"&gt;2947.754912&lt;/D&gt;&lt;D xsi:type="xsd:double"&gt;2934.280943&lt;/D&gt;&lt;D xsi:type="xsd:double"&gt;3031.346486&lt;/D&gt;&lt;D xsi:type="xsd:double"&gt;2969.087543&lt;/D&gt;&lt;D xsi:type="xsd:double"&gt;2941.40186&lt;/D&gt;&lt;D xsi:type="xsd:double"&gt;3002.354034&lt;/D&gt;&lt;D xsi:type="xsd:double"&gt;3020.888453&lt;/D&gt;&lt;D xsi:type="xsd:double"&gt;2968.018923&lt;/D&gt;&lt;D xsi:type="xsd:double"&gt;2919.274503&lt;/D&gt;&lt;D xsi:type="xsd:double"&gt;2749.835723&lt;/D&gt;&lt;D xsi:type="xsd:double"&gt;2708.871828&lt;/D&gt;&lt;D xsi:type="xsd:double"&gt;2559.011601&lt;/D&gt;&lt;D xsi:type="xsd:double"&gt;2543.995516&lt;/D&gt;&lt;D xsi:type="xsd:double"&gt;2491.388167&lt;/D&gt;&lt;D xsi:type="xsd:double"&gt;2444.466995&lt;/D&gt;&lt;D xsi:type="xsd:double"&gt;2403.061387&lt;/D&gt;&lt;D xsi:type="xsd:double"&gt;2271.370391&lt;/D&gt;&lt;D xsi:type="xsd:double"&gt;2090.153437&lt;/D&gt;&lt;D xsi:type="xsd:double"&gt;2093.73896&lt;/D&gt;&lt;D xsi:type="xsd:double"&gt;2128.993316&lt;/D&gt;&lt;D xsi:type="xsd:double"&gt;2197.096434&lt;/D&gt;&lt;D xsi:type="xsd:double"&gt;2306.319488&lt;/D&gt;&lt;D xsi:type="xsd:double"&gt;2191.682144&lt;/D&gt;&lt;D xsi:type="xsd:double"&gt;2042.878194&lt;/D&gt;&lt;D xsi:type="xsd:double"&gt;2287.409096&lt;/D&gt;&lt;D xsi:type="xsd:double"&gt;2278.809247&lt;/D&gt;&lt;D xsi:type="xsd:double"&gt;2483.03653&lt;/D&gt;&lt;D xsi:type="xsd:double"&gt;2643.617732&lt;/D&gt;&lt;D xsi:type="xsd:double"&gt;2632.533586&lt;/D&gt;&lt;D xsi:type="xsd:double"&gt;2716.549885&lt;/D&gt;&lt;D xsi:type="xsd:double"&gt;2587.944198&lt;/D&gt;&lt;D xsi:type="xsd:double"&gt;2613.67457&lt;/D&gt;&lt;D xsi:type="xsd:double"&gt;2700.381494&lt;/D&gt;&lt;D xsi:type="xsd:double"&gt;2681.891896&lt;/D&gt;&lt;D xsi:type="xsd:double"&gt;2535.024855&lt;/D&gt;&lt;D xsi:type="xsd:double"&gt;2474.41766&lt;/D&gt;&lt;D xsi:type="xsd:double"&gt;2722.097317&lt;/D&gt;&lt;D xsi:type="xsd:double"&gt;2857.007989&lt;/D&gt;&lt;D xsi:type="xsd:double"&gt;2912.944326&lt;/D&gt;&lt;D xsi:type="xsd:double"&gt;3003.512102&lt;/D&gt;&lt;D xsi:type="xsd:double"&gt;3038.283965&lt;/D&gt;&lt;D xsi:type="xsd:double"&gt;2818.067012&lt;/D&gt;&lt;D xsi:type="xsd:double"&gt;3030.366624&lt;/D&gt;&lt;D xsi:type="xsd:double"&gt;3329.982111&lt;/D&gt;&lt;D xsi:type="xsd:double"&gt;3261.04884&lt;/D&gt;&lt;D xsi:type="xsd:double"&gt;3201.313658&lt;/D&gt;&lt;D xsi:type="xsd:double"&gt;3455.359528&lt;/D&gt;&lt;D xsi:type="xsd:double"&gt;3548.64387&lt;/D&gt;&lt;D xsi:type="xsd:double"&gt;3738.578599&lt;/D&gt;&lt;D xsi:type="xsd:double"&gt;3566.996892&lt;/D&gt;&lt;D xsi:type="xsd:double"&gt;3679.234701&lt;/D&gt;&lt;D xsi:type="xsd:double"&gt;3530.328668&lt;/D&gt;&lt;D xsi:type="xsd:double"&gt;3658.942042&lt;/D&gt;&lt;D xsi:type="xsd:double"&gt;3876.711624&lt;/D&gt;&lt;D xsi:type="xsd:double"&gt;3701.773357&lt;/D&gt;&lt;D xsi:type="xsd:double"&gt;3616.093016&lt;/D&gt;&lt;/FQL&gt;&lt;FQL&gt;&lt;Q&gt;990100^JULIAN(MSCP_TOTAL_RET_IDX_GIMI(2/27/2026,1/31/2000,M,USD,"GROSS").DATES)&lt;/Q&gt;&lt;R&gt;314&lt;/R&gt;&lt;C&gt;1&lt;/C&gt;&lt;D xsi:type="xsd:long"&gt;46080&lt;/D&gt;&lt;D xsi:type="xsd:long"&gt;46052&lt;/D&gt;&lt;D xsi:type="xsd:long"&gt;46022&lt;/D&gt;&lt;D xsi:type="xsd:long"&gt;45989&lt;/D&gt;&lt;D xsi:type="xsd:long"&gt;45961&lt;/D&gt;&lt;D xsi:type="xsd:long"&gt;45930&lt;/D&gt;&lt;D xsi:type="xsd:long"&gt;45898&lt;/D&gt;&lt;D xsi:type="xsd:long"&gt;45869&lt;/D&gt;&lt;D xsi:type="xsd:long"&gt;45838&lt;/D&gt;&lt;D xsi:type="xsd:long"&gt;45807&lt;/D&gt;&lt;D xsi:type="xsd:long"&gt;45777&lt;/D&gt;&lt;D xsi:type="xsd:long"&gt;45747&lt;/D&gt;&lt;D xsi:type="xsd:long"&gt;45716&lt;/D&gt;&lt;D xsi:type="xsd:long"&gt;45688&lt;/D&gt;&lt;D xsi:type="xsd:long"&gt;45657&lt;/D&gt;&lt;D xsi:type="xsd:long"&gt;45625&lt;/D&gt;&lt;D xsi:type="xsd:long"&gt;45596&lt;/D&gt;&lt;D xsi:type="xsd:long"&gt;45565&lt;/D&gt;&lt;D xsi:type="xsd:long"&gt;45534&lt;/D&gt;&lt;D xsi:type="xsd:long"&gt;45504&lt;/D&gt;&lt;D xsi:type="xsd:long"&gt;45471&lt;/D&gt;&lt;D xsi:type="xsd:long"&gt;45443&lt;/D&gt;&lt;D xsi:type="xsd:long"&gt;45412&lt;/D&gt;&lt;D xsi:type="xsd:long"&gt;45379&lt;/D&gt;&lt;D xsi:type="xsd:long"&gt;45351&lt;/D&gt;&lt;D xsi:type="xsd:long"&gt;45322&lt;/D&gt;&lt;D xsi:type="xsd:long"&gt;45289&lt;/D&gt;&lt;D xsi:type="xsd:long"&gt;45260&lt;/D&gt;&lt;D xsi:type="xsd:long"&gt;45230&lt;/D&gt;&lt;D xsi:type="xsd:long"&gt;45198&lt;/D&gt;&lt;D xsi:type="xsd:long"&gt;45169&lt;/D&gt;&lt;D xsi:type="xsd:long"&gt;45138&lt;/D&gt;&lt;D xsi:type="xsd:long"&gt;45107&lt;/D&gt;&lt;D xsi:type="xsd:long"&gt;45077&lt;/D&gt;&lt;D xsi:type="xsd:long"&gt;45044&lt;/D&gt;&lt;D xsi:type="xsd:long"&gt;45016&lt;/D&gt;&lt;D xsi:type="xsd:long"&gt;44985&lt;/D&gt;&lt;D xsi:type="xsd:long"&gt;44957&lt;/D&gt;&lt;D xsi:type="xsd:long"&gt;44925&lt;/D&gt;&lt;D xsi:type="xsd:long"&gt;44895&lt;/D&gt;&lt;D xsi:type="xsd:long"&gt;44865&lt;/D&gt;&lt;D xsi:type="xsd:long"&gt;44834&lt;/D&gt;&lt;D xsi:type="xsd:long"&gt;44804&lt;/D&gt;&lt;D xsi:type="xsd:long"&gt;44771&lt;/D&gt;&lt;D xsi:type="xsd:long"&gt;44742&lt;/D&gt;&lt;D xsi:type="xsd:long"&gt;44712&lt;/D&gt;&lt;D xsi:type="xsd:long"&gt;44680&lt;/D&gt;&lt;D xsi:type="xsd:long"&gt;44651&lt;/D&gt;&lt;D xsi:type="xsd:long"&gt;44620&lt;/D&gt;&lt;D xsi:type="xsd:long"&gt;44592&lt;/D&gt;&lt;D xsi:type="xsd:long"&gt;44561&lt;/D&gt;&lt;D xsi:type="xsd:long"&gt;44530&lt;/D&gt;&lt;D xsi:type="xsd:long"&gt;44498&lt;/D&gt;&lt;D xsi:type="xsd:long"&gt;44469&lt;/D&gt;&lt;D xsi:type="xsd:long"&gt;44439&lt;/D&gt;&lt;D xsi:type="xsd:long"&gt;44407&lt;/D&gt;&lt;D xsi:type="xsd:long"&gt;44377&lt;/D&gt;&lt;D xsi:type="xsd:long"&gt;44344&lt;/D&gt;&lt;D xsi:type="xsd:long"&gt;44316&lt;/D&gt;&lt;D xsi:type="xsd:long"&gt;44286&lt;/D&gt;&lt;D xsi:type="xsd:long"&gt;44253&lt;/D&gt;&lt;D xsi:type="xsd:long"&gt;44225&lt;/D&gt;&lt;D xsi:type="xsd:long"&gt;44196&lt;/D&gt;&lt;D xsi:type="xsd:long"&gt;44165&lt;/D&gt;&lt;D xsi:type="xsd:long"&gt;44134&lt;/D&gt;&lt;D xsi:type="xsd:long"&gt;44104&lt;/D&gt;&lt;D xsi:type="xsd:long"&gt;44074&lt;/D&gt;&lt;D xsi:type="xsd:long"&gt;44043&lt;/D&gt;&lt;D xsi:type="xsd:long"&gt;44012&lt;/D&gt;&lt;D xsi:type="xsd:long"&gt;43980&lt;/D&gt;&lt;D xsi:type="xsd:long"&gt;43951&lt;/D&gt;&lt;D xsi:type="xsd:long"&gt;43921&lt;/D&gt;&lt;D xsi:type="xsd:long"&gt;43889&lt;/D&gt;&lt;D xsi:type="xsd:long"&gt;43861&lt;/D&gt;&lt;D xsi:type="xsd:long"&gt;43830&lt;/D&gt;&lt;D xsi:type="xsd:long"&gt;43798&lt;/D&gt;&lt;D xsi:type="xsd:long"&gt;43769&lt;/D&gt;&lt;D xsi:type="xsd:long"&gt;43738&lt;/D&gt;&lt;D xsi:type="xsd:long"&gt;43707&lt;/D&gt;&lt;D xsi:type="xsd:long"&gt;43677&lt;/D&gt;&lt;D xsi:type="xsd:long"&gt;43644&lt;/D&gt;&lt;D xsi:type="xsd:long"&gt;43616&lt;/D&gt;&lt;D xsi:type="xsd:long"&gt;43585&lt;/D&gt;&lt;D xsi:type="xsd:long"&gt;43553&lt;/D&gt;&lt;D xsi:type="xsd:long"&gt;43524&lt;/D&gt;&lt;D xsi:type="xsd:long"&gt;43496&lt;/D&gt;&lt;D xsi:type="xsd:long"&gt;43465&lt;/D&gt;&lt;D xsi:type="xsd:long"&gt;43434&lt;/D&gt;&lt;D xsi:type="xsd:long"&gt;43404&lt;/D&gt;&lt;D xsi:type="xsd:long"&gt;43371&lt;/D&gt;&lt;D xsi:type="xsd:long"&gt;43343&lt;/D&gt;&lt;D xsi:type="xsd:long"&gt;43312&lt;/D&gt;&lt;D xsi:type="xsd:long"&gt;43280&lt;/D&gt;&lt;D xsi:type="xsd:long"&gt;43251&lt;/D&gt;&lt;D xsi:type="xsd:long"&gt;43220&lt;/D&gt;&lt;D xsi:type="xsd:long"&gt;43188&lt;/D&gt;&lt;D xsi:type="xsd:long"&gt;43159&lt;/D&gt;&lt;D xsi:type="xsd:long"&gt;43131&lt;/D&gt;&lt;D xsi:type="xsd:long"&gt;43098&lt;/D&gt;&lt;D xsi:type="xsd:long"&gt;43069&lt;/D&gt;&lt;D xsi:type="xsd:long"&gt;43039&lt;/D&gt;&lt;D xsi:type="xsd:long"&gt;43007&lt;/D&gt;&lt;D x</t>
        </r>
      </text>
    </comment>
    <comment ref="A76" authorId="0" shapeId="0">
      <text>
        <r>
          <rPr>
            <b/>
            <sz val="9"/>
            <color indexed="81"/>
            <rFont val="Tahoma"/>
            <family val="2"/>
          </rPr>
          <t>si:type="xsd:long"&gt;42978&lt;/D&gt;&lt;D xsi:type="xsd:long"&gt;42947&lt;/D&gt;&lt;D xsi:type="xsd:long"&gt;42916&lt;/D&gt;&lt;D xsi:type="xsd:long"&gt;42886&lt;/D&gt;&lt;D xsi:type="xsd:long"&gt;42853&lt;/D&gt;&lt;D xsi:type="xsd:long"&gt;42825&lt;/D&gt;&lt;D xsi:type="xsd:long"&gt;42794&lt;/D&gt;&lt;D xsi:type="xsd:long"&gt;42766&lt;/D&gt;&lt;D xsi:type="xsd:long"&gt;42734&lt;/D&gt;&lt;D xsi:type="xsd:long"&gt;42704&lt;/D&gt;&lt;D xsi:type="xsd:long"&gt;42674&lt;/D&gt;&lt;D xsi:type="xsd:long"&gt;42643&lt;/D&gt;&lt;D xsi:type="xsd:long"&gt;42613&lt;/D&gt;&lt;D xsi:type="xsd:long"&gt;42580&lt;/D&gt;&lt;D xsi:type="xsd:long"&gt;42551&lt;/D&gt;&lt;D xsi:type="xsd:long"&gt;42521&lt;/D&gt;&lt;D xsi:type="xsd:long"&gt;42489&lt;/D&gt;&lt;D xsi:type="xsd:long"&gt;42460&lt;/D&gt;&lt;D xsi:type="xsd:long"&gt;42429&lt;/D&gt;&lt;D xsi:type="xsd:long"&gt;42398&lt;/D&gt;&lt;D xsi:type="xsd:long"&gt;42369&lt;/D&gt;&lt;D xsi:type="xsd:long"&gt;42338&lt;/D&gt;&lt;D xsi:type="xsd:long"&gt;42307&lt;/D&gt;&lt;D xsi:type="xsd:long"&gt;42277&lt;/D&gt;&lt;D xsi:type="xsd:long"&gt;42247&lt;/D&gt;&lt;D xsi:type="xsd:long"&gt;42216&lt;/D&gt;&lt;D xsi:type="xsd:long"&gt;42185&lt;/D&gt;&lt;D xsi:type="xsd:long"&gt;42153&lt;/D&gt;&lt;D xsi:type="xsd:long"&gt;42124&lt;/D&gt;&lt;D xsi:type="xsd:long"&gt;42094&lt;/D&gt;&lt;D xsi:type="xsd:long"&gt;42062&lt;/D&gt;&lt;D xsi:type="xsd:long"&gt;42034&lt;/D&gt;&lt;D xsi:type="xsd:long"&gt;42004&lt;/D&gt;&lt;D xsi:type="xsd:long"&gt;41971&lt;/D&gt;&lt;D xsi:type="xsd:long"&gt;41943&lt;/D&gt;&lt;D xsi:type="xsd:long"&gt;41912&lt;/D&gt;&lt;D xsi:type="xsd:long"&gt;41880&lt;/D&gt;&lt;D xsi:type="xsd:long"&gt;41851&lt;/D&gt;&lt;D xsi:type="xsd:long"&gt;41820&lt;/D&gt;&lt;D xsi:type="xsd:long"&gt;41789&lt;/D&gt;&lt;D xsi:type="xsd:long"&gt;41759&lt;/D&gt;&lt;D xsi:type="xsd:long"&gt;41729&lt;/D&gt;&lt;D xsi:type="xsd:long"&gt;41698&lt;/D&gt;&lt;D xsi:type="xsd:long"&gt;41670&lt;/D&gt;&lt;D xsi:type="xsd:long"&gt;41639&lt;/D&gt;&lt;D xsi:type="xsd:long"&gt;41607&lt;/D&gt;&lt;D xsi:type="xsd:long"&gt;41578&lt;/D&gt;&lt;D xsi:type="xsd:long"&gt;41547&lt;/D&gt;&lt;D xsi:type="xsd:long"&gt;41516&lt;/D&gt;&lt;D xsi:type="xsd:long"&gt;41486&lt;/D&gt;&lt;D xsi:type="xsd:long"&gt;41453&lt;/D&gt;&lt;D xsi:type="xsd:long"&gt;41425&lt;/D&gt;&lt;D xsi:type="xsd:long"&gt;41394&lt;/D&gt;&lt;D xsi:type="xsd:long"&gt;41361&lt;/D&gt;&lt;D xsi:type="xsd:long"&gt;41333&lt;/D&gt;&lt;D xsi:type="xsd:long"&gt;41305&lt;/D&gt;&lt;D xsi:type="xsd:long"&gt;41274&lt;/D&gt;&lt;D xsi:type="xsd:long"&gt;41243&lt;/D&gt;&lt;D xsi:type="xsd:long"&gt;41213&lt;/D&gt;&lt;D xsi:type="xsd:long"&gt;41180&lt;/D&gt;&lt;D xsi:type="xsd:long"&gt;41152&lt;/D&gt;&lt;D xsi:type="xsd:long"&gt;41121&lt;/D&gt;&lt;D xsi:type="xsd:long"&gt;41089&lt;/D&gt;&lt;D xsi:type="xsd:long"&gt;41060&lt;/D&gt;&lt;D xsi:type="xsd:long"&gt;41029&lt;/D&gt;&lt;D xsi:type="xsd:long"&gt;40998&lt;/D&gt;&lt;D xsi:type="xsd:long"&gt;40968&lt;/D&gt;&lt;D xsi:type="xsd:long"&gt;40939&lt;/D&gt;&lt;D xsi:type="xsd:long"&gt;40907&lt;/D&gt;&lt;D xsi:type="xsd:long"&gt;40877&lt;/D&gt;&lt;D xsi:type="xsd:long"&gt;40847&lt;/D&gt;&lt;D xsi:type="xsd:long"&gt;40816&lt;/D&gt;&lt;D xsi:type="xsd:long"&gt;40786&lt;/D&gt;&lt;D xsi:type="xsd:long"&gt;40753&lt;/D&gt;&lt;D xsi:type="xsd:long"&gt;40724&lt;/D&gt;&lt;D xsi:type="xsd:long"&gt;40694&lt;/D&gt;&lt;D xsi:type="xsd:long"&gt;40662&lt;/D&gt;&lt;D xsi:type="xsd:long"&gt;40633&lt;/D&gt;&lt;D xsi:type="xsd:long"&gt;40602&lt;/D&gt;&lt;D xsi:type="xsd:long"&gt;40574&lt;/D&gt;&lt;D xsi:type="xsd:long"&gt;40543&lt;/D&gt;&lt;D xsi:type="xsd:long"&gt;40512&lt;/D&gt;&lt;D xsi:type="xsd:long"&gt;40480&lt;/D&gt;&lt;D xsi:type="xsd:long"&gt;40451&lt;/D&gt;&lt;D xsi:type="xsd:long"&gt;40421&lt;/D&gt;&lt;D xsi:type="xsd:long"&gt;40389&lt;/D&gt;&lt;D xsi:type="xsd:long"&gt;40359&lt;/D&gt;&lt;D xsi:type="xsd:long"&gt;40326&lt;/D&gt;&lt;D xsi:type="xsd:long"&gt;40298&lt;/D&gt;&lt;D xsi:type="xsd:long"&gt;40268&lt;/D&gt;&lt;D xsi:type="xsd:long"&gt;40235&lt;/D&gt;&lt;D xsi:type="xsd:long"&gt;40207&lt;/D&gt;&lt;D xsi:type="xsd:long"&gt;40178&lt;/D&gt;&lt;D xsi:type="xsd:long"&gt;40147&lt;/D&gt;&lt;D xsi:type="xsd:long"&gt;40116&lt;/D&gt;&lt;D xsi:type="xsd:long"&gt;40086&lt;/D&gt;&lt;D xsi:type="xsd:long"&gt;40056&lt;/D&gt;&lt;D xsi:type="xsd:long"&gt;40025&lt;/D&gt;&lt;D xsi:type="xsd:long"&gt;39994&lt;/D&gt;&lt;D xsi:type="xsd:long"&gt;39962&lt;/D&gt;&lt;D xsi:type="xsd:long"&gt;39933&lt;/D&gt;&lt;D xsi:type="xsd:long"&gt;39903&lt;/D&gt;&lt;D xsi:type="xsd:long"&gt;39871&lt;/D&gt;&lt;D xsi:type="xsd:long"&gt;39843&lt;/D&gt;&lt;D xsi:type="xsd:long"&gt;39813&lt;/D&gt;&lt;D xsi:type="xsd:long"&gt;39780&lt;/D&gt;&lt;D xsi:type="xsd:long"&gt;39752&lt;/D&gt;&lt;D xsi:type="xsd:long"&gt;39721&lt;/D&gt;&lt;D xsi:type="xsd:long"&gt;39689&lt;/D&gt;&lt;D xsi:type="xsd:long"&gt;39660&lt;/D&gt;&lt;D xsi:type="xsd:long"&gt;39629&lt;/D&gt;&lt;D xsi:type="xsd:long"&gt;39598&lt;/D&gt;&lt;D xsi:type="xsd:long"&gt;39568&lt;/D&gt;&lt;D xsi:type="xsd:long"&gt;39538&lt;/D&gt;&lt;D xsi:type="xsd:long"&gt;39507&lt;/D&gt;&lt;D xsi:type="xsd:long"&gt;39478&lt;/D&gt;&lt;D xsi:type="xsd:long"&gt;39447&lt;/D&gt;&lt;D xsi:type="xsd:long"&gt;39416&lt;/D&gt;&lt;D xsi:type="xsd:long"&gt;39386&lt;/D&gt;&lt;D xsi:type="xsd:long"&gt;39353&lt;/D&gt;&lt;D xsi:type="xsd:long"&gt;39325&lt;/D&gt;&lt;D xsi:type="xsd:long"&gt;39294&lt;/D&gt;&lt;D xsi:type="xsd:long"&gt;39262&lt;/D&gt;&lt;D xsi:type="xsd:long"&gt;39233&lt;/D&gt;&lt;D xsi:type="xsd:long"&gt;39202&lt;/D&gt;&lt;D xsi:type="xsd:long"&gt;39171&lt;/D&gt;&lt;D xsi:type="xsd:long"&gt;39141&lt;/D&gt;&lt;D xsi:type="xsd:long"&gt;39113&lt;/D&gt;&lt;D xsi:type="xsd:long"&gt;39080&lt;/D&gt;&lt;D xsi:type="xsd:long"&gt;39051&lt;/D&gt;&lt;D xsi:type="xsd:long"&gt;39021&lt;/D&gt;&lt;D xsi:type="xsd:long"&gt;38989&lt;/D&gt;&lt;D xsi:type="xsd:long"&gt;38960&lt;/D&gt;&lt;D xsi:type="xsd:long"&gt;38929&lt;/D&gt;&lt;D xsi:type="xsd:long"&gt;38898&lt;/D&gt;&lt;D xsi:type="xsd:long"&gt;38868&lt;/D&gt;&lt;D xsi:type="xsd:long"&gt;38835&lt;/D&gt;&lt;D xsi:type="xsd:long"&gt;38807&lt;/D&gt;&lt;D xsi:type="xsd:long"&gt;38776&lt;/D&gt;&lt;D xsi:type="xsd:long"&gt;38748&lt;/D&gt;&lt;D xsi:type="xsd:long"&gt;38716&lt;/D&gt;&lt;D xsi:type="xsd:long"&gt;38686&lt;/D&gt;&lt;D xsi:type="xsd:long"&gt;38656&lt;/D&gt;&lt;D xsi:type="xsd:long"&gt;38625&lt;/D&gt;&lt;D xsi:type="xsd:long"&gt;38595&lt;/D&gt;&lt;D xsi:type="xsd:long"&gt;38562&lt;/D&gt;&lt;D xsi:type="xsd:long"&gt;38533&lt;/D&gt;&lt;D xsi:type="xsd:long"&gt;38503&lt;/D&gt;&lt;D xsi:type="xsd:long"&gt;38471&lt;/D&gt;&lt;D xsi:type="xsd:long"&gt;38442&lt;/D&gt;&lt;D xsi:type="xsd:long"&gt;38411&lt;/D&gt;&lt;D xsi:type="xsd:long"&gt;38383&lt;/D&gt;&lt;D xsi:type="xsd:long"&gt;38352&lt;/D&gt;&lt;D xsi:type="xsd:long"&gt;38321&lt;/D&gt;&lt;D xsi:type="xsd:long"&gt;38289&lt;/D&gt;&lt;D xsi:type="xsd:long"&gt;38260&lt;/D&gt;&lt;D xsi:type="xsd:long"&gt;38230&lt;/D&gt;&lt;D xsi:type="xsd:long"&gt;38198&lt;/D&gt;&lt;D xsi:type="xsd:long"&gt;38168&lt;/D&gt;&lt;D xsi:type="xsd:long"&gt;38135&lt;/D&gt;&lt;D xsi:type="xsd:long"&gt;38107&lt;/D&gt;&lt;D xsi:type="xsd:long"&gt;38077&lt;/D&gt;&lt;D xsi:type="xsd:long"&gt;38044&lt;/D&gt;&lt;D xsi:type="xsd:long"&gt;38016&lt;/D&gt;&lt;D xsi:type="xsd:long"&gt;37986&lt;/D&gt;&lt;D xsi:type="xsd:long"&gt;37953&lt;/D&gt;&lt;D xsi:type="xsd:long"&gt;37925&lt;/D&gt;&lt;D xsi:type="xsd:long"&gt;37894&lt;/D&gt;&lt;D xsi:type="xsd:long"&gt;37862&lt;/D&gt;&lt;D xsi:type="xsd:long"&gt;37833&lt;/D&gt;&lt;D xsi:type="xsd:long"&gt;37802&lt;/D&gt;&lt;D xsi:type="xsd:long"&gt;37771&lt;/D&gt;&lt;D xsi:type="xsd:long"&gt;37741&lt;/D&gt;&lt;D xsi:type="xsd:long"&gt;37711&lt;/D&gt;&lt;D xsi:type="xsd:long"&gt;37680&lt;/D&gt;&lt;D xsi:type="xsd:long"&gt;37652&lt;/D&gt;&lt;D xsi:type="xsd:long"&gt;37621&lt;/D&gt;&lt;D xsi:type="xsd:long"&gt;37589&lt;/D&gt;&lt;D xsi:type="xsd:long"&gt;37560&lt;/D&gt;&lt;D xsi:type="xsd:long"&gt;37529&lt;/D&gt;&lt;D xsi:type="xsd:long"&gt;37498&lt;/D&gt;&lt;D xsi:type="xsd:long"&gt;37468&lt;/D&gt;&lt;D xsi:type="xsd:long"&gt;37435&lt;/D&gt;&lt;D xsi:type="xsd:long"&gt;37407&lt;/D&gt;&lt;D xsi:type="xsd:long"&gt;37376&lt;/D&gt;&lt;D xsi:type="xsd:long"&gt;37343&lt;/D&gt;&lt;D xsi:type="xsd:long"&gt;37315&lt;/D&gt;&lt;D xsi:type="xsd:long"&gt;37287&lt;/D&gt;&lt;D xsi:type="xsd:long"&gt;37256&lt;/D&gt;&lt;D xsi:type="xsd:long"&gt;37225&lt;/D&gt;&lt;D xsi:type="xsd:long"&gt;37195&lt;/D&gt;&lt;D xsi:type="xsd:long"&gt;37162&lt;/D&gt;&lt;D xsi:type="xsd:long"&gt;37134&lt;/D&gt;&lt;D xsi:type="xsd:long"&gt;37103&lt;/D&gt;&lt;D xsi:type="xsd:long"&gt;37071&lt;/D&gt;&lt;D xsi:type="xsd:long"&gt;37042&lt;/D&gt;&lt;D xsi:type="xsd:long"&gt;37011&lt;/D&gt;&lt;D xsi:type="xsd:long"&gt;36980&lt;/D&gt;&lt;D xsi:type="xsd:long"&gt;36950&lt;/D&gt;&lt;D xsi:type="xsd:long"&gt;36922&lt;/D&gt;&lt;D xsi:type="xsd:long"&gt;36889&lt;/D&gt;&lt;D xsi:type="xsd:long"&gt;36860&lt;/D&gt;&lt;D xsi:type="xsd:long"&gt;36830&lt;/D&gt;&lt;D xsi:type="xsd:long"&gt;36798&lt;/D&gt;&lt;D xsi:type="xsd:long"&gt;36769&lt;/D&gt;&lt;D xsi:type="xsd:long"&gt;36738&lt;/D&gt;&lt;D xsi:type="xsd:long"&gt;36707&lt;/D&gt;&lt;D xsi:type="xsd:long"&gt;36677&lt;/D&gt;&lt;D xsi:type="xsd:long"&gt;36644&lt;/D&gt;&lt;D xsi:type="xsd:long"&gt;36616&lt;/D&gt;&lt;D xsi:type="xsd:long"&gt;36585&lt;/D&gt;&lt;D xsi:type="xsd:long"&gt;36556&lt;/D&gt;&lt;/FQL&gt;&lt;FQL&gt;&lt;Q&gt;991000^MSCP_TOTAL_RET_IDX_GIMI(2/27/2026,1/31/2000,M,USD,"GROSS")&lt;/Q&gt;&lt;R&gt;314&lt;/R&gt;&lt;C&gt;1&lt;/C&gt;&lt;D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xsi:type="xsd:double"&gt;5875.32303925&lt;/D&gt;&lt;D xsi:type="xsd:double"&gt;6369.06259823411&lt;/D&gt;&lt;D xsi:type="xsd:double"&gt;6257.31292885701&lt;/D&gt;&lt;D xsi:type="xsd:double"&gt;5920.19353036494&lt;/D&gt;&lt;D xsi:type="xsd:double"&gt;6004.06154012271&lt;/D&gt;&lt;D xsi:type="xsd:double"&gt;5895.21210903221&lt;/D&gt;&lt;D xsi:type="xsd:double"&gt;6480.36123097854&lt;/D&gt;&lt;D xsi:type="xsd:double"&gt;6607.73534396194&lt;/D&gt;&lt;D xsi:type="xsd:double"&gt;6863.58067708708&lt;/D&gt;&lt;D xsi:type="xsd:double"&gt;6573.20682198108&lt;/D&gt;&lt;D xsi:type="xsd:double"&gt;6217.46886477138&lt;/D&gt;&lt;D xsi:type="xsd:double"&gt;6307.64060751703&lt;/D&gt;&lt;D xsi:type="xsd:double"&gt;6394.71476628644&lt;/D&gt;&lt;D xsi:type="xsd:double"&gt;6386.178553&lt;/D&gt;&lt;D xsi:type="xsd:double"&gt;6235.016878&lt;/D&gt;&lt;D xsi:type="xsd:double"&gt;5958.04533&lt;/D&gt;&lt;D xsi:type="xsd:double"&gt;5812.497825&lt;/D&gt;&lt;D xsi:type="xsd:double"&gt;5764.230725&lt;/D&gt;&lt;D xsi:type="xsd:double"&gt;5732.061846&lt;/D&gt;&lt;D xsi:type="xsd:double"&gt;5577.244721&lt;/D&gt;&lt;D xsi:type="xsd:double"&gt;5422.329455&lt;/D&gt;&lt;D xsi:type="xsd:double"&gt;5216.644527&lt;/D&gt;&lt;D xsi:type="xsd:double"&gt;5221.075578&lt;/D&gt;&lt;D xsi:type="xsd:double"&gt;5075.499447&lt;/D&gt;&lt;D xsi:type="xsd:double"&gt;5019.357916&lt;/D&gt;&lt;D xsi:type="xsd:double"&gt;5020.116485&lt;/D&gt;&lt;D xsi:type="xsd:double"&gt;5204.362422&lt;/D&gt;&lt;D xsi:type="xsd:double"&gt;4965.544614&lt;/D&gt;&lt;D xsi:type="xsd:double"&gt;4814.940805&lt;/D&gt;&lt;D xsi:type="xsd:double"&gt;4829.521894&lt;/D&gt;&lt;D xsi:type="xsd:double"&gt;4546.807039&lt;/D&gt;&lt;D xsi:type="xsd:double"&gt;4347.910408&lt;/D&gt;&lt;D xsi:type="xsd:double"&gt;4236.232574&lt;/D&gt;&lt;D xsi:type="xsd:double"&gt;4369.403069&lt;/D&gt;&lt;D xsi:type="xsd:double"&gt;4175.287646&lt;/D&gt;&lt;D xsi:type="xsd:double"&gt;4061.784288&lt;/D&gt;&lt;D xsi:type="xsd:double"&gt;3933.640075&lt;/D&gt;&lt;D xsi:type="xsd:double"&gt;3868.641622&lt;/D&gt;&lt;D xsi:type="xsd:double"&gt;3858.282779&lt;/D&gt;&lt;D xsi:type="xsd:double"&gt;3950.878475&lt;/D&gt;&lt;D xsi:type="xsd:double"&gt;4037.64977&lt;/D&gt;&lt;D xsi:type="xsd:double"&gt;3866.948609&lt;/D&gt;&lt;D xsi:type="xsd:double"&gt;3950.578038&lt;/D&gt;&lt;D xsi:type="xsd:double"&gt;3792.409983&lt;/D&gt;&lt;D xsi:type="xsd:double"&gt;3560.412428&lt;/D&gt;&lt;D xsi:type="xsd:double"&gt;3434.532465&lt;/D&gt;&lt;D xsi:type="xsd:double"&gt;3339.69624&lt;/D&gt;&lt;D xsi:type="xsd:double"&gt;3324.733968&lt;/D&gt;&lt;D xsi:type="xsd:double"&gt;3427.720251&lt;/D&gt;&lt;D xsi:type="xsd:double"&gt;3346.120077&lt;/D&gt;&lt;D xsi:type="xsd:double"&gt;3332.182895&lt;/D&gt;&lt;D xsi:type="xsd:double"&gt;3420.649363&lt;/D&gt;&lt;D xsi:type="xsd:double"&gt;3402.007655&lt;/D&gt;&lt;D xsi:type="xsd:double"&gt;3325.961311&lt;/D&gt;&lt;D xsi:type="xsd:double"&gt;3283.19743&lt;/D&gt;&lt;D xsi:type="xsd:double"&gt;3048.353649&lt;/D&gt;&lt;D xsi:type="xsd:double"&gt;2982.600974&lt;/D&gt;&lt;D xsi:type="xsd:double"&gt;2808.031981&lt;/D&gt;&lt;D xsi:type="xsd:double"&gt;2725.391338&lt;/D&gt;&lt;D xsi:type="xsd:double"&gt;2661.136813&lt;/D&gt;&lt;D xsi:type="xsd:double"&gt;2605.064997&lt;/D&gt;&lt;D xsi:type="xsd:double"&gt;2543.887526&lt;/D&gt;&lt;D xsi:type="xsd:double"&gt;2394.92852&lt;/D&gt;&lt;D xsi:type="xsd:double"&gt;2184.944523&lt;/D&gt;&lt;D xsi:type="xsd:double"&gt;2226.365387&lt;/D&gt;&lt;D xsi:type="xsd:double"&gt;2268.06991&lt;/D&gt;&lt;D xsi:type="xsd:double"&gt;2361.075263&lt;/D&gt;&lt;D xsi:type="xsd:double"&gt;2440.093654&lt;/D&gt;&lt;D xsi:type="xsd:double"&gt;2333.906508&lt;/D&gt;&lt;D xsi:type="xsd:double"&gt;2214.579701&lt;/D&gt;&lt;D xsi:type="xsd:double"&gt;2477.319533&lt;/D&gt;&lt;D xsi:type="xsd:double"&gt;2476.355725&lt;/D&gt;&lt;D xsi:type="xsd:double"&gt;2741.529493&lt;/D&gt;&lt;D xsi:type="xsd:double"&gt;2858.518361&lt;/D&gt;&lt;D xsi:type="xsd:double"&gt;2806.641414&lt;/D&gt;&lt;D xsi:type="xsd:double"&gt;2798.874593&lt;/D&gt;&lt;D xsi:type="xsd:double"&gt;2635.193548&lt;/D&gt;&lt;D xsi:type="xsd:double"&gt;2623.047494&lt;/D&gt;&lt;D xsi:type="xsd:double"&gt;2761.047841&lt;/D&gt;&lt;D xsi:type="xsd:double"&gt;2759.990078&lt;/D&gt;&lt;D xsi:type="xsd:double"&gt;2669.750485&lt;/D&gt;&lt;D xsi:type="xsd:double"&gt;2600.150497&lt;/D&gt;&lt;D xsi:type="xsd:double"&gt;2882.009173&lt;/D&gt;&lt;D xsi:type="xsd:double"&gt;2964.465981&lt;/D&gt;&lt;D xsi:type="xsd:double"&gt;3037.956841&lt;/D&gt;&lt;D xsi:type="xsd:double"&gt;3164.735141&lt;/D&gt;&lt;D xsi:type="xsd:double"&gt;3267.810378&lt;/D&gt;&lt;D xsi:type="xsd:double"&gt;3046.940324&lt;/D&gt;&lt;D xsi:type="xsd:double"&gt;3277.668981&lt;/D&gt;&lt;D xsi:type="xsd:double"&gt;3566.102359&lt;/D&gt;&lt;D xsi:type="xsd:double"&gt;3548.13849&lt;/D&gt;&lt;D xsi:type="xsd:double"&gt;3464.230252&lt;/D&gt;&lt;D xsi:type="xsd:double"&gt;3613.422288&lt;/D&gt;&lt;D xsi:type="xsd:double"&gt;3751.490723&lt;/D&gt;&lt;D xsi:type="xsd:double"&gt;3957.774986&lt;/D&gt;&lt;D xsi:type="xsd:double"&gt;3879.627824&lt;/D&gt;&lt;D xsi:type="xsd:double"&gt;4057.184143&lt;/D&gt;&lt;D xsi:type="xsd:double"&gt;3894.146686&lt;/D&gt;&lt;D xsi:type="xsd:double"&gt;4041.417566&lt;/D&gt;&lt;D xsi:type="xsd:double"&gt;4304.930697&lt;/D&gt;&lt;D xsi:type="xsd:double"&gt;4196.164527&lt;/D&gt;&lt;D xsi:type="xsd:double"&gt;4045.906248&lt;/D&gt;&lt;/FQL&gt;&lt;FQL&gt;&lt;Q&gt;991000^JULIAN(MSCP_TOTAL_RET_IDX_GIMI(2/27/2026,1/31/2000,M,USD,"GROSS").DATES)&lt;/Q&gt;&lt;R&gt;314&lt;/R&gt;&lt;C&gt;1&lt;/C&gt;&lt;D xsi:type="xsd:long"&gt;46080&lt;/D&gt;&lt;D xsi:type="xsd:long"&gt;46052&lt;/D&gt;&lt;D xsi:type="xsd:long"&gt;46022&lt;/D&gt;&lt;D xsi:type="xsd:long"&gt;45989&lt;/D&gt;&lt;D xsi:type="xsd:long"&gt;45961&lt;/D&gt;&lt;D xsi:type="xsd:long"&gt;45930&lt;/D&gt;&lt;D xsi:type="xsd:long"&gt;45898&lt;/D&gt;&lt;D xsi:type="xsd:long"&gt;45869&lt;/D&gt;&lt;D xsi:type="xsd:long"&gt;45838&lt;/D&gt;&lt;D xsi:type="xsd:long"&gt;45807&lt;/D&gt;&lt;D xsi:type="xsd:long"&gt;45777&lt;/D&gt;&lt;D xsi:type="xsd:long"&gt;45747&lt;/D&gt;&lt;D xsi:type="xsd:long"&gt;45716&lt;/D&gt;&lt;D xsi:type="xsd:long"&gt;45688&lt;/D&gt;&lt;D xsi:type="xsd:long"&gt;45657&lt;/D&gt;&lt;D xsi:type="xsd:long"&gt;45625&lt;/D&gt;&lt;D xsi:type="xsd:long"&gt;45596&lt;/D&gt;&lt;D xsi:type="xsd:long"&gt;45565&lt;/D&gt;&lt;D xsi:type="xsd:long"&gt;45534&lt;/D&gt;&lt;D xsi:type="xsd:long"&gt;45504&lt;/D&gt;&lt;D xsi:type="xsd:long"&gt;45471&lt;/D&gt;&lt;D xsi:type="xsd:long"&gt;45443&lt;/D&gt;&lt;D xsi:type="xsd:long"&gt;45412&lt;/D&gt;&lt;D xsi:type="xsd:long"&gt;45379&lt;/D&gt;&lt;D xsi:type="xsd:long"&gt;45351&lt;/D&gt;&lt;D xsi:type="xsd:long"&gt;45322&lt;/D&gt;&lt;D xsi:type="xsd:long"&gt;45289&lt;/D&gt;&lt;D xsi:type="xsd:long"&gt;45260&lt;/D&gt;&lt;D xsi:type="xsd:long"&gt;45230&lt;/D&gt;&lt;D xsi:type="xsd:long"&gt;45198&lt;/D&gt;&lt;D xsi:type="xsd:long"&gt;45169&lt;/D&gt;&lt;D xsi:type="xsd:long"&gt;45138&lt;/D&gt;&lt;D xsi:type="xsd:long"&gt;45107&lt;/D&gt;&lt;D xsi:type="xsd:long"&gt;45077&lt;/D&gt;&lt;D xsi:type="xsd:long"&gt;45044&lt;/D&gt;&lt;D xsi:type="xsd:long"&gt;45016&lt;/D&gt;&lt;D xsi:type="xsd:long"&gt;44985&lt;/D&gt;&lt;D xsi:type="xsd:long"&gt;44957&lt;/D&gt;&lt;D xsi:type="xsd:long"&gt;44925&lt;/D&gt;&lt;D xsi:type="xsd:long"&gt;44895&lt;/D&gt;&lt;D xsi:type="xsd:long"&gt;44865&lt;/D&gt;&lt;D xsi:type="xsd:long"&gt;44834&lt;/D&gt;&lt;D xsi:type="xsd:long"&gt;44804&lt;/D&gt;&lt;D xsi:type="xsd:long"&gt;44771&lt;/D&gt;&lt;D xsi:type="xsd:long"&gt;44742&lt;/D&gt;&lt;D xsi:type="xsd:long"&gt;44712&lt;/D&gt;&lt;D xsi:type="xsd:long"&gt;44680&lt;/D&gt;&lt;D xsi:type="xsd:long"&gt;44651&lt;/D&gt;&lt;D xsi:type="xsd:long"&gt;44620&lt;/D&gt;&lt;D xsi:type="xsd:long"&gt;44592&lt;/D&gt;&lt;D xsi:type="xsd:long"&gt;44561&lt;/D&gt;&lt;D xsi:type="xsd:long"&gt;44530&lt;/D&gt;&lt;D xsi:type="xsd:long"&gt;44498&lt;/D&gt;&lt;D xsi:type="xsd:long"&gt;44469&lt;/D&gt;&lt;D xsi:type="xsd:long"&gt;44439&lt;/D&gt;&lt;D xsi:type="xsd:long"&gt;44407&lt;/D&gt;&lt;D xsi:type="xsd:long"&gt;44377&lt;/D&gt;&lt;D xsi:type="xsd:long"&gt;44344&lt;/D&gt;&lt;D xsi:type="xsd:long"&gt;44316&lt;/D&gt;&lt;D xsi:type="xsd:long"&gt;44286&lt;/D&gt;&lt;D xsi:type="xsd:long"&gt;44253&lt;/D&gt;&lt;D xsi:type="xsd:long"&gt;44225&lt;/D&gt;&lt;D xsi:type="xsd:long"&gt;44196&lt;/D&gt;&lt;D xsi:type="xsd:long"&gt;44165&lt;/D&gt;&lt;D xsi:type="xsd:long"&gt;44134&lt;/D&gt;&lt;D xsi:type="xsd:long"&gt;44104&lt;/D&gt;&lt;D xsi:type="xsd:long"&gt;44074&lt;/D&gt;&lt;D xsi:type="xsd:long"&gt;44043&lt;/D&gt;&lt;D xsi:type="xsd:long"&gt;44012&lt;/D&gt;&lt;D xsi:type="xsd:long"&gt;43980&lt;/D&gt;&lt;D xsi:type="xsd:long"&gt;43951&lt;/D&gt;&lt;D xsi:type="xsd:long"&gt;43921&lt;/D&gt;&lt;D xsi:type="xsd:long"&gt;43889&lt;/D&gt;&lt;D xsi:type="xsd:long"&gt;43861&lt;/D&gt;&lt;D xsi:type="xsd:long"&gt;43830&lt;/D&gt;&lt;D xsi:type="xsd:long"&gt;43798&lt;/D&gt;&lt;D xsi:type="xsd:long"&gt;43769&lt;/D&gt;&lt;D xsi:type="xsd:long"&gt;43738&lt;/D&gt;&lt;D xsi:type="xsd:long"&gt;43707&lt;/D&gt;&lt;D xsi:type="xsd:long"&gt;43677&lt;/D&gt;&lt;D xsi:type="xsd:long"&gt;43644&lt;/D&gt;&lt;D xsi:type="xsd:long"&gt;43616&lt;/D&gt;&lt;D xsi:type="xsd:long"&gt;43585&lt;/D&gt;&lt;D xsi:type="xsd:long"&gt;43553&lt;/D&gt;&lt;D xsi:type="xsd:long"&gt;43524&lt;/D&gt;&lt;D xsi:type="xsd:long"&gt;43496&lt;/D&gt;&lt;D xsi:type="xsd:long"&gt;43465&lt;/D&gt;&lt;D xsi:type="xsd:long"&gt;43434&lt;/D&gt;&lt;D xsi:type="xsd:long"&gt;43404&lt;/D&gt;&lt;D xsi:type="xsd:long"&gt;43371&lt;/D&gt;&lt;D xsi:type="xsd:long"&gt;43343&lt;/D&gt;&lt;D xsi:type="xsd:long"&gt;43312&lt;/D&gt;&lt;D xsi:type="xsd:long"&gt;43280&lt;/D&gt;&lt;D xsi:type="xsd:long"&gt;43251&lt;/D&gt;&lt;D xsi:type="xsd:long"&gt;43220&lt;/D&gt;&lt;D xsi:type="xsd:long"&gt;43188&lt;/D&gt;&lt;D xsi:type="xsd:long"&gt;43159&lt;/D&gt;&lt;D xsi:type="xsd:long"&gt;43131&lt;/D&gt;&lt;D xsi:type="xsd:long"&gt;43098&lt;/D&gt;&lt;D xsi:type="xsd:long"&gt;43069&lt;/D&gt;&lt;D xsi:type="xsd:long"&gt;43039&lt;/D&gt;&lt;D xsi:type="xsd:long"&gt;43007&lt;/D&gt;&lt;D xsi:type="xsd:long"&gt;42978&lt;/D&gt;&lt;D xsi:type="xsd:long"&gt;42947&lt;/D&gt;&lt;D xsi:type="xsd:long"&gt;42916&lt;/D&gt;&lt;D xsi:type="xsd:long"&gt;42886&lt;/D&gt;&lt;D xsi:type="xsd:long"&gt;42853&lt;/D&gt;&lt;D xsi:type="xsd:long"&gt;42825&lt;/D&gt;&lt;D xsi:type="xsd:long"&gt;42794&lt;/D&gt;&lt;D xsi:type="xsd:long"&gt;42766&lt;/D&gt;&lt;D xsi:type="xsd:long"&gt;42734&lt;/D&gt;&lt;D xsi:type="xsd:long"&gt;42704&lt;/D&gt;&lt;D xsi:type="xsd:long"&gt;42674&lt;/D&gt;&lt;D xsi:type="xsd:long"&gt;42643&lt;/D&gt;&lt;D xsi:type="xsd:long"&gt;42613&lt;/D&gt;&lt;D xsi:type="xsd:long"&gt;42580&lt;/D&gt;&lt;D xsi:type="xsd:long"&gt;42551&lt;/D&gt;&lt;D xsi:type="xsd:long"&gt;42521&lt;/D&gt;&lt;D xsi:type="xsd:long"&gt;42489&lt;/D&gt;&lt;D xsi:type="xsd:long"&gt;42460&lt;/D&gt;&lt;D xsi:type="xsd:long"&gt;42429&lt;/D&gt;&lt;D xsi:type="xsd:long"&gt;42398&lt;/D&gt;&lt;D xsi:type="xsd:long"&gt;42369&lt;/D&gt;&lt;D xsi:type="xsd:long"&gt;42338&lt;/D&gt;&lt;D xsi:type="xsd:long"&gt;42307&lt;/D&gt;&lt;D xsi:type="xsd:long"&gt;42277&lt;/D&gt;&lt;D xsi:type="xsd:long"&gt;42247&lt;/D&gt;&lt;D xsi:type="xsd:long"&gt;42216&lt;/D&gt;&lt;D xsi:type="xsd:long"&gt;42185&lt;/D&gt;&lt;D xsi:type="xsd:long"&gt;42153&lt;/D&gt;&lt;D xsi:type="xsd:long"&gt;42124&lt;/D&gt;&lt;D xsi:type="xsd:long"&gt;42094&lt;/D&gt;&lt;D xsi:type="xsd:long"&gt;42062&lt;/D&gt;&lt;D xsi:type="xsd:long"&gt;42034&lt;/D&gt;&lt;D xsi:type="xsd:long"&gt;42004&lt;/D&gt;&lt;D xsi:type="xsd:long"&gt;41971&lt;/D&gt;&lt;D xsi:type="xsd:long"&gt;41943&lt;/D&gt;&lt;D xsi:type="xsd:long"&gt;41912&lt;/D&gt;&lt;D xsi:type="xsd:long"&gt;41880&lt;/D&gt;&lt;D xsi:type="xsd:long"&gt;41851&lt;/D&gt;&lt;D xsi:type="xsd:long"&gt;41820&lt;/D&gt;&lt;D xsi:type="xsd:long"&gt;41789&lt;/D&gt;&lt;D xsi:type="xsd:long"&gt;41759&lt;/D&gt;&lt;D xsi:type="xsd:long"&gt;41729&lt;/D&gt;&lt;D xsi:type="xsd:long"&gt;41698&lt;/D&gt;&lt;D xsi:type="xsd:long"&gt;41670&lt;/D&gt;&lt;D xsi:type="xsd:long"&gt;41639&lt;/D&gt;&lt;D xsi:type="xsd:long"&gt;41607&lt;/D&gt;&lt;D xsi:type="xsd:long"&gt;41578&lt;/D&gt;&lt;D xsi:type="xsd:long"&gt;41547&lt;/D&gt;&lt;D xsi:type="xsd:long"&gt;41516&lt;/D&gt;&lt;D xsi:type="xsd:long"&gt;41486&lt;/D&gt;&lt;D xsi:type="xsd:long"&gt;41453&lt;/D&gt;&lt;D xsi:type="xsd:long"&gt;41425&lt;/D&gt;&lt;D xsi:type="xsd:long"&gt;41394&lt;/D&gt;&lt;D xsi:type="xsd:long"&gt;41361&lt;/D&gt;&lt;D xsi:type="xsd:long"&gt;41333&lt;/D&gt;&lt;D xsi:type="xsd:long"&gt;41305&lt;/D&gt;&lt;D xsi:type="xsd:long"&gt;41274&lt;/D&gt;&lt;D xsi:type="xsd:long"&gt;41243&lt;/D&gt;&lt;D xsi:type="xsd:long"&gt;41213&lt;/D&gt;&lt;D xsi:type="xsd:long"&gt;41180&lt;/D&gt;&lt;D xsi:type="xsd:long"&gt;41152&lt;/D&gt;&lt;D xsi:type="xsd:long"&gt;41121&lt;/D&gt;&lt;D xsi:type="xsd:long"&gt;41089&lt;/D&gt;&lt;D xsi:type="xsd:long"&gt;41060&lt;/D&gt;&lt;D xsi:type="xsd:long"&gt;41029&lt;/D&gt;&lt;D xsi:type="xsd:long"&gt;40998&lt;/D&gt;&lt;D xsi:type="xsd:long"&gt;40968&lt;/D&gt;&lt;D xsi:type="xsd:long"&gt;40939&lt;/D&gt;&lt;D xsi:type="xsd:long"&gt;40907&lt;/D&gt;&lt;D xsi:type="xsd:long"&gt;40877&lt;/D&gt;&lt;D xsi:type="xsd:long"&gt;40847&lt;/D&gt;&lt;D xsi:type="xsd:long"&gt;40816&lt;/D&gt;&lt;D xsi:type="xsd:long"&gt;40786&lt;/D&gt;&lt;D xsi:type="xsd:long"&gt;40753&lt;/D&gt;&lt;D xsi:type="xsd:long"&gt;40724&lt;/D&gt;&lt;D xsi:type="xsd:long"&gt;40694&lt;/D&gt;&lt;D xsi:type="xsd:long"&gt;40662&lt;/D&gt;&lt;D xsi:type="xsd:long"&gt;40633&lt;/D&gt;&lt;D xsi:type="xsd:long"&gt;40602&lt;/D&gt;&lt;D xsi:type="xsd:long"&gt;40574&lt;/D&gt;&lt;D xsi:type="xsd:long"&gt;40543&lt;/D&gt;&lt;D xsi:type="xsd:long"&gt;40512&lt;/D&gt;&lt;D xsi:type="xsd:long"&gt;40480&lt;/D&gt;&lt;D xsi:type="xsd:long"&gt;40451&lt;/D&gt;&lt;D xsi:type="xsd:long"&gt;40421&lt;/D&gt;&lt;D xsi:type="xsd:long"&gt;40389&lt;/D&gt;&lt;D xsi:type="xsd:long"&gt;40359&lt;/D&gt;&lt;D xsi:type="xsd:long"&gt;40326&lt;/D&gt;&lt;D xsi:type="xsd:long"&gt;40298&lt;/D&gt;&lt;D xsi:type="xsd:long"&gt;40268&lt;/D&gt;&lt;D xsi:type="xsd:long"&gt;40235&lt;/D&gt;&lt;D xsi:type="xsd:long"&gt;40207&lt;/D&gt;&lt;D xsi:type="xsd:long"&gt;40178&lt;/D&gt;&lt;D xsi:type="xsd:long"&gt;40147&lt;/D&gt;&lt;D xsi:type="xsd:long"&gt;40116&lt;/D&gt;&lt;D xsi:type="xsd:long"&gt;40086&lt;/D&gt;&lt;D xsi:type="xsd:long"&gt;40056&lt;/D&gt;&lt;D xsi:type="xsd:long"&gt;40025&lt;/D&gt;&lt;D xsi:type="xsd:long"&gt;39994&lt;/D&gt;&lt;D xsi:type="xsd:long"&gt;39962&lt;/D&gt;&lt;D xsi:type="xsd:long"&gt;39933&lt;/D&gt;&lt;D xsi:type="xsd:long"&gt;39903&lt;/D&gt;&lt;D xsi:type="xsd:long"&gt;39871&lt;/D&gt;&lt;D xsi:type="xsd:long"&gt;39843&lt;/D&gt;&lt;D xsi:type="xsd:long"&gt;39813&lt;/D&gt;&lt;D xsi:type="xsd:long"&gt;39780&lt;/D&gt;&lt;D xsi:type="xsd:long"&gt;39752&lt;/D&gt;&lt;D xsi:type="xsd:long"&gt;39721&lt;/D&gt;&lt;D xsi:type="xsd:long"&gt;39689&lt;/D&gt;&lt;D xsi:type="xsd:long"&gt;39660&lt;/D&gt;&lt;D xsi:type="xsd:long"&gt;39629&lt;/D&gt;&lt;D xsi:type="xsd:long"&gt;39598&lt;/D&gt;&lt;D xsi:type="xsd:long"&gt;39568&lt;/D&gt;&lt;D xsi:type="xsd:long"&gt;39538&lt;/D&gt;&lt;D xsi:type="xsd:long"&gt;39507&lt;/D&gt;&lt;D xsi:type="xsd:long"&gt;39478&lt;/D&gt;&lt;D xsi:type="xsd:long"&gt;39447&lt;/D&gt;&lt;D xsi:type="xsd:long"&gt;39416&lt;/D&gt;&lt;D xsi:type="xsd:long"&gt;39386&lt;/D&gt;&lt;D xsi:type="xsd:long"&gt;39353&lt;/D&gt;&lt;D xsi:type="xsd:long"&gt;39325&lt;/D&gt;&lt;D xsi:type="xsd:long"&gt;39294&lt;/D&gt;&lt;D xsi:type="xsd:long"&gt;39262&lt;/D&gt;&lt;D xsi:type="xsd:long"&gt;39233&lt;/D&gt;&lt;D xsi:type="xsd:long"&gt;39202&lt;/D&gt;&lt;D xsi:type="xsd:long"&gt;39171&lt;/D&gt;&lt;D xsi:type="xsd:long"&gt;39141&lt;/D&gt;&lt;D xsi:type="xsd:long"&gt;39113&lt;/D&gt;&lt;D xsi:type="xsd:long"&gt;39080&lt;/D&gt;&lt;D xsi:type="xsd:long"&gt;39051&lt;/D&gt;&lt;D xsi:type="xsd:long"&gt;39021&lt;/D&gt;&lt;D xsi:type="xsd:long"&gt;38989&lt;/D&gt;&lt;D xsi:type="xsd:long"&gt;38960&lt;/D&gt;&lt;D xsi:type="xsd:long"&gt;38929&lt;/D&gt;&lt;D xsi:type="xsd:long"&gt;38898&lt;/D&gt;&lt;D xsi:type="xsd:long"&gt;38868&lt;/D&gt;&lt;D xsi:type="xsd:long"&gt;38835&lt;/D&gt;&lt;D xsi:type="xsd:long"&gt;38807&lt;/D&gt;&lt;D xsi:type="xsd:long"&gt;38776&lt;/D&gt;&lt;D xsi:type="xsd:long"&gt;38748&lt;/D&gt;&lt;D xsi:type="xsd:long"&gt;38716&lt;/D&gt;&lt;D xsi:type="xsd:long"&gt;38686&lt;/D&gt;&lt;D xsi:type="xsd:long"&gt;38656&lt;/D&gt;&lt;D xsi:type="xsd:long"&gt;38625&lt;/D&gt;&lt;D xsi:type="xsd:long"&gt;38595&lt;/D&gt;&lt;D xsi:type="xsd:long"&gt;38562&lt;/D&gt;&lt;D xsi:type="xsd:long"&gt;38533&lt;/D&gt;&lt;D xsi:type="xsd:long"&gt;38503&lt;/D&gt;&lt;D xsi:type="xsd:long"&gt;38471&lt;/D&gt;&lt;D xsi:type="xsd:long"&gt;38442&lt;/D&gt;&lt;D xsi:type="xsd:long"&gt;38411&lt;/D&gt;&lt;D xsi:type="xsd:long"&gt;38383&lt;/D&gt;&lt;D xsi:type="xsd:long"&gt;38352&lt;/D&gt;&lt;D xsi:type="xsd:long"&gt;38321&lt;/D&gt;&lt;D xsi:type="xsd:long"&gt;38289&lt;/D&gt;&lt;D xsi:type="xsd:long"&gt;38260&lt;/D&gt;&lt;D xsi:type="xsd:long"&gt;38230&lt;/D&gt;&lt;D xsi:type="xsd:long"&gt;38198&lt;/D&gt;&lt;D xsi:type="xsd:long"&gt;38168&lt;/D&gt;&lt;D xsi:type="xsd:long"&gt;38135&lt;/D&gt;&lt;D xsi:type="xsd:long"&gt;38107&lt;/D&gt;&lt;D xsi:type="xsd:long"&gt;38077&lt;/D&gt;&lt;D xsi:type="xsd:long"&gt;38044&lt;/D&gt;&lt;D xsi:type="xsd:long"&gt;38016&lt;/D&gt;&lt;D xsi:type="xsd:long"&gt;37986&lt;/D&gt;&lt;D xsi:type="xsd:long"&gt;37953&lt;/D&gt;&lt;D xsi:type="xsd:long"&gt;37925&lt;/D&gt;&lt;D xsi:type="xsd:long"&gt;37894&lt;/D&gt;&lt;D xsi:type="xsd:long"&gt;37862&lt;/D&gt;&lt;D xsi:type="xsd:long"&gt;37833&lt;/D&gt;&lt;D xsi:type="xsd:long"&gt;37802&lt;/D&gt;&lt;D xsi:type="xsd:long"&gt;37771&lt;/D&gt;&lt;D xsi:type="xsd:long"&gt;37741&lt;/D&gt;&lt;D xsi:type="xsd:long"&gt;37711&lt;/D&gt;&lt;D xsi:type="xsd:long"&gt;37680&lt;/D&gt;&lt;D xsi:type="xsd:long"&gt;37652&lt;/D&gt;&lt;D xsi:type="xsd:long"&gt;37621&lt;/D&gt;&lt;D xsi:type="xsd:long"&gt;37589&lt;/D&gt;&lt;D xsi:type="xsd:long"&gt;37560&lt;/D&gt;&lt;D xsi:type="xsd:long"&gt;37529&lt;/D&gt;&lt;D xsi:type="xsd:long"&gt;37498&lt;/D&gt;&lt;D xsi:type="xsd:long"&gt;37468&lt;/D&gt;&lt;D xsi:type="xsd:long"&gt;37435&lt;/D&gt;&lt;D xsi:type="xsd:long"&gt;37407&lt;/D&gt;&lt;D xsi:type="xsd:long"&gt;37376&lt;/D&gt;&lt;D xsi:type="xsd:long"&gt;37343&lt;/D&gt;&lt;D xsi:type="xsd:long"&gt;37315&lt;/D&gt;&lt;D xsi:type="xsd:long"&gt;37287&lt;/D&gt;&lt;D xsi:type="xsd:long"&gt;37256&lt;/D&gt;&lt;D xsi:type="xsd:long"&gt;37225&lt;/D&gt;&lt;D xsi:type="xsd:long"&gt;37195&lt;/D&gt;&lt;D xsi:type="xsd:long"&gt;37162&lt;/D&gt;&lt;D xsi:type="xsd:long"&gt;37134&lt;/D&gt;&lt;D xsi:type="xsd:long"&gt;37103&lt;/D&gt;&lt;D xsi:type="xsd:long"&gt;37071&lt;/D&gt;&lt;D xsi:type="xsd:long"&gt;37042&lt;/D&gt;&lt;D xsi:type="xsd:long"&gt;37011&lt;/D&gt;&lt;D xsi:type="xsd:long"&gt;36980&lt;/D&gt;&lt;D xsi:type="xsd:long"&gt;36950&lt;/D&gt;&lt;D xsi:type="xsd:long"&gt;36922&lt;/D&gt;&lt;D xsi:type="xsd:long"&gt;36889&lt;/D&gt;&lt;D xsi:type="xsd:long"&gt;36860&lt;/D&gt;&lt;D xsi:type="xsd:long"&gt;36830&lt;/D&gt;&lt;D xsi:type="xsd:long"&gt;36798&lt;/D&gt;&lt;D xsi:type="xsd:long"&gt;36769&lt;/D&gt;&lt;D xsi:type="xsd:long"&gt;36738&lt;/D&gt;&lt;D xsi:type="xsd:long"&gt;36707&lt;/D&gt;&lt;D xsi:type="xsd:long"&gt;36677&lt;/D&gt;&lt;D xsi:type="xsd:long"&gt;36644&lt;/D&gt;&lt;D xsi:type="xsd:long"&gt;36616&lt;/D&gt;&lt;D xsi:type="xsd:long"&gt;36585&lt;/D&gt;&lt;D xsi:type="xsd:long"&gt;36556&lt;/D&gt;&lt;/FQL&gt;&lt;FQL&gt;&lt;Q&gt;892400^MSCP_TOTAL_RET_IDX_GIMI(2/27/2026,1/31/2000,M,USD,"GROSS")&lt;/Q&gt;&lt;R&gt;314&lt;/R&gt;&lt;C&gt;1&lt;/C&gt;&lt;D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</t>
        </r>
      </text>
    </comment>
    <comment ref="A77" authorId="0" shapeId="0">
      <text>
        <r>
          <rPr>
            <b/>
            <sz val="9"/>
            <color indexed="81"/>
            <rFont val="Tahoma"/>
            <family val="2"/>
          </rPr>
          <t>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xsi:type="xsd:double"&gt;548.64648960503&lt;/D&gt;&lt;D xsi:type="xsd:double"&gt;597.508434280956&lt;/D&gt;&lt;D xsi:type="xsd:double"&gt;587.08913840315&lt;/D&gt;&lt;D xsi:type="xsd:double"&gt;555.564499973009&lt;/D&gt;&lt;D xsi:type="xsd:double"&gt;563.927276687293&lt;/D&gt;&lt;D xsi:type="xsd:double"&gt;561.984214128019&lt;/D&gt;&lt;D xsi:type="xsd:double"&gt;612.126023367054&lt;/D&gt;&lt;D xsi:type="xsd:double"&gt;618.982534860513&lt;/D&gt;&lt;D xsi:type="xsd:double"&gt;646.32464522993&lt;/D&gt;&lt;D xsi:type="xsd:double"&gt;621.880083678869&lt;/D&gt;&lt;D xsi:type="xsd:double"&gt;589.78635686964&lt;/D&gt;&lt;D xsi:type="xsd:double"&gt;591.150282166936&lt;/D&gt;&lt;D xsi:type="xsd:double"&gt;600.023169028706&lt;/D&gt;&lt;D xsi:type="xsd:double"&gt;601.585422&lt;/D&gt;&lt;D xsi:type="xsd:double"&gt;583.584334&lt;/D&gt;&lt;D xsi:type="xsd:double"&gt;558.587227&lt;/D&gt;&lt;D xsi:type="xsd:double"&gt;547.677341&lt;/D&gt;&lt;D xsi:type="xsd:double"&gt;550.75761&lt;/D&gt;&lt;D xsi:type="xsd:double"&gt;545.53003&lt;/D&gt;&lt;D xsi:type="xsd:double"&gt;533.486131&lt;/D&gt;&lt;D xsi:type="xsd:double"&gt;518.96013&lt;/D&gt;&lt;D xsi:type="xsd:double"&gt;500.422227&lt;/D&gt;&lt;D xsi:type="xsd:double"&gt;494.611388&lt;/D&gt;&lt;D xsi:type="xsd:double"&gt;481.967387&lt;/D&gt;&lt;D xsi:type="xsd:double"&gt;477.894223&lt;/D&gt;&lt;D xsi:type="xsd:double"&gt;477.431021&lt;/D&gt;&lt;D xsi:type="xsd:double"&gt;495.864436&lt;/D&gt;&lt;D xsi:type="xsd:double"&gt;479.961654&lt;/D&gt;&lt;D xsi:type="xsd:double"&gt;470.141985&lt;/D&gt;&lt;D xsi:type="xsd:double"&gt;470.704399&lt;/D&gt;&lt;D xsi:type="xsd:double"&gt;448.983845&lt;/D&gt;&lt;D xsi:type="xsd:double"&gt;438.332407&lt;/D&gt;&lt;D xsi:type="xsd:double"&gt;423.159119&lt;/D&gt;&lt;D xsi:type="xsd:double"&gt;434.113039&lt;/D&gt;&lt;D xsi:type="xsd:double"&gt;421.527874&lt;/D&gt;&lt;D xsi:type="xsd:double"&gt;418.19816&lt;/D&gt;&lt;D xsi:type="xsd:double"&gt;403.135625&lt;/D&gt;&lt;D xsi:type="xsd:double"&gt;398.875084&lt;/D&gt;&lt;D xsi:type="xsd:double"&gt;390.979058&lt;/D&gt;&lt;D xsi:type="xsd:double"&gt;399.357769&lt;/D&gt;&lt;D xsi:type="xsd:double"&gt;408.033252&lt;/D&gt;&lt;D xsi:type="xsd:double"&gt;394.3763&lt;/D&gt;&lt;D xsi:type="xsd:double"&gt;403.185659&lt;/D&gt;&lt;D xsi:type="xsd:double"&gt;388.080205&lt;/D&gt;&lt;D xsi:type="xsd:double"&gt;368.460543&lt;/D&gt;&lt;D xsi:type="xsd:double"&gt;359.683432&lt;/D&gt;&lt;D xsi:type="xsd:double"&gt;352.406518&lt;/D&gt;&lt;D xsi:type="xsd:double"&gt;350.230052&lt;/D&gt;&lt;D xsi:type="xsd:double"&gt;361.654253&lt;/D&gt;&lt;D xsi:type="xsd:double"&gt;354.566279&lt;/D&gt;&lt;D xsi:type="xsd:double"&gt;351.510438&lt;/D&gt;&lt;D xsi:type="xsd:double"&gt;359.824215&lt;/D&gt;&lt;D xsi:type="xsd:double"&gt;361.693161&lt;/D&gt;&lt;D xsi:type="xsd:double"&gt;354.884507&lt;/D&gt;&lt;D xsi:type="xsd:double"&gt;348.720869&lt;/D&gt;&lt;D xsi:type="xsd:double"&gt;328.404983&lt;/D&gt;&lt;D xsi:type="xsd:double"&gt;323.548606&lt;/D&gt;&lt;D xsi:type="xsd:double"&gt;305.381831&lt;/D&gt;&lt;D xsi:type="xsd:double"&gt;303.617862&lt;/D&gt;&lt;D xsi:type="xsd:double"&gt;296.80437&lt;/D&gt;&lt;D xsi:type="xsd:double"&gt;290.785487&lt;/D&gt;&lt;D xsi:type="xsd:double"&gt;285.44784&lt;/D&gt;&lt;D xsi:type="xsd:double"&gt;269.714471&lt;/D&gt;&lt;D xsi:type="xsd:double"&gt;248.187258&lt;/D&gt;&lt;D xsi:type="xsd:double"&gt;248.878368&lt;/D&gt;&lt;D xsi:type="xsd:double"&gt;253.178395&lt;/D&gt;&lt;D xsi:type="xsd:double"&gt;261.045559&lt;/D&gt;&lt;D xsi:type="xsd:double"&gt;273.896991&lt;/D&gt;&lt;D xsi:type="xsd:double"&gt;260.15684&lt;/D&gt;&lt;D xsi:type="xsd:double"&gt;242.562605&lt;/D&gt;&lt;D xsi:type="xsd:double"&gt;271.594453&lt;/D&gt;&lt;D xsi:type="xsd:double"&gt;270.432665&lt;/D&gt;&lt;D xsi:type="xsd:double"&gt;294.671088&lt;/D&gt;&lt;D xsi:type="xsd:double"&gt;313.904091&lt;/D&gt;&lt;D xsi:type="xsd:double"&gt;313.103715&lt;/D&gt;&lt;D xsi:type="xsd:double"&gt;322.323937&lt;/D&gt;&lt;D xsi:type="xsd:double"&gt;306.845787&lt;/D&gt;&lt;D xsi:type="xsd:double"&gt;309.381674&lt;/D&gt;&lt;D xsi:type="xsd:double"&gt;318.500407&lt;/D&gt;&lt;D xsi:type="xsd:double"&gt;314.904965&lt;/D&gt;&lt;D xsi:type="xsd:double"&gt;296.902519&lt;/D&gt;&lt;D xsi:type="xsd:double"&gt;289.329745&lt;/D&gt;&lt;D xsi:type="xsd:double"&gt;319.517899&lt;/D&gt;&lt;D xsi:type="xsd:double"&gt;334.807426&lt;/D&gt;&lt;D xsi:type="xsd:double"&gt;342.198171&lt;/D&gt;&lt;D xsi:type="xsd:double"&gt;352.607129&lt;/D&gt;&lt;D xsi:type="xsd:double"&gt;356.300689&lt;/D&gt;&lt;D xsi:type="xsd:double"&gt;330.96707&lt;/D&gt;&lt;D xsi:type="xsd:double"&gt;356.500093&lt;/D&gt;&lt;D xsi:type="xsd:double"&gt;391.580519&lt;/D&gt;&lt;D xsi:type="xsd:double"&gt;381.294544&lt;/D&gt;&lt;D xsi:type="xsd:double"&gt;374.325382&lt;/D&gt;&lt;D xsi:type="xsd:double"&gt;404.329257&lt;/D&gt;&lt;D xsi:type="xsd:double"&gt;416.346189&lt;/D&gt;&lt;D xsi:type="xsd:double"&gt;439.834954&lt;/D&gt;&lt;D xsi:type="xsd:double"&gt;420.408874&lt;/D&gt;&lt;D xsi:type="xsd:double"&gt;434.179295&lt;/D&gt;&lt;D xsi:type="xsd:double"&gt;416.62641&lt;/D&gt;&lt;D xsi:type="xsd:double"&gt;432.120938&lt;/D&gt;&lt;D xsi:type="xsd:double"&gt;459.149167&lt;/D&gt;&lt;D xsi:type="xsd:double"&gt;439.378187&lt;/D&gt;&lt;D xsi:type="xsd:double"&gt;429.743409&lt;/D&gt;&lt;/FQL&gt;&lt;FQL&gt;&lt;Q&gt;892400^JULIAN(MSCP_TOTAL_RET_IDX_GIMI(2/27/2026,1/31/2000,M,USD,"GROSS").DATES)&lt;/Q&gt;&lt;R&gt;314&lt;/R&gt;&lt;C&gt;1&lt;/C&gt;&lt;D xsi:type="xsd:long"&gt;46080&lt;/D&gt;&lt;D xsi:type="xsd:long"&gt;46052&lt;/D&gt;&lt;D xsi:type="xsd:long"&gt;46022&lt;/D&gt;&lt;D xsi:type="xsd:long"&gt;45989&lt;/D&gt;&lt;D xsi:type="xsd:long"&gt;45961&lt;/D&gt;&lt;D xsi:type="xsd:long"&gt;45930&lt;/D&gt;&lt;D xsi:type="xsd:long"&gt;45898&lt;/D&gt;&lt;D xsi:type="xsd:long"&gt;45869&lt;/D&gt;&lt;D xsi:type="xsd:long"&gt;45838&lt;/D&gt;&lt;D xsi:type="xsd:long"&gt;45807&lt;/D&gt;&lt;D xsi:type="xsd:long"&gt;45777&lt;/D&gt;&lt;D xsi:type="xsd:long"&gt;45747&lt;/D&gt;&lt;D xsi:type="xsd:long"&gt;45716&lt;/D&gt;&lt;D xsi:type="xsd:long"&gt;45688&lt;/D&gt;&lt;D xsi:type="xsd:long"&gt;45657&lt;/D&gt;&lt;D xsi:type="xsd:long"&gt;45625&lt;/D&gt;&lt;D xsi:type="xsd:long"&gt;45596&lt;/D&gt;&lt;D xsi:type="xsd:long"&gt;45565&lt;/D&gt;&lt;D xsi:type="xsd:long"&gt;45534&lt;/D&gt;&lt;D xsi:type="xsd:long"&gt;45504&lt;/D&gt;&lt;D xsi:type="xsd:long"&gt;45471&lt;/D&gt;&lt;D xsi:type="xsd:long"&gt;45443&lt;/D&gt;&lt;D xsi:type="xsd:long"&gt;45412&lt;/D&gt;&lt;D xsi:type="xsd:long"&gt;45379&lt;/D&gt;&lt;D xsi:type="xsd:long"&gt;45351&lt;/D&gt;&lt;D xsi:type="xsd:long"&gt;45322&lt;/D&gt;&lt;D xsi:type="xsd:long"&gt;45289&lt;/D&gt;&lt;D xsi:type="xsd:long"&gt;45260&lt;/D&gt;&lt;D xsi:type="xsd:long"&gt;45230&lt;/D&gt;&lt;D xsi:type="xsd:long"&gt;45198&lt;/D&gt;&lt;D xsi:type="xsd:long"&gt;45169&lt;/D&gt;&lt;D xsi:type="xsd:long"&gt;45138&lt;/D&gt;&lt;D xsi:type="xsd:long"&gt;45107&lt;/D&gt;&lt;D xsi:type="xsd:long"&gt;45077&lt;/D&gt;&lt;D xsi:type="xsd:long"&gt;45044&lt;/D&gt;&lt;D xsi:type="xsd:long"&gt;45016&lt;/D&gt;&lt;D xsi:type="xsd:long"&gt;44985&lt;/D&gt;&lt;D xsi:type="xsd:long"&gt;44957&lt;/D&gt;&lt;D xsi:type="xsd:long"&gt;44925&lt;/D&gt;&lt;D xsi:type="xsd:long"&gt;44895&lt;/D&gt;&lt;D xsi:type="xsd:long"&gt;44865&lt;/D&gt;&lt;D xsi:type="xsd:long"&gt;44834&lt;/D&gt;&lt;D xsi:type="xsd:long"&gt;44804&lt;/D&gt;&lt;D xsi:type="xsd:long"&gt;44771&lt;/D&gt;&lt;D xsi:type="xsd:long"&gt;44742&lt;/D&gt;&lt;D xsi:type="xsd:long"&gt;44712&lt;/D&gt;&lt;D xsi:type="xsd:long"&gt;44680&lt;/D&gt;&lt;D xsi:type="xsd:long"&gt;44651&lt;/D&gt;&lt;D xsi:type="xsd:long"&gt;44620&lt;/D&gt;&lt;D xsi:type="xsd:long"&gt;44592&lt;/D&gt;&lt;D xsi:type="xsd:long"&gt;44561&lt;/D&gt;&lt;D xsi:type="xsd:long"&gt;44530&lt;/D&gt;&lt;D xsi:type="xsd:long"&gt;44498&lt;/D&gt;&lt;D xsi:type="xsd:long"&gt;44469&lt;/D&gt;&lt;D xsi:type="xsd:long"&gt;44439&lt;/D&gt;&lt;D xsi:type="xsd:long"&gt;44407&lt;/D&gt;&lt;D xsi:type="xsd:long"&gt;44377&lt;/D&gt;&lt;D xsi:type="xsd:long"&gt;44344&lt;/D&gt;&lt;D xsi:type="xsd:long"&gt;44316&lt;/D&gt;&lt;D xsi:type="xsd:long"&gt;44286&lt;/D&gt;&lt;D xsi:type="xsd:long"&gt;44253&lt;/D&gt;&lt;D xsi:type="xsd:long"&gt;44225&lt;/D&gt;&lt;D xsi:type="xsd:long"&gt;44196&lt;/D&gt;&lt;D xsi:type="xsd:long"&gt;44165&lt;/D&gt;&lt;D xsi:type="xsd:long"&gt;44134&lt;/D&gt;&lt;D xsi:type="xsd:long"&gt;44104&lt;/D&gt;&lt;D xsi:type="xsd:long"&gt;44074&lt;/D&gt;&lt;D xsi:type="xsd:long"&gt;44043&lt;/D&gt;&lt;D xsi:type="xsd:long"&gt;44012&lt;/D&gt;&lt;D xsi:type="xsd:long"&gt;43980&lt;/D&gt;&lt;D xsi:type="xsd:long"&gt;43951&lt;/D&gt;&lt;D xsi:type="xsd:long"&gt;43921&lt;/D&gt;&lt;D xsi:type="xsd:long"&gt;43889&lt;/D&gt;&lt;D xsi:type="xsd:long"&gt;43861&lt;/D&gt;&lt;D xsi:type="xsd:long"&gt;43830&lt;/D&gt;&lt;D xsi:type="xsd:long"&gt;43798&lt;/D&gt;&lt;D xsi:type="xsd:long"&gt;43769&lt;/D&gt;&lt;D xsi:type="xsd:long"&gt;43738&lt;/D&gt;&lt;D xsi:type="xsd:long"&gt;43707&lt;/D&gt;&lt;D xsi:type="xsd:long"&gt;43677&lt;/D&gt;&lt;D xsi:type="xsd:long"&gt;43644&lt;/D&gt;&lt;D xsi:type="xsd:long"&gt;43616&lt;/D&gt;&lt;D xsi:type="xsd:long"&gt;43585&lt;/D&gt;&lt;D xsi:type="xsd:long"&gt;43553&lt;/D&gt;&lt;D xsi:type="xsd:long"&gt;43524&lt;/D&gt;&lt;D xsi:type="xsd:long"&gt;43496&lt;/D&gt;&lt;D xsi:type="xsd:long"&gt;43465&lt;/D&gt;&lt;D xsi:type="xsd:long"&gt;43434&lt;/D&gt;&lt;D xsi:type="xsd:long"&gt;43404&lt;/D&gt;&lt;D xsi:type="xsd:long"&gt;43371&lt;/D&gt;&lt;D xsi:type="xsd:long"&gt;43343&lt;/D&gt;&lt;D xsi:type="xsd:long"&gt;43312&lt;/D&gt;&lt;D xsi:type="xsd:long"&gt;43280&lt;/D&gt;&lt;D xsi:type="xsd:long"&gt;43251&lt;/D&gt;&lt;D xsi:type="xsd:long"&gt;43220&lt;/D&gt;&lt;D xsi:type="xsd:long"&gt;43188&lt;/D&gt;&lt;D xsi:type="xsd:long"&gt;43159&lt;/D&gt;&lt;D xsi:type="xsd:long"&gt;43131&lt;/D&gt;&lt;D xsi:type="xsd:long"&gt;43098&lt;/D&gt;&lt;D xsi:type="xsd:long"&gt;43069&lt;/D&gt;&lt;D xsi:type="xsd:long"&gt;43039&lt;/D&gt;&lt;D xsi:type="xsd:long"&gt;43007&lt;/D&gt;&lt;D xsi:type="xsd:long"&gt;42978&lt;/D&gt;&lt;D xsi:type="xsd:long"&gt;42947&lt;/D&gt;&lt;D xsi:type="xsd:long"&gt;42916&lt;/D&gt;&lt;D xsi:type="xsd:long"&gt;42886&lt;/D&gt;&lt;D xsi:type="xsd:long"&gt;42853&lt;/D&gt;&lt;D xsi:type="xsd:long"&gt;42825&lt;/D&gt;&lt;D xsi:type="xsd:long"&gt;42794&lt;/D&gt;&lt;D xsi:type="xsd:long"&gt;42766&lt;/D&gt;&lt;D xsi:type="xsd:long"&gt;42734&lt;/D&gt;&lt;D xsi:type="xsd:long"&gt;42704&lt;/D&gt;&lt;D xsi:type="xsd:long"&gt;42674&lt;/D&gt;&lt;D xsi:type="xsd:long"&gt;42643&lt;/D&gt;&lt;D xsi:type="xsd:long"&gt;42613&lt;/D&gt;&lt;D xsi:type="xsd:long"&gt;42580&lt;/D&gt;&lt;D xsi:type="xsd:long"&gt;42551&lt;/D&gt;&lt;D xsi:type="xsd:long"&gt;42521&lt;/D&gt;&lt;D xsi:type="xsd:long"&gt;42489&lt;/D&gt;&lt;D xsi:type="xsd:long"&gt;42460&lt;/D&gt;&lt;D xsi:type="xsd:long"&gt;42429&lt;/D&gt;&lt;D xsi:type="xsd:long"&gt;42398&lt;/D&gt;&lt;D xsi:type="xsd:long"&gt;42369&lt;/D&gt;&lt;D xsi:type="xsd:long"&gt;42338&lt;/D&gt;&lt;D xsi:type="xsd:long"&gt;42307&lt;/D&gt;&lt;D xsi:type="xsd:long"&gt;42277&lt;/D&gt;&lt;D xsi:type="xsd:long"&gt;42247&lt;/D&gt;&lt;D xsi:type="xsd:long"&gt;42216&lt;/D&gt;&lt;D xsi:type="xsd:long"&gt;42185&lt;/D&gt;&lt;D xsi:type="xsd:long"&gt;42153&lt;/D&gt;&lt;D xsi:type="xsd:long"&gt;42124&lt;/D&gt;&lt;D xsi:type="xsd:long"&gt;42094&lt;/D&gt;&lt;D xsi:type="xsd:long"&gt;42062&lt;/D&gt;&lt;D xsi:type="xsd:long"&gt;42034&lt;/D&gt;&lt;D xsi:type="xsd:long"&gt;42004&lt;/D&gt;&lt;D xsi:type="xsd:long"&gt;41971&lt;/D&gt;&lt;D xsi:type="xsd:long"&gt;41943&lt;/D&gt;&lt;D xsi:type="xsd:long"&gt;41912&lt;/D&gt;&lt;D xsi:type="xsd:long"&gt;41880&lt;/D&gt;&lt;D xsi:type="xsd:long"&gt;41851&lt;/D&gt;&lt;D xsi:type="xsd:long"&gt;41820&lt;/D&gt;&lt;D xsi:type="xsd:long"&gt;41789&lt;/D&gt;&lt;D xsi:type="xsd:long"&gt;41759&lt;/D&gt;&lt;D xsi:type="xsd:long"&gt;41729&lt;/D&gt;&lt;D xsi:type="xsd:long"&gt;41698&lt;/D&gt;&lt;D xsi:type="xsd:long"&gt;41670&lt;/D&gt;&lt;D xsi:type="xsd:long"&gt;41639&lt;/D&gt;&lt;D xsi:type="xsd:long"&gt;41607&lt;/D&gt;&lt;D xsi:type="xsd:long"&gt;41578&lt;/D&gt;&lt;D xsi:type="xsd:long"&gt;41547&lt;/D&gt;&lt;D xsi:type="xsd:long"&gt;41516&lt;/D&gt;&lt;D xsi:type="xsd:long"&gt;41486&lt;/D&gt;&lt;D xsi:type="xsd:long"&gt;41453&lt;/D&gt;&lt;D xsi:type="xsd:long"&gt;41425&lt;/D&gt;&lt;D xsi:type="xsd:long"&gt;41394&lt;/D&gt;&lt;D xsi:type="xsd:long"&gt;41361&lt;/D&gt;&lt;D xsi:type="xsd:long"&gt;41333&lt;/D&gt;&lt;D xsi:type="xsd:long"&gt;41305&lt;/D&gt;&lt;D xsi:type="xsd:long"&gt;41274&lt;/D&gt;&lt;D xsi:type="xsd:long"&gt;41243&lt;/D&gt;&lt;D xsi:type="xsd:long"&gt;41213&lt;/D&gt;&lt;D xsi:type="xsd:long"&gt;41180&lt;/D&gt;&lt;D xsi:type="xsd:long"&gt;41152&lt;/D&gt;&lt;D xsi:type="xsd:long"&gt;41121&lt;/D&gt;&lt;D xsi:type="xsd:long"&gt;41089&lt;/D&gt;&lt;D xsi:type="xsd:long"&gt;41060&lt;/D&gt;&lt;D xsi:type="xsd:long"&gt;41029&lt;/D&gt;&lt;D xsi:type="xsd:long"&gt;40998&lt;/D&gt;&lt;D xsi:type="xsd:long"&gt;40968&lt;/D&gt;&lt;D xsi:type="xsd:long"&gt;40939&lt;/D&gt;&lt;D xsi:type="xsd:long"&gt;40907&lt;/D&gt;&lt;D xsi:type="xsd:long"&gt;40877&lt;/D&gt;&lt;D xsi:type="xsd:long"&gt;40847&lt;/D&gt;&lt;D xsi:type="xsd:long"&gt;40816&lt;/D&gt;&lt;D xsi:type="xsd:long"&gt;40786&lt;/D&gt;&lt;D xsi:type="xsd:long"&gt;40753&lt;/D&gt;&lt;D xsi:type="xsd:long"&gt;40724&lt;/D&gt;&lt;D xsi:type="xsd:long"&gt;40694&lt;/D&gt;&lt;D xsi:type="xsd:long"&gt;40662&lt;/D&gt;&lt;D xsi:type="xsd:long"&gt;40633&lt;/D&gt;&lt;D xsi:type="xsd:long"&gt;40602&lt;/D&gt;&lt;D xsi:type="xsd:long"&gt;40574&lt;/D&gt;&lt;D xsi:type="xsd:long"&gt;40543&lt;/D&gt;&lt;D xsi:type="xsd:long"&gt;40512&lt;/D&gt;&lt;D xsi:type="xsd:long"&gt;40480&lt;/D&gt;&lt;D xsi:type="xsd:long"&gt;40451&lt;/D&gt;&lt;D xsi:type="xsd:long"&gt;40421&lt;/D&gt;&lt;D xsi:type="xsd:long"&gt;40389&lt;/D&gt;&lt;D xsi:type="xsd:long"&gt;40359&lt;/D&gt;&lt;D xsi:type="xsd:long"&gt;40326&lt;/D&gt;&lt;D xsi:type="xsd:long"&gt;40298&lt;/D&gt;&lt;D xsi:type="xsd:long"&gt;40268&lt;/D&gt;&lt;D xsi:type="xsd:long"&gt;40235&lt;/D&gt;&lt;D xsi:type="xsd:long"&gt;40207&lt;/D&gt;&lt;D xsi:type="xsd:long"&gt;40178&lt;/D&gt;&lt;D xsi:type="xsd:long"&gt;40147&lt;/D&gt;&lt;D xsi:type="xsd:long"&gt;40116&lt;/D&gt;&lt;D xsi:type="xsd:long"&gt;40086&lt;/D&gt;&lt;D xsi:type="xsd:long"&gt;40056&lt;/D&gt;&lt;D xsi:type="xsd:long"&gt;40025&lt;/D&gt;&lt;D xsi:type="xsd:long"&gt;39994&lt;/D&gt;&lt;D xsi:type="xsd:long"&gt;39962&lt;/D&gt;&lt;D xsi:type="xsd:long"&gt;39933&lt;/D&gt;&lt;D xsi:type="xsd:long"&gt;39903&lt;/D&gt;&lt;D xsi:type="xsd:long"&gt;39871&lt;/D&gt;&lt;D xsi:type="xsd:long"&gt;39843&lt;/D&gt;&lt;D xsi:type="xsd:long"&gt;39813&lt;/D&gt;&lt;D xsi:type="xsd:long"&gt;39780&lt;/D&gt;&lt;D xsi:type="xsd:long"&gt;39752&lt;/D&gt;&lt;D xsi:type="xsd:long"&gt;39721&lt;/D&gt;&lt;D xsi:type="xsd:long"&gt;39689&lt;/D&gt;&lt;D xsi:type="xsd:long"&gt;39660&lt;/D&gt;&lt;D xsi:type="xsd:long"&gt;39629&lt;/D&gt;&lt;D xsi:type="xsd:long"&gt;39598&lt;/D&gt;&lt;D xsi:type="xsd:long"&gt;39568&lt;/D&gt;&lt;D xsi:type="xsd:long"&gt;39538&lt;/D&gt;&lt;D xsi:type="xsd:long"&gt;39507&lt;/D&gt;&lt;D xsi:type="xsd:long"&gt;39478&lt;/D&gt;&lt;D xsi:type="xsd:long"&gt;39447&lt;/D&gt;&lt;D xsi:type="xsd:long"&gt;39416&lt;/D&gt;&lt;D xsi:type="xsd:long"&gt;39386&lt;/D&gt;&lt;D xsi:type="xsd:long"&gt;39353&lt;/D&gt;&lt;D xsi:type="xsd:long"&gt;39325&lt;/D&gt;&lt;D xsi:type="xsd:long"&gt;39294&lt;/D&gt;&lt;D xsi:type="xsd:long"&gt;39262&lt;/D&gt;&lt;D xsi:type="xsd:long"&gt;39233&lt;/D&gt;&lt;D xsi:type="xsd:long"&gt;39202&lt;/D&gt;&lt;D xsi:type="xsd:long"&gt;39171&lt;/D&gt;&lt;D xsi:type="xsd:long"&gt;39141&lt;/D&gt;&lt;D xsi:type="xsd:long"&gt;39113&lt;/D&gt;&lt;D xsi:type="xsd:long"&gt;39080&lt;/D&gt;&lt;D xsi:type="xsd:long"&gt;39051&lt;/D&gt;&lt;D xsi:type="xsd:long"&gt;39021&lt;/D&gt;&lt;D xsi:type="xsd:long"&gt;38989&lt;/D&gt;&lt;D xsi:type="xsd:long"&gt;38960&lt;/D&gt;&lt;D xsi:type="xsd:long"&gt;38929&lt;/D&gt;&lt;D xsi:type="xsd:long"&gt;38898&lt;/D&gt;&lt;D xsi:type="xsd:long"&gt;38868&lt;/D&gt;&lt;D xsi:type="xsd:long"&gt;38835&lt;/D&gt;&lt;D xsi:type="xsd:long"&gt;38807&lt;/D&gt;&lt;D xsi:type="xsd:long"&gt;38776&lt;/D&gt;&lt;D xsi:type="xsd:long"&gt;38748&lt;/D&gt;&lt;D xsi:type="xsd:long"&gt;38716&lt;/D&gt;&lt;D xsi:type="xsd:long"&gt;38686&lt;/D&gt;&lt;D xsi:type="xsd:long"&gt;38656&lt;/D&gt;&lt;D xsi:type="xsd:long"&gt;38625&lt;/D&gt;&lt;D xsi:type="xsd:long"&gt;38595&lt;/D&gt;&lt;D xsi:type="xsd:long"&gt;38562&lt;/D&gt;&lt;D xsi:type="xsd:long"&gt;38533&lt;/D&gt;&lt;D xsi:type="xsd:long"&gt;38503&lt;/D&gt;&lt;D xsi:type="xsd:long"&gt;38471&lt;/D&gt;&lt;D xsi:type="xsd:long"&gt;38442&lt;/D&gt;&lt;D xsi:type="xsd:long"&gt;38411&lt;/D&gt;&lt;D xsi:type="xsd:long"&gt;38383&lt;/D&gt;&lt;D xsi:type="xsd:long"&gt;38352&lt;/D&gt;&lt;D xsi:type="xsd:long"&gt;38321&lt;/D&gt;&lt;D xsi:type="xsd:long"&gt;38289&lt;/D&gt;&lt;D xsi:type="xsd:long"&gt;38260&lt;/D&gt;&lt;D xsi:type="xsd:long"&gt;38230&lt;/D&gt;&lt;D xsi:type="xsd:long"&gt;38198&lt;/D&gt;&lt;D xsi:type="xsd:long"&gt;38168&lt;/D&gt;&lt;D xsi:type="xsd:long"&gt;38135&lt;/D&gt;&lt;D xsi:type="xsd:long"&gt;38107&lt;/D&gt;&lt;D xsi:type="xsd:long"&gt;38077&lt;/D&gt;&lt;D xsi:type="xsd:long"&gt;38044&lt;/D&gt;&lt;D xsi:type="xsd:long"&gt;38016&lt;/D&gt;&lt;D xsi:type="xsd:long"&gt;37986&lt;/D&gt;&lt;D xsi:type="xsd:long"&gt;37953&lt;/D&gt;&lt;D xsi:type="xsd:long"&gt;37925&lt;/D&gt;&lt;D xsi:type="xsd:long"&gt;37894&lt;/D&gt;&lt;D xsi:type="xsd:long"&gt;37862&lt;/D&gt;&lt;D xsi:type="xsd:long"&gt;37833&lt;/D&gt;&lt;D xsi:type="xsd:long"&gt;37802&lt;/D&gt;&lt;D xsi:type="xsd:long"&gt;37771&lt;/D&gt;&lt;D xsi:type="xsd:long"&gt;37741&lt;/D&gt;&lt;D xsi:type="xsd:long"&gt;37711&lt;/D&gt;&lt;D xsi:type="xsd:long"&gt;37680&lt;/D&gt;&lt;D xsi:type="xsd:long"&gt;37652&lt;/D&gt;&lt;D xsi:type="xsd:long"&gt;37621&lt;/D&gt;&lt;D xsi:type="xsd:long"&gt;37589&lt;/D&gt;&lt;D xsi:type="xsd:long"&gt;37560&lt;/D&gt;&lt;D xsi:type="xsd:long"&gt;37529&lt;/D&gt;&lt;D xsi:type="xsd:long"&gt;37498&lt;/D&gt;&lt;D xsi:type="xsd:long"&gt;37468&lt;/D&gt;&lt;D xsi:type="xsd:long"&gt;37435&lt;/D&gt;&lt;D xsi:type="xsd:long"&gt;37407&lt;/D&gt;&lt;D xsi:type="xsd:long"&gt;37376&lt;/D&gt;&lt;D xsi:type="xsd:long"&gt;37343&lt;/D&gt;&lt;D xsi:type="xsd:long"&gt;37315&lt;/D&gt;&lt;D xsi:type="xsd:long"&gt;37287&lt;/D&gt;&lt;D xsi:type="xsd:long"&gt;37256&lt;/D&gt;&lt;D xsi:type="xsd:long"&gt;37225&lt;/D&gt;&lt;D xsi:type="xsd:long"&gt;37195&lt;/D&gt;&lt;D xsi:type="xsd:long"&gt;37162&lt;/D&gt;&lt;D xsi:type="xsd:long"&gt;37134&lt;/D&gt;&lt;D xsi:type="xsd:long"&gt;37103&lt;/D&gt;&lt;D xsi:type="xsd:long"&gt;37071&lt;/D&gt;&lt;D xsi:type="xsd:long"&gt;37042&lt;/D&gt;&lt;D xsi:type="xsd:long"&gt;37011&lt;/D&gt;&lt;D xsi:type="xsd:long"&gt;36980&lt;/D&gt;&lt;D xsi:type="xsd:long"&gt;36950&lt;/D&gt;&lt;D xsi:type="xsd:long"&gt;36922&lt;/D&gt;&lt;D xsi:type="xsd:long"&gt;36889&lt;/D&gt;&lt;D xsi:type="xsd:long"&gt;36860&lt;/D&gt;&lt;D xsi:type="xsd:long"&gt;36830&lt;/D&gt;&lt;D xsi:type="xsd:long"&gt;36798&lt;/D&gt;&lt;D xsi:type="xsd:long"&gt;36769&lt;/D&gt;&lt;D xsi:type="xsd:long"&gt;36738&lt;/D&gt;&lt;D xsi:type="xsd:long"&gt;36707&lt;/D&gt;&lt;D xsi:type="xsd:long"&gt;36677&lt;/D&gt;&lt;D xsi:type="xsd:long"&gt;36644&lt;/D&gt;&lt;D xsi:type="xsd:long"&gt;36616&lt;/D&gt;&lt;D xsi:type="xsd:long"&gt;36585&lt;/D&gt;&lt;D xsi:type="xsd:long"&gt;36556&lt;/D&gt;&lt;/FQL&gt;&lt;FQL&gt;&lt;Q&gt;891800^MSCP_TOTAL_RET_IDX_GIMI(2/27/2026,1/31/2000,M,USD,"GROSS")&lt;/Q&gt;&lt;R&gt;314&lt;/R&gt;&lt;C&gt;1&lt;/C&gt;&lt;D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xsi:type="xsd:double"&gt;1823.79196040916&lt;/D&gt;&lt;D xsi:type="xsd:double"&gt;2025.47648022248&lt;/D&gt;&lt;D xsi:type="xsd:double"&gt;1984.37629632542&lt;/D&gt;&lt;D xsi:type="xsd:double"&gt;1833.70083776845&lt;/D&gt;&lt;D xsi:type="xsd:double"&gt;1935.61920797923&lt;/D&gt;&lt;D xsi:type="xsd:double"&gt;1801.17970576344&lt;/D&gt;&lt;D xsi:type="xsd:double"&gt;2058.84075589998&lt;/D&gt;&lt;D xsi:type="xsd:double"&gt;2053.60685652741&lt;/D&gt;&lt;D xsi:type="xsd:double"&gt;2202.51243769409&lt;/D&gt;&lt;D xsi:type="xsd:double"&gt;1979.00680388398&lt;/D&gt;&lt;D xsi:type="xsd:double"&gt;1780.17093858682&lt;/D&gt;&lt;D xsi:type="xsd:double"&gt;1817.87744368617&lt;/D&gt;&lt;D xsi:type="xsd:double"&gt;1725.27547688071&lt;/D&gt;&lt;D xsi:type="xsd:double"&gt;1646.186248&lt;/D&gt;&lt;D xsi:type="xsd:double"&gt;1574.405442&lt;/D&gt;&lt;D xsi:type="xsd:double"&gt;1506.727123&lt;/D&gt;&lt;D xsi:type="xsd:double"&gt;1450.899565&lt;/D&gt;&lt;D xsi:type="xsd:double"&gt;1461.1741&lt;/D&gt;&lt;D xsi:type="xsd:double"&gt;1478.951366&lt;/D&gt;&lt;D xsi:type="xsd:double"&gt;1414.606346&lt;/D&gt;&lt;D xsi:type="xsd:double"&gt;1316.145459&lt;/D&gt;&lt;D xsi:type="xsd:double"&gt;1259.029859&lt;/D&gt;&lt;D xsi:type="xsd:double"&gt;1251.414913&lt;/D&gt;&lt;D xsi:type="xsd:double"&gt;1220.140473&lt;/D&gt;&lt;D xsi:type="xsd:double"&gt;1202.633586&lt;/D&gt;&lt;D xsi:type="xsd:double"&gt;1203.703258&lt;/D&gt;&lt;D xsi:type="xsd:double"&gt;1341.080003&lt;/D&gt;&lt;D xsi:type="xsd:double"&gt;1249.767963&lt;/D&gt;&lt;D xsi:type="xsd:double"&gt;1242.815399&lt;/D&gt;&lt;D xsi:type="xsd:double"&gt;1245.748207&lt;/D&gt;&lt;D xsi:type="xsd:double"&gt;1120.517789&lt;/D&gt;&lt;D xsi:type="xsd:double"&gt;1054.302443&lt;/D&gt;&lt;D xsi:type="xsd:double"&gt;974.31116&lt;/D&gt;&lt;D xsi:type="xsd:double"&gt;1043.57934&lt;/D&gt;&lt;D xsi:type="xsd:double"&gt;955.655337&lt;/D&gt;&lt;D xsi:type="xsd:double"&gt;948.047849&lt;/D&gt;&lt;D xsi:type="xsd:double"&gt;884.978101&lt;/D&gt;&lt;D xsi:type="xsd:double"&gt;855.245014&lt;/D&gt;&lt;D xsi:type="xsd:double"&gt;824.075996&lt;/D&gt;&lt;D xsi:type="xsd:double"&gt;846.466189&lt;/D&gt;&lt;D xsi:type="xsd:double"&gt;905.959014&lt;/D&gt;&lt;D xsi:type="xsd:double"&gt;831.530168&lt;/D&gt;&lt;D xsi:type="xsd:double"&gt;829.583966&lt;/D&gt;&lt;D xsi:type="xsd:double"&gt;790.674438&lt;/D&gt;&lt;D xsi:type="xsd:double"&gt;725.481999&lt;/D&gt;&lt;D xsi:type="xsd:double"&gt;707.245354&lt;/D&gt;&lt;D xsi:type="xsd:double"&gt;669.394941&lt;/D&gt;&lt;D xsi:type="xsd:double"&gt;641.653623&lt;/D&gt;&lt;D xsi:type="xsd:double"&gt;655.879729&lt;/D&gt;&lt;D xsi:type="xsd:double"&gt;657.196759&lt;/D&gt;&lt;D xsi:type="xsd:double"&gt;662.094225&lt;/D&gt;&lt;D xsi:type="xsd:double"&gt;721.173073&lt;/D&gt;&lt;D xsi:type="xsd:double"&gt;710.122404&lt;/D&gt;&lt;D xsi:type="xsd:double"&gt;676.591534&lt;/D&gt;&lt;D xsi:type="xsd:double"&gt;650.560978&lt;/D&gt;&lt;D xsi:type="xsd:double"&gt;609.446671&lt;/D&gt;&lt;D xsi:type="xsd:double"&gt;601.971941&lt;/D&gt;&lt;D xsi:type="xsd:double"&gt;556.621867&lt;/D&gt;&lt;D xsi:type="xsd:double"&gt;554.622905&lt;/D&gt;&lt;D xsi:type="xsd:double"&gt;518.798265&lt;/D&gt;&lt;D xsi:type="xsd:double"&gt;489.48153&lt;/D&gt;&lt;D xsi:type="xsd:double"&gt;462.445164&lt;/D&gt;&lt;D xsi:type="xsd:double"&gt;432.978922&lt;/D&gt;&lt;D xsi:type="xsd:double"&gt;398.056298&lt;/D&gt;&lt;D xsi:type="xsd:double"&gt;410.825442&lt;/D&gt;&lt;D xsi:type="xsd:double"&gt;422.73543&lt;/D&gt;&lt;D xsi:type="xsd:double"&gt;425.679327&lt;/D&gt;&lt;D xsi:type="xsd:double"&gt;441.07198&lt;/D&gt;&lt;D xsi:type="xsd:double"&gt;413.254746&lt;/D&gt;&lt;D xsi:type="xsd:double"&gt;388.492197&lt;/D&gt;&lt;D xsi:type="xsd:double"&gt;434.881541&lt;/D&gt;&lt;D xsi:type="xsd:double"&gt;426.727797&lt;/D&gt;&lt;D xsi:type="xsd:double"&gt;464.989522&lt;/D&gt;&lt;D xsi:type="xsd:double"&gt;503.264404&lt;/D&gt;&lt;D xsi:type="xsd:double"&gt;514.093563&lt;/D&gt;&lt;D xsi:type="xsd:double"&gt;511.122255&lt;/D&gt;&lt;D xsi:type="xsd:double"&gt;481.402778&lt;/D&gt;&lt;D xsi:type="xsd:double"&gt;473.336266&lt;/D&gt;&lt;D xsi:type="xsd:double"&gt;460.400325&lt;/D&gt;&lt;D xsi:type="xsd:double"&gt;421.87205&lt;/D&gt;&lt;D xsi:type="xsd:double"&gt;379.006285&lt;/D&gt;&lt;D xsi:type="xsd:double"&gt;357.532251&lt;/D&gt;&lt;D xsi:type="xsd:double"&gt;425.389542&lt;/D&gt;&lt;D xsi:type="xsd:double"&gt;432.087235&lt;/D&gt;&lt;D xsi:type="xsd:double"&gt;462.258105&lt;/D&gt;&lt;D xsi:type="xsd:double"&gt;470.690759&lt;/D&gt;&lt;D xsi:type="xsd:double"&gt;466.16815&lt;/D&gt;&lt;D xsi:type="xsd:double"&gt;444.963977&lt;/D&gt;&lt;D xsi:type="xsd:double"&gt;493.898864&lt;/D&gt;&lt;D xsi:type="xsd:double"&gt;538.228042&lt;/D&gt;&lt;D xsi:type="xsd:double"&gt;471.121938&lt;/D&gt;&lt;D xsi:type="xsd:double"&gt;462.944741&lt;/D&gt;&lt;D xsi:type="xsd:double"&gt;507.106892&lt;/D&gt;&lt;D xsi:type="xsd:double"&gt;549.89962&lt;/D&gt;&lt;D xsi:type="xsd:double"&gt;611.029261&lt;/D&gt;&lt;D xsi:type="xsd:double"&gt;603.209487&lt;/D&gt;&lt;D xsi:type="xsd:double"&gt;636.779839&lt;/D&gt;&lt;D xsi:type="xsd:double"&gt;611.490069&lt;/D&gt;&lt;D xsi:type="xsd:double"&gt;643.775367&lt;/D&gt;&lt;D xsi:type="xsd:double"&gt;723.63003&lt;/D&gt;&lt;D xsi:type="xsd:double"&gt;720.783076&lt;/D&gt;&lt;D xsi:type="xsd:double"&gt;720.961165&lt;/D&gt;&lt;/FQL&gt;&lt;FQL&gt;&lt;Q&gt;891800^JULIAN(MSCP_TOTAL_RET_IDX_GIMI(2/27/2026,1/31/2000,M,USD,"GROSS").DATES)&lt;/Q&gt;&lt;R&gt;314&lt;/R&gt;&lt;C&gt;1&lt;/C&gt;&lt;D xsi:type="xsd:long"&gt;46080&lt;/D&gt;&lt;D xsi:type="xsd:long"&gt;46052&lt;/D&gt;&lt;D xsi:type="xsd:long"&gt;46022&lt;/D&gt;&lt;D xsi:type="xsd:long"&gt;45989&lt;/D&gt;&lt;D xsi:type="xsd:long"&gt;45961&lt;/D&gt;&lt;D xsi:type="xsd:long"&gt;45930&lt;/D&gt;&lt;D xsi:type="xsd:long"&gt;45898&lt;/D&gt;&lt;D xsi:type="xsd:long"&gt;45869&lt;/D&gt;&lt;D xsi:type="xsd:long"&gt;45838&lt;/D&gt;&lt;D xsi:type="xsd:long"&gt;45807&lt;/D&gt;&lt;D xsi:type="xsd:long"&gt;45777&lt;/D&gt;&lt;D xsi:type="xsd:long"&gt;45747&lt;/D&gt;&lt;D xsi:type="xsd:long"&gt;45716&lt;/D&gt;&lt;D xsi:type="xsd:long"&gt;45688&lt;/D&gt;&lt;D xsi:type="xsd:long"&gt;45657&lt;/D&gt;&lt;D xsi:type="xsd:long"&gt;45625&lt;/D&gt;&lt;D xsi:type="xsd:long"&gt;45596&lt;/D&gt;&lt;D xsi:type="xsd:long"&gt;45565&lt;/D&gt;&lt;D xsi:type="xsd:long"&gt;45534&lt;/D&gt;&lt;D xsi:type="xsd:long"&gt;45504&lt;/D&gt;&lt;D xsi:type="xsd:long"&gt;45471&lt;/D&gt;&lt;D xsi:type="xsd:long"&gt;45443&lt;/D&gt;&lt;D xsi:type="xsd:long"&gt;45412&lt;/D&gt;&lt;D xsi:type="xsd:long"&gt;45379&lt;/D&gt;&lt;D xsi:type="xsd:long"&gt;45351&lt;/D&gt;&lt;D xsi:type="xsd:long"&gt;45322&lt;/D&gt;&lt;D xsi:type="xsd:long"&gt;45289&lt;/D&gt;&lt;D xsi:type="xsd:long"&gt;45260&lt;/D&gt;&lt;D xsi:type="xsd:long"&gt;45230&lt;/D&gt;&lt;D xsi:type="xsd:long"&gt;45198&lt;/D&gt;&lt;D xsi:type="xsd:long"&gt;45169&lt;/D&gt;&lt;D xsi:type="xsd:long"&gt;45138&lt;/D&gt;&lt;D xsi:type="xsd:long"&gt;45107&lt;/D&gt;&lt;D xsi:type="xsd:long"&gt;45077&lt;/D&gt;&lt;D xsi:type="xsd:long"&gt;45044&lt;/D&gt;&lt;D xsi:type="xsd:long"&gt;45016&lt;/D&gt;&lt;D xsi:type="xsd:long"&gt;44985&lt;/D&gt;&lt;D xsi:type="xsd:long"&gt;44957&lt;/D&gt;&lt;D xsi:type="xsd:long"&gt;44925&lt;/D&gt;&lt;D xsi:type="xsd:long"&gt;44895&lt;/D&gt;&lt;D xsi:type="xsd:long"&gt;44865&lt;/D&gt;&lt;D xsi:type="xsd:long"&gt;44834&lt;/D&gt;&lt;D xsi:type="xsd:long"&gt;44804&lt;/D&gt;&lt;D xsi:type="xsd:long"&gt;44771&lt;/D&gt;&lt;D xsi:type="xsd:long"&gt;44742&lt;/D&gt;&lt;D xsi:type="xsd:long"&gt;44712&lt;/D&gt;&lt;D xsi:type="xsd:long"&gt;44680&lt;/D&gt;&lt;D xsi:type="xsd:long"&gt;44651&lt;/D&gt;&lt;D xsi:type="xsd:long"&gt;44620&lt;/D&gt;&lt;D xsi:type="xsd:long"&gt;44592&lt;/D&gt;&lt;D xsi:type="xsd:long"&gt;44561&lt;/D&gt;&lt;D xsi:type="xsd:long"&gt;44530&lt;/D&gt;&lt;D xsi:type="xsd:long"&gt;44498&lt;/D&gt;&lt;D xsi:type="xsd:long"&gt;44469&lt;/D&gt;&lt;D xsi:type="xsd:long"&gt;44439&lt;/D&gt;&lt;D xsi:type="xsd:long"&gt;44407&lt;/D&gt;&lt;D xsi:type="xsd:long"&gt;44377&lt;/D&gt;&lt;D xsi:type="xsd:long"&gt;44344&lt;/D&gt;&lt;D xsi:type="xsd:long"&gt;44316&lt;/D&gt;&lt;D xsi:type="xsd:long"&gt;44286&lt;/D&gt;&lt;D xsi:type="xsd:long"&gt;44253&lt;/D&gt;&lt;D xsi:type="xsd:long"&gt;44225&lt;/D&gt;&lt;D xsi:type="xsd:long"&gt;44196&lt;/D&gt;&lt;D xsi:type="xsd:long"&gt;44165&lt;/D&gt;&lt;D xsi:type="xsd:long"&gt;44134&lt;/D&gt;&lt;D xsi:type="xsd:long"&gt;44104&lt;/D&gt;&lt;D xsi:type="xsd:long"&gt;44074&lt;/D&gt;&lt;D xsi:type="xsd:long"&gt;44043&lt;/D&gt;&lt;D xsi:type="xsd:long"&gt;44012&lt;/D&gt;&lt;D xsi:type="xsd:long"&gt;43980&lt;/D&gt;&lt;D xsi:type="xsd:long"&gt;43951&lt;/D&gt;&lt;D xsi:type="xsd:long"&gt;43921&lt;/D&gt;&lt;D xsi:type="xsd:long"&gt;43889&lt;/D&gt;&lt;D xsi:type="xsd:long"&gt;43861&lt;/D&gt;&lt;D xsi:type="xsd:long"&gt;43830&lt;/D&gt;&lt;D xsi:type="xsd:long"&gt;43798&lt;/D&gt;&lt;D xsi:type="xsd:long"&gt;43769&lt;/D&gt;&lt;D xsi:type="xsd:long"&gt;43738&lt;/D&gt;&lt;D xsi:type="xsd:long"&gt;43707&lt;/D&gt;&lt;D xsi:type="xsd:long"&gt;43677&lt;/D&gt;&lt;D xsi:type="xsd:long"&gt;43644&lt;/D&gt;&lt;D xsi:type="xsd:long"&gt;43616&lt;/D&gt;&lt;D xsi:type="xsd:long"&gt;43585&lt;/D&gt;&lt;D xsi:type="xsd:long"&gt;43553&lt;/D&gt;&lt;D xsi:type="xsd:long"&gt;43524&lt;/D&gt;&lt;D xsi:type="xsd:long"&gt;43496&lt;/D&gt;&lt;D xsi:type="xsd:long"&gt;43465&lt;/D&gt;&lt;D xsi:type="xsd:long"&gt;43434&lt;/D&gt;&lt;D xsi:type="xsd:long"&gt;43404&lt;/D&gt;&lt;D xsi:type="xsd:long"&gt;43371&lt;/D&gt;&lt;D xsi:type="xsd:long"&gt;43343&lt;/D&gt;&lt;D xsi:type="xsd:long"&gt;43312&lt;/D&gt;&lt;D xsi:type="xsd:long"&gt;43280&lt;/D&gt;&lt;D xsi:type="xsd:long"&gt;43251&lt;/D&gt;&lt;D xsi:type="xsd:long"&gt;43220&lt;/D&gt;&lt;D xsi:type="xsd:long"&gt;43188&lt;/D&gt;&lt;D xsi:type="xsd:long"&gt;43159&lt;/D&gt;&lt;D xsi:type="xsd:long"&gt;43131&lt;/D&gt;&lt;D xsi:type="xsd:long"&gt;43098&lt;/D&gt;&lt;D xsi:type="xsd:long"&gt;43069&lt;/D&gt;&lt;D xsi:type="xsd:long"&gt;43039&lt;/D&gt;&lt;D xsi:type="xsd:long"&gt;43007&lt;/D&gt;&lt;D xsi:type="xsd:long"&gt;42978&lt;/D&gt;&lt;D xsi:type="xsd:long"&gt;42947&lt;/D&gt;&lt;D xsi:type="xsd:long"&gt;42916&lt;/D&gt;&lt;D xsi:type="xsd:long"&gt;42886&lt;/D&gt;&lt;D xsi:type="xsd:long"&gt;42853&lt;/D&gt;&lt;D xsi:type="xsd:long"&gt;42825&lt;/D&gt;&lt;D xsi:type="xsd:long"&gt;42794&lt;/D&gt;&lt;D xsi:type="xsd:long"&gt;42766&lt;/D&gt;&lt;D xsi:type="xsd:long"&gt;42734&lt;/D&gt;&lt;D xsi:type="xsd:long"&gt;42704&lt;/D&gt;&lt;D xsi:type="xsd:long"&gt;42674&lt;/D&gt;&lt;D xsi:type="xsd:long"&gt;42643&lt;/D&gt;&lt;D xsi:type="xsd:long"&gt;42613&lt;/D&gt;&lt;D xsi:type="xsd:long"&gt;42580&lt;/D&gt;&lt;D xsi:type="xsd:long"&gt;42551&lt;/D&gt;&lt;D xsi:type="xsd:long"&gt;42521&lt;/D&gt;&lt;D xsi:type="xsd:long"&gt;42489&lt;/D&gt;&lt;D xsi:type="xsd:long"&gt;42460&lt;/D&gt;&lt;D xsi:type="xsd:long"&gt;42429&lt;/D&gt;&lt;D xsi:type="xsd:long"&gt;42398&lt;/D&gt;&lt;D xsi:type="xsd:long"&gt;42369&lt;/D&gt;&lt;D xsi:type="xsd:long"&gt;42338&lt;/D&gt;&lt;D xsi:type="xsd:long"&gt;42307&lt;/D&gt;&lt;D xsi:type="xsd:long"&gt;42277&lt;/D&gt;&lt;D xsi:type="xsd:long"&gt;42247&lt;/D&gt;&lt;D xsi:type="xsd:long"&gt;42216&lt;/D&gt;&lt;D xsi:type="xsd:long"&gt;42185&lt;/D&gt;&lt;D xsi:type="xsd:long"&gt;42153&lt;/D&gt;&lt;D xsi:type="xsd:long"&gt;42124&lt;/D&gt;&lt;D xsi:type="xsd:long"&gt;42094&lt;/D&gt;&lt;D xsi:type="xsd:long"&gt;42062&lt;/D&gt;&lt;D xsi:type="xsd:long"&gt;42034&lt;/D&gt;&lt;D xsi:type="xsd:long"&gt;42004&lt;/D&gt;&lt;D xsi:type="xsd:long"&gt;41971&lt;/D&gt;&lt;D xsi:type="xsd:long"&gt;41943&lt;/D&gt;&lt;D xsi:type="xsd:long"&gt;41912&lt;/D&gt;&lt;D xsi:type="xsd:long"&gt;41880&lt;/D&gt;&lt;D xsi:type="xsd:long"&gt;41851&lt;/D&gt;&lt;D xsi:type="xsd:long"&gt;41820&lt;/D&gt;&lt;D xsi:type="xsd:long"&gt;41789&lt;/D&gt;&lt;D xsi:type="xsd:long"&gt;41759&lt;/D&gt;&lt;D xsi:type="xsd:long"&gt;41729&lt;/D&gt;&lt;D xsi:type="xsd:long"&gt;41698&lt;/D&gt;&lt;D xsi:type="xsd:long"&gt;41670&lt;/D&gt;&lt;D xsi:type="xsd:long"&gt;41639&lt;/D&gt;&lt;D xsi:type="xsd:long"&gt;41607&lt;/D&gt;&lt;D xsi:type="xsd:long"&gt;41578&lt;/D&gt;&lt;D xsi:type="xsd:long"&gt;41547&lt;/D&gt;&lt;D xsi:type="xsd:long"&gt;41516&lt;/D&gt;&lt;D xsi:type="xsd:long"&gt;41486&lt;/D&gt;&lt;D xsi:type="xsd:long"&gt;41453&lt;/D&gt;&lt;D xsi:type="xsd:long"&gt;41425&lt;/D&gt;&lt;D xsi:type="xsd:long"&gt;41394&lt;/D&gt;&lt;D xsi:type="xsd:long"&gt;41361&lt;/D&gt;&lt;D xsi:type="xsd:long"&gt;41333&lt;/D&gt;&lt;D xsi:type="xsd:long"&gt;41305&lt;/D&gt;&lt;D xsi:type="xsd:long"&gt;41274&lt;/D&gt;&lt;D xsi:type="xsd:long"&gt;41243&lt;/D&gt;&lt;D xsi:type="xsd:long"&gt;41213&lt;/D&gt;&lt;D xsi:type="xsd:long"&gt;41180&lt;/D&gt;&lt;D xsi:type="xsd:long"&gt;41152&lt;/D&gt;&lt;D xsi:type="xsd:long"&gt;41121&lt;/D&gt;&lt;D xsi:type="xsd:long"&gt;41089&lt;/D&gt;&lt;D xsi:type="xsd:long"&gt;41060&lt;/D&gt;&lt;D xsi:type="xsd:long"&gt;41029&lt;/D&gt;&lt;D xsi:type="xsd:long"&gt;40998&lt;/D&gt;&lt;D xsi:type="xsd:long"&gt;40968&lt;/D&gt;&lt;D xsi:</t>
        </r>
      </text>
    </comment>
    <comment ref="A78" authorId="0" shapeId="0">
      <text>
        <r>
          <rPr>
            <b/>
            <sz val="9"/>
            <color indexed="81"/>
            <rFont val="Tahoma"/>
            <family val="2"/>
          </rPr>
          <t>type="xsd:long"&gt;40939&lt;/D&gt;&lt;D xsi:type="xsd:long"&gt;40907&lt;/D&gt;&lt;D xsi:type="xsd:long"&gt;40877&lt;/D&gt;&lt;D xsi:type="xsd:long"&gt;40847&lt;/D&gt;&lt;D xsi:type="xsd:long"&gt;40816&lt;/D&gt;&lt;D xsi:type="xsd:long"&gt;40786&lt;/D&gt;&lt;D xsi:type="xsd:long"&gt;40753&lt;/D&gt;&lt;D xsi:type="xsd:long"&gt;40724&lt;/D&gt;&lt;D xsi:type="xsd:long"&gt;40694&lt;/D&gt;&lt;D xsi:type="xsd:long"&gt;40662&lt;/D&gt;&lt;D xsi:type="xsd:long"&gt;40633&lt;/D&gt;&lt;D xsi:type="xsd:long"&gt;40602&lt;/D&gt;&lt;D xsi:type="xsd:long"&gt;40574&lt;/D&gt;&lt;D xsi:type="xsd:long"&gt;40543&lt;/D&gt;&lt;D xsi:type="xsd:long"&gt;40512&lt;/D&gt;&lt;D xsi:type="xsd:long"&gt;40480&lt;/D&gt;&lt;D xsi:type="xsd:long"&gt;40451&lt;/D&gt;&lt;D xsi:type="xsd:long"&gt;40421&lt;/D&gt;&lt;D xsi:type="xsd:long"&gt;40389&lt;/D&gt;&lt;D xsi:type="xsd:long"&gt;40359&lt;/D&gt;&lt;D xsi:type="xsd:long"&gt;40326&lt;/D&gt;&lt;D xsi:type="xsd:long"&gt;40298&lt;/D&gt;&lt;D xsi:type="xsd:long"&gt;40268&lt;/D&gt;&lt;D xsi:type="xsd:long"&gt;40235&lt;/D&gt;&lt;D xsi:type="xsd:long"&gt;40207&lt;/D&gt;&lt;D xsi:type="xsd:long"&gt;40178&lt;/D&gt;&lt;D xsi:type="xsd:long"&gt;40147&lt;/D&gt;&lt;D xsi:type="xsd:long"&gt;40116&lt;/D&gt;&lt;D xsi:type="xsd:long"&gt;40086&lt;/D&gt;&lt;D xsi:type="xsd:long"&gt;40056&lt;/D&gt;&lt;D xsi:type="xsd:long"&gt;40025&lt;/D&gt;&lt;D xsi:type="xsd:long"&gt;39994&lt;/D&gt;&lt;D xsi:type="xsd:long"&gt;39962&lt;/D&gt;&lt;D xsi:type="xsd:long"&gt;39933&lt;/D&gt;&lt;D xsi:type="xsd:long"&gt;39903&lt;/D&gt;&lt;D xsi:type="xsd:long"&gt;39871&lt;/D&gt;&lt;D xsi:type="xsd:long"&gt;39843&lt;/D&gt;&lt;D xsi:type="xsd:long"&gt;39813&lt;/D&gt;&lt;D xsi:type="xsd:long"&gt;39780&lt;/D&gt;&lt;D xsi:type="xsd:long"&gt;39752&lt;/D&gt;&lt;D xsi:type="xsd:long"&gt;39721&lt;/D&gt;&lt;D xsi:type="xsd:long"&gt;39689&lt;/D&gt;&lt;D xsi:type="xsd:long"&gt;39660&lt;/D&gt;&lt;D xsi:type="xsd:long"&gt;39629&lt;/D&gt;&lt;D xsi:type="xsd:long"&gt;39598&lt;/D&gt;&lt;D xsi:type="xsd:long"&gt;39568&lt;/D&gt;&lt;D xsi:type="xsd:long"&gt;39538&lt;/D&gt;&lt;D xsi:type="xsd:long"&gt;39507&lt;/D&gt;&lt;D xsi:type="xsd:long"&gt;39478&lt;/D&gt;&lt;D xsi:type="xsd:long"&gt;39447&lt;/D&gt;&lt;D xsi:type="xsd:long"&gt;39416&lt;/D&gt;&lt;D xsi:type="xsd:long"&gt;39386&lt;/D&gt;&lt;D xsi:type="xsd:long"&gt;39353&lt;/D&gt;&lt;D xsi:type="xsd:long"&gt;39325&lt;/D&gt;&lt;D xsi:type="xsd:long"&gt;39294&lt;/D&gt;&lt;D xsi:type="xsd:long"&gt;39262&lt;/D&gt;&lt;D xsi:type="xsd:long"&gt;39233&lt;/D&gt;&lt;D xsi:type="xsd:long"&gt;39202&lt;/D&gt;&lt;D xsi:type="xsd:long"&gt;39171&lt;/D&gt;&lt;D xsi:type="xsd:long"&gt;39141&lt;/D&gt;&lt;D xsi:type="xsd:long"&gt;39113&lt;/D&gt;&lt;D xsi:type="xsd:long"&gt;39080&lt;/D&gt;&lt;D xsi:type="xsd:long"&gt;39051&lt;/D&gt;&lt;D xsi:type="xsd:long"&gt;39021&lt;/D&gt;&lt;D xsi:type="xsd:long"&gt;38989&lt;/D&gt;&lt;D xsi:type="xsd:long"&gt;38960&lt;/D&gt;&lt;D xsi:type="xsd:long"&gt;38929&lt;/D&gt;&lt;D xsi:type="xsd:long"&gt;38898&lt;/D&gt;&lt;D xsi:type="xsd:long"&gt;38868&lt;/D&gt;&lt;D xsi:type="xsd:long"&gt;38835&lt;/D&gt;&lt;D xsi:type="xsd:long"&gt;38807&lt;/D&gt;&lt;D xsi:type="xsd:long"&gt;38776&lt;/D&gt;&lt;D xsi:type="xsd:long"&gt;38748&lt;/D&gt;&lt;D xsi:type="xsd:long"&gt;38716&lt;/D&gt;&lt;D xsi:type="xsd:long"&gt;38686&lt;/D&gt;&lt;D xsi:type="xsd:long"&gt;38656&lt;/D&gt;&lt;D xsi:type="xsd:long"&gt;38625&lt;/D&gt;&lt;D xsi:type="xsd:long"&gt;38595&lt;/D&gt;&lt;D xsi:type="xsd:long"&gt;38562&lt;/D&gt;&lt;D xsi:type="xsd:long"&gt;38533&lt;/D&gt;&lt;D xsi:type="xsd:long"&gt;38503&lt;/D&gt;&lt;D xsi:type="xsd:long"&gt;38471&lt;/D&gt;&lt;D xsi:type="xsd:long"&gt;38442&lt;/D&gt;&lt;D xsi:type="xsd:long"&gt;38411&lt;/D&gt;&lt;D xsi:type="xsd:long"&gt;38383&lt;/D&gt;&lt;D xsi:type="xsd:long"&gt;38352&lt;/D&gt;&lt;D xsi:type="xsd:long"&gt;38321&lt;/D&gt;&lt;D xsi:type="xsd:long"&gt;38289&lt;/D&gt;&lt;D xsi:type="xsd:long"&gt;38260&lt;/D&gt;&lt;D xsi:type="xsd:long"&gt;38230&lt;/D&gt;&lt;D xsi:type="xsd:long"&gt;38198&lt;/D&gt;&lt;D xsi:type="xsd:long"&gt;38168&lt;/D&gt;&lt;D xsi:type="xsd:long"&gt;38135&lt;/D&gt;&lt;D xsi:type="xsd:long"&gt;38107&lt;/D&gt;&lt;D xsi:type="xsd:long"&gt;38077&lt;/D&gt;&lt;D xsi:type="xsd:long"&gt;38044&lt;/D&gt;&lt;D xsi:type="xsd:long"&gt;38016&lt;/D&gt;&lt;D xsi:type="xsd:long"&gt;37986&lt;/D&gt;&lt;D xsi:type="xsd:long"&gt;37953&lt;/D&gt;&lt;D xsi:type="xsd:long"&gt;37925&lt;/D&gt;&lt;D xsi:type="xsd:long"&gt;37894&lt;/D&gt;&lt;D xsi:type="xsd:long"&gt;37862&lt;/D&gt;&lt;D xsi:type="xsd:long"&gt;37833&lt;/D&gt;&lt;D xsi:type="xsd:long"&gt;37802&lt;/D&gt;&lt;D xsi:type="xsd:long"&gt;37771&lt;/D&gt;&lt;D xsi:type="xsd:long"&gt;37741&lt;/D&gt;&lt;D xsi:type="xsd:long"&gt;37711&lt;/D&gt;&lt;D xsi:type="xsd:long"&gt;37680&lt;/D&gt;&lt;D xsi:type="xsd:long"&gt;37652&lt;/D&gt;&lt;D xsi:type="xsd:long"&gt;37621&lt;/D&gt;&lt;D xsi:type="xsd:long"&gt;37589&lt;/D&gt;&lt;D xsi:type="xsd:long"&gt;37560&lt;/D&gt;&lt;D xsi:type="xsd:long"&gt;37529&lt;/D&gt;&lt;D xsi:type="xsd:long"&gt;37498&lt;/D&gt;&lt;D xsi:type="xsd:long"&gt;37468&lt;/D&gt;&lt;D xsi:type="xsd:long"&gt;37435&lt;/D&gt;&lt;D xsi:type="xsd:long"&gt;37407&lt;/D&gt;&lt;D xsi:type="xsd:long"&gt;37376&lt;/D&gt;&lt;D xsi:type="xsd:long"&gt;37343&lt;/D&gt;&lt;D xsi:type="xsd:long"&gt;37315&lt;/D&gt;&lt;D xsi:type="xsd:long"&gt;37287&lt;/D&gt;&lt;D xsi:type="xsd:long"&gt;37256&lt;/D&gt;&lt;D xsi:type="xsd:long"&gt;37225&lt;/D&gt;&lt;D xsi:type="xsd:long"&gt;37195&lt;/D&gt;&lt;D xsi:type="xsd:long"&gt;37162&lt;/D&gt;&lt;D xsi:type="xsd:long"&gt;37134&lt;/D&gt;&lt;D xsi:type="xsd:long"&gt;37103&lt;/D&gt;&lt;D xsi:type="xsd:long"&gt;37071&lt;/D&gt;&lt;D xsi:type="xsd:long"&gt;37042&lt;/D&gt;&lt;D xsi:type="xsd:long"&gt;37011&lt;/D&gt;&lt;D xsi:type="xsd:long"&gt;36980&lt;/D&gt;&lt;D xsi:type="xsd:long"&gt;36950&lt;/D&gt;&lt;D xsi:type="xsd:long"&gt;36922&lt;/D&gt;&lt;D xsi:type="xsd:long"&gt;36889&lt;/D&gt;&lt;D xsi:type="xsd:long"&gt;36860&lt;/D&gt;&lt;D xsi:type="xsd:long"&gt;36830&lt;/D&gt;&lt;D xsi:type="xsd:long"&gt;36798&lt;/D&gt;&lt;D xsi:type="xsd:long"&gt;36769&lt;/D&gt;&lt;D xsi:type="xsd:long"&gt;36738&lt;/D&gt;&lt;D xsi:type="xsd:long"&gt;36707&lt;/D&gt;&lt;D xsi:type="xsd:long"&gt;36677&lt;/D&gt;&lt;D xsi:type="xsd:long"&gt;36644&lt;/D&gt;&lt;D xsi:type="xsd:long"&gt;36616&lt;/D&gt;&lt;D xsi:type="xsd:long"&gt;36585&lt;/D&gt;&lt;D xsi:type="xsd:long"&gt;36556&lt;/D&gt;&lt;/FQL&gt;&lt;FQL&gt;&lt;Q&gt;990100^MSCI_TOTAL_RET_IDX(2/27/2026,1/31/2000,M,USD,"GROSS")&lt;/Q&gt;&lt;R&gt;314&lt;/R&gt;&lt;C&gt;1&lt;/C&gt;&lt;D xsi:type="xsd:double"&gt;21740.407476&lt;/D&gt;&lt;D xsi:type="xsd:double"&gt;21576.661758&lt;/D&gt;&lt;D xsi:type="xsd:double"&gt;21100.067425&lt;/D&gt;&lt;D xsi:type="xsd:double"&gt;20924.65906&lt;/D&gt;&lt;D xsi:type="xsd:double"&gt;20859.465156&lt;/D&gt;&lt;D xsi:type="xsd:double"&gt;20445.915187&lt;/D&gt;&lt;D xsi:type="xsd:double"&gt;19801.961522&lt;/D&gt;&lt;D xsi:type="xsd:double"&gt;19293.050929&lt;/D&gt;&lt;D xsi:type="xsd:double"&gt;19044.007434&lt;/D&gt;&lt;D xsi:type="xsd:double"&gt;18250.358313&lt;/D&gt;&lt;D xsi:type="xsd:double"&gt;17219.319838&lt;/D&gt;&lt;D xsi:type="xsd:double"&gt;17059.748793&lt;/D&gt;&lt;D xsi:type="xsd:double"&gt;17844.251038&lt;/D&gt;&lt;D xsi:type="xsd:double"&gt;17968.349835&lt;/D&gt;&lt;D xsi:type="xsd:double"&gt;17352.115351&lt;/D&gt;&lt;D xsi:type="xsd:double"&gt;17810.63517&lt;/D&gt;&lt;D xsi:type="xsd:double"&gt;17023.445476&lt;/D&gt;&lt;D xsi:type="xsd:double"&gt;17364.011736&lt;/D&gt;&lt;D xsi:type="xsd:double"&gt;17045.470265&lt;/D&gt;&lt;D xsi:type="xsd:double"&gt;16601.012475&lt;/D&gt;&lt;D xsi:type="xsd:double"&gt;16309.886618&lt;/D&gt;&lt;D xsi:type="xsd:double"&gt;15979.455491&lt;/D&gt;&lt;D xsi:type="xsd:double"&gt;15286.59151&lt;/D&gt;&lt;D xsi:type="xsd:double"&gt;15864.367263&lt;/D&gt;&lt;D xsi:type="xsd:double"&gt;15366.381971&lt;/D&gt;&lt;D xsi:type="xsd:double"&gt;14735.888914&lt;/D&gt;&lt;D xsi:type="xsd:double"&gt;14557.826422&lt;/D&gt;&lt;D xsi:type="xsd:double"&gt;13871.961001&lt;/D&gt;&lt;D xsi:type="xsd:double"&gt;12676.970282&lt;/D&gt;&lt;D xsi:type="xsd:double"&gt;13052.604114&lt;/D&gt;&lt;D xsi:type="xsd:double"&gt;13636.081474&lt;/D&gt;&lt;D xsi:type="xsd:double"&gt;13963.885805&lt;/D&gt;&lt;D xsi:type="xsd:double"&gt;13506.744492&lt;/D&gt;&lt;D xsi:type="xsd:double"&gt;12731.907782&lt;/D&gt;&lt;D xsi:type="xsd:double"&gt;12850.378508&lt;/D&gt;&lt;D xsi:type="xsd:double"&gt;12622.659609&lt;/D&gt;&lt;D xsi:type="xsd:double"&gt;12235.685754&lt;/D&gt;&lt;D xsi:type="xsd:double"&gt;12532.085435&lt;/D&gt;&lt;D xsi:type="xsd:double"&gt;11700.992418&lt;/D&gt;&lt;D xsi:type="xsd:double"&gt;12215.105868&lt;/D&gt;&lt;D xsi:type="xsd:double"&gt;11415.734483&lt;/D&gt;&lt;D xsi:type="xsd:double"&gt;10648.162536&lt;/D&gt;&lt;D xsi:type="xsd:double"&gt;11734.160889&lt;/D&gt;&lt;D xsi:type="xsd:double"&gt;12241.139674&lt;/D&gt;&lt;D xsi:type="xsd:double"&gt;11337.723549&lt;/D&gt;&lt;D xsi:type="xsd:double"&gt;12408.089771&lt;/D&gt;&lt;D xsi:type="xsd:double"&gt;12389.188861&lt;/D&gt;&lt;D xsi:type="xsd:double"&gt;13505.741311&lt;/D&gt;&lt;D xsi:type="xsd:double"&gt;13137.03442&lt;/D&gt;&lt;D xsi:type="xsd:double"&gt;13473.4354&lt;/D&gt;&lt;D xsi:type="xsd:double"&gt;14223.136794&lt;/D&gt;&lt;D xsi:type="xsd:double"&gt;13636.233449&lt;/D&gt;&lt;D xsi:type="xsd:double"&gt;13936.992021&lt;/D&gt;&lt;D xsi:type="xsd:double"&gt;13186.526695&lt;/D&gt;&lt;D xsi:type="xsd:double"&gt;13751.460508&lt;/D&gt;&lt;D xsi:type="xsd:double"&gt;13413.449833&lt;/D&gt;&lt;D xsi:type="xsd:double"&gt;13174.25099&lt;/D&gt;&lt;D xsi:type="xsd:double"&gt;12992.178031&lt;/D&gt;&lt;D xsi:type="xsd:double"&gt;12784.973299&lt;/D&gt;&lt;D xsi:type="xsd:double"&gt;12211.116272&lt;/D&gt;&lt;D xsi:type="xsd:double"&gt;11811.310416&lt;/D&gt;&lt;D xsi:type="xsd:double"&gt;11512.425105&lt;/D&gt;&lt;D xsi:type="xsd:double"&gt;11625.198749&lt;/D&gt;&lt;D xsi:type="xsd:double"&gt;11148.599773&lt;/D&gt;&lt;D xsi:type="xsd:double"&gt;9881.075667&lt;/D&gt;&lt;D xsi:type="xsd:double"&gt;10191.07874&lt;/D&gt;&lt;D xsi:type="xsd:double"&gt;10550.971824&lt;/D&gt;&lt;D xsi:type="xsd:double"&gt;9886.493432&lt;/D&gt;&lt;D xsi:type="xsd:double"&gt;9432.107145&lt;/D&gt;&lt;D xsi:type="xsd:double"&gt;9185.249174&lt;/D&gt;&lt;D xsi:type="xsd:double"&gt;8756.464871&lt;/D&gt;&lt;D xsi:type="xsd:double"&gt;7890.18073&lt;/D&gt;&lt;D xsi:type="xsd:double"&gt;9086.788157&lt;/D&gt;&lt;D xsi:type="xsd:double"&gt;9921.108777&lt;/D&gt;&lt;D xsi:type="xsd:double"&gt;9979.03366&lt;/D&gt;&lt;D xsi:type="xsd:double"&gt;9685.175388&lt;/D&gt;&lt;D xsi:type="xsd:double"&gt;9418.381319&lt;/D&gt;&lt;D xsi:type="xsd:double"&gt;9182.16764&lt;/D&gt;&lt;D xsi:type="xsd:double"&gt;8986.643663&lt;/D&gt;&lt;D xsi:type="xsd:double"&gt;9169.81569&lt;/D&gt;&lt;D xsi:type="xsd:double"&gt;9122.090094&lt;/D&gt;&lt;D xsi:type="xsd:double"&gt;8554.772217&lt;/D&gt;&lt;D xsi:type="xsd:double"&gt;9069.951224&lt;/D&gt;&lt;D xsi:type="xsd:double"&gt;8754.488883&lt;/D&gt;&lt;D xsi:type="xsd:double"&gt;8635.203361&lt;/D&gt;&lt;D xsi:type="xsd:double"&gt;8379.028953&lt;/D&gt;&lt;D xsi:type="xsd:double"&gt;7771.710261&lt;/D&gt;&lt;D xsi:type="xsd:double"&gt;8407.844611&lt;/D&gt;&lt;D xsi:type="xsd:double"&gt;8309.110332&lt;/D&gt;&lt;D xsi:type="xsd:double"&gt;8965.287627&lt;/D&gt;&lt;D xsi:type="xsd:double"&gt;8911.933486&lt;/D&gt;&lt;D xsi:type="xsd:double"&gt;8798.941068&lt;/D&gt;&lt;D xsi:type="xsd:double"&gt;8530.353984&lt;/D&gt;&lt;D xsi:type="xsd:double"&gt;8531.326869&lt;/D&gt;&lt;D xsi:type="xsd:double"&gt;8470.212767&lt;/D&gt;&lt;D xsi:type="xsd:double"&gt;8363.544193&lt;/D&gt;&lt;D xsi:type="xsd:double"&gt;8549.698834&lt;/D&gt;&lt;D xsi:type="xsd:double"&gt;8915.277691&lt;/D&gt;&lt;D xsi:type="xsd:double"&gt;8466.344501&lt;/D&gt;&lt;D xsi:type="xsd:double"&gt;8350.801848&lt;/D&gt;&lt;D xsi:type="xsd:double"&gt;8169.600974&lt;/D&gt;&lt;D xsi:type="xsd:double"&gt;8016.091279&lt;/D&gt;&lt;D xsi:type="xsd:double"&gt;7837.107664&lt;/D&gt;&lt;D xsi:type="xsd:double"&gt;7822.146969&lt;/D&gt;&lt;D xsi:type="xsd:double"&gt;7637.015307&lt;/D&gt;&lt;D xsi:type="xsd:double"&gt;7604.861196&lt;/D&gt;&lt;D xsi:type="xsd:double"&gt;7440.259608&lt;/D&gt;&lt;D xsi:type="xsd:double"&gt;7328.13507&lt;/D&gt;&lt;D xsi:type="xsd:double"&gt;7245.762912&lt;/D&gt;&lt;D xsi:type="xsd:double"&gt;7046.796149&lt;/D&gt;&lt;D xsi:type="xsd:double"&gt;6879.162363&lt;/D&gt;&lt;D xsi:type="xsd:double"&gt;6716.016518&lt;/D&gt;&lt;D xsi:type="xsd:double"&gt;6617.258395&lt;/D&gt;&lt;D xsi:type="xsd:double"&gt;6746.076641&lt;/D&gt;&lt;D xsi:type="xsd:double"&gt;6707.420309&lt;/D&gt;&lt;D xsi:type="xsd:double"&gt;6698.465937&lt;/D&gt;&lt;D xsi:type="xsd:double"&gt;6425.279863&lt;/D&gt;&lt;D xsi:type="xsd:double"&gt;6494.942746&lt;/D&gt;&lt;D xsi:type="xsd:double"&gt;6452.776567&lt;/D&gt;&lt;D xsi:type="xsd:double"&gt;6348.294514&lt;/D&gt;&lt;D xsi:type="xsd:double"&gt;5940.800331&lt;/D&gt;&lt;D xsi:type="xsd:double"&gt;5981.67427&lt;/D&gt;&lt;D xsi:type="xsd:double"&gt;6360.574954&lt;/D&gt;&lt;D xsi:type="xsd:double"&gt;6471.71718&lt;/D&gt;&lt;D xsi:type="xsd:double"&gt;6500.909759&lt;/D&gt;&lt;D xsi:type="xsd:double"&gt;6021.954302&lt;/D&gt;&lt;D xsi:type="xsd:double"&gt;6249.64635&lt;/D&gt;&lt;D xsi:type="xsd:double"&gt;6689.575637&lt;/D&gt;&lt;D xsi:type="xsd:double"&gt;6569.46635&lt;/D&gt;&lt;D xsi:type="xsd:double"&gt;6723.059942&lt;/D&gt;&lt;D xsi:type="xsd:double"&gt;6694.313819&lt;/D&gt;&lt;D xsi:type="xsd:double"&gt;6537.618526&lt;/D&gt;&lt;D xsi:type="xsd:double"&gt;6637.222188&lt;/D&gt;&lt;D xsi:type="xsd:double"&gt;6266.933709&lt;/D&gt;&lt;D xsi:type="xsd:double"&gt;6381.054489&lt;/D&gt;&lt;D xsi:type="xsd:double"&gt;6482.900453&lt;/D&gt;&lt;D xsi:type="xsd:double"&gt;6352.598337&lt;/D&gt;&lt;D xsi:type="xsd:double"&gt;6310.268156&lt;/D&gt;&lt;D xsi:type="xsd:double"&gt;6483.570232&lt;/D&gt;&lt;D xsi:type="xsd:double"&gt;6341.234415&lt;/D&gt;&lt;D xsi:type="xsd:double"&gt;6442.500674&lt;/D&gt;&lt;D xsi:type="xsd:double"&gt;6326.600987&lt;/D&gt;&lt;D xsi:type="xsd:double"&gt;6198.797954&lt;/D&gt;&lt;D xsi:type="xsd:double"&gt;6132.591574&lt;/D&gt;&lt;D xsi:type="xsd:double"&gt;6120.253606&lt;/D&gt;&lt;D xsi:type="xsd:double"&gt;5825.526876&lt;/D&gt;&lt;D xsi:type="xsd:double"&gt;6048.181012&lt;/D&gt;&lt;D xsi:type="xsd:double"&gt;5920.682817&lt;/D&gt;&lt;D xsi:type="xsd:double"&gt;5814.648991&lt;/D&gt;&lt;D xsi:type="xsd:double"&gt;5594.335573&lt;/D&gt;&lt;D xsi:type="xsd:double"&gt;5325.887115&lt;/D&gt;&lt;D xsi:type="xsd:double"&gt;5439.34652&lt;/D&gt;&lt;D xsi:type="xsd:double"&gt;5165.877084&lt;/D&gt;&lt;D xsi:type="xsd:double"&gt;5294.214565&lt;/D&gt;&lt;D xsi:type="xsd:double"&gt;5287.524128&lt;/D&gt;&lt;D xsi:type="xsd:double"&gt;5122.933394&lt;/D&gt;&lt;D xsi:type="xsd:double"&gt;5002.798508&lt;/D&gt;&lt;D xsi:type="xsd:double"&gt;4992.061167&lt;/D&gt;&lt;D xsi:type="xsd:double"&gt;4748.698511&lt;/D&gt;&lt;D xsi:type="xsd:double"&gt;4658.581487&lt;/D&gt;&lt;D xsi:type="xsd:double"&gt;4597.231193&lt;/D&gt;&lt;D xsi:type="xsd:double"&gt;4627.184251&lt;/D&gt;&lt;D xsi:type="xsd:double"&gt;4501.500939&lt;/D&gt;&lt;D xsi:type="xsd:double"&gt;4388.035805&lt;/D&gt;&lt;D xsi:type="xsd:double"&gt;4331.155403&lt;/D&gt;&lt;D xsi:type="xsd:double"&gt;4119.206386&lt;/D&gt;&lt;D xsi:type="xsd:double"&gt;4503.679588&lt;/D&gt;&lt;D xsi:type="xsd:double"&gt;4552.201557&lt;/D&gt;&lt;D xsi:type="xsd:double"&gt;4491.978708&lt;/D&gt;&lt;D xsi:type="xsd:double"&gt;4280.520734&lt;/D&gt;&lt;D xsi:type="xsd:double"&gt;4074.833677&lt;/D&gt;&lt;D xsi:type="xsd:double"&gt;4075.560085&lt;/D&gt;&lt;D xsi:type="xsd:double"&gt;4175.102956&lt;/D&gt;&lt;D xsi:type="xsd:double"&gt;3782.757039&lt;/D&gt;&lt;D xsi:type="xsd:double"&gt;4138.562322&lt;/D&gt;&lt;D xsi:type="xsd:double"&gt;4450.249251&lt;/D&gt;&lt;D xsi:type="xsd:double"&gt;4531.207531&lt;/D&gt;&lt;D xsi:type="xsd:double"&gt;4602.240757&lt;/D&gt;&lt;D xsi:type="xsd:double"&gt;4694.883908&lt;/D&gt;&lt;D xsi:type="xsd:double"&gt;4500.825242&lt;/D&gt;&lt;D xsi:type="xsd:double"&gt;4543.546134&lt;/D&gt;&lt;D xsi:type="xsd:double"&gt;4387.969544&lt;/D&gt;&lt;D xsi:type="xsd:double"&gt;4290.045368&lt;/D&gt;&lt;D xsi:type="xsd:double"&gt;3994.994271&lt;/D&gt;&lt;D xsi:type="xsd:double"&gt;4081.18627&lt;/D&gt;&lt;D xsi:type="xsd:double"&gt;3933.681227&lt;/D&gt;&lt;D xsi:type="xsd:double"&gt;3596.902173&lt;/D&gt;&lt;D xsi:type="xsd:double"&gt;3734.815772&lt;/D&gt;&lt;D xsi:type="xsd:double"&gt;3453.891084&lt;/D&gt;&lt;D xsi:type="xsd:double"&gt;3576.612956&lt;/D&gt;&lt;D xsi:type="xsd:double"&gt;3949.717839&lt;/D&gt;&lt;D xsi:type="xsd:double"&gt;3946.960009&lt;/D&gt;&lt;D xsi:type="xsd:double"&gt;3714.830292&lt;/D&gt;&lt;D xsi:type="xsd:double"&gt;3661.751978&lt;/D&gt;&lt;D xsi:type="xsd:double"&gt;3818.859038&lt;/D&gt;&lt;D xsi:type="xsd:double"&gt;3750.306086&lt;/D&gt;&lt;D xsi:type="xsd:double"&gt;3601.322067&lt;/D&gt;&lt;D xsi:type="xsd:double"&gt;3665.755558&lt;/D&gt;&lt;D xsi:type="xsd:double"&gt;3524.075058&lt;/D&gt;&lt;D xsi:type="xsd:double"&gt;3383.009336&lt;/D&gt;&lt;D xsi:type="xsd:double"&gt;3117.982151&lt;/D&gt;&lt;D xsi:type="xsd:double"&gt;3130.78568&lt;/D&gt;&lt;D xsi:type="xsd:double"&gt;2867.371642&lt;/D&gt;&lt;D xsi:type="xsd:double"&gt;2575.816373&lt;/D&gt;&lt;D xsi:type="xsd:double"&gt;2393.873995&lt;/D&gt;&lt;D xsi:type="xsd:double"&gt;2664.847172&lt;/D&gt;&lt;D xsi:type="xsd:double"&gt;2919.782614&lt;/D&gt;&lt;D xsi:type="xsd:double"&gt;2827.607531&lt;/D&gt;&lt;D xsi:type="xsd:double"&gt;3021.073597&lt;/D&gt;&lt;D xsi:type="xsd:double"&gt;3726.687618&lt;/D&gt;&lt;D xsi:type="xsd:double"&gt;4227.712255&lt;/D&gt;&lt;D xsi:type="xsd:double"&gt;4285.968828&lt;/D&gt;&lt;D xsi:type="xsd:double"&gt;4392.17244&lt;/D&gt;&lt;D xsi:type="xsd:double"&gt;4770.993435&lt;/D&gt;&lt;D xsi:type="xsd:double"&gt;4693.576591&lt;/D&gt;&lt;D xsi:type="xsd:double"&gt;4455.803971&lt;/D&gt;&lt;D xsi:type="xsd:double"&gt;4496.694314&lt;/D&gt;&lt;D xsi:type="xsd:double"&gt;4520.671514&lt;/D&gt;&lt;D xsi:type="xsd:double"&gt;4893.541845&lt;/D&gt;&lt;D xsi:type="xsd:double"&gt;4956.048081&lt;/D&gt;&lt;D xsi:type="xsd:double"&gt;5164.82375&lt;/D&gt;&lt;D xsi:type="xsd:double"&gt;5010.068141&lt;/D&gt;&lt;D xsi:type="xsd:double"&gt;4781.07441&lt;/D&gt;&lt;D xsi:type="xsd:double"&gt;4782.623573&lt;/D&gt;&lt;D xsi:type="xsd:double"&gt;4889.921215&lt;/D&gt;&lt;D xsi:type="xsd:double"&gt;4926.190342&lt;/D&gt;&lt;D xsi:type="xsd:double"&gt;4787.317288&lt;/D&gt;&lt;D xsi:type="xsd:double"&gt;4582.511654&lt;/D&gt;&lt;D xsi:type="xsd:double"&gt;4498.257682&lt;/D&gt;&lt;D xsi:type="xsd:double"&gt;4519.914584&lt;/D&gt;&lt;D xsi:type="xsd:double"&gt;4466.298194&lt;/D&gt;&lt;D xsi:type="xsd:double"&gt;4376.153465&lt;/D&gt;&lt;D xsi:type="xsd:double"&gt;4269.390748&lt;/D&gt;&lt;D xsi:type="xsd:double"&gt;4117.42896&lt;/D&gt;&lt;D xsi:type="xsd:double"&gt;4067.753546&lt;/D&gt;&lt;D xsi:type="xsd:double"&gt;3962.860777&lt;/D&gt;&lt;D xsi:type="xsd:double"&gt;3937.43287&lt;/D&gt;&lt;D xsi:type="xsd:double"&gt;3936.963505&lt;/D&gt;&lt;D xsi:type="xsd:double"&gt;4072.426018&lt;/D&gt;&lt;D xsi:type="xsd:double"&gt;3950.381312&lt;/D&gt;&lt;D xsi:type="xsd:double"&gt;3863.679046&lt;/D&gt;&lt;D xsi:type="xsd:double"&gt;3867.81377&lt;/D&gt;&lt;D xsi:type="xsd:double"&gt;3701.794585&lt;/D&gt;&lt;D xsi:type="xsd:double"&gt;3620.657193&lt;/D&gt;&lt;D xsi:type="xsd:double"&gt;3502.062889&lt;/D&gt;&lt;D xsi:type="xsd:double"&gt;3588.40956&lt;/D&gt;&lt;D xsi:type="xsd:double"&gt;3496.581253&lt;/D&gt;&lt;D xsi:type="xsd:double"&gt;3468.822784&lt;/D&gt;&lt;D xsi:type="xsd:double"&gt;3351.01918&lt;/D&gt;&lt;D xsi:type="xsd:double"&gt;3320.818075&lt;/D&gt;&lt;D xsi:type="xsd:double"&gt;3260.390162&lt;/D&gt;&lt;D xsi:type="xsd:double"&gt;3330.63462&lt;/D&gt;&lt;D xsi:type="xsd:double"&gt;3395.133482&lt;/D&gt;&lt;D xsi:type="xsd:double"&gt;3289.438908&lt;/D&gt;&lt;D xsi:type="xsd:double"&gt;3364.558345&lt;/D&gt;&lt;D xsi:type="xsd:double"&gt;3239.895069&lt;/D&gt;&lt;D xsi:type="xsd:double"&gt;3076.904211&lt;/D&gt;&lt;D xsi:type="xsd:double"&gt;3002.6955&lt;/D&gt;&lt;D xsi:type="xsd:double"&gt;2946.022205&lt;/D&gt;&lt;D xsi:type="xsd:double"&gt;2931.964193&lt;/D&gt;&lt;D xsi:type="xsd:double"&gt;3030.093073&lt;/D&gt;&lt;D xsi:type="xsd:double"&gt;2965.619836&lt;/D&gt;&lt;D xsi:type="xsd:double"&gt;2939.075723&lt;/D&gt;&lt;D xsi:type="xsd:double"&gt;2998.82999&lt;/D&gt;&lt;D xsi:type="xsd:double"&gt;3017.675344&lt;/D&gt;&lt;D xsi:type="xsd:double"&gt;2966.931861&lt;/D&gt;&lt;D xsi:type="xsd:double"&gt;2919.44177&lt;/D&gt;&lt;D xsi:type="xsd:double"&gt;2746.463629&lt;/D&gt;&lt;D xsi:type="xsd:double"&gt;2704.633537&lt;/D&gt;&lt;D xsi:type="xsd:double"&gt;2552.643003&lt;/D&gt;&lt;D xsi:type="xsd:double"&gt;2536.553097&lt;/D&gt;&lt;D xsi:type="xsd:double"&gt;2482.327782&lt;/D&gt;&lt;D xsi:type="xsd:double"&gt;2432.4746&lt;/D&gt;&lt;D xsi:type="xsd:double"&gt;2390.220118&lt;/D&gt;&lt;D xsi:type="xsd:double"&gt;2259.956329&lt;/D&gt;&lt;D xsi:type="xsd:double"&gt;2074.666&lt;/D&gt;&lt;D xsi:type="xsd:double"&gt;2080.382&lt;/D&gt;&lt;D xsi:type="xsd:double"&gt;2116.624&lt;/D&gt;&lt;D xsi:type="xsd:double"&gt;2182.57&lt;/D&gt;&lt;D xsi:type="xsd:double"&gt;2293.254&lt;/D&gt;&lt;D xsi:type="xsd:double"&gt;2175.475&lt;/D&gt;&lt;D xsi:type="xsd:double"&gt;2025.606&lt;/D&gt;&lt;D xsi:type="xsd:double"&gt;2275.335&lt;/D&gt;&lt;D xsi:type="xsd:double"&gt;2270.613&lt;/D&gt;&lt;D xsi:type="xsd:double"&gt;2479.285&lt;/D&gt;&lt;D xsi:type="xsd:double"&gt;2638.855&lt;/D&gt;&lt;D xsi:type="xsd:double"&gt;2632.752&lt;/D&gt;&lt;D xsi:type="xsd:double"&gt;2729.497&lt;/D&gt;&lt;D xsi:type="xsd:double"&gt;2608.413&lt;/D&gt;&lt;D xsi:type="xsd:double"&gt;2630.77&lt;/D&gt;&lt;D xsi:type="xsd:double"&gt;2712.658&lt;/D&gt;&lt;D xsi:type="xsd:double"&gt;2695.385&lt;/D&gt;&lt;D xsi:type="xsd:double"&gt;2544.471&lt;/D&gt;&lt;D xsi:type="xsd:double"&gt;2496.401&lt;/D&gt;&lt;D xsi:type="xsd:double"&gt;2737.233&lt;/D&gt;&lt;D xsi:type="xsd:double"&gt;2874.656&lt;/D&gt;&lt;D xsi:type="xsd:double"&gt;2913.016&lt;/D&gt;&lt;D xsi:type="xsd:double"&gt;3006.796&lt;/D&gt;&lt;D xsi:type="xsd:double"&gt;3044.611&lt;/D&gt;&lt;D xsi:type="xsd:double"&gt;2834.397&lt;/D&gt;&lt;D xsi:type="xsd:double"&gt;3033.04&lt;/D&gt;&lt;D xsi:type="xsd:double"&gt;3312.626&lt;/D&gt;&lt;D xsi:type="xsd:double"&gt;3249.51293945312&lt;/D&gt;&lt;D xsi:type="xsd:double"&gt;3197.337890625&lt;/D&gt;&lt;D xsi:type="xsd:double"&gt;3403.5380859375&lt;/D&gt;&lt;D xsi:type="xsd:double"&gt;3461.09497070312&lt;/D&gt;&lt;D xsi:type="xsd:double"&gt;3655.01196289062&lt;/D&gt;&lt;D xsi:type="xsd:double"&gt;3539.43310546875&lt;/D&gt;&lt;D xsi:type="xsd:double"&gt;3641.498046875&lt;/D&gt;&lt;D xsi:type="xsd:double"&gt;3522.40405273438&lt;/D&gt;&lt;D xsi:type="xsd:double"&gt;3613.44091796875&lt;/D&gt;&lt;D xsi:type="xsd:double"&gt;3772.52197265625&lt;/D&gt;&lt;D xsi:type="xsd:double"&gt;3528.21704101562&lt;/D&gt;&lt;D xsi:type="xsd:double"&gt;3518.2900390625&lt;/D&gt;&lt;/FQL&gt;&lt;FQL&gt;&lt;Q&gt;990100^JULIAN(MSCI_TOTAL_RET_IDX(2/27/2026,1/31/2000,M,USD,"GROSS").DATES)&lt;/Q&gt;&lt;R&gt;314&lt;/R&gt;&lt;C&gt;1&lt;/C&gt;&lt;D xsi:type="xsd:long"&gt;46080&lt;/D&gt;&lt;D xsi:type="xsd:long"&gt;46052&lt;/D&gt;&lt;D xsi:type="xsd:long"&gt;46022&lt;/D&gt;&lt;D xsi:type="xsd:long"&gt;45989&lt;/D&gt;&lt;D xsi:type="xsd:long"&gt;45961&lt;/D&gt;&lt;D xsi:type="xsd:long"&gt;45930&lt;/D&gt;&lt;D xsi:type="xsd:long"&gt;45898&lt;/D&gt;&lt;D xsi:type="xsd:long"&gt;45869&lt;/D&gt;&lt;D xsi:type="xsd:long"&gt;45838&lt;/D&gt;&lt;D xsi:type="xsd:long"&gt;45807&lt;/D&gt;&lt;D xsi:type="xsd:long"&gt;45777&lt;/D&gt;&lt;D xsi:type="xsd:long"&gt;45747&lt;/D&gt;&lt;D xsi:type="xsd:long"&gt;45716&lt;/D&gt;&lt;D xsi:type="xsd:long"&gt;45688&lt;/D&gt;&lt;D xsi:type="xsd:long"&gt;45657&lt;/D&gt;&lt;D xsi:type="xsd:long"&gt;45625&lt;/D&gt;&lt;D xsi:type="xsd:long"&gt;45596&lt;/D&gt;&lt;D xsi:type="xsd:long"&gt;45565&lt;/D&gt;&lt;D xsi:type="xsd:long"&gt;45534&lt;/D&gt;&lt;D xsi:type="xsd:long"&gt;45504&lt;/D&gt;&lt;D xsi:type="xsd:long"&gt;45471&lt;/D&gt;&lt;D xsi:type="xsd:long"&gt;45443&lt;/D&gt;&lt;D xsi:type="xsd:long"&gt;45412&lt;/D&gt;&lt;D xsi:type="xsd:long"&gt;45379&lt;/D&gt;&lt;D xsi:type="xsd:long"&gt;45351&lt;/D&gt;&lt;D xsi:type="xsd:long"&gt;45322&lt;/D&gt;&lt;D xsi:type="xsd:long"&gt;45289&lt;/D&gt;&lt;D xsi:type="xsd:long"&gt;45260&lt;/D&gt;&lt;D xsi:type="xsd:long"&gt;45230&lt;/D&gt;&lt;D xsi:type="xsd:long"&gt;45198&lt;/D&gt;&lt;D xsi:type="xsd:long"&gt;45169&lt;/D&gt;&lt;D xsi:type="xsd:long"&gt;45138&lt;/D&gt;&lt;D xsi:type="xsd:long"&gt;45107&lt;/D&gt;&lt;D xsi:type="xsd:long"&gt;45077&lt;/D&gt;&lt;D xsi:type="xsd:long"&gt;45044&lt;/D&gt;&lt;D xsi:type="xsd:long"&gt;45016&lt;/D&gt;&lt;D xsi:type="xsd:long"&gt;44985&lt;/D&gt;&lt;D xsi:type="xsd:long"&gt;44957&lt;/D&gt;&lt;D xsi:type="xsd:long"&gt;44925&lt;/D&gt;&lt;D xsi:type="xsd:long"&gt;44895&lt;/D&gt;&lt;D xsi:type="xsd:long"&gt;44865&lt;/D&gt;&lt;D xsi:type="xsd:long"&gt;44834&lt;/D&gt;&lt;D xsi:type="xsd:long"&gt;44804&lt;/D&gt;&lt;D xsi:type="xsd:long"&gt;44771&lt;/D&gt;&lt;D xsi:type="xsd:long"&gt;44742&lt;/D&gt;&lt;D xsi:type="xsd:long"&gt;44712&lt;/D&gt;&lt;D xsi:type="xsd:long"&gt;44680&lt;/D&gt;&lt;D xsi:type="xsd:long"&gt;44651&lt;/D&gt;&lt;D xsi:type="xsd:long"&gt;44620&lt;/D&gt;&lt;D xsi:type="xsd:long"&gt;44592&lt;/D&gt;&lt;D xsi:type="xsd:long"&gt;44561&lt;/D&gt;&lt;D xsi:type="xsd:long"&gt;44530&lt;/D&gt;&lt;D xsi:type="xsd:long"&gt;44498&lt;/D&gt;&lt;D xsi:type="xsd:long"&gt;44469&lt;/D&gt;&lt;D xsi:type="xsd:long"&gt;44439&lt;/D&gt;&lt;D xsi:type="xsd:long"&gt;44407&lt;/D&gt;&lt;D xsi:type="xsd:long"&gt;44377&lt;/D&gt;&lt;D xsi:type="xsd:long"&gt;44344&lt;/D&gt;&lt;D xsi:type="xsd:long"&gt;44316&lt;/D&gt;&lt;D xsi:type="xsd:long"&gt;44286&lt;/D&gt;&lt;D xsi:type="xsd:long"&gt;44253&lt;/D&gt;&lt;D xsi:type="xsd:long"&gt;44225&lt;/D&gt;&lt;D xsi:type="xsd:long"&gt;44196&lt;/D&gt;&lt;D xsi:type="xsd:long"&gt;44165&lt;/D&gt;&lt;D xsi:type="xsd:long"&gt;44134&lt;/D&gt;&lt;D xsi:type="xsd:long"&gt;44104&lt;/D&gt;&lt;D xsi:type="xsd:long"&gt;44074&lt;/D&gt;&lt;D xsi:type="xsd:long"&gt;44043&lt;/D&gt;&lt;D xsi:type="xsd:long"&gt;44012&lt;/D&gt;&lt;D xsi:type="xsd:long"&gt;43980&lt;/D&gt;&lt;D xsi:type="xsd:long"&gt;43951&lt;/D&gt;&lt;D xsi:type="xsd:long"&gt;43921&lt;/D&gt;&lt;D xsi:type="xsd:long"&gt;43889&lt;/D&gt;&lt;D xsi:type="xsd:long"&gt;43861&lt;/D&gt;&lt;D xsi:type="xsd:long"&gt;43830&lt;/D&gt;&lt;D xsi:type="xsd:long"&gt;43798&lt;/D&gt;&lt;D xsi:type="xsd:long"&gt;43769&lt;/D&gt;&lt;D xsi:type="xsd:long"&gt;43738&lt;/D&gt;&lt;D xsi:type="xsd:long"&gt;43707&lt;/D&gt;&lt;D xsi:type="xsd:long"&gt;43677&lt;/D&gt;&lt;D xsi:type="xsd:long"&gt;43644&lt;/D&gt;&lt;D xsi:type="xsd:long"&gt;43616&lt;/D&gt;&lt;D xsi:type="xsd:long"&gt;43585&lt;/D&gt;&lt;D xsi:type="xsd:long"&gt;43553&lt;/D&gt;&lt;D xsi:type="xsd:long"&gt;43524&lt;/D&gt;&lt;D xsi:type="xsd:long"&gt;43496&lt;/D&gt;&lt;D xsi:type="xsd:long"&gt;43465&lt;/D&gt;&lt;D xsi:type="xsd:long"&gt;43434&lt;/D&gt;&lt;D xsi:type="xsd:long"&gt;43404&lt;/D&gt;&lt;D xsi:type="xsd:long"&gt;43371&lt;/D&gt;&lt;D xsi:type="xsd:long"&gt;43343&lt;/D&gt;&lt;D xsi:type="xsd:long"&gt;43312&lt;/D&gt;&lt;D xsi:type="xsd:long"&gt;43280&lt;/D&gt;&lt;D xsi:type="xsd:long"&gt;43251&lt;/D&gt;&lt;D xsi:type="xsd:long"&gt;43220&lt;/D&gt;&lt;D xsi:type="xsd:long"&gt;43188&lt;/D&gt;&lt;D xsi:type="xsd:long"&gt;43159&lt;/D&gt;&lt;D xsi:type="xsd:long"&gt;43131&lt;/D&gt;&lt;D xsi:type="xsd:long"&gt;43098&lt;/D&gt;&lt;D xsi:type="xsd:long"&gt;43069&lt;/D&gt;&lt;D xsi:type="xsd:long"&gt;43039&lt;/D&gt;&lt;D xsi:type="xsd:long"&gt;43007&lt;/D&gt;&lt;D xsi:type="xsd:long"&gt;42978&lt;/D&gt;&lt;D xsi:type="xsd:long"&gt;42947&lt;/D&gt;&lt;D xsi:type="xsd:long"&gt;42916&lt;/D&gt;&lt;D xsi:type="xsd:long"&gt;42886&lt;/D&gt;&lt;D xsi:type="xsd:long"&gt;42853&lt;/D&gt;&lt;D xsi:type="xsd:long"&gt;42825&lt;/D&gt;&lt;D xsi:type="xsd:long"&gt;42794&lt;/D&gt;&lt;D xsi:type="xsd:long"&gt;42766&lt;/D&gt;&lt;D xsi:type="xsd:long"&gt;42734&lt;/D&gt;&lt;D xsi:type="xsd:long"&gt;42704&lt;/D&gt;&lt;D xsi:type="xsd:long"&gt;42674&lt;/D&gt;&lt;D xsi:type="xsd:long"&gt;42643&lt;/D&gt;&lt;D xsi:type="xsd:long"&gt;42613&lt;/D&gt;&lt;D xsi:type="xsd:long"&gt;42580&lt;/D&gt;&lt;D xsi:type="xsd:long"&gt;42551&lt;/D&gt;&lt;D xsi:type="xsd:long"&gt;42521&lt;/D&gt;&lt;D xsi:type="xsd:long"&gt;42489&lt;/D&gt;&lt;D xsi:type="xsd:long"&gt;42460&lt;/D&gt;&lt;D xsi:type="xsd:long"&gt;42429&lt;/D&gt;&lt;D xsi:type="xsd:long"&gt;42398&lt;/D&gt;&lt;D xsi:type="xsd:long"&gt;42369&lt;/D&gt;&lt;D xsi:type="xsd:long"&gt;42338&lt;/D&gt;&lt;D xsi:type="xsd:long"&gt;42307&lt;/D&gt;&lt;D xsi:type="xsd:long"&gt;42277&lt;/D&gt;&lt;D xsi:type="xsd:long"&gt;42247&lt;/D&gt;&lt;D xsi:type="xsd:long"&gt;42216&lt;/D&gt;&lt;D xsi:type="xsd:long"&gt;42185&lt;/D&gt;&lt;D xsi:type="xsd:long"&gt;42153&lt;/D&gt;&lt;D xsi:type="xsd:long"&gt;42124&lt;/D&gt;&lt;D xsi:type="xsd:long"&gt;42094&lt;/D&gt;&lt;D xsi:type="xsd:long"&gt;42062&lt;/D&gt;&lt;D xsi:type="xsd:long"&gt;42034&lt;/D&gt;&lt;D xsi:type="xsd:long"&gt;42004&lt;/D&gt;&lt;D xsi:type="xsd:long"&gt;41971&lt;/D&gt;&lt;D xsi:type="xsd:long"&gt;41943&lt;/D&gt;&lt;D xsi:type="xsd:long"&gt;41912&lt;/D&gt;&lt;D xsi:type="xsd:long"&gt;41880&lt;/D&gt;&lt;D xsi:type="xsd:long"&gt;41851&lt;/D&gt;&lt;D xsi:type="xsd:long"&gt;41820&lt;/D&gt;&lt;D xsi:type="xsd:long"&gt;41789&lt;/D&gt;&lt;D xsi:type="xsd:long"&gt;41759&lt;/D&gt;&lt;D xsi:type="xsd:long"&gt;41729&lt;/D&gt;&lt;D xsi:type="xsd:long"&gt;41698&lt;/D&gt;&lt;D xsi:type="xsd:long"&gt;41670&lt;/D&gt;&lt;D xsi:type="xsd:long"&gt;41639&lt;/D&gt;&lt;D xsi:type="xsd:long"&gt;41607&lt;/D&gt;&lt;D xsi:type="xsd:long"&gt;41578&lt;/D&gt;&lt;D xsi:type="xsd:long"&gt;41547&lt;/D&gt;&lt;D xsi:type="xsd:long"&gt;41516&lt;/D&gt;&lt;D xsi:type="xsd:long"&gt;41486&lt;/D&gt;&lt;D xsi:type="xsd:long"&gt;41453&lt;/D&gt;&lt;D xsi:type="xsd:long"&gt;41425&lt;/D&gt;&lt;D xsi:type="xsd:long"&gt;41394&lt;/D&gt;&lt;D xsi:type="xsd:long"&gt;41361&lt;/D&gt;&lt;D xsi:type="xsd:long"&gt;41333&lt;/D&gt;&lt;D xsi:type="xsd:long"&gt;41305&lt;/D&gt;&lt;D xsi:type="xsd:long"&gt;41274&lt;/D&gt;&lt;D xsi:type="xsd:long"&gt;41243&lt;/D&gt;&lt;D xsi:type="xsd:long"&gt;41213&lt;/D&gt;&lt;D xsi:type="xsd:long"&gt;41180&lt;/D&gt;&lt;D xsi:type="xsd:long"&gt;41152&lt;/D&gt;&lt;D xsi:type="xsd:long"&gt;41121&lt;/D&gt;&lt;D xsi:type="xsd:long"&gt;41089&lt;/D&gt;&lt;D xsi:type="xsd:long"&gt;41060&lt;/D&gt;&lt;D xsi:type="xsd:long"&gt;41029&lt;/D&gt;&lt;D xsi:type="xsd:long"&gt;40998&lt;/D&gt;&lt;D xsi:type="xsd:long"&gt;40968&lt;/D&gt;&lt;D xsi:type="xsd:long"&gt;40939&lt;/D&gt;&lt;D xsi:type="xsd:long"&gt;40907&lt;/D&gt;&lt;D xsi:type="xsd:long"&gt;40877&lt;/D&gt;&lt;D xsi:type="xsd:long"&gt;40847&lt;/D&gt;&lt;D xsi:type="xsd:long"&gt;40816&lt;/D&gt;&lt;D xsi:type="xsd:long"&gt;40786&lt;/D&gt;&lt;D xsi:type="xsd:long"&gt;40753&lt;/D&gt;&lt;D xsi:type="xsd:long"&gt;40724&lt;/D&gt;&lt;D xsi:type="xsd:long"&gt;40694&lt;/D&gt;&lt;D xsi:type="xsd:long"&gt;40662&lt;/D&gt;&lt;D xsi:type="xsd:long"&gt;40633&lt;/D&gt;&lt;D xsi:type="xsd:long"&gt;40602&lt;/D&gt;&lt;D xsi:type="xsd:long"&gt;40574&lt;/D&gt;&lt;D xsi:type="xsd:long"&gt;40543&lt;/D&gt;&lt;D xsi:type="xsd:long"&gt;40512&lt;/D&gt;&lt;D xsi:type="xsd:long"&gt;40480&lt;/D&gt;&lt;D xsi:type="xsd:long"&gt;40451&lt;/D&gt;&lt;D xsi:type="xsd:long"&gt;40421&lt;/D&gt;&lt;D xsi:type="xsd:long"&gt;40389&lt;/D&gt;&lt;D xsi:type="xsd:long"&gt;40359&lt;/D&gt;&lt;D xsi:type="xsd:long"&gt;40326&lt;/D&gt;&lt;D xsi:type="xsd:long"&gt;40298&lt;/D&gt;&lt;D xsi:type="xsd:long"&gt;40268&lt;/D&gt;&lt;D xsi:type="xsd:long"&gt;40235&lt;/D&gt;&lt;D xsi:type="xsd:long"&gt;40207&lt;/D&gt;&lt;D xsi:type="xsd:long"&gt;40178&lt;/D&gt;&lt;D xsi:type="xsd:long"&gt;40147&lt;/D&gt;&lt;D xsi:type="xsd:long"&gt;40116&lt;/D&gt;&lt;D xsi:type="xsd:long"&gt;40086&lt;/D&gt;&lt;D xsi:type="xsd:long"&gt;40056&lt;/D&gt;&lt;D xsi:type="xsd:long"&gt;40025&lt;/D&gt;&lt;D xsi:type="xsd:long"&gt;39994&lt;/D&gt;&lt;D xsi:type="xsd:long"&gt;39962&lt;/D&gt;&lt;D xsi:type="xsd:long"&gt;39933&lt;/D&gt;&lt;D xsi:type="xsd:long"&gt;39903&lt;/D&gt;&lt;D xsi:type="xsd:long"&gt;39871&lt;/D&gt;&lt;D xsi:type="xsd:long"&gt;39843&lt;/D&gt;&lt;D xsi:type="xsd:long"&gt;39813&lt;/D&gt;&lt;D xsi:type="xsd:long"&gt;39780&lt;/D&gt;&lt;D xsi:type="xsd:long"&gt;39752&lt;/D&gt;&lt;D xsi:type="xsd:long"&gt;39721&lt;/D&gt;&lt;D xsi:type="xsd:long"&gt;39689&lt;/D&gt;&lt;D xsi:type="xsd:long"&gt;39660&lt;/D&gt;&lt;D xsi:type="xsd:long"&gt;39629&lt;/D&gt;&lt;D xsi:type="xsd:long"&gt;39598&lt;/D&gt;&lt;D xsi:type="xsd:long"&gt;39568&lt;/D&gt;&lt;D xsi:type="xsd:long"&gt;39538&lt;/D&gt;&lt;D xsi:type="xsd:long"&gt;39507&lt;/D&gt;&lt;D xsi:type="xsd:long"&gt;39478&lt;/D&gt;&lt;D xsi:type="xsd:long"&gt;39447&lt;/D&gt;&lt;D xsi:type="xsd:long"&gt;39416&lt;/D&gt;&lt;D xsi:type="xsd:long"&gt;39386&lt;/D&gt;&lt;D xsi:type="xsd:long"&gt;39353&lt;/D&gt;&lt;D xsi:type="xsd:long"&gt;39325&lt;/D&gt;&lt;D xsi:type="xsd:long"&gt;39294&lt;/D&gt;&lt;D xsi:type="xsd:long"&gt;39262&lt;/D&gt;&lt;D xsi:type="xsd:long"&gt;39233&lt;/D&gt;&lt;D xsi:type="xsd:long"&gt;39202&lt;/D&gt;&lt;D xsi:type="xsd:long"&gt;39171&lt;/D&gt;&lt;D xsi:type="xsd:long"&gt;39141&lt;/D&gt;&lt;D xsi:type="xsd:long"&gt;39113&lt;/D&gt;&lt;D xsi:type="xsd:long"&gt;39080&lt;/D&gt;&lt;D xsi:type="xsd:long"&gt;39051&lt;/D&gt;&lt;D xsi:type="xsd:long"&gt;39021&lt;/D&gt;&lt;D xsi:type="xsd:long"&gt;38989&lt;/D&gt;&lt;D xsi:type="xsd:long"&gt;38960&lt;/D&gt;&lt;D xsi:type="xsd:long"&gt;38929&lt;/D&gt;&lt;D xsi:type="xsd:long"&gt;38898&lt;/D&gt;&lt;D xsi:type="xsd:long"&gt;38868&lt;/D&gt;&lt;D xsi:type="xsd:long"&gt;38835&lt;/D&gt;&lt;D xsi:type="xsd:long"&gt;38807&lt;/D&gt;&lt;D xsi:type="xsd:long"&gt;38776&lt;/D&gt;&lt;D xsi:type="xsd:long"&gt;38748&lt;/D&gt;&lt;D xsi:type="xsd:long"&gt;38716&lt;/D&gt;&lt;D xsi:type="xsd:long"&gt;38686&lt;/D&gt;&lt;D xsi:type="xsd:long"&gt;38656&lt;/D&gt;&lt;D xsi:type="xsd:long"&gt;38625&lt;/D&gt;&lt;D xsi:type="xsd:long"&gt;38595&lt;/D&gt;&lt;D xsi:type="xsd:long"&gt;38562&lt;/D&gt;&lt;D xsi:type="xsd:long"&gt;38533&lt;/D&gt;&lt;D xsi:type="xsd:long"&gt;38503&lt;/D&gt;&lt;D xsi:type="xsd:long"&gt;38471&lt;/D&gt;&lt;D xsi:type="xsd:long"&gt;38442&lt;/D&gt;&lt;D xsi:type="xsd:long"&gt;38411&lt;/D&gt;&lt;D xsi:type="xsd:long"&gt;38383&lt;/D&gt;&lt;D xsi:type="xsd:long"&gt;38352&lt;/D&gt;&lt;D xsi:type="xsd:long"&gt;38321&lt;/D&gt;&lt;D xsi:type="xsd:long"&gt;38289&lt;/D&gt;&lt;D xsi:type="xsd:long"&gt;38260&lt;/D&gt;&lt;D xsi:type="xsd:long"&gt;38230&lt;/D&gt;&lt;D xsi:type="xsd:long"&gt;38198&lt;/D&gt;&lt;D xsi:type="xsd:long"&gt;38168&lt;/D&gt;&lt;D xsi:type="xsd:long"&gt;38135&lt;/D&gt;&lt;D xsi:type="xsd:long"&gt;38107&lt;/D&gt;&lt;D xsi:type="xsd:long"&gt;38077&lt;/D&gt;&lt;D xsi:type="xsd:long"&gt;38044&lt;/D&gt;&lt;D xsi:type="xsd:long"&gt;38016&lt;/D&gt;&lt;D xsi:type="xsd:long"&gt;37986&lt;/D&gt;&lt;D xsi:type="xsd:long"&gt;37953&lt;/D&gt;&lt;D xsi:type="xsd:long"&gt;37925&lt;/D&gt;&lt;D xsi:type="xsd:long"&gt;37894&lt;/D&gt;&lt;D xsi:type="xsd:long"&gt;37862&lt;/D&gt;&lt;D xsi:type="xsd:long"&gt;37833&lt;/D&gt;&lt;D xsi:type="xsd:long"&gt;37802&lt;/D&gt;&lt;D xsi:type="xsd:long"&gt;37771&lt;/D&gt;&lt;D xsi:type="xsd:long"&gt;37741&lt;/D&gt;&lt;D xsi:type="xsd:long"&gt;37711&lt;/D&gt;&lt;D xsi:type="xsd:long"&gt;37680&lt;/D&gt;&lt;D xsi:type="xsd:long"&gt;37652&lt;/D&gt;&lt;D xsi:type="xsd:long"&gt;37621&lt;/D&gt;&lt;D xsi:type="xsd:long"&gt;37589&lt;/D&gt;&lt;D xsi:type="xsd:long"&gt;37560&lt;/D&gt;&lt;D xsi:type="xsd:long"&gt;37529&lt;/D&gt;&lt;D xsi:type="xsd:long"&gt;37498&lt;/D&gt;&lt;D xsi:type="xsd:long"&gt;37468&lt;/D&gt;&lt;D xsi:type="xsd:long"&gt;37435&lt;/D&gt;&lt;D xsi:type="xsd:long"&gt;37407&lt;/D&gt;&lt;D xsi:type="xsd:long"&gt;37376&lt;/D&gt;&lt;D xsi:type="xsd:long"&gt;37343&lt;/D&gt;&lt;D xsi:type="xsd:long"&gt;37315&lt;/D&gt;&lt;D xsi:type="xsd:long"&gt;37287&lt;/D&gt;&lt;D xsi:type="xsd:long"&gt;37256&lt;/D&gt;&lt;D xsi:type="xsd:long"&gt;37225&lt;/D&gt;&lt;D xsi:type="xsd:long"&gt;37195&lt;/D&gt;&lt;D xsi:type="xsd:long"&gt;37162&lt;/D&gt;&lt;D xsi:type="xsd:long"&gt;37134&lt;/D&gt;&lt;D xsi:type="xsd:long"&gt;37103&lt;/D&gt;&lt;D xsi:type="xsd:long"&gt;37071&lt;/D&gt;&lt;D xsi:type="xsd:long"&gt;37042&lt;/D&gt;&lt;D xsi:type="xsd:long"&gt;37011&lt;/D&gt;&lt;D xsi:type="xsd:long"&gt;36980&lt;/D&gt;&lt;D xsi:type="xsd:long"&gt;36950&lt;/D&gt;&lt;D xsi:type="xsd:long"&gt;36922&lt;/D&gt;&lt;D xsi:type="xsd:long"&gt;36889&lt;/D&gt;&lt;D xsi:type="xsd:long"&gt;36860&lt;/D&gt;&lt;D xsi:type="xsd:long"&gt;36830&lt;/D&gt;&lt;D xsi:type="xsd:long"&gt;36798&lt;/D&gt;&lt;D xsi:type="xsd:long"&gt;36769&lt;/D&gt;&lt;D xsi:type="xsd:long"&gt;36738&lt;/D&gt;&lt;D xsi:type="xsd:long"&gt;36707&lt;/D&gt;&lt;D xsi:type="xsd:long"&gt;36677&lt;/D&gt;&lt;D xsi:type="xsd:long"&gt;36644&lt;/D&gt;&lt;D xsi:type="xsd:long"&gt;36616&lt;/D&gt;&lt;D xsi:type="xsd:long"&gt;36585&lt;/D&gt;&lt;D xsi:type="xsd:long"&gt;36556&lt;/D&gt;&lt;/FQL&gt;&lt;FQL&gt;&lt;Q&gt;991000^MSCI_TOTAL_RET_IDX(2/27/2026,1/31/2000,M,USD,"GROSS")&lt;/Q&gt;&lt;R&gt;314&lt;/R&gt;&lt;C&gt;1&lt;/C&gt;&lt;D xsi:type="xsd:double"&gt;16701.067371&lt;/D&gt;&lt;D xsi:type="xsd:double"&gt;15933.089904&lt;/D&gt;&lt;D xsi:type="xsd:double"&gt;15213.283574&lt;/D&gt;&lt;D xsi:type="xsd:double"&gt;14767.227199&lt;/D&gt;&lt;D xsi:type="xsd:double"&gt;14611.543301&lt;/D&gt;&lt;D xsi:type="xsd:double"&gt;14453.291464&lt;/D&gt;&lt;D xsi:type="xsd:double"&gt;14146.105671&lt;/D&gt;&lt;D xsi:type="xsd:double"&gt;13547.520598&lt;/D&gt;&lt;D xsi:type="xsd:double"&gt;13711.209525&lt;/D&gt;&lt;D xsi:type="xsd:double"&gt;13393.555204&lt;/D&gt;&lt;D xsi:type="xsd:double"&gt;12774.843287&lt;/D&gt;&lt;D xsi:type="xsd:double"&gt;12206.171319&lt;/D&gt;&lt;D xsi:type="xsd:double"&gt;12263.381894&lt;/D&gt;&lt;D xsi:type="xsd:double"&gt;12049.969684&lt;/D&gt;&lt;D xsi:type="xsd:double"&gt;11477.42666&lt;/D&gt;&lt;D xsi:type="xsd:double"&gt;11790.820522&lt;/D&gt;&lt;D xsi:type="xsd:double"&gt;11760.301464&lt;/D&gt;&lt;D xsi:type="xsd:double"&gt;12389.856063&lt;/D&gt;&lt;D xsi:type="xsd:double"&gt;12248.585142&lt;/D&gt;&lt;D xsi:type="xsd:double"&gt;11851.326351&lt;/D&gt;&lt;D xsi:type="xsd:double"&gt;11488.944057&lt;/D&gt;&lt;D xsi:type="xsd:double"&gt;11679.265209&lt;/D&gt;&lt;D xsi:type="xsd:double"&gt;11236.003441&lt;/D&gt;&lt;D xsi:type="xsd:double"&gt;11518.702213&lt;/D&gt;&lt;D xsi:type="xsd:double"&gt;11141.5199&lt;/D&gt;&lt;D xsi:type="xsd:double"&gt;10952.679796&lt;/D&gt;&lt;D xsi:type="xsd:double"&gt;10904.028068&lt;/D&gt;&lt;D xsi:type="xsd:double"&gt;10336.634218&lt;/D&gt;&lt;D xsi:type="xsd:double"&gt;9446.76428&lt;/D&gt;&lt;D xsi:type="xsd:double"&gt;9861.518339&lt;/D&gt;&lt;D xsi:type="xsd:double"&gt;10200.610242&lt;/D&gt;&lt;D xsi:type="xsd:double"&gt;10609.188693&lt;/D&gt;&lt;D xsi:type="xsd:double"&gt;10274.879216&lt;/D&gt;&lt;D xsi:type="xsd:double"&gt;9805.188355&lt;/D&gt;&lt;D xsi:type="xsd:double"&gt;10239.246505&lt;/D&gt;&lt;D xsi:type="xsd:double"&gt;9946.892292&lt;/D&gt;&lt;D xsi:type="xsd:double"&gt;9718.879413&lt;/D&gt;&lt;D xsi:type="xsd:double"&gt;9949.604002&lt;/D&gt;&lt;D xsi:type="xsd:double"&gt;9194.272363&lt;/D&gt;&lt;D xsi:type="xsd:double"&gt;9235.913222&lt;/D&gt;&lt;D xsi:type="xsd:double"&gt;8345.263654&lt;/D&gt;&lt;D xsi:type="xsd:double"&gt;7908.089838&lt;/D&gt;&lt;D xsi:type="xsd:double"&gt;8710.033971&lt;/D&gt;&lt;D xsi:type="xsd:double"&gt;9135.128206&lt;/D&gt;&lt;D xsi:type="xsd:double"&gt;8701.04062&lt;/D&gt;&lt;D xsi:type="xsd:double"&gt;9601.866968&lt;/D&gt;&lt;D xsi:type="xsd:double"&gt;9510.299386&lt;/D&gt;&lt;D xsi:type="xsd:double"&gt;10169.893855&lt;/D&gt;&lt;D xsi:type="xsd:double"&gt;10042.166185&lt;/D&gt;&lt;D xsi:type="xsd:double"&gt;10199.549232&lt;/D&gt;&lt;D xsi:type="xsd:double"&gt;10669.128965&lt;/D&gt;&lt;D xsi:type="xsd:double"&gt;10151.676661&lt;/D&gt;&lt;D xsi:type="xsd:double"&gt;10648.115622&lt;/D&gt;&lt;D xsi:type="xsd:double"&gt;10337.593878&lt;/D&gt;&lt;D xsi:type="xsd:double"&gt;10635.435002&lt;/D&gt;&lt;D xsi:type="xsd:double"&gt;10466.110788&lt;/D&gt;&lt;D xsi:type="xsd:double"&gt;10395.54735&lt;/D&gt;&lt;D xsi:type="xsd:double"&gt;10536.753819&lt;/D&gt;&lt;D xsi:type="xsd:double"&gt;10137.524475&lt;/D&gt;&lt;D xsi:type="xsd:double"&gt;9820.60194&lt;/D&gt;&lt;D xsi:type="xsd:double"&gt;9567.557968&lt;/D&gt;&lt;D xsi:type="xsd:double"&gt;9328.261614&lt;/D&gt;&lt;D xsi:type="xsd:double"&gt;9427.511852&lt;/D&gt;&lt;D xsi:type="xsd:double"&gt;9015.513738&lt;/D&gt;&lt;D xsi:type="xsd:double"&gt;7815.142688&lt;/D&gt;&lt;D xsi:type="xsd:double"&gt;8133.561627&lt;/D&gt;&lt;D xsi:type="xsd:double"&gt;8365.182446&lt;/D&gt;&lt;D xsi:type="xsd:double"&gt;7953.456244&lt;/D&gt;&lt;D xsi:type="xsd:double"&gt;7745.158589&lt;/D&gt;&lt;D xsi:type="xsd:double"&gt;7485.751128&lt;/D&gt;&lt;D xsi:type="xsd:double"&gt;7176.053846&lt;/D&gt;&lt;D xsi:type="xsd:double"&gt;6703.052493&lt;/D&gt;&lt;D xsi:type="xsd:double"&gt;7796.355182&lt;/D&gt;&lt;D xsi:type="xsd:double"&gt;8554.317576&lt;/D&gt;&lt;D xsi:type="xsd:double"&gt;8721.8545&lt;/D&gt;&lt;D xsi:type="xsd:double"&gt;8450.48566&lt;/D&gt;&lt;D xsi:type="xsd:double"&gt;8344.76157&lt;/D&gt;&lt;D xsi:type="xsd:double"&gt;8082.253872&lt;/D&gt;&lt;D xsi:type="xsd:double"&gt;7857.562762&lt;/D&gt;&lt;D xsi:type="xsd:double"&gt;8054.136686&lt;/D&gt;&lt;D xsi:type="xsd:double"&gt;8151.245778&lt;/D&gt;&lt;D xsi:type="xsd:double"&gt;7691.233423&lt;/D&gt;&lt;D xsi:type="xsd:double"&gt;8061.693849&lt;/D&gt;&lt;D xsi:type="xsd:double"&gt;7832.377215&lt;/D&gt;&lt;D xsi:type="xsd:double"&gt;7784.376562&lt;/D&gt;&lt;D xsi:type="xsd:double"&gt;7588.234763&lt;/D&gt;&lt;D xsi:type="xsd:double"&gt;7081.511044&lt;/D&gt;&lt;D xsi:type="xsd:double"&gt;7465.352073&lt;/D&gt;&lt;D xsi:type="xsd:double"&gt;7470.70975&lt;/D&gt;&lt;D xsi:type="xsd:double"&gt;8114.5423&lt;/D&gt;&lt;D xsi:type="xsd:double"&gt;8047.970475&lt;/D&gt;&lt;D xsi:type="xsd:double"&gt;8201.721465&lt;/D&gt;&lt;D xsi:type="xsd:double"&gt;8004.185798&lt;/D&gt;&lt;D xsi:type="xsd:double"&gt;8090.161282&lt;/D&gt;&lt;D xsi:type="xsd:double"&gt;8235.786279&lt;/D&gt;&lt;D xsi:type="xsd:double"&gt;8030.014774&lt;/D&gt;&lt;D xsi:type="xsd:double"&gt;8176.352908&lt;/D&gt;&lt;D xsi:type="xsd:double"&gt;8582.593216&lt;/D&gt;&lt;D xsi:type="xsd:double"&gt;8199.753511&lt;/D&gt;&lt;D xsi:type="xsd:double"&gt;8053.082266&lt;/D&gt;&lt;D xsi:type="xsd:double"&gt;7971.114825&lt;/D&gt;&lt;D xsi:type="xsd:double"&gt;7862.673163&lt;/D&gt;&lt;D xsi:type="xsd:double"&gt;7660.757236&lt;/D&gt;&lt;D xsi:type="xsd:double"&gt;7661.199122&lt;/D&gt;&lt;D xsi:type="xsd:double"&gt;7439.067851&lt;/D&gt;&lt;D xsi:type="xsd:double"&gt;7429.640265&lt;/D&gt;&lt;D xsi:type="xsd:double"&gt;7180.957703&lt;/D&gt;&lt;D xsi:type="xsd:double"&gt;7026.518114&lt;/D&gt;&lt;D xsi:type="xsd:double"&gt;6845.08339&lt;/D&gt;&lt;D xsi:type="xsd:double"&gt;6765.853386&lt;/D&gt;&lt;D xsi:type="xsd:double"&gt;6569.658834&lt;/D&gt;&lt;D xsi:type="xsd:double"&gt;6360.410566&lt;/D&gt;&lt;D xsi:type="xsd:double"&gt;6463.01722&lt;/D&gt;&lt;D xsi:type="xsd:double"&gt;6590.369166&lt;/D&gt;&lt;D xsi:type="xsd:double"&gt;6508.001151&lt;/D&gt;&lt;D xsi:type="xsd:double"&gt;6501.001846&lt;/D&gt;&lt;D xsi:type="xsd:double"&gt;6195.441581&lt;/D&gt;&lt;D xsi:type="xsd:double"&gt;6386.667596&lt;/D&gt;&lt;D xsi:type="xsd:double"&gt;6452.012168&lt;/D&gt;&lt;D xsi:type="xsd:double"&gt;6244.529508&lt;/D&gt;&lt;D xsi:type="xsd:double"&gt;5842.783689&lt;/D&gt;&lt;D xsi:type="xsd:double"&gt;5923.429972&lt;/D&gt;&lt;D xsi:type="xsd:double"&gt;6360.371545&lt;/D&gt;&lt;D xsi:type="xsd:double"&gt;6475.021313&lt;/D&gt;&lt;D xsi:type="xsd:double"&gt;6578.748183&lt;/D&gt;&lt;D xsi:type="xsd:double"&gt;6117.715934&lt;/D&gt;&lt;D xsi:type="xsd:double"&gt;6440.359004&lt;/D&gt;&lt;D xsi:type="xsd:double"&gt;6945.379166&lt;/D&gt;&lt;D xsi:type="xsd:double"&gt;6836.302186&lt;/D&gt;&lt;D xsi:type="xsd:double"&gt;7034.0408</t>
        </r>
      </text>
    </comment>
    <comment ref="A79" authorId="0" shapeId="0">
      <text>
        <r>
          <rPr>
            <b/>
            <sz val="9"/>
            <color indexed="81"/>
            <rFont val="Tahoma"/>
            <family val="2"/>
          </rPr>
          <t>27&lt;/D&gt;&lt;D xsi:type="xsd:double"&gt;7087.92328&lt;/D&gt;&lt;D xsi:type="xsd:double"&gt;6788.596137&lt;/D&gt;&lt;D xsi:type="xsd:double"&gt;6897.702901&lt;/D&gt;&lt;D xsi:type="xsd:double"&gt;6508.011661&lt;/D&gt;&lt;D xsi:type="xsd:double"&gt;6530.231319&lt;/D&gt;&lt;D xsi:type="xsd:double"&gt;6752.684473&lt;/D&gt;&lt;D xsi:type="xsd:double"&gt;6669.705248&lt;/D&gt;&lt;D xsi:type="xsd:double"&gt;6776.815&lt;/D&gt;&lt;D xsi:type="xsd:double"&gt;7064.398259&lt;/D&gt;&lt;D xsi:type="xsd:double"&gt;7057.954394&lt;/D&gt;&lt;D xsi:type="xsd:double"&gt;7185.311171&lt;/D&gt;&lt;D xsi:type="xsd:double"&gt;7082.098853&lt;/D&gt;&lt;D xsi:type="xsd:double"&gt;6965.824224&lt;/D&gt;&lt;D xsi:type="xsd:double"&gt;6852.105498&lt;/D&gt;&lt;D xsi:type="xsd:double"&gt;6878.017625&lt;/D&gt;&lt;D xsi:type="xsd:double"&gt;6520.383295&lt;/D&gt;&lt;D xsi:type="xsd:double"&gt;6793.677755&lt;/D&gt;&lt;D xsi:type="xsd:double"&gt;6691.518495&lt;/D&gt;&lt;D xsi:type="xsd:double"&gt;6649.45101&lt;/D&gt;&lt;D xsi:type="xsd:double"&gt;6433.148772&lt;/D&gt;&lt;D xsi:type="xsd:double"&gt;6006.955727&lt;/D&gt;&lt;D xsi:type="xsd:double"&gt;6084.446303&lt;/D&gt;&lt;D xsi:type="xsd:double"&gt;5776.40024&lt;/D&gt;&lt;D xsi:type="xsd:double"&gt;5999.376688&lt;/D&gt;&lt;D xsi:type="xsd:double"&gt;6130.2915&lt;/D&gt;&lt;D xsi:type="xsd:double"&gt;5857.626769&lt;/D&gt;&lt;D xsi:type="xsd:double"&gt;5807.385013&lt;/D&gt;&lt;D xsi:type="xsd:double"&gt;5864.243818&lt;/D&gt;&lt;D xsi:type="xsd:double"&gt;5588.159002&lt;/D&gt;&lt;D xsi:type="xsd:double"&gt;5423.092406&lt;/D&gt;&lt;D xsi:type="xsd:double"&gt;5310.643013&lt;/D&gt;&lt;D xsi:type="xsd:double"&gt;5273.008792&lt;/D&gt;&lt;D xsi:type="xsd:double"&gt;5115.64702&lt;/D&gt;&lt;D xsi:type="xsd:double"&gt;4972.992345&lt;/D&gt;&lt;D xsi:type="xsd:double"&gt;4911.015849&lt;/D&gt;&lt;D xsi:type="xsd:double"&gt;4607.110879&lt;/D&gt;&lt;D xsi:type="xsd:double"&gt;5192.899448&lt;/D&gt;&lt;D xsi:type="xsd:double"&gt;5276.714699&lt;/D&gt;&lt;D xsi:type="xsd:double"&gt;5312.689518&lt;/D&gt;&lt;D xsi:type="xsd:double"&gt;5034.338746&lt;/D&gt;&lt;D xsi:type="xsd:double"&gt;4775.427448&lt;/D&gt;&lt;D xsi:type="xsd:double"&gt;4827.122369&lt;/D&gt;&lt;D xsi:type="xsd:double"&gt;5059.509812&lt;/D&gt;&lt;D xsi:type="xsd:double"&gt;4610.632253&lt;/D&gt;&lt;D xsi:type="xsd:double"&gt;5123.287259&lt;/D&gt;&lt;D xsi:type="xsd:double"&gt;5595.553784&lt;/D&gt;&lt;D xsi:type="xsd:double"&gt;5688.234246&lt;/D&gt;&lt;D xsi:type="xsd:double"&gt;5768.683575&lt;/D&gt;&lt;D xsi:type="xsd:double"&gt;5936.565687&lt;/D&gt;&lt;D xsi:type="xsd:double"&gt;5624.955849&lt;/D&gt;&lt;D xsi:type="xsd:double"&gt;5737.196624&lt;/D&gt;&lt;D xsi:type="xsd:double"&gt;5530.804574&lt;/D&gt;&lt;D xsi:type="xsd:double"&gt;5413.299545&lt;/D&gt;&lt;D xsi:type="xsd:double"&gt;5009.170368&lt;/D&gt;&lt;D xsi:type="xsd:double"&gt;5229.201063&lt;/D&gt;&lt;D xsi:type="xsd:double"&gt;5048.828501&lt;/D&gt;&lt;D xsi:type="xsd:double"&gt;4605.777257&lt;/D&gt;&lt;D xsi:type="xsd:double"&gt;4746.884121&lt;/D&gt;&lt;D xsi:type="xsd:double"&gt;4344.670626&lt;/D&gt;&lt;D xsi:type="xsd:double"&gt;4410.871454&lt;/D&gt;&lt;D xsi:type="xsd:double"&gt;4946.649014&lt;/D&gt;&lt;D xsi:type="xsd:double"&gt;5017.442952&lt;/D&gt;&lt;D xsi:type="xsd:double"&gt;4711.157293&lt;/D&gt;&lt;D xsi:type="xsd:double"&gt;4715.322807&lt;/D&gt;&lt;D xsi:type="xsd:double"&gt;4946.694782&lt;/D&gt;&lt;D xsi:type="xsd:double"&gt;4868.203492&lt;/D&gt;&lt;D xsi:type="xsd:double"&gt;4749.385496&lt;/D&gt;&lt;D xsi:type="xsd:double"&gt;4826.44516&lt;/D&gt;&lt;D xsi:type="xsd:double"&gt;4634.182896&lt;/D&gt;&lt;D xsi:type="xsd:double"&gt;4421.472467&lt;/D&gt;&lt;D xsi:type="xsd:double"&gt;4041.317219&lt;/D&gt;&lt;D xsi:type="xsd:double"&gt;4082.273037&lt;/D&gt;&lt;D xsi:type="xsd:double"&gt;3618.426093&lt;/D&gt;&lt;D xsi:type="xsd:double"&gt;3200.811555&lt;/D&gt;&lt;D xsi:type="xsd:double"&gt;3001.416418&lt;/D&gt;&lt;D xsi:type="xsd:double"&gt;3338.199955&lt;/D&gt;&lt;D xsi:type="xsd:double"&gt;3680.935658&lt;/D&gt;&lt;D xsi:type="xsd:double"&gt;3496.035977&lt;/D&gt;&lt;D xsi:type="xsd:double"&gt;3694.615133&lt;/D&gt;&lt;D xsi:type="xsd:double"&gt;4664.494188&lt;/D&gt;&lt;D xsi:type="xsd:double"&gt;5449.331451&lt;/D&gt;&lt;D xsi:type="xsd:double"&gt;5666.898413&lt;/D&gt;&lt;D xsi:type="xsd:double"&gt;5875.32304&lt;/D&gt;&lt;D xsi:type="xsd:double"&gt;6369.062597&lt;/D&gt;&lt;D xsi:type="xsd:double"&gt;6262.853882&lt;/D&gt;&lt;D xsi:type="xsd:double"&gt;5926.246909&lt;/D&gt;&lt;D xsi:type="xsd:double"&gt;6009.069161&lt;/D&gt;&lt;D xsi:type="xsd:double"&gt;5900.264581&lt;/D&gt;&lt;D xsi:type="xsd:double"&gt;6484.102582&lt;/D&gt;&lt;D xsi:type="xsd:double"&gt;6607.651391&lt;/D&gt;&lt;D xsi:type="xsd:double"&gt;6874.642384&lt;/D&gt;&lt;D xsi:type="xsd:double"&gt;6587.429264&lt;/D&gt;&lt;D xsi:type="xsd:double"&gt;6231.998382&lt;/D&gt;&lt;D xsi:type="xsd:double"&gt;6321.879825&lt;/D&gt;&lt;D xsi:type="xsd:double"&gt;6409.730417&lt;/D&gt;&lt;D xsi:type="xsd:double"&gt;6401.133812&lt;/D&gt;&lt;D xsi:type="xsd:double"&gt;6254.256003&lt;/D&gt;&lt;D xsi:type="xsd:double"&gt;5977.125225&lt;/D&gt;&lt;D xsi:type="xsd:double"&gt;5825.079168&lt;/D&gt;&lt;D xsi:type="xsd:double"&gt;5777.933146&lt;/D&gt;&lt;D xsi:type="xsd:double"&gt;5742.361798&lt;/D&gt;&lt;D xsi:type="xsd:double"&gt;5581.778448&lt;/D&gt;&lt;D xsi:type="xsd:double"&gt;5418.78571&lt;/D&gt;&lt;D xsi:type="xsd:double"&gt;5212.274468&lt;/D&gt;&lt;D xsi:type="xsd:double"&gt;5215.354358&lt;/D&gt;&lt;D xsi:type="xsd:double"&gt;5069.785607&lt;/D&gt;&lt;D xsi:type="xsd:double"&gt;5022.084783&lt;/D&gt;&lt;D xsi:type="xsd:double"&gt;5026.328694&lt;/D&gt;&lt;D xsi:type="xsd:double"&gt;5218.604313&lt;/D&gt;&lt;D xsi:type="xsd:double"&gt;4977.125082&lt;/D&gt;&lt;D xsi:type="xsd:double"&gt;4821.851514&lt;/D&gt;&lt;D xsi:type="xsd:double"&gt;4837.255776&lt;/D&gt;&lt;D xsi:type="xsd:double"&gt;4549.174115&lt;/D&gt;&lt;D xsi:type="xsd:double"&gt;4347.199384&lt;/D&gt;&lt;D xsi:type="xsd:double"&gt;4233.869131&lt;/D&gt;&lt;D xsi:type="xsd:double"&gt;4374.90558&lt;/D&gt;&lt;D xsi:type="xsd:double"&gt;4183.099709&lt;/D&gt;&lt;D xsi:type="xsd:double"&gt;4069.531303&lt;/D&gt;&lt;D xsi:type="xsd:double"&gt;3941.948575&lt;/D&gt;&lt;D xsi:type="xsd:double"&gt;3876.976552&lt;/D&gt;&lt;D xsi:type="xsd:double"&gt;3866.028394&lt;/D&gt;&lt;D xsi:type="xsd:double"&gt;3962.824227&lt;/D&gt;&lt;D xsi:type="xsd:double"&gt;4053.245221&lt;/D&gt;&lt;D xsi:type="xsd:double"&gt;3879.731127&lt;/D&gt;&lt;D xsi:type="xsd:double"&gt;3957.318927&lt;/D&gt;&lt;D xsi:type="xsd:double"&gt;3796.596472&lt;/D&gt;&lt;D xsi:type="xsd:double"&gt;3558.888006&lt;/D&gt;&lt;D xsi:type="xsd:double"&gt;3435.178167&lt;/D&gt;&lt;D xsi:type="xsd:double"&gt;3337.352555&lt;/D&gt;&lt;D xsi:type="xsd:double"&gt;3322.73847&lt;/D&gt;&lt;D xsi:type="xsd:double"&gt;3426.734045&lt;/D&gt;&lt;D xsi:type="xsd:double"&gt;3342.351553&lt;/D&gt;&lt;D xsi:type="xsd:double"&gt;3329.345298&lt;/D&gt;&lt;D xsi:type="xsd:double"&gt;3415.986301&lt;/D&gt;&lt;D xsi:type="xsd:double"&gt;3397.635726&lt;/D&gt;&lt;D xsi:type="xsd:double"&gt;3320.668446&lt;/D&gt;&lt;D xsi:type="xsd:double"&gt;3274.785355&lt;/D&gt;&lt;D xsi:type="xsd:double"&gt;3041.350975&lt;/D&gt;&lt;D xsi:type="xsd:double"&gt;2973.481936&lt;/D&gt;&lt;D xsi:type="xsd:double"&gt;2798.045615&lt;/D&gt;&lt;D xsi:type="xsd:double"&gt;2715.991085&lt;/D&gt;&lt;D xsi:type="xsd:double"&gt;2647.222096&lt;/D&gt;&lt;D xsi:type="xsd:double"&gt;2587.463736&lt;/D&gt;&lt;D xsi:type="xsd:double"&gt;2524.65735&lt;/D&gt;&lt;D xsi:type="xsd:double"&gt;2375.199176&lt;/D&gt;&lt;D xsi:type="xsd:double"&gt;2165.057&lt;/D&gt;&lt;D xsi:type="xsd:double"&gt;2205.937&lt;/D&gt;&lt;D xsi:type="xsd:double"&gt;2250.036&lt;/D&gt;&lt;D xsi:type="xsd:double"&gt;2338.944&lt;/D&gt;&lt;D xsi:type="xsd:double"&gt;2416.817&lt;/D&gt;&lt;D xsi:type="xsd:double"&gt;2310.137&lt;/D&gt;&lt;D xsi:type="xsd:double"&gt;2194.654&lt;/D&gt;&lt;D xsi:type="xsd:double"&gt;2454.313&lt;/D&gt;&lt;D xsi:type="xsd:double"&gt;2457.531&lt;/D&gt;&lt;D xsi:type="xsd:double"&gt;2728.544&lt;/D&gt;&lt;D xsi:type="xsd:double"&gt;2843.113&lt;/D&gt;&lt;D xsi:type="xsd:double"&gt;2803.924&lt;/D&gt;&lt;D xsi:type="xsd:double"&gt;2798.021&lt;/D&gt;&lt;D xsi:type="xsd:double"&gt;2643.953&lt;/D&gt;&lt;D xsi:type="xsd:double"&gt;2627.768&lt;/D&gt;&lt;D xsi:type="xsd:double"&gt;2768.343&lt;/D&gt;&lt;D xsi:type="xsd:double"&gt;2750.586&lt;/D&gt;&lt;D xsi:type="xsd:double"&gt;2646.364&lt;/D&gt;&lt;D xsi:type="xsd:double"&gt;2583.163&lt;/D&gt;&lt;D xsi:type="xsd:double"&gt;2872.38&lt;/D&gt;&lt;D xsi:type="xsd:double"&gt;2950.507&lt;/D&gt;&lt;D xsi:type="xsd:double"&gt;3002.99&lt;/D&gt;&lt;D xsi:type="xsd:double"&gt;3129.42&lt;/D&gt;&lt;D xsi:type="xsd:double"&gt;3233.347&lt;/D&gt;&lt;D xsi:type="xsd:double"&gt;3021.272&lt;/D&gt;&lt;D xsi:type="xsd:double"&gt;3239.462&lt;/D&gt;&lt;D xsi:type="xsd:double"&gt;3517.78&lt;/D&gt;&lt;D xsi:type="xsd:double"&gt;3511.13891601562&lt;/D&gt;&lt;D xsi:type="xsd:double"&gt;3391.59912109375&lt;/D&gt;&lt;D xsi:type="xsd:double"&gt;3533.19702148438&lt;/D&gt;&lt;D xsi:type="xsd:double"&gt;3631.43896484375&lt;/D&gt;&lt;D xsi:type="xsd:double"&gt;3829.05200195312&lt;/D&gt;&lt;D xsi:type="xsd:double"&gt;3778.92407226562&lt;/D&gt;&lt;D xsi:type="xsd:double"&gt;3928.31689453125&lt;/D&gt;&lt;D xsi:type="xsd:double"&gt;3764.72192382812&lt;/D&gt;&lt;D xsi:type="xsd:double"&gt;3857.42309570312&lt;/D&gt;&lt;D xsi:type="xsd:double"&gt;4067.66796875&lt;/D&gt;&lt;D xsi:type="xsd:double"&gt;3906.56591796875&lt;/D&gt;&lt;D xsi:type="xsd:double"&gt;3798.15991210938&lt;/D&gt;&lt;/FQL&gt;&lt;FQL&gt;&lt;Q&gt;991000^JULIAN(MSCI_TOTAL_RET_IDX(2/27/2026,1/31/2000,M,USD,"GROSS").DATES)&lt;/Q&gt;&lt;R&gt;314&lt;/R&gt;&lt;C&gt;1&lt;/C&gt;&lt;D xsi:type="xsd:long"&gt;46080&lt;/D&gt;&lt;D xsi:type="xsd:long"&gt;46052&lt;/D&gt;&lt;D xsi:type="xsd:long"&gt;46022&lt;/D&gt;&lt;D xsi:type="xsd:long"&gt;45989&lt;/D&gt;&lt;D xsi:type="xsd:long"&gt;45961&lt;/D&gt;&lt;D xsi:type="xsd:long"&gt;45930&lt;/D&gt;&lt;D xsi:type="xsd:long"&gt;45898&lt;/D&gt;&lt;D xsi:type="xsd:long"&gt;45869&lt;/D&gt;&lt;D xsi:type="xsd:long"&gt;45838&lt;/D&gt;&lt;D xsi:type="xsd:long"&gt;45807&lt;/D&gt;&lt;D xsi:type="xsd:long"&gt;45777&lt;/D&gt;&lt;D xsi:type="xsd:long"&gt;45747&lt;/D&gt;&lt;D xsi:type="xsd:long"&gt;45716&lt;/D&gt;&lt;D xsi:type="xsd:long"&gt;45688&lt;/D&gt;&lt;D xsi:type="xsd:long"&gt;45657&lt;/D&gt;&lt;D xsi:type="xsd:long"&gt;45625&lt;/D&gt;&lt;D xsi:type="xsd:long"&gt;45596&lt;/D&gt;&lt;D xsi:type="xsd:long"&gt;45565&lt;/D&gt;&lt;D xsi:type="xsd:long"&gt;45534&lt;/D&gt;&lt;D xsi:type="xsd:long"&gt;45504&lt;/D&gt;&lt;D xsi:type="xsd:long"&gt;45471&lt;/D&gt;&lt;D xsi:type="xsd:long"&gt;45443&lt;/D&gt;&lt;D xsi:type="xsd:long"&gt;45412&lt;/D&gt;&lt;D xsi:type="xsd:long"&gt;45379&lt;/D&gt;&lt;D xsi:type="xsd:long"&gt;45351&lt;/D&gt;&lt;D xsi:type="xsd:long"&gt;45322&lt;/D&gt;&lt;D xsi:type="xsd:long"&gt;45289&lt;/D&gt;&lt;D xsi:type="xsd:long"&gt;45260&lt;/D&gt;&lt;D xsi:type="xsd:long"&gt;45230&lt;/D&gt;&lt;D xsi:type="xsd:long"&gt;45198&lt;/D&gt;&lt;D xsi:type="xsd:long"&gt;45169&lt;/D&gt;&lt;D xsi:type="xsd:long"&gt;45138&lt;/D&gt;&lt;D xsi:type="xsd:long"&gt;45107&lt;/D&gt;&lt;D xsi:type="xsd:long"&gt;45077&lt;/D&gt;&lt;D xsi:type="xsd:long"&gt;45044&lt;/D&gt;&lt;D xsi:type="xsd:long"&gt;45016&lt;/D&gt;&lt;D xsi:type="xsd:long"&gt;44985&lt;/D&gt;&lt;D xsi:type="xsd:long"&gt;44957&lt;/D&gt;&lt;D xsi:type="xsd:long"&gt;44925&lt;/D&gt;&lt;D xsi:type="xsd:long"&gt;44895&lt;/D&gt;&lt;D xsi:type="xsd:long"&gt;44865&lt;/D&gt;&lt;D xsi:type="xsd:long"&gt;44834&lt;/D&gt;&lt;D xsi:type="xsd:long"&gt;44804&lt;/D&gt;&lt;D xsi:type="xsd:long"&gt;44771&lt;/D&gt;&lt;D xsi:type="xsd:long"&gt;44742&lt;/D&gt;&lt;D xsi:type="xsd:long"&gt;44712&lt;/D&gt;&lt;D xsi:type="xsd:long"&gt;44680&lt;/D&gt;&lt;D xsi:type="xsd:long"&gt;44651&lt;/D&gt;&lt;D xsi:type="xsd:long"&gt;44620&lt;/D&gt;&lt;D xsi:type="xsd:long"&gt;44592&lt;/D&gt;&lt;D xsi:type="xsd:long"&gt;44561&lt;/D&gt;&lt;D xsi:type="xsd:long"&gt;44530&lt;/D&gt;&lt;D xsi:type="xsd:long"&gt;44498&lt;/D&gt;&lt;D xsi:type="xsd:long"&gt;44469&lt;/D&gt;&lt;D xsi:type="xsd:long"&gt;44439&lt;/D&gt;&lt;D xsi:type="xsd:long"&gt;44407&lt;/D&gt;&lt;D xsi:type="xsd:long"&gt;44377&lt;/D&gt;&lt;D xsi:type="xsd:long"&gt;44344&lt;/D&gt;&lt;D xsi:type="xsd:long"&gt;44316&lt;/D&gt;&lt;D xsi:type="xsd:long"&gt;44286&lt;/D&gt;&lt;D xsi:type="xsd:long"&gt;44253&lt;/D&gt;&lt;D xsi:type="xsd:long"&gt;44225&lt;/D&gt;&lt;D xsi:type="xsd:long"&gt;44196&lt;/D&gt;&lt;D xsi:type="xsd:long"&gt;44165&lt;/D&gt;&lt;D xsi:type="xsd:long"&gt;44134&lt;/D&gt;&lt;D xsi:type="xsd:long"&gt;44104&lt;/D&gt;&lt;D xsi:type="xsd:long"&gt;44074&lt;/D&gt;&lt;D xsi:type="xsd:long"&gt;44043&lt;/D&gt;&lt;D xsi:type="xsd:long"&gt;44012&lt;/D&gt;&lt;D xsi:type="xsd:long"&gt;43980&lt;/D&gt;&lt;D xsi:type="xsd:long"&gt;43951&lt;/D&gt;&lt;D xsi:type="xsd:long"&gt;43921&lt;/D&gt;&lt;D xsi:type="xsd:long"&gt;43889&lt;/D&gt;&lt;D xsi:type="xsd:long"&gt;43861&lt;/D&gt;&lt;D xsi:type="xsd:long"&gt;43830&lt;/D&gt;&lt;D xsi:type="xsd:long"&gt;43798&lt;/D&gt;&lt;D xsi:type="xsd:long"&gt;43769&lt;/D&gt;&lt;D xsi:type="xsd:long"&gt;43738&lt;/D&gt;&lt;D xsi:type="xsd:long"&gt;43707&lt;/D&gt;&lt;D xsi:type="xsd:long"&gt;43677&lt;/D&gt;&lt;D xsi:type="xsd:long"&gt;43644&lt;/D&gt;&lt;D xsi:type="xsd:long"&gt;43616&lt;/D&gt;&lt;D xsi:type="xsd:long"&gt;43585&lt;/D&gt;&lt;D xsi:type="xsd:long"&gt;43553&lt;/D&gt;&lt;D xsi:type="xsd:long"&gt;43524&lt;/D&gt;&lt;D xsi:type="xsd:long"&gt;43496&lt;/D&gt;&lt;D xsi:type="xsd:long"&gt;43465&lt;/D&gt;&lt;D xsi:type="xsd:long"&gt;43434&lt;/D&gt;&lt;D xsi:type="xsd:long"&gt;43404&lt;/D&gt;&lt;D xsi:type="xsd:long"&gt;43371&lt;/D&gt;&lt;D xsi:type="xsd:long"&gt;43343&lt;/D&gt;&lt;D xsi:type="xsd:long"&gt;43312&lt;/D&gt;&lt;D xsi:type="xsd:long"&gt;43280&lt;/D&gt;&lt;D xsi:type="xsd:long"&gt;43251&lt;/D&gt;&lt;D xsi:type="xsd:long"&gt;43220&lt;/D&gt;&lt;D xsi:type="xsd:long"&gt;43188&lt;/D&gt;&lt;D xsi:type="xsd:long"&gt;43159&lt;/D&gt;&lt;D xsi:type="xsd:long"&gt;43131&lt;/D&gt;&lt;D xsi:type="xsd:long"&gt;43098&lt;/D&gt;&lt;D xsi:type="xsd:long"&gt;43069&lt;/D&gt;&lt;D xsi:type="xsd:long"&gt;43039&lt;/D&gt;&lt;D xsi:type="xsd:long"&gt;43007&lt;/D&gt;&lt;D xsi:type="xsd:long"&gt;42978&lt;/D&gt;&lt;D xsi:type="xsd:long"&gt;42947&lt;/D&gt;&lt;D xsi:type="xsd:long"&gt;42916&lt;/D&gt;&lt;D xsi:type="xsd:long"&gt;42886&lt;/D&gt;&lt;D xsi:type="xsd:long"&gt;42853&lt;/D&gt;&lt;D xsi:type="xsd:long"&gt;42825&lt;/D&gt;&lt;D xsi:type="xsd:long"&gt;42794&lt;/D&gt;&lt;D xsi:type="xsd:long"&gt;42766&lt;/D&gt;&lt;D xsi:type="xsd:long"&gt;42734&lt;/D&gt;&lt;D xsi:type="xsd:long"&gt;42704&lt;/D&gt;&lt;D xsi:type="xsd:long"&gt;42674&lt;/D&gt;&lt;D xsi:type="xsd:long"&gt;42643&lt;/D&gt;&lt;D xsi:type="xsd:long"&gt;42613&lt;/D&gt;&lt;D xsi:type="xsd:long"&gt;42580&lt;/D&gt;&lt;D xsi:type="xsd:long"&gt;42551&lt;/D&gt;&lt;D xsi:type="xsd:long"&gt;42521&lt;/D&gt;&lt;D xsi:type="xsd:long"&gt;42489&lt;/D&gt;&lt;D xsi:type="xsd:long"&gt;42460&lt;/D&gt;&lt;D xsi:type="xsd:long"&gt;42429&lt;/D&gt;&lt;D xsi:type="xsd:long"&gt;42398&lt;/D&gt;&lt;D xsi:type="xsd:long"&gt;42369&lt;/D&gt;&lt;D xsi:type="xsd:long"&gt;42338&lt;/D&gt;&lt;D xsi:type="xsd:long"&gt;42307&lt;/D&gt;&lt;D xsi:type="xsd:long"&gt;42277&lt;/D&gt;&lt;D xsi:type="xsd:long"&gt;42247&lt;/D&gt;&lt;D xsi:type="xsd:long"&gt;42216&lt;/D&gt;&lt;D xsi:type="xsd:long"&gt;42185&lt;/D&gt;&lt;D xsi:type="xsd:long"&gt;42153&lt;/D&gt;&lt;D xsi:type="xsd:long"&gt;42124&lt;/D&gt;&lt;D xsi:type="xsd:long"&gt;42094&lt;/D&gt;&lt;D xsi:type="xsd:long"&gt;42062&lt;/D&gt;&lt;D xsi:type="xsd:long"&gt;42034&lt;/D&gt;&lt;D xsi:type="xsd:long"&gt;42004&lt;/D&gt;&lt;D xsi:type="xsd:long"&gt;41971&lt;/D&gt;&lt;D xsi:type="xsd:long"&gt;41943&lt;/D&gt;&lt;D xsi:type="xsd:long"&gt;41912&lt;/D&gt;&lt;D xsi:type="xsd:long"&gt;41880&lt;/D&gt;&lt;D xsi:type="xsd:long"&gt;41851&lt;/D&gt;&lt;D xsi:type="xsd:long"&gt;41820&lt;/D&gt;&lt;D xsi:type="xsd:long"&gt;41789&lt;/D&gt;&lt;D xsi:type="xsd:long"&gt;41759&lt;/D&gt;&lt;D xsi:type="xsd:long"&gt;41729&lt;/D&gt;&lt;D xsi:type="xsd:long"&gt;41698&lt;/D&gt;&lt;D xsi:type="xsd:long"&gt;41670&lt;/D&gt;&lt;D xsi:type="xsd:long"&gt;41639&lt;/D&gt;&lt;D xsi:type="xsd:long"&gt;41607&lt;/D&gt;&lt;D xsi:type="xsd:long"&gt;41578&lt;/D&gt;&lt;D xsi:type="xsd:long"&gt;41547&lt;/D&gt;&lt;D xsi:type="xsd:long"&gt;41516&lt;/D&gt;&lt;D xsi:type="xsd:long"&gt;41486&lt;/D&gt;&lt;D xsi:type="xsd:long"&gt;41453&lt;/D&gt;&lt;D xsi:type="xsd:long"&gt;41425&lt;/D&gt;&lt;D xsi:type="xsd:long"&gt;41394&lt;/D&gt;&lt;D xsi:type="xsd:long"&gt;41361&lt;/D&gt;&lt;D xsi:type="xsd:long"&gt;41333&lt;/D&gt;&lt;D xsi:type="xsd:long"&gt;41305&lt;/D&gt;&lt;D xsi:type="xsd:long"&gt;41274&lt;/D&gt;&lt;D xsi:type="xsd:long"&gt;41243&lt;/D&gt;&lt;D xsi:type="xsd:long"&gt;41213&lt;/D&gt;&lt;D xsi:type="xsd:long"&gt;41180&lt;/D&gt;&lt;D xsi:type="xsd:long"&gt;41152&lt;/D&gt;&lt;D xsi:type="xsd:long"&gt;41121&lt;/D&gt;&lt;D xsi:type="xsd:long"&gt;41089&lt;/D&gt;&lt;D xsi:type="xsd:long"&gt;41060&lt;/D&gt;&lt;D xsi:type="xsd:long"&gt;41029&lt;/D&gt;&lt;D xsi:type="xsd:long"&gt;40998&lt;/D&gt;&lt;D xsi:type="xsd:long"&gt;40968&lt;/D&gt;&lt;D xsi:type="xsd:long"&gt;40939&lt;/D&gt;&lt;D xsi:type="xsd:long"&gt;40907&lt;/D&gt;&lt;D xsi:type="xsd:long"&gt;40877&lt;/D&gt;&lt;D xsi:type="xsd:long"&gt;40847&lt;/D&gt;&lt;D xsi:type="xsd:long"&gt;40816&lt;/D&gt;&lt;D xsi:type="xsd:long"&gt;40786&lt;/D&gt;&lt;D xsi:type="xsd:long"&gt;40753&lt;/D&gt;&lt;D xsi:type="xsd:long"&gt;40724&lt;/D&gt;&lt;D xsi:type="xsd:long"&gt;40694&lt;/D&gt;&lt;D xsi:type="xsd:long"&gt;40662&lt;/D&gt;&lt;D xsi:type="xsd:long"&gt;40633&lt;/D&gt;&lt;D xsi:type="xsd:long"&gt;40602&lt;/D&gt;&lt;D xsi:type="xsd:long"&gt;40574&lt;/D&gt;&lt;D xsi:type="xsd:long"&gt;40543&lt;/D&gt;&lt;D xsi:type="xsd:long"&gt;40512&lt;/D&gt;&lt;D xsi:type="xsd:long"&gt;40480&lt;/D&gt;&lt;D xsi:type="xsd:long"&gt;40451&lt;/D&gt;&lt;D xsi:type="xsd:long"&gt;40421&lt;/D&gt;&lt;D xsi:type="xsd:long"&gt;40389&lt;/D&gt;&lt;D xsi:type="xsd:long"&gt;40359&lt;/D&gt;&lt;D xsi:type="xsd:long"&gt;40326&lt;/D&gt;&lt;D xsi:type="xsd:long"&gt;40298&lt;/D&gt;&lt;D xsi:type="xsd:long"&gt;40268&lt;/D&gt;&lt;D xsi:type="xsd:long"&gt;40235&lt;/D&gt;&lt;D xsi:type="xsd:long"&gt;40207&lt;/D&gt;&lt;D xsi:type="xsd:long"&gt;40178&lt;/D&gt;&lt;D xsi:type="xsd:long"&gt;40147&lt;/D&gt;&lt;D xsi:type="xsd:long"&gt;40116&lt;/D&gt;&lt;D xsi:type="xsd:long"&gt;40086&lt;/D&gt;&lt;D xsi:type="xsd:long"&gt;40056&lt;/D&gt;&lt;D xsi:type="xsd:long"&gt;40025&lt;/D&gt;&lt;D xsi:type="xsd:long"&gt;39994&lt;/D&gt;&lt;D xsi:type="xsd:long"&gt;39962&lt;/D&gt;&lt;D xsi:type="xsd:long"&gt;39933&lt;/D&gt;&lt;D xsi:type="xsd:long"&gt;39903&lt;/D&gt;&lt;D xsi:type="xsd:long"&gt;39871&lt;/D&gt;&lt;D xsi:type="xsd:long"&gt;39843&lt;/D&gt;&lt;D xsi:type="xsd:long"&gt;39813&lt;/D&gt;&lt;D xsi:type="xsd:long"&gt;39780&lt;/D&gt;&lt;D xsi:type="xsd:long"&gt;39752&lt;/D&gt;&lt;D xsi:type="xsd:long"&gt;39721&lt;/D&gt;&lt;D xsi:type="xsd:long"&gt;39689&lt;/D&gt;&lt;D xsi:type="xsd:long"&gt;39660&lt;/D&gt;&lt;D xsi:type="xsd:long"&gt;39629&lt;/D&gt;&lt;D xsi:type="xsd:long"&gt;39598&lt;/D&gt;&lt;D xsi:type="xsd:long"&gt;39568&lt;/D&gt;&lt;D xsi:type="xsd:long"&gt;39538&lt;/D&gt;&lt;D xsi:type="xsd:long"&gt;39507&lt;/D&gt;&lt;D xsi:type="xsd:long"&gt;39478&lt;/D&gt;&lt;D xsi:type="xsd:long"&gt;39447&lt;/D&gt;&lt;D xsi:type="xsd:long"&gt;39416&lt;/D&gt;&lt;D xsi:type="xsd:long"&gt;39386&lt;/D&gt;&lt;D xsi:type="xsd:long"&gt;39353&lt;/D&gt;&lt;D xsi:type="xsd:long"&gt;39325&lt;/D&gt;&lt;D xsi:type="xsd:long"&gt;39294&lt;/D&gt;&lt;D xsi:type="xsd:long"&gt;39262&lt;/D&gt;&lt;D xsi:type="xsd:long"&gt;39233&lt;/D&gt;&lt;D xsi:type="xsd:long"&gt;39202&lt;/D&gt;&lt;D xsi:type="xsd:long"&gt;39171&lt;/D&gt;&lt;D xsi:type="xsd:long"&gt;39141&lt;/D&gt;&lt;D xsi:type="xsd:long"&gt;39113&lt;/D&gt;&lt;D xsi:type="xsd:long"&gt;39080&lt;/D&gt;&lt;D xsi:type="xsd:long"&gt;39051&lt;/D&gt;&lt;D xsi:type="xsd:long"&gt;39021&lt;/D&gt;&lt;D xsi:type="xsd:long"&gt;38989&lt;/D&gt;&lt;D xsi:type="xsd:long"&gt;38960&lt;/D&gt;&lt;D xsi:type="xsd:long"&gt;38929&lt;/D&gt;&lt;D xsi:type="xsd:long"&gt;38898&lt;/D&gt;&lt;D xsi:type="xsd:long"&gt;38868&lt;/D&gt;&lt;D xsi:type="xsd:long"&gt;38835&lt;/D&gt;&lt;D xsi:type="xsd:long"&gt;38807&lt;/D&gt;&lt;D xsi:type="xsd:long"&gt;38776&lt;/D&gt;&lt;D xsi:type="xsd:long"&gt;38748&lt;/D&gt;&lt;D xsi:type="xsd:long"&gt;38716&lt;/D&gt;&lt;D xsi:type="xsd:long"&gt;38686&lt;/D&gt;&lt;D xsi:type="xsd:long"&gt;38656&lt;/D&gt;&lt;D xsi:type="xsd:long"&gt;38625&lt;/D&gt;&lt;D xsi:type="xsd:long"&gt;38595&lt;/D&gt;&lt;D xsi:type="xsd:long"&gt;38562&lt;/D&gt;&lt;D xsi:type="xsd:long"&gt;38533&lt;/D&gt;&lt;D xsi:type="xsd:long"&gt;38503&lt;/D&gt;&lt;D xsi:type="xsd:long"&gt;38471&lt;/D&gt;&lt;D xsi:type="xsd:long"&gt;38442&lt;/D&gt;&lt;D xsi:type="xsd:long"&gt;38411&lt;/D&gt;&lt;D xsi:type="xsd:long"&gt;38383&lt;/D&gt;&lt;D xsi:type="xsd:long"&gt;38352&lt;/D&gt;&lt;D xsi:type="xsd:long"&gt;38321&lt;/D&gt;&lt;D xsi:type="xsd:long"&gt;38289&lt;/D&gt;&lt;D xsi:type="xsd:long"&gt;38260&lt;/D&gt;&lt;D xsi:type="xsd:long"&gt;38230&lt;/D&gt;&lt;D xsi:type="xsd:long"&gt;38198&lt;/D&gt;&lt;D xsi:type="xsd:long"&gt;38168&lt;/D&gt;&lt;D xsi:type="xsd:long"&gt;38135&lt;/D&gt;&lt;D xsi:type="xsd:long"&gt;38107&lt;/D&gt;&lt;D xsi:type="xsd:long"&gt;38077&lt;/D&gt;&lt;D xsi:type="xsd:long"&gt;38044&lt;/D&gt;&lt;D xsi:type="xsd:long"&gt;38016&lt;/D&gt;&lt;D xsi:type="xsd:long"&gt;37986&lt;/D&gt;&lt;D xsi:type="xsd:long"&gt;37953&lt;/D&gt;&lt;D xsi:type="xsd:long"&gt;37925&lt;/D&gt;&lt;D xsi:type="xsd:long"&gt;37894&lt;/D&gt;&lt;D xsi:type="xsd:long"&gt;37862&lt;/D&gt;&lt;D xsi:type="xsd:long"&gt;37833&lt;/D&gt;&lt;D xsi:type="xsd:long"&gt;37802&lt;/D&gt;&lt;D xsi:type="xsd:long"&gt;37771&lt;/D&gt;&lt;D xsi:type="xsd:long"&gt;37741&lt;/D&gt;&lt;D xsi:type="xsd:long"&gt;37711&lt;/D&gt;&lt;D xsi:type="xsd:long"&gt;37680&lt;/D&gt;&lt;D xsi:type="xsd:long"&gt;37652&lt;/D&gt;&lt;D xsi:type="xsd:long"&gt;37621&lt;/D&gt;&lt;D xsi:type="xsd:long"&gt;37589&lt;/D&gt;&lt;D xsi:type="xsd:long"&gt;37560&lt;/D&gt;&lt;D xsi:type="xsd:long"&gt;37529&lt;/D&gt;&lt;D xsi:type="xsd:long"&gt;37498&lt;/D&gt;&lt;D xsi:type="xsd:long"&gt;37468&lt;/D&gt;&lt;D xsi:type="xsd:long"&gt;37435&lt;/D&gt;&lt;D xsi:type="xsd:long"&gt;37407&lt;/D&gt;&lt;D xsi:type="xsd:long"&gt;37376&lt;/D&gt;&lt;D xsi:type="xsd:long"&gt;37343&lt;/D&gt;&lt;D xsi:type="xsd:long"&gt;37315&lt;/D&gt;&lt;D xsi:type="xsd:long"&gt;37287&lt;/D&gt;&lt;D xsi:type="xsd:long"&gt;37256&lt;/D&gt;&lt;D xsi:type="xsd:long"&gt;37225&lt;/D&gt;&lt;D xsi:type="xsd:long"&gt;37195&lt;/D&gt;&lt;D xsi:type="xsd:long"&gt;37162&lt;/D&gt;&lt;D xsi:type="xsd:long"&gt;37134&lt;/D&gt;&lt;D xsi:type="xsd:long"&gt;37103&lt;/D&gt;&lt;D xsi:type="xsd:long"&gt;37071&lt;/D&gt;&lt;D xsi:type="xsd:long"&gt;37042&lt;/D&gt;&lt;D xsi:type="xsd:long"&gt;37011&lt;/D&gt;&lt;D xsi:type="xsd:long"&gt;36980&lt;/D&gt;&lt;D xsi:type="xsd:long"&gt;36950&lt;/D&gt;&lt;D xsi:type="xsd:long"&gt;36922&lt;/D&gt;&lt;D xsi:type="xsd:long"&gt;36889&lt;/D&gt;&lt;D xsi:type="xsd:long"&gt;36860&lt;/D&gt;&lt;D xsi:type="xsd:long"&gt;36830&lt;/D&gt;&lt;D xsi:type="xsd:long"&gt;36798&lt;/D&gt;&lt;D xsi:type="xsd:long"&gt;36769&lt;/D&gt;&lt;D xsi:type="xsd:long"&gt;36738&lt;/D&gt;&lt;D xsi:type="xsd:long"&gt;36707&lt;/D&gt;&lt;D xsi:type="xsd:long"&gt;36677&lt;/D&gt;&lt;D xsi:type="xsd:long"&gt;36644&lt;/D&gt;&lt;D xsi:type="xsd:long"&gt;36616&lt;/D&gt;&lt;D xsi:type="xsd:long"&gt;36585&lt;/D&gt;&lt;D xsi:type="xsd:long"&gt;36556&lt;/D&gt;&lt;/FQL&gt;&lt;FQL&gt;&lt;Q&gt;892400^MSCI_TOTAL_RET_IDX(2/27/2026,1/31/2000,M,USD,"GROSS")&lt;/Q&gt;&lt;R&gt;314&lt;/R&gt;&lt;C&gt;1&lt;/C&gt;&lt;D xsi:type="xsd:double"&gt;2503.404409&lt;/D&gt;&lt;D xsi:type="xsd:double"&gt;2471.011252&lt;/D&gt;&lt;D xsi:type="xsd:double"&gt;2399.413257&lt;/D&gt;&lt;D xsi:type="xsd:double"&gt;2373.919656&lt;/D&gt;&lt;D xsi:type="xsd:double"&gt;2373.519839&lt;/D&gt;&lt;D xsi:type="xsd:double"&gt;2321.164571&lt;/D&gt;&lt;D xsi:type="xsd:double"&gt;2239.193498&lt;/D&gt;&lt;D xsi:type="xsd:double"&gt;2184.265977&lt;/D&gt;&lt;D xsi:type="xsd:double"&gt;2154.502262&lt;/D&gt;&lt;D xsi:type="xsd:double"&gt;2061.073367&lt;/D&gt;&lt;D xsi:type="xsd:double"&gt;1947.837353&lt;/D&gt;&lt;D xsi:type="xsd:double"&gt;1928.980371&lt;/D&gt;&lt;D xsi:type="xsd:double"&gt;2007.191047&lt;/D&gt;&lt;D xsi:type="xsd:double"&gt;2018.786618&lt;/D&gt;&lt;D xsi:type="xsd:double"&gt;1952.803514&lt;/D&gt;&lt;D xsi:type="xsd:double"&gt;1999.474831&lt;/D&gt;&lt;D xsi:type="xsd:double"&gt;1926.776187&lt;/D&gt;&lt;D xsi:type="xsd:double"&gt;1970.352877&lt;/D&gt;&lt;D xsi:type="xsd:double"&gt;1924.907114&lt;/D&gt;&lt;D xsi:type="xsd:double"&gt;1876.606339&lt;/D&gt;&lt;D xsi:type="xsd:double"&gt;1846.320461&lt;/D&gt;&lt;D xsi:type="xsd:double"&gt;1805.457166&lt;/D&gt;&lt;D xsi:type="xsd:double"&gt;1733.93893&lt;/D&gt;&lt;D xsi:type="xsd:double"&gt;1791.359283&lt;/D&gt;&lt;D xsi:type="xsd:double"&gt;1736.815265&lt;/D&gt;&lt;D xsi:type="xsd:double"&gt;1664.763092&lt;/D&gt;&lt;D xsi:type="xsd:double"&gt;1654.705023&lt;/D&gt;&lt;D xsi:type="xsd:double"&gt;1578.338665&lt;/D&gt;&lt;D xsi:type="xsd:double"&gt;1444.344327&lt;/D&gt;&lt;D xsi:type="xsd:double"&gt;1488.773934&lt;/D&gt;&lt;D xsi:type="xsd:double"&gt;1552.416902&lt;/D&gt;&lt;D xsi:type="xsd:double"&gt;1596.391861&lt;/D&gt;&lt;D xsi:type="xsd:double"&gt;1539.573475&lt;/D&gt;&lt;D xsi:type="xsd:double"&gt;1454.481784&lt;/D&gt;&lt;D xsi:type="xsd:double"&gt;1469.169928&lt;/D&gt;&lt;D xsi:type="xsd:double"&gt;1447.674908&lt;/D&gt;&lt;D xsi:type="xsd:double"&gt;1403.429303&lt;/D&gt;&lt;D xsi:type="xsd:double"&gt;1444.315908&lt;/D&gt;&lt;D xsi:type="xsd:double"&gt;1347.399869&lt;/D&gt;&lt;D xsi:type="xsd:double"&gt;1402.013192&lt;/D&gt;&lt;D xsi:type="xsd:double"&gt;1300.54199&lt;/D&gt;&lt;D xsi:type="xsd:double"&gt;1226.229237&lt;/D&gt;&lt;D xsi:type="xsd:double"&gt;1355.412966&lt;/D&gt;&lt;D xsi:type="xsd:double"&gt;1406.650278&lt;/D&gt;&lt;D xsi:type="xsd:double"&gt;1314.397654&lt;/D&gt;&lt;D xsi:type="xsd:double"&gt;1434.750855&lt;/D&gt;&lt;D xsi:type="xsd:double"&gt;1432.057256&lt;/D&gt;&lt;D xsi:type="xsd:double"&gt;1556.022004&lt;/D&gt;&lt;D xsi:type="xsd:double"&gt;1522.155124&lt;/D&gt;&lt;D xsi:type="xsd:double"&gt;1562.030228&lt;/D&gt;&lt;D xsi:type="xsd:double"&gt;1642.384553&lt;/D&gt;&lt;D xsi:type="xsd:double"&gt;1578.72871&lt;/D&gt;&lt;D xsi:type="xsd:double"&gt;1617.179623&lt;/D&gt;&lt;D xsi:type="xsd:double"&gt;1538.267293&lt;/D&gt;&lt;D xsi:type="xsd:double"&gt;1603.834282&lt;/D&gt;&lt;D xsi:type="xsd:double"&gt;1564.196162&lt;/D&gt;&lt;D xsi:type="xsd:double"&gt;1553.044934&lt;/D&gt;&lt;D xsi:type="xsd:double"&gt;1531.634491&lt;/D&gt;&lt;D xsi:type="xsd:double"&gt;1508.067951&lt;/D&gt;&lt;D xsi:type="xsd:double"&gt;1444.322426&lt;/D&gt;&lt;D xsi:type="xsd:double"&gt;1406.021371&lt;/D&gt;&lt;D xsi:type="xsd:double"&gt;1373.790231&lt;/D&gt;&lt;D xsi:type="xsd:double"&gt;1379.732449&lt;/D&gt;&lt;D xsi:type="xsd:double"&gt;1318.050532&lt;/D&gt;&lt;D xsi:type="xsd:double"&gt;1173.026221&lt;/D&gt;&lt;D xsi:type="xsd:double"&gt;1201.950947&lt;/D&gt;&lt;D xsi:type="xsd:double"&gt;1241.521957&lt;/D&gt;&lt;D xsi:type="xsd:double"&gt;1169.501079&lt;/D&gt;&lt;D xsi:type="xsd:double"&gt;1110.334005&lt;/D&gt;&lt;D xsi:type="xsd:double"&gt;1075.500939&lt;/D&gt;&lt;D xsi:type="xsd:double"&gt;1030.078391&lt;/D&gt;&lt;D xsi:type="xsd:double"&gt;929.983402&lt;/D&gt;&lt;D xsi:type="xsd:double"&gt;1074.377032&lt;/D&gt;&lt;D xsi:type="xsd:double"&gt;1168.287333&lt;/D&gt;&lt;D xsi:type="xsd:double"&gt;1181.036004&lt;/D&gt;&lt;D xsi:type="xsd:double"&gt;1140.402276&lt;/D&gt;&lt;D xsi:type="xsd:double"&gt;1112.762265&lt;/D&gt;&lt;D xsi:type="xsd:double"&gt;1082.84661&lt;/D&gt;&lt;D xsi:type="xsd:double"&gt;1060.054657&lt;/D&gt;&lt;D xsi:type="xsd:double"&gt;1085.305264&lt;/D&gt;&lt;D xsi:type="xsd:double"&gt;1081.7634&lt;/D&gt;&lt;D xsi:type="xsd:double"&gt;1014.837828&lt;/D&gt;&lt;D xsi:type="xsd:double"&gt;1077.879022&lt;/D&gt;&lt;D xsi:type="xsd:double"&gt;1042.139121&lt;/D&gt;&lt;D xsi:type="xsd:double"&gt;1028.56391&lt;/D&gt;&lt;D xsi:type="xsd:double"&gt;1001.3268&lt;/D&gt;&lt;D xsi:type="xsd:double"&gt;927.78355&lt;/D&gt;&lt;D xsi:type="xsd:double"&gt;997.649071&lt;/D&gt;&lt;D xsi:type="xsd:double"&gt;982.809455&lt;/D&gt;&lt;D xsi:type="xsd:double"&gt;1062.173768&lt;/D&gt;&lt;D xsi:type="xsd:double"&gt;1057.14049&lt;/D&gt;&lt;D xsi:type="xsd:double"&gt;1048.433185&lt;/D&gt;&lt;D xsi:type="xsd:double"&gt;1017.420483&lt;/D&gt;&lt;D xsi:type="xsd:double"&gt;1022.55021&lt;/D&gt;&lt;D xsi:type="xsd:double"&gt;1020.396107&lt;/D&gt;&lt;D xsi:type="xsd:double"&gt;1009.444865&lt;/D&gt;&lt;D xsi:type="xsd:double"&gt;1031.644552&lt;/D&gt;&lt;D xsi:type="xsd:double"&gt;1076.435694&lt;/D&gt;&lt;D xsi:type="xsd:double"&gt;1018.749548&lt;/D&gt;&lt;D xsi:type="xsd:double"&gt;1002.254231&lt;/D&gt;&lt;D xsi:type="xsd:double"&gt;982.779618&lt;/D&gt;&lt;D xsi:type="xsd:double"&gt;962.570152&lt;/D&gt;&lt;D xsi:type="xsd:double"&gt;943.979578&lt;/D&gt;&lt;D xsi:type="xsd:double"&gt;939.918546&lt;/D&gt;&lt;D xsi:type="xsd:double"&gt;914.041769&lt;/D&gt;&lt;D xsi:type="xsd:double"&gt;909.528992&lt;/D&gt;&lt;D xsi:type="xsd:double"&gt;889.108708&lt;/D&gt;&lt;D xsi:type="xsd:double"&gt;875.066692&lt;/D&gt;&lt;D xsi:type="xsd:double"&gt;863.922279&lt;/D&gt;&lt;D xsi:type="xsd:double"&gt;839.984393&lt;/D&gt;&lt;D xsi:type="xsd:double"&gt;817.457401&lt;/D&gt;&lt;D xsi:type="xsd:double"&gt;799.860653&lt;/D&gt;&lt;D xsi:type="xsd:double"&gt;793.441867&lt;/D&gt;&lt;D xsi:type="xsd:double"&gt;806.945033&lt;/D&gt;&lt;D xsi:type="xsd:double"&gt;801.683699&lt;/D&gt;&lt;D xsi:type="xsd:double"&gt;798.60894&lt;/D&gt;&lt;D xsi:type="xsd:double"&gt;765.3926&lt;/D&gt;&lt;D xsi:type="xsd:double"&gt;769.646682&lt;/D&gt;&lt;D xsi:type="xsd:double"&gt;768.028054&lt;/D&gt;&lt;D xsi:type="xsd:double"&gt;756.415914&lt;/D&gt;&lt;D xsi:type="xsd:double"&gt;703.775409&lt;/D&gt;&lt;D xsi:type="xsd:double"&gt;708.252953&lt;/D&gt;&lt;D xsi:type="xsd:double"&gt;753.521185&lt;/D&gt;&lt;D xsi:type="xsd:double"&gt;767.031395&lt;/D&gt;&lt;D xsi:type="xsd:double"&gt;773.070817&lt;/D&gt;&lt;D xsi:type="xsd:double"&gt;716.635503&lt;/D&gt;&lt;D xsi:type="xsd:double"&gt;743.233158&lt;/D&gt;&lt;D xsi:type="xsd:double"&gt;797.584901&lt;/D&gt;&lt;D xsi:type="xsd:double"&gt;790.432664&lt;/D&gt;&lt;D xsi:type="xsd:double"&gt;809.122769&lt;/D&gt;&lt;D xsi:type="xsd:double"&gt;809.550411&lt;/D&gt;&lt;D xsi:type="xsd:double"&gt;786.348463&lt;/D&gt;&lt;D xsi:type="xsd:double"&gt;798.239834&lt;/D&gt;&lt;D xsi:type="xsd:double"&gt;755.816684&lt;/D&gt;&lt;D xsi:type="xsd:double"&gt;767.647049&lt;/D&gt;&lt;D xsi:type="xsd:double"&gt;782.418798&lt;/D&gt;&lt;D xsi:type="xsd:double"&gt;769.222984&lt;/D&gt;&lt;D xsi:type="xsd:double"&gt;763.672282&lt;/D&gt;&lt;D xsi:type="xsd:double"&gt;788.951765&lt;/D&gt;&lt;D xsi:type="xsd:double"&gt;771.590574&lt;/D&gt;&lt;D xsi:type="xsd:double"&gt;780.82468&lt;/D&gt;&lt;D xsi:type="xsd:double"&gt;766.06868&lt;/D&gt;&lt;D xsi:type="xsd:double"&gt;749.477716&lt;/D&gt;&lt;D xsi:type="xsd:double"&gt;742.021997&lt;/D&gt;&lt;D xsi:type="xsd:double"&gt;738.345692&lt;/D&gt;&lt;D xsi:type="xsd:double"&gt;703.986012&lt;/D&gt;&lt;D xsi:type="xsd:double"&gt;733.148743&lt;/D&gt;&lt;D xsi:type="xsd:double"&gt;720.471217&lt;/D&gt;&lt;D xsi:type="xsd:double"&gt;710.114354&lt;/D&gt;&lt;D xsi:type="xsd:double"&gt;682.528573&lt;/D&gt;&lt;D xsi:type="xsd:double"&gt;648.768367&lt;/D&gt;&lt;D xsi:type="xsd:double"&gt;662.288177&lt;/D&gt;&lt;D xsi:type="xsd:double"&gt;631.8379&lt;/D&gt;&lt;D xsi:type="xsd:double"&gt;650.589228&lt;/D&gt;&lt;D xsi:type="xsd:double"&gt;651.829109&lt;/D&gt;&lt;D xsi:type="xsd:double"&gt;633.179974&lt;/D&gt;&lt;D xsi:type="xsd:double"&gt;621.647553&lt;/D&gt;&lt;D xsi:type="xsd:double"&gt;621.463332&lt;/D&gt;&lt;D xsi:type="xsd:double"&gt;593.931466&lt;/D&gt;&lt;D xsi:type="xsd:double"&gt;580.500878&lt;/D&gt;&lt;D xsi:type="xsd:double"&gt;572.898171&lt;/D&gt;&lt;D xsi:type="xsd:double"&gt;576.592906&lt;/D&gt;&lt;D xsi:type="xsd:double"&gt;558.760415&lt;/D&gt;&lt;D xsi:type="xsd:double"&gt;546.601423&lt;/D&gt;&lt;D xsi:type="xsd:double"&gt;539.043968&lt;/D&gt;&lt;D xsi:type="xsd:double"&gt;513.430921&lt;/D&gt;&lt;D xsi:type="xsd:double"&gt;563.443525&lt;/D&gt;&lt;D xsi:type="xsd:double"&gt;569.589426&lt;/D&gt;&lt;D xsi:type="xsd:double"&gt;565.55591&lt;/D&gt;&lt;D xsi:type="xsd:double"&gt;538.205943&lt;/D&gt;&lt;D xsi:type="xsd:double"&gt;508.496648&lt;/D&gt;&lt;D xsi:type="xsd:double"&gt;509.350524&lt;/D&gt;&lt;D xsi:type="xsd:double"&gt;524.798877&lt;/D&gt;&lt;D xsi:type="xsd:double"&gt;473.898218&lt;/D&gt;&lt;D xsi:type="xsd:double"&gt;523.09423&lt;/D&gt;&lt;D xsi:type="xsd:double"&gt;564.067435&lt;/D&gt;&lt;D xsi:type="xsd:double"&gt;573.215016&lt;/D&gt;&lt;D xsi:type="xsd:double"&gt;582.161874&lt;/D&gt;&lt;D xsi:type="xsd:double"&gt;594.382715&lt;/D&gt;&lt;D xsi:type="xsd:double"&gt;570.705247&lt;/D&gt;&lt;D xsi:type="xsd:double"&gt;571.037657&lt;/D&gt;&lt;D xsi:type="xsd:double"&gt;554.659347&lt;/D&gt;&lt;D xsi:type="xsd:double"&gt;545.96707&lt;/D&gt;&lt;D xsi:type="xsd:double"&gt;508.57359&lt;/D&gt;&lt;D xsi:type="xsd:double"&gt;519.927648&lt;/D&gt;&lt;D xsi:type="xsd:double"&gt;501.694253&lt;/D&gt;&lt;D xsi:type="xsd:double"&gt;457.742383&lt;/D&gt;&lt;D xsi:type="xsd:double"&gt;474.127677&lt;/D&gt;&lt;D xsi:type="xsd:double"&gt;438.323072&lt;/D&gt;&lt;D xsi:type="xsd:double"&gt;451.648618&lt;/D&gt;&lt;D xsi:type="xsd:double"&gt;498.957126&lt;/D&gt;&lt;D xsi:type="xsd:double"&gt;497.859783&lt;/D&gt;&lt;D xsi:type="xsd:double"&gt;467.551022&lt;/D&gt;&lt;D xsi:type="xsd:double"&gt;461.50082&lt;/D&gt;&lt;D xsi:type="xsd:double"&gt;482.248319&lt;/D&gt;&lt;D xsi:type="xsd:double"&gt;472.327854&lt;/D&gt;&lt;D xsi:type="xsd:double"&gt;453.475235&lt;/D&gt;&lt;D xsi:type="xsd:double"&gt;460.498021&lt;/D&gt;&lt;D xsi:type="xsd:double"&gt;440.163302&lt;/D&gt;&lt;D xsi:type="xsd:double"&gt;424.792662&lt;/D&gt;&lt;D xsi:type="xsd:double"&gt;390.298801&lt;/D&gt;&lt;D xsi:type="xsd:double"&gt;392.341019&lt;/D&gt;&lt;D xsi:type="xsd:double"&gt;356.405703&lt;/D&gt;&lt;D xsi:type="xsd:double"&gt;318.515072&lt;/D&gt;&lt;D xsi:type="xsd:double"&gt;294.125563&lt;/D&gt;&lt;D xsi:type="xsd:double"&gt;325.826601&lt;/D&gt;&lt;D xsi:type="xsd:double"&gt;356.145767&lt;/D&gt;&lt;D xsi:type="xsd:double"&gt;343.526261&lt;/D&gt;&lt;D xsi:type="xsd:double"&gt;367.432458&lt;/D&gt;&lt;D xsi:type="xsd:double"&gt;458.09127345&lt;/D&gt;&lt;D xsi:type="xsd:double"&gt;523.28296831&lt;/D&gt;&lt;D xsi:type="xsd:double"&gt;534.5713157&lt;/D&gt;&lt;D xsi:type="xsd:double"&gt;548.64648986&lt;/D&gt;&lt;D xsi:type="xsd:double"&gt;597.51116856&lt;/D&gt;&lt;D xsi:type="xsd:double"&gt;587.65884044&lt;/D&gt;&lt;D xsi:type="xsd:double"&gt;556.22205771&lt;/D&gt;&lt;D xsi:type="xsd:double"&gt;564.24944109&lt;/D&gt;&lt;D xsi:type="xsd:double"&gt;562.39476752&lt;/D&gt;&lt;D xsi:type="xsd:double"&gt;612.41342724&lt;/D&gt;&lt;D xsi:type="xsd:double"&gt;619.10309647&lt;/D&gt;&lt;D xsi:type="xsd:double"&gt;647.46530799&lt;/D&gt;&lt;D xsi:type="xsd:double"&gt;623.03274273&lt;/D&gt;&lt;D xsi:type="xsd:double"&gt;591.11434396&lt;/D&gt;&lt;D xsi:type="xsd:double"&gt;592.50224904&lt;/D&gt;&lt;D xsi:type="xsd:double"&gt;601.54893719&lt;/D&gt;&lt;D xsi:type="xsd:double"&gt;603.10617581&lt;/D&gt;&lt;D xsi:type="xsd:double"&gt;585.1645947&lt;/D&gt;&lt;D xsi:type="xsd:double"&gt;559.99548618&lt;/D&gt;&lt;D xsi:type="xsd:double"&gt;548.758187&lt;/D&gt;&lt;D xsi:type="xsd:double"&gt;551.446455&lt;/D&gt;&lt;D xsi:type="xsd:double"&gt;545.896922&lt;/D&gt;&lt;D xsi:type="xsd:double"&gt;533.849009&lt;/D&gt;&lt;D xsi:type="xsd:double"&gt;518.923445&lt;/D&gt;&lt;D xsi:type="xsd:double"&gt;500.068955&lt;/D&gt;&lt;D xsi:type="xsd:double"&gt;494.175443&lt;/D&gt;&lt;D xsi:type="xsd:double"&gt;481.450206&lt;/D&gt;&lt;D xsi:type="xsd:double"&gt;478.069163&lt;/D&gt;&lt;D xsi:type="xsd:double"&gt;478.080975&lt;/D&gt;&lt;D xsi:type="xsd:double"&gt;497.265186&lt;/D&gt;&lt;D xsi:type="xsd:double"&gt;481.011461&lt;/D&gt;&lt;D xsi:type="xsd:double"&gt;470.903026&lt;/D&gt;&lt;D xsi:type="xsd:double"&gt;471.403944&lt;/D&gt;&lt;D xsi:type="xsd:double"&gt;449.191746&lt;/D&gt;&lt;D xsi:type="xsd:double"&gt;438.304159&lt;/D&gt;&lt;D xsi:type="xsd:double"&gt;422.694633&lt;/D&gt;&lt;D xsi:type="xsd:double"&gt;434.311976&lt;/D&gt;&lt;D xsi:type="xsd:double"&gt;421.511812&lt;/D&gt;&lt;D xsi:type="xsd:double"&gt;418.142214&lt;/D&gt;&lt;D xsi:type="xsd:double"&gt;403.128063&lt;/D&gt;&lt;D xsi:type="xsd:double"&gt;398.919371&lt;/D&gt;&lt;D xsi:type="xsd:double"&gt;391.318985&lt;/D&gt;&lt;D xsi:type="xsd:double"&gt;399.871872&lt;/D&gt;&lt;D xsi:type="xsd:double"&gt;408.714016&lt;/D&gt;&lt;D xsi:type="xsd:double"&gt;394.851423&lt;/D&gt;&lt;D xsi:type="xsd:double"&gt;403.319699&lt;/D&gt;&lt;D xsi:type="xsd:double"&gt;388.188705&lt;/D&gt;&lt;D xsi:type="xsd:double"&gt;367.976153&lt;/D&gt;&lt;D xsi:type="xsd:double"&gt;359.114254&lt;/D&gt;&lt;D xsi:type="xsd:double"&gt;351.703896&lt;/D&gt;&lt;D xsi:type="xsd:double"&gt;349.435229&lt;/D&gt;&lt;D xsi:type="xsd:double"&gt;360.882868&lt;/D&gt;&lt;D xsi:type="xsd:double"&gt;353.582833&lt;/D&gt;&lt;D xsi:type="xsd:double"&gt;350.774982&lt;/D&gt;&lt;D xsi:type="xsd:double"&gt;359.015685&lt;/D&gt;&lt;D xsi:type="xsd:double"&gt;360.937722&lt;/D&gt;&lt;D xsi:type="xsd:double"&gt;354.397809&lt;/D&gt;&lt;D xsi:type="xsd:double"&gt;348.427479&lt;/D&gt;&lt;D xsi:type="xsd:double"&gt;327.651441&lt;/D&gt;&lt;D xsi:type="xsd:double"&gt;322.706741&lt;/D&gt;&lt;D xsi:type="xsd:double"&gt;304.249702&lt;/D&gt;&lt;D xsi:type="xsd:double"&gt;302.319&lt;/D&gt;&lt;D xsi:type="xsd:double"&gt;295.308805&lt;/D&gt;&lt;D xsi:type="xsd:double"&gt;288.898025&lt;/D&gt;&lt;D xsi:type="xsd:double"&gt;283.454365&lt;/D&gt;&lt;D xsi:type="xsd:double"&gt;267.865763&lt;/D&gt;&lt;D xsi:type="xsd:double"&gt;245.906&lt;/D&gt;&lt;D xsi:type="xsd:double"&gt;246.839&lt;/D&gt;&lt;D xsi:type="xsd:double"&gt;251.242&lt;/D&gt;&lt;D xsi:type="xsd:double"&gt;258.795&lt;/D&gt;&lt;D xsi:type="xsd:double"&gt;271.751&lt;/D&gt;&lt;D xsi:type="xsd:double"&gt;257.657&lt;/D&gt;&lt;D xsi:type="xsd:double"&gt;239.985&lt;/D&gt;&lt;D xsi:type="xsd:double"&gt;269.55&lt;/D&gt;&lt;D xsi:type="xsd:double"&gt;268.855&lt;/D&gt;&lt;D xsi:type="xsd:double"&gt;293.466&lt;/D&gt;&lt;D xsi:type="xsd:double"&gt;312.539&lt;/D&gt;&lt;D xsi:type="xsd:double"&gt;312.098&lt;/D&gt;&lt;D xsi:type="xsd:double"&gt;322.896&lt;/D&gt;&lt;D xsi:type="xsd:double"&gt;308.38&lt;/D&gt;&lt;D xsi:type="xsd:double"&gt;310.662&lt;/D&gt;&lt;D xsi:type="xsd:double"&gt;319.414&lt;/D&gt;&lt;D xsi:type="xsd:double"&gt;316.448&lt;/D&gt;&lt;D xsi:type="xsd:double"&gt;298.114&lt;/D&gt;&lt;D xsi:type="xsd:double"&gt;291.911&lt;/D&gt;&lt;D xsi:type="xsd:double"&gt;321.256&lt;/D&gt;&lt;D xsi:type="xsd:double"&gt;336.731&lt;/D&gt;&lt;D xsi:type="xsd:double"&gt;342.123&lt;/D&gt;&lt;D xsi:type="xsd:double"&gt;352.936&lt;/D&gt;&lt;D xsi:type="xsd:double"&gt;356.915&lt;/D&gt;&lt;D xsi:type="xsd:double"&gt;332.683&lt;/D&gt;&lt;D xsi:type="xsd:double"&gt;356.694&lt;/D&gt;&lt;D xsi:type="xsd:double"&gt;389.463&lt;/D&gt;&lt;D xsi:type="xsd:double"&gt;379.859008789062&lt;/D&gt;&lt;D xsi:type="xsd:double"&gt;373.618011474609&lt;/D&gt;&lt;D xsi:type="xsd:double"&gt;398.292999267578&lt;/D&gt;&lt;D xsi:type="xsd:double"&gt;406.240997314453&lt;/D&gt;&lt;D xsi:type="xsd:double"&gt;429.850006103516&lt;/D&gt;&lt;D xsi:type="xsd:double"&gt;416.890014648438&lt;/D&gt;&lt;D xsi:type="xsd:double"&gt;429.505004882812&lt;/D&gt;&lt;D xsi:type="xsd:double"&gt;415.424011230469&lt;/D&gt;&lt;D xsi:type="xsd:double"&gt;426.492004394531&lt;/D&gt;&lt;D xsi:type="xsd:double"&gt;446.52099609375&lt;/D&gt;&lt;D xsi:type="xsd:double"&gt;418.977996826172&lt;/D&gt;&lt;D xsi:type="xsd:double"&gt;417.559997558594&lt;/D&gt;&lt;/FQL&gt;&lt;FQL&gt;&lt;Q&gt;892400^JULIAN(MSCI_TOTAL_RET_IDX(2/27/2026,1/31/2000,M,USD,"GROSS").DATES)&lt;/Q&gt;&lt;R&gt;314&lt;/R&gt;&lt;C&gt;1&lt;/C&gt;&lt;D xsi:type="xsd:long"&gt;46080&lt;/D&gt;&lt;D xsi:type="xsd:long"&gt;46052&lt;/D&gt;&lt;D xsi:type="xsd:long"&gt;46022&lt;/D&gt;&lt;D xsi:type="xsd:long"&gt;45989&lt;/D&gt;&lt;D xsi:type="xsd:long"&gt;45961&lt;/D&gt;&lt;D xsi:type="xsd:long"&gt;45930&lt;/D&gt;&lt;D xsi:type="xsd:long"&gt;45898&lt;/D&gt;&lt;D xsi:type="xsd:long"&gt;45869&lt;/D&gt;&lt;D xsi:type="xsd:long"&gt;45838&lt;/D&gt;&lt;D xsi:type="xsd:long"&gt;45807&lt;/D&gt;&lt;D xsi:type="xsd:long"&gt;45777&lt;/D&gt;&lt;D xsi:type="xsd:long"&gt;45747&lt;/D&gt;&lt;D xsi:type="xsd:long"&gt;45716&lt;/D&gt;&lt;D xsi:type="xsd:long"&gt;45688&lt;/D&gt;&lt;D xsi:type="xsd:long"&gt;45657&lt;/D&gt;&lt;D xsi:type="xsd:long"&gt;45625&lt;/D&gt;&lt;D xsi:type="xsd:long"&gt;45596&lt;/D&gt;&lt;D xsi:type="xsd:long"&gt;45565&lt;/D&gt;&lt;D xsi:type="xsd:long"&gt;45534&lt;/D&gt;&lt;D xsi:type="xsd:long"&gt;45504&lt;/D&gt;&lt;D xsi:type="xsd:long"&gt;45471&lt;/D&gt;&lt;D xsi:type="xsd:long"&gt;45443&lt;/D&gt;&lt;D xsi:type="xsd:long"&gt;45412&lt;/D&gt;&lt;D xsi:type="xsd:long"&gt;45379&lt;/D&gt;&lt;D xsi:type="xsd:long"&gt;45351&lt;/D&gt;&lt;D xsi:type="xsd:long"&gt;45322&lt;/D&gt;&lt;D xsi:type="xsd:long"&gt;45289&lt;/D&gt;&lt;D xsi:type="xsd:long"&gt;45260&lt;/D&gt;&lt;D xsi:type="xsd:long"&gt;45230&lt;/D&gt;&lt;D xsi:type="xsd:long"&gt;45198&lt;/D&gt;&lt;D xsi:type="xsd:long"&gt;45169&lt;/D&gt;&lt;D xsi:type="xsd:long"&gt;45138&lt;/D&gt;&lt;D xsi:type="xsd:long"&gt;45107&lt;/D&gt;&lt;D xsi:type="xsd:long"&gt;45077&lt;/D&gt;&lt;D xsi:type="xsd:long"&gt;45044&lt;/D&gt;&lt;D xsi:type="xsd:long"&gt;45016&lt;/D&gt;&lt;D xsi:type="xsd:long"&gt;44985&lt;/D&gt;&lt;D xsi:type="xsd:long"&gt;44957&lt;/D&gt;&lt;D xsi:type="xsd:long"&gt;44925&lt;/D&gt;&lt;D xsi:type="xsd:long"&gt;44895&lt;/D&gt;&lt;D xsi:type="xsd:long"&gt;44865&lt;/D&gt;&lt;D xsi:type="xsd:long"&gt;44834&lt;/D&gt;&lt;D xsi:type="xsd:long"&gt;44804&lt;/D&gt;&lt;D xsi:type="xsd:long"&gt;44771&lt;/D&gt;&lt;D xsi:type="xsd:long"&gt;44742&lt;/D&gt;&lt;D xsi:type="xsd:long"&gt;44712&lt;/D&gt;&lt;D xsi:type="xsd:long"&gt;44680&lt;/D&gt;&lt;D xsi:type="xsd:long"&gt;44651&lt;/D&gt;&lt;D xsi:type="xsd:long"&gt;44620&lt;/D&gt;&lt;D xsi:type="xsd:long"&gt;44592&lt;/D&gt;&lt;D xsi:type="xsd:long"&gt;44561&lt;/D&gt;&lt;D xsi:type="xsd:long"&gt;44530&lt;/D&gt;&lt;D xsi:type="xsd:long"&gt;44498&lt;/D&gt;&lt;D xsi:type="xsd:long"&gt;44469&lt;/D&gt;&lt;D xsi:type="xsd:long"&gt;44439&lt;/D&gt;&lt;D xsi:type="xsd:long"&gt;44407&lt;/D&gt;&lt;D xsi:type="xsd:long"&gt;44377&lt;/D&gt;&lt;D xsi:type="xsd:long"&gt;44344&lt;/D&gt;&lt;D xsi:type="xsd:long"&gt;44316&lt;/D&gt;&lt;D xsi:type="xsd:long"&gt;44286&lt;/D&gt;&lt;D xsi:type="xsd:long"&gt;44253&lt;/D&gt;&lt;D xsi:type="xsd:long"&gt;44225&lt;/D&gt;&lt;D xsi:type="xsd:long"&gt;44196&lt;/D&gt;&lt;D xsi:type="xsd:long"&gt;44165&lt;/D&gt;&lt;D xsi:type="xsd:long"&gt;44134&lt;/D&gt;&lt;D xsi:type="xsd:long"&gt;44104&lt;/D&gt;&lt;D xsi:type="xsd:long"&gt;44074&lt;/D&gt;&lt;D xsi:type="xsd:long"&gt;44043&lt;/D&gt;&lt;D xsi:type="xsd:long"&gt;44012&lt;/D&gt;&lt;D xsi:type="xsd:long"&gt;43980&lt;/D&gt;&lt;D xsi:type="xsd:long"&gt;43951&lt;/D&gt;&lt;D xsi:type="xsd:long"&gt;43921&lt;/D&gt;&lt;D xsi:type="xsd:long"&gt;43889&lt;/D&gt;&lt;D xsi:type="xsd:long"&gt;43861&lt;/D&gt;&lt;D xsi:type="xsd:long"&gt;43830&lt;/D&gt;&lt;D xsi:type="xsd:long"&gt;43798&lt;/D&gt;&lt;D xsi:type="xsd:long"&gt;43769&lt;/D&gt;&lt;D xsi:type="xsd:long"&gt;43738&lt;/D&gt;&lt;D xsi:type="xsd:long"&gt;43707&lt;/D&gt;&lt;D xsi:type="xsd:long"&gt;43677&lt;/D&gt;&lt;D xsi:type="xsd:long"&gt;43644&lt;/D&gt;&lt;D xsi:type="xsd:long"&gt;43616&lt;/D&gt;&lt;D xsi:type="xsd:long"&gt;43585&lt;/D&gt;&lt;D xsi:type="xsd:long"&gt;43553&lt;/D&gt;&lt;D xsi:type="xsd:long"&gt;43524&lt;/D&gt;&lt;D xsi:type="xsd:lon</t>
        </r>
      </text>
    </comment>
    <comment ref="A80" authorId="0" shapeId="0">
      <text>
        <r>
          <rPr>
            <b/>
            <sz val="9"/>
            <color indexed="81"/>
            <rFont val="Tahoma"/>
            <family val="2"/>
          </rPr>
          <t>g"&gt;43496&lt;/D&gt;&lt;D xsi:type="xsd:long"&gt;43465&lt;/D&gt;&lt;D xsi:type="xsd:long"&gt;43434&lt;/D&gt;&lt;D xsi:type="xsd:long"&gt;43404&lt;/D&gt;&lt;D xsi:type="xsd:long"&gt;43371&lt;/D&gt;&lt;D xsi:type="xsd:long"&gt;43343&lt;/D&gt;&lt;D xsi:type="xsd:long"&gt;43312&lt;/D&gt;&lt;D xsi:type="xsd:long"&gt;43280&lt;/D&gt;&lt;D xsi:type="xsd:long"&gt;43251&lt;/D&gt;&lt;D xsi:type="xsd:long"&gt;43220&lt;/D&gt;&lt;D xsi:type="xsd:long"&gt;43188&lt;/D&gt;&lt;D xsi:type="xsd:long"&gt;43159&lt;/D&gt;&lt;D xsi:type="xsd:long"&gt;43131&lt;/D&gt;&lt;D xsi:type="xsd:long"&gt;43098&lt;/D&gt;&lt;D xsi:type="xsd:long"&gt;43069&lt;/D&gt;&lt;D xsi:type="xsd:long"&gt;43039&lt;/D&gt;&lt;D xsi:type="xsd:long"&gt;43007&lt;/D&gt;&lt;D xsi:type="xsd:long"&gt;42978&lt;/D&gt;&lt;D xsi:type="xsd:long"&gt;42947&lt;/D&gt;&lt;D xsi:type="xsd:long"&gt;42916&lt;/D&gt;&lt;D xsi:type="xsd:long"&gt;42886&lt;/D&gt;&lt;D xsi:type="xsd:long"&gt;42853&lt;/D&gt;&lt;D xsi:type="xsd:long"&gt;42825&lt;/D&gt;&lt;D xsi:type="xsd:long"&gt;42794&lt;/D&gt;&lt;D xsi:type="xsd:long"&gt;42766&lt;/D&gt;&lt;D xsi:type="xsd:long"&gt;42734&lt;/D&gt;&lt;D xsi:type="xsd:long"&gt;42704&lt;/D&gt;&lt;D xsi:type="xsd:long"&gt;42674&lt;/D&gt;&lt;D xsi:type="xsd:long"&gt;42643&lt;/D&gt;&lt;D xsi:type="xsd:long"&gt;42613&lt;/D&gt;&lt;D xsi:type="xsd:long"&gt;42580&lt;/D&gt;&lt;D xsi:type="xsd:long"&gt;42551&lt;/D&gt;&lt;D xsi:type="xsd:long"&gt;42521&lt;/D&gt;&lt;D xsi:type="xsd:long"&gt;42489&lt;/D&gt;&lt;D xsi:type="xsd:long"&gt;42460&lt;/D&gt;&lt;D xsi:type="xsd:long"&gt;42429&lt;/D&gt;&lt;D xsi:type="xsd:long"&gt;42398&lt;/D&gt;&lt;D xsi:type="xsd:long"&gt;42369&lt;/D&gt;&lt;D xsi:type="xsd:long"&gt;42338&lt;/D&gt;&lt;D xsi:type="xsd:long"&gt;42307&lt;/D&gt;&lt;D xsi:type="xsd:long"&gt;42277&lt;/D&gt;&lt;D xsi:type="xsd:long"&gt;42247&lt;/D&gt;&lt;D xsi:type="xsd:long"&gt;42216&lt;/D&gt;&lt;D xsi:type="xsd:long"&gt;42185&lt;/D&gt;&lt;D xsi:type="xsd:long"&gt;42153&lt;/D&gt;&lt;D xsi:type="xsd:long"&gt;42124&lt;/D&gt;&lt;D xsi:type="xsd:long"&gt;42094&lt;/D&gt;&lt;D xsi:type="xsd:long"&gt;42062&lt;/D&gt;&lt;D xsi:type="xsd:long"&gt;42034&lt;/D&gt;&lt;D xsi:type="xsd:long"&gt;42004&lt;/D&gt;&lt;D xsi:type="xsd:long"&gt;41971&lt;/D&gt;&lt;D xsi:type="xsd:long"&gt;41943&lt;/D&gt;&lt;D xsi:type="xsd:long"&gt;41912&lt;/D&gt;&lt;D xsi:type="xsd:long"&gt;41880&lt;/D&gt;&lt;D xsi:type="xsd:long"&gt;41851&lt;/D&gt;&lt;D xsi:type="xsd:long"&gt;41820&lt;/D&gt;&lt;D xsi:type="xsd:long"&gt;41789&lt;/D&gt;&lt;D xsi:type="xsd:long"&gt;41759&lt;/D&gt;&lt;D xsi:type="xsd:long"&gt;41729&lt;/D&gt;&lt;D xsi:type="xsd:long"&gt;41698&lt;/D&gt;&lt;D xsi:type="xsd:long"&gt;41670&lt;/D&gt;&lt;D xsi:type="xsd:long"&gt;41639&lt;/D&gt;&lt;D xsi:type="xsd:long"&gt;41607&lt;/D&gt;&lt;D xsi:type="xsd:long"&gt;41578&lt;/D&gt;&lt;D xsi:type="xsd:long"&gt;41547&lt;/D&gt;&lt;D xsi:type="xsd:long"&gt;41516&lt;/D&gt;&lt;D xsi:type="xsd:long"&gt;41486&lt;/D&gt;&lt;D xsi:type="xsd:long"&gt;41453&lt;/D&gt;&lt;D xsi:type="xsd:long"&gt;41425&lt;/D&gt;&lt;D xsi:type="xsd:long"&gt;41394&lt;/D&gt;&lt;D xsi:type="xsd:long"&gt;41361&lt;/D&gt;&lt;D xsi:type="xsd:long"&gt;41333&lt;/D&gt;&lt;D xsi:type="xsd:long"&gt;41305&lt;/D&gt;&lt;D xsi:type="xsd:long"&gt;41274&lt;/D&gt;&lt;D xsi:type="xsd:long"&gt;41243&lt;/D&gt;&lt;D xsi:type="xsd:long"&gt;41213&lt;/D&gt;&lt;D xsi:type="xsd:long"&gt;41180&lt;/D&gt;&lt;D xsi:type="xsd:long"&gt;41152&lt;/D&gt;&lt;D xsi:type="xsd:long"&gt;41121&lt;/D&gt;&lt;D xsi:type="xsd:long"&gt;41089&lt;/D&gt;&lt;D xsi:type="xsd:long"&gt;41060&lt;/D&gt;&lt;D xsi:type="xsd:long"&gt;41029&lt;/D&gt;&lt;D xsi:type="xsd:long"&gt;40998&lt;/D&gt;&lt;D xsi:type="xsd:long"&gt;40968&lt;/D&gt;&lt;D xsi:type="xsd:long"&gt;40939&lt;/D&gt;&lt;D xsi:type="xsd:long"&gt;40907&lt;/D&gt;&lt;D xsi:type="xsd:long"&gt;40877&lt;/D&gt;&lt;D xsi:type="xsd:long"&gt;40847&lt;/D&gt;&lt;D xsi:type="xsd:long"&gt;40816&lt;/D&gt;&lt;D xsi:type="xsd:long"&gt;40786&lt;/D&gt;&lt;D xsi:type="xsd:long"&gt;40753&lt;/D&gt;&lt;D xsi:type="xsd:long"&gt;40724&lt;/D&gt;&lt;D xsi:type="xsd:long"&gt;40694&lt;/D&gt;&lt;D xsi:type="xsd:long"&gt;40662&lt;/D&gt;&lt;D xsi:type="xsd:long"&gt;40633&lt;/D&gt;&lt;D xsi:type="xsd:long"&gt;40602&lt;/D&gt;&lt;D xsi:type="xsd:long"&gt;40574&lt;/D&gt;&lt;D xsi:type="xsd:long"&gt;40543&lt;/D&gt;&lt;D xsi:type="xsd:long"&gt;40512&lt;/D&gt;&lt;D xsi:type="xsd:long"&gt;40480&lt;/D&gt;&lt;D xsi:type="xsd:long"&gt;40451&lt;/D&gt;&lt;D xsi:type="xsd:long"&gt;40421&lt;/D&gt;&lt;D xsi:type="xsd:long"&gt;40389&lt;/D&gt;&lt;D xsi:type="xsd:long"&gt;40359&lt;/D&gt;&lt;D xsi:type="xsd:long"&gt;40326&lt;/D&gt;&lt;D xsi:type="xsd:long"&gt;40298&lt;/D&gt;&lt;D xsi:type="xsd:long"&gt;40268&lt;/D&gt;&lt;D xsi:type="xsd:long"&gt;40235&lt;/D&gt;&lt;D xsi:type="xsd:long"&gt;40207&lt;/D&gt;&lt;D xsi:type="xsd:long"&gt;40178&lt;/D&gt;&lt;D xsi:type="xsd:long"&gt;40147&lt;/D&gt;&lt;D xsi:type="xsd:long"&gt;40116&lt;/D&gt;&lt;D xsi:type="xsd:long"&gt;40086&lt;/D&gt;&lt;D xsi:type="xsd:long"&gt;40056&lt;/D&gt;&lt;D xsi:type="xsd:long"&gt;40025&lt;/D&gt;&lt;D xsi:type="xsd:long"&gt;39994&lt;/D&gt;&lt;D xsi:type="xsd:long"&gt;39962&lt;/D&gt;&lt;D xsi:type="xsd:long"&gt;39933&lt;/D&gt;&lt;D xsi:type="xsd:long"&gt;39903&lt;/D&gt;&lt;D xsi:type="xsd:long"&gt;39871&lt;/D&gt;&lt;D xsi:type="xsd:long"&gt;39843&lt;/D&gt;&lt;D xsi:type="xsd:long"&gt;39813&lt;/D&gt;&lt;D xsi:type="xsd:long"&gt;39780&lt;/D&gt;&lt;D xsi:type="xsd:long"&gt;39752&lt;/D&gt;&lt;D xsi:type="xsd:long"&gt;39721&lt;/D&gt;&lt;D xsi:type="xsd:long"&gt;39689&lt;/D&gt;&lt;D xsi:type="xsd:long"&gt;39660&lt;/D&gt;&lt;D xsi:type="xsd:long"&gt;39629&lt;/D&gt;&lt;D xsi:type="xsd:long"&gt;39598&lt;/D&gt;&lt;D xsi:type="xsd:long"&gt;39568&lt;/D&gt;&lt;D xsi:type="xsd:long"&gt;39538&lt;/D&gt;&lt;D xsi:type="xsd:long"&gt;39507&lt;/D&gt;&lt;D xsi:type="xsd:long"&gt;39478&lt;/D&gt;&lt;D xsi:type="xsd:long"&gt;39447&lt;/D&gt;&lt;D xsi:type="xsd:long"&gt;39416&lt;/D&gt;&lt;D xsi:type="xsd:long"&gt;39386&lt;/D&gt;&lt;D xsi:type="xsd:long"&gt;39353&lt;/D&gt;&lt;D xsi:type="xsd:long"&gt;39325&lt;/D&gt;&lt;D xsi:type="xsd:long"&gt;39294&lt;/D&gt;&lt;D xsi:type="xsd:long"&gt;39262&lt;/D&gt;&lt;D xsi:type="xsd:long"&gt;39233&lt;/D&gt;&lt;D xsi:type="xsd:long"&gt;39202&lt;/D&gt;&lt;D xsi:type="xsd:long"&gt;39171&lt;/D&gt;&lt;D xsi:type="xsd:long"&gt;39141&lt;/D&gt;&lt;D xsi:type="xsd:long"&gt;39113&lt;/D&gt;&lt;D xsi:type="xsd:long"&gt;39080&lt;/D&gt;&lt;D xsi:type="xsd:long"&gt;39051&lt;/D&gt;&lt;D xsi:type="xsd:long"&gt;39021&lt;/D&gt;&lt;D xsi:type="xsd:long"&gt;38989&lt;/D&gt;&lt;D xsi:type="xsd:long"&gt;38960&lt;/D&gt;&lt;D xsi:type="xsd:long"&gt;38929&lt;/D&gt;&lt;D xsi:type="xsd:long"&gt;38898&lt;/D&gt;&lt;D xsi:type="xsd:long"&gt;38868&lt;/D&gt;&lt;D xsi:type="xsd:long"&gt;38835&lt;/D&gt;&lt;D xsi:type="xsd:long"&gt;38807&lt;/D&gt;&lt;D xsi:type="xsd:long"&gt;38776&lt;/D&gt;&lt;D xsi:type="xsd:long"&gt;38748&lt;/D&gt;&lt;D xsi:type="xsd:long"&gt;38716&lt;/D&gt;&lt;D xsi:type="xsd:long"&gt;38686&lt;/D&gt;&lt;D xsi:type="xsd:long"&gt;38656&lt;/D&gt;&lt;D xsi:type="xsd:long"&gt;38625&lt;/D&gt;&lt;D xsi:type="xsd:long"&gt;38595&lt;/D&gt;&lt;D xsi:type="xsd:long"&gt;38562&lt;/D&gt;&lt;D xsi:type="xsd:long"&gt;38533&lt;/D&gt;&lt;D xsi:type="xsd:long"&gt;38503&lt;/D&gt;&lt;D xsi:type="xsd:long"&gt;38471&lt;/D&gt;&lt;D xsi:type="xsd:long"&gt;38442&lt;/D&gt;&lt;D xsi:type="xsd:long"&gt;38411&lt;/D&gt;&lt;D xsi:type="xsd:long"&gt;38383&lt;/D&gt;&lt;D xsi:type="xsd:long"&gt;38352&lt;/D&gt;&lt;D xsi:type="xsd:long"&gt;38321&lt;/D&gt;&lt;D xsi:type="xsd:long"&gt;38289&lt;/D&gt;&lt;D xsi:type="xsd:long"&gt;38260&lt;/D&gt;&lt;D xsi:type="xsd:long"&gt;38230&lt;/D&gt;&lt;D xsi:type="xsd:long"&gt;38198&lt;/D&gt;&lt;D xsi:type="xsd:long"&gt;38168&lt;/D&gt;&lt;D xsi:type="xsd:long"&gt;38135&lt;/D&gt;&lt;D xsi:type="xsd:long"&gt;38107&lt;/D&gt;&lt;D xsi:type="xsd:long"&gt;38077&lt;/D&gt;&lt;D xsi:type="xsd:long"&gt;38044&lt;/D&gt;&lt;D xsi:type="xsd:long"&gt;38016&lt;/D&gt;&lt;D xsi:type="xsd:long"&gt;37986&lt;/D&gt;&lt;D xsi:type="xsd:long"&gt;37953&lt;/D&gt;&lt;D xsi:type="xsd:long"&gt;37925&lt;/D&gt;&lt;D xsi:type="xsd:long"&gt;37894&lt;/D&gt;&lt;D xsi:type="xsd:long"&gt;37862&lt;/D&gt;&lt;D xsi:type="xsd:long"&gt;37833&lt;/D&gt;&lt;D xsi:type="xsd:long"&gt;37802&lt;/D&gt;&lt;D xsi:type="xsd:long"&gt;37771&lt;/D&gt;&lt;D xsi:type="xsd:long"&gt;37741&lt;/D&gt;&lt;D xsi:type="xsd:long"&gt;37711&lt;/D&gt;&lt;D xsi:type="xsd:long"&gt;37680&lt;/D&gt;&lt;D xsi:type="xsd:long"&gt;37652&lt;/D&gt;&lt;D xsi:type="xsd:long"&gt;37621&lt;/D&gt;&lt;D xsi:type="xsd:long"&gt;37589&lt;/D&gt;&lt;D xsi:type="xsd:long"&gt;37560&lt;/D&gt;&lt;D xsi:type="xsd:long"&gt;37529&lt;/D&gt;&lt;D xsi:type="xsd:long"&gt;37498&lt;/D&gt;&lt;D xsi:type="xsd:long"&gt;37468&lt;/D&gt;&lt;D xsi:type="xsd:long"&gt;37435&lt;/D&gt;&lt;D xsi:type="xsd:long"&gt;37407&lt;/D&gt;&lt;D xsi:type="xsd:long"&gt;37376&lt;/D&gt;&lt;D xsi:type="xsd:long"&gt;37343&lt;/D&gt;&lt;D xsi:type="xsd:long"&gt;37315&lt;/D&gt;&lt;D xsi:type="xsd:long"&gt;37287&lt;/D&gt;&lt;D xsi:type="xsd:long"&gt;37256&lt;/D&gt;&lt;D xsi:type="xsd:long"&gt;37225&lt;/D&gt;&lt;D xsi:type="xsd:long"&gt;37195&lt;/D&gt;&lt;D xsi:type="xsd:long"&gt;37162&lt;/D&gt;&lt;D xsi:type="xsd:long"&gt;37134&lt;/D&gt;&lt;D xsi:type="xsd:long"&gt;37103&lt;/D&gt;&lt;D xsi:type="xsd:long"&gt;37071&lt;/D&gt;&lt;D xsi:type="xsd:long"&gt;37042&lt;/D&gt;&lt;D xsi:type="xsd:long"&gt;37011&lt;/D&gt;&lt;D xsi:type="xsd:long"&gt;36980&lt;/D&gt;&lt;D xsi:type="xsd:long"&gt;36950&lt;/D&gt;&lt;D xsi:type="xsd:long"&gt;36922&lt;/D&gt;&lt;D xsi:type="xsd:long"&gt;36889&lt;/D&gt;&lt;D xsi:type="xsd:long"&gt;36860&lt;/D&gt;&lt;D xsi:type="xsd:long"&gt;36830&lt;/D&gt;&lt;D xsi:type="xsd:long"&gt;36798&lt;/D&gt;&lt;D xsi:type="xsd:long"&gt;36769&lt;/D&gt;&lt;D xsi:type="xsd:long"&gt;36738&lt;/D&gt;&lt;D xsi:type="xsd:long"&gt;36707&lt;/D&gt;&lt;D xsi:type="xsd:long"&gt;36677&lt;/D&gt;&lt;D xsi:type="xsd:long"&gt;36644&lt;/D&gt;&lt;D xsi:type="xsd:long"&gt;36616&lt;/D&gt;&lt;D xsi:type="xsd:long"&gt;36585&lt;/D&gt;&lt;D xsi:type="xsd:long"&gt;36556&lt;/D&gt;&lt;/FQL&gt;&lt;FQL&gt;&lt;Q&gt;891800^MSCI_TOTAL_RET_IDX(2/27/2026,1/31/2000,M,USD,"GROSS")&lt;/Q&gt;&lt;R&gt;314&lt;/R&gt;&lt;C&gt;1&lt;/C&gt;&lt;D xsi:type="xsd:double"&gt;4403.390871&lt;/D&gt;&lt;D xsi:type="xsd:double"&gt;4173.334052&lt;/D&gt;&lt;D xsi:type="xsd:double"&gt;3833.616019&lt;/D&gt;&lt;D xsi:type="xsd:double"&gt;3721.081742&lt;/D&gt;&lt;D xsi:type="xsd:double"&gt;3811.817559&lt;/D&gt;&lt;D xsi:type="xsd:double"&gt;3658.578414&lt;/D&gt;&lt;D xsi:type="xsd:double"&gt;3413.408401&lt;/D&gt;&lt;D xsi:type="xsd:double"&gt;3364.072146&lt;/D&gt;&lt;D xsi:type="xsd:double"&gt;3297.604815&lt;/D&gt;&lt;D xsi:type="xsd:double"&gt;3106.883601&lt;/D&gt;&lt;D xsi:type="xsd:double"&gt;2978.610459&lt;/D&gt;&lt;D xsi:type="xsd:double"&gt;2939.100944&lt;/D&gt;&lt;D xsi:type="xsd:double"&gt;2919.510135&lt;/D&gt;&lt;D xsi:type="xsd:double"&gt;2904.902117&lt;/D&gt;&lt;D xsi:type="xsd:double"&gt;2853.329621&lt;/D&gt;&lt;D xsi:type="xsd:double"&gt;2855.948904&lt;/D&gt;&lt;D xsi:type="xsd:double"&gt;2962.104162&lt;/D&gt;&lt;D xsi:type="xsd:double"&gt;3095.951629&lt;/D&gt;&lt;D xsi:type="xsd:double"&gt;2901.013872&lt;/D&gt;&lt;D xsi:type="xsd:double"&gt;2853.979774&lt;/D&gt;&lt;D xsi:type="xsd:double"&gt;2843.533213&lt;/D&gt;&lt;D xsi:type="xsd:double"&gt;2733.960707&lt;/D&gt;&lt;D xsi:type="xsd:double"&gt;2717.813606&lt;/D&gt;&lt;D xsi:type="xsd:double"&gt;2697.755988&lt;/D&gt;&lt;D xsi:type="xsd:double"&gt;2638.610103&lt;/D&gt;&lt;D xsi:type="xsd:double"&gt;2518.362014&lt;/D&gt;&lt;D xsi:type="xsd:double"&gt;2640.735955&lt;/D&gt;&lt;D xsi:type="xsd:double"&gt;2540.486922&lt;/D&gt;&lt;D xsi:type="xsd:double"&gt;2351.871962&lt;/D&gt;&lt;D xsi:type="xsd:double"&gt;2446.667019&lt;/D&gt;&lt;D xsi:type="xsd:double"&gt;2511.332593&lt;/D&gt;&lt;D xsi:type="xsd:double"&gt;2675.364039&lt;/D&gt;&lt;D xsi:type="xsd:double"&gt;2516.963261&lt;/D&gt;&lt;D xsi:type="xsd:double"&gt;2422.675646&lt;/D&gt;&lt;D xsi:type="xsd:double"&gt;2463.338835&lt;/D&gt;&lt;D xsi:type="xsd:double"&gt;2491.096294&lt;/D&gt;&lt;D xsi:type="xsd:double"&gt;2416.855931&lt;/D&gt;&lt;D xsi:type="xsd:double"&gt;2584.230189&lt;/D&gt;&lt;D xsi:type="xsd:double"&gt;2394.897987&lt;/D&gt;&lt;D xsi:type="xsd:double"&gt;2427.707446&lt;/D&gt;&lt;D xsi:type="xsd:double"&gt;2113.858828&lt;/D&gt;&lt;D xsi:type="xsd:double"&gt;2181.297222&lt;/D&gt;&lt;D xsi:type="xsd:double"&gt;2469.58438&lt;/D&gt;&lt;D xsi:type="xsd:double"&gt;2458.39894&lt;/D&gt;&lt;D xsi:type="xsd:double"&gt;2462.3854&lt;/D&gt;&lt;D xsi:type="xsd:double"&gt;2635.333399&lt;/D&gt;&lt;D xsi:type="xsd:double"&gt;2623.12744&lt;/D&gt;&lt;D xsi:type="xsd:double"&gt;2777.192225&lt;/D&gt;&lt;D xsi:type="xsd:double"&gt;2840.359279&lt;/D&gt;&lt;D xsi:type="xsd:double"&gt;2927.510881&lt;/D&gt;&lt;D xsi:type="xsd:double"&gt;2983.765859&lt;/D&gt;&lt;D xsi:type="xsd:double"&gt;2927.417438&lt;/D&gt;&lt;D xsi:type="xsd:double"&gt;3051.526133&lt;/D&gt;&lt;D xsi:type="xsd:double"&gt;3021.283043&lt;/D&gt;&lt;D xsi:type="xsd:double"&gt;3145.168986&lt;/D&gt;&lt;D xsi:type="xsd:double"&gt;3064.004118&lt;/D&gt;&lt;D xsi:type="xsd:double"&gt;3283.022669&lt;/D&gt;&lt;D xsi:type="xsd:double"&gt;3238.543286&lt;/D&gt;&lt;D xsi:type="xsd:double"&gt;3201.289502&lt;/D&gt;&lt;D xsi:type="xsd:double"&gt;3123.109961&lt;/D&gt;&lt;D xsi:type="xsd:double"&gt;3170.207511&lt;/D&gt;&lt;D xsi:type="xsd:double"&gt;3145.973044&lt;/D&gt;&lt;D xsi:type="xsd:double"&gt;3051.617144&lt;/D&gt;&lt;D xsi:type="xsd:double"&gt;2841.391158&lt;/D&gt;&lt;D xsi:type="xsd:double"&gt;2600.700419&lt;/D&gt;&lt;D xsi:type="xsd:double"&gt;2547.814726&lt;/D&gt;&lt;D xsi:type="xsd:double"&gt;2588.733391&lt;/D&gt;&lt;D xsi:type="xsd:double"&gt;2532.134898&lt;/D&gt;&lt;D xsi:type="xsd:double"&gt;2322.513063&lt;/D&gt;&lt;D xsi:type="xsd:double"&gt;2162.43582&lt;/D&gt;&lt;D xsi:type="xsd:double"&gt;2145.501397&lt;/D&gt;&lt;D xsi:type="xsd:double"&gt;1965.162454&lt;/D&gt;&lt;D xsi:type="xsd:double"&gt;2322.259145&lt;/D&gt;&lt;D xsi:type="xsd:double"&gt;2451.389332&lt;/D&gt;&lt;D xsi:type="xsd:double"&gt;2571.141785&lt;/D&gt;&lt;D xsi:type="xsd:double"&gt;2391.172754&lt;/D&gt;&lt;D xsi:type="xsd:double"&gt;2394.310034&lt;/D&gt;&lt;D xsi:type="xsd:double"&gt;2297.198972&lt;/D&gt;&lt;D xsi:type="xsd:double"&gt;2253.438797&lt;/D&gt;&lt;D xsi:type="xsd:double"&gt;2368.229232&lt;/D&gt;&lt;D xsi:type="xsd:double"&gt;2395.536856&lt;/D&gt;&lt;D xsi:type="xsd:double"&gt;2253.090057&lt;/D&gt;&lt;D xsi:type="xsd:double"&gt;2428.541883&lt;/D&gt;&lt;D xsi:type="xsd:double"&gt;2378.030563&lt;/D&gt;&lt;D xsi:type="xsd:double"&gt;2357.783624&lt;/D&gt;&lt;D xsi:type="xsd:double"&gt;2352.279785&lt;/D&gt;&lt;D xsi:type="xsd:double"&gt;2162.749493&lt;/D&gt;&lt;D xsi:type="xsd:double"&gt;2220.225841&lt;/D&gt;&lt;D xsi:type="xsd:double"&gt;2132.204514&lt;/D&gt;&lt;D xsi:type="xsd:double"&gt;2335.379244&lt;/D&gt;&lt;D xsi:type="xsd:double"&gt;2347.057404&lt;/D&gt;&lt;D xsi:type="xsd:double"&gt;2411.555544&lt;/D&gt;&lt;D xsi:type="xsd:double"&gt;2357.686132&lt;/D&gt;&lt;D xsi:type="xsd:double"&gt;2458.183913&lt;/D&gt;&lt;D xsi:type="xsd:double"&gt;2547.855372&lt;/D&gt;&lt;D xsi:type="xsd:double"&gt;2555.197365&lt;/D&gt;&lt;D xsi:type="xsd:double"&gt;2606.494966&lt;/D&gt;&lt;D xsi:type="xsd:double"&gt;2732.109285&lt;/D&gt;&lt;D xsi:type="xsd:double"&gt;2521.742733&lt;/D&gt;&lt;D xsi:type="xsd:double"&gt;2433.136419&lt;/D&gt;&lt;D xsi:type="xsd:double"&gt;2428.129316&lt;/D&gt;&lt;D xsi:type="xsd:double"&gt;2345.74858&lt;/D&gt;&lt;D xsi:type="xsd:double"&gt;2354.57717&lt;/D&gt;&lt;D xsi:type="xsd:double"&gt;2302.362026&lt;/D&gt;&lt;D xsi:type="xsd:double"&gt;2171.194692&lt;/D&gt;&lt;D xsi:type="xsd:double"&gt;2148.112242&lt;/D&gt;&lt;D xsi:type="xsd:double"&gt;2086.005266&lt;/D&gt;&lt;D xsi:type="xsd:double"&gt;2040.90234&lt;/D&gt;&lt;D xsi:type="xsd:double"&gt;1990.164757&lt;/D&gt;&lt;D xsi:type="xsd:double"&gt;1930.907642&lt;/D&gt;&lt;D xsi:type="xsd:double"&gt;1830.637982&lt;/D&gt;&lt;D xsi:type="xsd:double"&gt;1825.344907&lt;/D&gt;&lt;D xsi:type="xsd:double"&gt;1913.299392&lt;/D&gt;&lt;D xsi:type="xsd:double"&gt;1908.580635&lt;/D&gt;&lt;D xsi:type="xsd:double"&gt;1883.797541&lt;/D&gt;&lt;D xsi:type="xsd:double"&gt;1837.521471&lt;/D&gt;&lt;D xsi:type="xsd:double"&gt;1748.523839&lt;/D&gt;&lt;D xsi:type="xsd:double"&gt;1679.737801&lt;/D&gt;&lt;D xsi:type="xsd:double"&gt;1744.465748&lt;/D&gt;&lt;D xsi:type="xsd:double"&gt;1734.691989&lt;/D&gt;&lt;D xsi:type="xsd:double"&gt;1531.633918&lt;/D&gt;&lt;D xsi:type="xsd:double"&gt;1533.975243&lt;/D&gt;&lt;D xsi:type="xsd:double"&gt;1640.2962&lt;/D&gt;&lt;D xsi:type="xsd:double"&gt;1676.723449&lt;/D&gt;&lt;D xsi:type="xsd:double"&gt;1744.660185&lt;/D&gt;&lt;D xsi:type="xsd:double"&gt;1628.390481&lt;/D&gt;&lt;D xsi:type="xsd:double"&gt;1678.279694&lt;/D&gt;&lt;D xsi:type="xsd:double"&gt;1844.464028&lt;/D&gt;&lt;D xsi:type="xsd:double"&gt;1980.535343&lt;/D&gt;&lt;D xsi:type="xsd:double"&gt;2031.754678&lt;/D&gt;&lt;D xsi:type="xsd:double"&gt;2116.085529&lt;/D&gt;&lt;D xsi:type="xsd:double"&gt;1964.494225&lt;/D&gt;&lt;D xsi:type="xsd:double"&gt;1992.427821&lt;/D&gt;&lt;D xsi:type="xsd:double"&gt;1932.36318&lt;/D&gt;&lt;D xsi:type="xsd:double"&gt;1920.693196&lt;/D&gt;&lt;D xsi:type="xsd:double"&gt;2012.492498&lt;/D&gt;&lt;D xsi:type="xsd:double"&gt;2033.883094&lt;/D&gt;&lt;D xsi:type="xsd:double"&gt;2009.950709&lt;/D&gt;&lt;D xsi:type="xsd:double"&gt;2170.374853&lt;/D&gt;&lt;D xsi:type="xsd:double"&gt;2121.713296&lt;/D&gt;&lt;D xsi:type="xsd:double"&gt;2079.790335&lt;/D&gt;&lt;D xsi:type="xsd:double"&gt;2025.070115&lt;/D&gt;&lt;D xsi:type="xsd:double"&gt;1956.339416&lt;/D&gt;&lt;D xsi:type="xsd:double"&gt;1949.082627&lt;/D&gt;&lt;D xsi:type="xsd:double"&gt;1890.623627&lt;/D&gt;&lt;D xsi:type="xsd:double"&gt;1829.630668&lt;/D&gt;&lt;D xsi:type="xsd:double"&gt;1956.224461&lt;/D&gt;&lt;D xsi:type="xsd:double"&gt;1984.758175&lt;/D&gt;&lt;D xsi:type="xsd:double"&gt;2014.050844&lt;/D&gt;&lt;D xsi:type="xsd:double"&gt;1920.464264&lt;/D&gt;&lt;D xsi:type="xsd:double"&gt;1802.66354&lt;/D&gt;&lt;D xsi:type="xsd:double"&gt;1833.431924&lt;/D&gt;&lt;D xsi:type="xsd:double"&gt;1813.503142&lt;/D&gt;&lt;D xsi:type="xsd:double"&gt;1935.820427&lt;/D&gt;&lt;D xsi:type="xsd:double"&gt;1985.83337&lt;/D&gt;&lt;D xsi:type="xsd:double"&gt;1965.853584&lt;/D&gt;&lt;D xsi:type="xsd:double"&gt;2004.298177&lt;/D&gt;&lt;D xsi:type="xsd:double"&gt;2029.504225&lt;/D&gt;&lt;D xsi:type="xsd:double"&gt;2001.59647&lt;/D&gt;&lt;D xsi:type="xsd:double"&gt;1908.070884&lt;/D&gt;&lt;D xsi:type="xsd:double"&gt;1884.012904&lt;/D&gt;&lt;D xsi:type="xsd:double"&gt;1895.315507&lt;/D&gt;&lt;D xsi:type="xsd:double"&gt;1787.124029&lt;/D&gt;&lt;D xsi:type="xsd:double"&gt;1792.303954&lt;/D&gt;&lt;D xsi:type="xsd:double"&gt;1756.769753&lt;/D&gt;&lt;D xsi:type="xsd:double"&gt;1690.721557&lt;/D&gt;&lt;D xsi:type="xsd:double"&gt;1903.163916&lt;/D&gt;&lt;D xsi:type="xsd:double"&gt;1925.642377&lt;/D&gt;&lt;D xsi:type="xsd:double"&gt;1991.910844&lt;/D&gt;&lt;D xsi:type="xsd:double"&gt;1879.011172&lt;/D&gt;&lt;D xsi:type="xsd:double"&gt;1687.30045&lt;/D&gt;&lt;D xsi:type="xsd:double"&gt;1707.718718&lt;/D&gt;&lt;D xsi:type="xsd:double"&gt;1829.55261&lt;/D&gt;&lt;D xsi:type="xsd:double"&gt;1615.418988&lt;/D&gt;&lt;D xsi:type="xsd:double"&gt;1890.763322&lt;/D&gt;&lt;D xsi:type="xsd:double"&gt;2075.475075&lt;/D&gt;&lt;D xsi:type="xsd:double"&gt;2083.309754&lt;/D&gt;&lt;D xsi:type="xsd:double"&gt;2114.95551&lt;/D&gt;&lt;D xsi:type="xsd:double"&gt;2171.037801&lt;/D&gt;&lt;D xsi:type="xsd:double"&gt;2105.274552&lt;/D&gt;&lt;D xsi:type="xsd:double"&gt;1988.074247&lt;/D&gt;&lt;D xsi:type="xsd:double"&gt;2006.489432&lt;/D&gt;&lt;D xsi:type="xsd:double"&gt;2062.04187&lt;/D&gt;&lt;D xsi:type="xsd:double"&gt;1924.485165&lt;/D&gt;&lt;D xsi:type="xsd:double"&gt;1976.582589&lt;/D&gt;&lt;D xsi:type="xsd:double"&gt;1920.646909&lt;/D&gt;&lt;D xsi:type="xsd:double"&gt;1728.34345&lt;/D&gt;&lt;D xsi:type="xsd:double"&gt;1761.969008&lt;/D&gt;&lt;D xsi:type="xsd:double"&gt;1625.457252&lt;/D&gt;&lt;D xsi:type="xsd:double"&gt;1620.270177&lt;/D&gt;&lt;D xsi:type="xsd:double"&gt;1794.24236&lt;/D&gt;&lt;D xsi:type="xsd:double"&gt;1772.372637&lt;/D&gt;&lt;D xsi:type="xsd:double"&gt;1639.853032&lt;/D&gt;&lt;D xsi:type="xsd:double"&gt;1633.759545&lt;/D&gt;&lt;D xsi:type="xsd:double"&gt;1729.96349&lt;/D&gt;&lt;D xsi:type="xsd:double"&gt;1664.042967&lt;/D&gt;&lt;D xsi:type="xsd:double"&gt;1595.430438&lt;/D&gt;&lt;D xsi:type="xsd:double"&gt;1593.312467&lt;/D&gt;&lt;D xsi:type="xsd:double"&gt;1460.502703&lt;/D&gt;&lt;D xsi:type="xsd:double"&gt;1465.354569&lt;/D&gt;&lt;D xsi:type="xsd:double"&gt;1316.388649&lt;/D&gt;&lt;D xsi:type="xsd:double"&gt;1334.094828&lt;/D&gt;&lt;D xsi:type="xsd:double"&gt;1138.840721&lt;/D&gt;&lt;D xsi:type="xsd:double"&gt;976.235645&lt;/D&gt;&lt;D xsi:type="xsd:double"&gt;853.468074&lt;/D&gt;&lt;D xsi:type="xsd:double"&gt;904.332103&lt;/D&gt;&lt;D xsi:type="xsd:double"&gt;966.344096&lt;/D&gt;&lt;D xsi:type="xsd:double"&gt;896.199168&lt;/D&gt;&lt;D xsi:type="xsd:double"&gt;969.080111&lt;/D&gt;&lt;D xsi:type="xsd:double"&gt;1333.962432&lt;/D&gt;&lt;D xsi:type="xsd:double"&gt;1616.719135&lt;/D&gt;&lt;D xsi:type="xsd:double"&gt;1756.441086&lt;/D&gt;&lt;D xsi:type="xsd:double"&gt;1823.791962&lt;/D&gt;&lt;D xsi:type="xsd:double"&gt;2025.588879&lt;/D&gt;&lt;D xsi:type="xsd:double"&gt;1988.127824&lt;/D&gt;&lt;D xsi:type="xsd:double"&gt;1838.620204&lt;/D&gt;&lt;D xsi:type="xsd:double"&gt;1941.170458&lt;/D&gt;&lt;D xsi:type="xsd:double"&gt;1807.125289&lt;/D&gt;&lt;D xsi:type="xsd:double"&gt;2064.108565&lt;/D&gt;&lt;D xsi:type="xsd:double"&gt;2056.723593&lt;/D&gt;&lt;D xsi:type="xsd:double"&gt;2213.536996&lt;/D&gt;&lt;D xsi:type="xsd:double"&gt;1991.309831&lt;/D&gt;&lt;D xsi:type="xsd:double"&gt;1793.133178&lt;/D&gt;&lt;D xsi:type="xsd:double"&gt;1831.454642&lt;/D&gt;&lt;D xsi:type="xsd:double"&gt;1738.808884&lt;/D&gt;&lt;D xsi:type="xsd:double"&gt;1660.277443&lt;/D&gt;&lt;D xsi:type="xsd:double"&gt;1582.966861&lt;/D&gt;&lt;D xsi:type="xsd:double"&gt;1511.062244&lt;/D&gt;&lt;D xsi:type="xsd:double"&gt;1452.863471&lt;/D&gt;&lt;D xsi:type="xsd:double"&gt;1461.328252&lt;/D&gt;&lt;D xsi:type="xsd:double"&gt;1476.238933&lt;/D&gt;&lt;D xsi:type="xsd:double"&gt;1412.502305&lt;/D&gt;&lt;D xsi:type="xsd:double"&gt;1314.596578&lt;/D&gt;&lt;D xsi:type="xsd:double"&gt;1254.924722&lt;/D&gt;&lt;D xsi:type="xsd:double"&gt;1244.464058&lt;/D&gt;&lt;D xsi:type="xsd:double"&gt;1212.953211&lt;/D&gt;&lt;D xsi:type="xsd:double"&gt;1195.37414&lt;/D&gt;&lt;D xsi:type="xsd:double"&gt;1197.914276&lt;/D&gt;&lt;D xsi:type="xsd:double"&gt;1337.80029&lt;/D&gt;&lt;D xsi:type="xsd:double"&gt;1248.689933&lt;/D&gt;&lt;D xsi:type="xsd:double"&gt;1237.595652&lt;/D&gt;&lt;D xsi:type="xsd:double"&gt;1238.782493&lt;/D&gt;&lt;D xsi:type="xsd:double"&gt;1113.707493&lt;/D&gt;&lt;D xsi:type="xsd:double"&gt;1051.423183&lt;/D&gt;&lt;D xsi:type="xsd:double"&gt;971.025186&lt;/D&gt;&lt;D xsi:type="xsd:double"&gt;1038.902474&lt;/D&gt;&lt;D xsi:type="xsd:double"&gt;950.29084&lt;/D&gt;&lt;D xsi:type="xsd:double"&gt;941.812783&lt;/D&gt;&lt;D xsi:type="xsd:double"&gt;879.575792&lt;/D&gt;&lt;D xsi:type="xsd:double"&gt;850.227405&lt;/D&gt;&lt;D xsi:type="xsd:double"&gt;821.310155&lt;/D&gt;&lt;D xsi:type="xsd:double"&gt;843.799926&lt;/D&gt;&lt;D xsi:type="xsd:double"&gt;903.311057&lt;/D&gt;&lt;D xsi:type="xsd:double"&gt;830.394737&lt;/D&gt;&lt;D xsi:type="xsd:double"&gt;827.775091&lt;/D&gt;&lt;D xsi:type="xsd:double"&gt;789.754635&lt;/D&gt;&lt;D xsi:type="xsd:double"&gt;722.804987&lt;/D&gt;&lt;D xsi:type="xsd:double"&gt;705.894224&lt;/D&gt;&lt;D xsi:type="xsd:double"&gt;667.349908&lt;/D&gt;&lt;D xsi:type="xsd:double"&gt;640.536639&lt;/D&gt;&lt;D xsi:type="xsd:double"&gt;652.066625&lt;/D&gt;&lt;D xsi:type="xsd:double"&gt;653.364597&lt;/D&gt;&lt;D xsi:type="xsd:double"&gt;662.142991&lt;/D&gt;&lt;D xsi:type="xsd:double"&gt;721.097949&lt;/D&gt;&lt;D xsi:type="xsd:double"&gt;711.950446&lt;/D&gt;&lt;D xsi:type="xsd:double"&gt;680.555579&lt;/D&gt;&lt;D xsi:type="xsd:double"&gt;657.215016&lt;/D&gt;&lt;D xsi:type="xsd:double"&gt;612.790476&lt;/D&gt;&lt;D xsi:type="xsd:double"&gt;605.351267&lt;/D&gt;&lt;D xsi:type="xsd:double"&gt;557.877431&lt;/D&gt;&lt;D xsi:type="xsd:double"&gt;553.816963&lt;/D&gt;&lt;D xsi:type="xsd:double"&gt;518.982933&lt;/D&gt;&lt;D xsi:type="xsd:double"&gt;488.395847&lt;/D&gt;&lt;D xsi:type="xsd:double"&gt;462.061468&lt;/D&gt;&lt;D xsi:type="xsd:double"&gt;431.11933&lt;/D&gt;&lt;D xsi:type="xsd:double"&gt;395.859&lt;/D&gt;&lt;D xsi:type="xsd:double"&gt;407.411&lt;/D&gt;&lt;D xsi:type="xsd:double"&gt;418.712&lt;/D&gt;&lt;D xsi:type="xsd:double"&gt;420.543&lt;/D&gt;&lt;D xsi:type="xsd:double"&gt;434.996&lt;/D&gt;&lt;D xsi:type="xsd:double"&gt;406.982&lt;/D&gt;&lt;D xsi:type="xsd:double"&gt;382.183&lt;/D&gt;&lt;D xsi:type="xsd:double"&gt;428.404&lt;/D&gt;&lt;D xsi:type="xsd:double"&gt;421.903&lt;/D&gt;&lt;D xsi:type="xsd:double"&gt;456.633&lt;/D&gt;&lt;D xsi:type="xsd:double"&gt;493.669&lt;/D&gt;&lt;D xsi:type="xsd:double"&gt;501.662&lt;/D&gt;&lt;D xsi:type="xsd:double"&gt;498.475&lt;/D&gt;&lt;D xsi:type="xsd:double"&gt;470.147&lt;/D&gt;&lt;D xsi:type="xsd:double"&gt;462.548&lt;/D&gt;&lt;D xsi:type="xsd:double"&gt;447.387&lt;/D&gt;&lt;D xsi:type="xsd:double"&gt;414.487&lt;/D&gt;&lt;D xsi:type="xsd:double"&gt;375.304&lt;/D&gt;&lt;D xsi:type="xsd:double"&gt;353.374&lt;/D&gt;&lt;D xsi:type="xsd:double"&gt;418.085&lt;/D&gt;&lt;D xsi:type="xsd:double"&gt;422.25&lt;/D&gt;&lt;D xsi:type="xsd:double"&gt;450.732&lt;/D&gt;&lt;D xsi:type="xsd:double"&gt;460.178&lt;/D&gt;&lt;D xsi:type="xsd:double"&gt;454.75&lt;/D&gt;&lt;D xsi:type="xsd:double"&gt;433.338&lt;/D&gt;&lt;D xsi:type="xsd:double"&gt;480.536&lt;/D&gt;&lt;D xsi:type="xsd:double"&gt;521.359&lt;/D&gt;&lt;D xsi:type="xsd:double"&gt;458.256988525391&lt;/D&gt;&lt;D xsi:type="xsd:double"&gt;447.454010009766&lt;/D&gt;&lt;D xsi:type="xsd:double"&gt;490.325012207031&lt;/D&gt;&lt;D xsi:type="xsd:double"&gt;528.653991699219&lt;/D&gt;&lt;D xsi:type="xsd:double"&gt;579.22998046875&lt;/D&gt;&lt;D xsi:type="xsd:double"&gt;576.39599609375&lt;/D&gt;&lt;D xsi:type="xsd:double"&gt;607.64697265625&lt;/D&gt;&lt;D xsi:type="xsd:double"&gt;586.971008300781&lt;/D&gt;&lt;D xsi:type="xsd:double"&gt;612.283996582031&lt;/D&gt;&lt;D xsi:type="xsd:double"&gt;676.401977539062&lt;/D&gt;&lt;D xsi:type="xsd:double"&gt;673.117004394531&lt;/D&gt;&lt;D xsi:type="xsd:double"&gt;664.343017578125&lt;/D&gt;&lt;/FQL&gt;&lt;FQL&gt;&lt;Q&gt;891800^JULIAN(MSCI_TOTAL_RET_IDX(2/27/2026,1/31/2000,M,USD,"GROSS").DATES)&lt;/Q&gt;&lt;R&gt;314&lt;/R&gt;&lt;C&gt;1&lt;/C&gt;&lt;D xsi:type="xsd:long"&gt;46080&lt;/D&gt;&lt;D xsi:type="xsd:long"&gt;46052&lt;/D&gt;&lt;D xsi:type="xsd:long"&gt;46022&lt;/D&gt;&lt;D xsi:type="xsd:long"&gt;45989&lt;/D&gt;&lt;D xsi:type="xsd:long"&gt;45961&lt;/D&gt;&lt;D xsi:type="xsd:long"&gt;45930&lt;/D&gt;&lt;D xsi:type="xsd:long"&gt;45898&lt;/D&gt;&lt;D xsi:type="xsd:long"&gt;45869&lt;/D&gt;&lt;D xsi:type="xsd:long"&gt;45838&lt;/D&gt;&lt;D xsi:type="xsd:long"&gt;45807&lt;/D&gt;&lt;D xsi:type="xsd:long"&gt;45777&lt;/D&gt;&lt;D xsi:type="xsd:long"&gt;45747&lt;/D&gt;&lt;D xsi:type="xsd:long"&gt;45716&lt;/D&gt;&lt;D xsi:type="xsd:long"&gt;45688&lt;/D&gt;&lt;D xsi:type="xsd:long"&gt;45657&lt;/D&gt;&lt;D xsi:type="xsd:long"&gt;45625&lt;/D&gt;&lt;D xsi:type="xsd:long"&gt;45596&lt;/D&gt;&lt;D xsi:type="xsd:long"&gt;45565&lt;/D&gt;&lt;D xsi:type="xsd:long"&gt;45534&lt;/D&gt;&lt;D xsi:type="xsd:long"&gt;45504&lt;/D&gt;&lt;D xsi:type="xsd:long"&gt;45471&lt;/D&gt;&lt;D xsi:type="xsd:long"&gt;45443&lt;/D&gt;&lt;D xsi:type="xsd:long"&gt;45412&lt;/D&gt;&lt;D xsi:type="xsd:long"&gt;45379&lt;/D&gt;&lt;D xsi:type="xsd:long"&gt;45351&lt;/D&gt;&lt;D xsi:type="xsd:long"&gt;45322&lt;/D&gt;&lt;D xsi:type="xsd:long"&gt;45289&lt;/D&gt;&lt;D xsi:type="xsd:long"&gt;45260&lt;/D&gt;&lt;D xsi:type="xsd:long"&gt;45230&lt;/D&gt;&lt;D xsi:type="xsd:long"&gt;45198&lt;/D&gt;&lt;D xsi:type="xsd:long"&gt;45169&lt;/D&gt;&lt;D xsi:type="xsd:long"&gt;45138&lt;/D&gt;&lt;D xsi:type="xsd:long"&gt;45107&lt;/D&gt;&lt;D xsi:type="xsd:long"&gt;45077&lt;/D&gt;&lt;D xsi:type="xsd:long"&gt;45044&lt;/D&gt;&lt;D xsi:type="xsd:long"&gt;45016&lt;/D&gt;&lt;D xsi:type="xsd:long"&gt;44985&lt;/D&gt;&lt;D xsi:type="xsd:long"&gt;44957&lt;/D&gt;&lt;D xsi:type="xsd:long"&gt;44925&lt;/D&gt;&lt;D xsi:type="xsd:long"&gt;44895&lt;/D&gt;&lt;D xsi:type="xsd:long"&gt;44865&lt;/D&gt;&lt;D xsi:type="xsd:long"&gt;44834&lt;/D&gt;&lt;D xsi:type="xsd:long"&gt;44804&lt;/D&gt;&lt;D xsi:type="xsd:long"&gt;44771&lt;/D&gt;&lt;D xsi:type="xsd:long"&gt;44742&lt;/D&gt;&lt;D xsi:type="xsd:long"&gt;44712&lt;/D&gt;&lt;D xsi:type="xsd:long"&gt;44680&lt;/D&gt;&lt;D xsi:type="xsd:long"&gt;44651&lt;/D&gt;&lt;D xsi:type="xsd:long"&gt;44620&lt;/D&gt;&lt;D xsi:type="xsd:long"&gt;44592&lt;/D&gt;&lt;D xsi:type="xsd:long"&gt;44561&lt;/D&gt;&lt;D xsi:type="xsd:long"&gt;44530&lt;/D&gt;&lt;D xsi:type="xsd:long"&gt;44498&lt;/D&gt;&lt;D xsi:type="xsd:long"&gt;44469&lt;/D&gt;&lt;D xsi:type="xsd:long"&gt;44439&lt;/D&gt;&lt;D xsi:type="xsd:long"&gt;44407&lt;/D&gt;&lt;D xsi:type="xsd:long"&gt;44377&lt;/D&gt;&lt;D xsi:type="xsd:long"&gt;44344&lt;/D&gt;&lt;D xsi:type="xsd:long"&gt;44316&lt;/D&gt;&lt;D xsi:type="xsd:long"&gt;44286&lt;/D&gt;&lt;D xsi:type="xsd:long"&gt;44253&lt;/D&gt;&lt;D xsi:type="xsd:long"&gt;44225&lt;/D&gt;&lt;D xsi:type="xsd:long"&gt;44196&lt;/D&gt;&lt;D xsi:type="xsd:long"&gt;44165&lt;/D&gt;&lt;D xsi:type="xsd:long"&gt;44134&lt;/D&gt;&lt;D xsi:type="xsd:long"&gt;44104&lt;/D&gt;&lt;D xsi:type="xsd:long"&gt;44074&lt;/D&gt;&lt;D xsi:type="xsd:long"&gt;44043&lt;/D&gt;&lt;D xsi:type="xsd:long"&gt;44012&lt;/D&gt;&lt;D xsi:type="xsd:long"&gt;43980&lt;/D&gt;&lt;D xsi:type="xsd:long"&gt;43951&lt;/D&gt;&lt;D xsi:type="xsd:long"&gt;43921&lt;/D&gt;&lt;D xsi:type="xsd:long"&gt;43889&lt;/D&gt;&lt;D xsi:type="xsd:long"&gt;43861&lt;/D&gt;&lt;D xsi:type="xsd:long"&gt;43830&lt;/D&gt;&lt;D xsi:type="xsd:long"&gt;43798&lt;/D&gt;&lt;D xsi:type="xsd:long"&gt;43769&lt;/D&gt;&lt;D xsi:type="xsd:long"&gt;43738&lt;/D&gt;&lt;D xsi:type="xsd:long"&gt;43707&lt;/D&gt;&lt;D xsi:type="xsd:long"&gt;43677&lt;/D&gt;&lt;D xsi:type="xsd:long"&gt;43644&lt;/D&gt;&lt;D xsi:type="xsd:long"&gt;43616&lt;/D&gt;&lt;D xsi:type="xsd:long"&gt;43585&lt;/D&gt;&lt;D xsi:type="xsd:long"&gt;43553&lt;/D&gt;&lt;D xsi:type="xsd:long"&gt;43524&lt;/D&gt;&lt;D xsi:type="xsd:long"&gt;43496&lt;/D&gt;&lt;D xsi:type="xsd:long"&gt;43465&lt;/D&gt;&lt;D xsi:type="xsd:long"&gt;43434&lt;/D&gt;&lt;D xsi:type="xsd:long"&gt;43404&lt;/D&gt;&lt;D xsi:type="xsd:long"&gt;43371&lt;/D&gt;&lt;D xsi:type="xsd:long"&gt;43343&lt;/D&gt;&lt;D xsi:type="xsd:long"&gt;43312&lt;/D&gt;&lt;D xsi:type="xsd:long"&gt;43280&lt;/D&gt;&lt;D xsi:type="xsd:long"&gt;43251&lt;/D&gt;&lt;D xsi:type="xsd:long"&gt;43220&lt;/D&gt;&lt;D xsi:type="xsd:long"&gt;43188&lt;/D&gt;&lt;D xsi:type="xsd:long"&gt;43159&lt;/D&gt;&lt;D xsi:type="xsd:long"&gt;43131&lt;/D&gt;&lt;D xsi:type="xsd:long"&gt;43098&lt;/D&gt;&lt;D xsi:type="xsd:long"&gt;43069&lt;/D&gt;&lt;D xsi:type="xsd:long"&gt;43039&lt;/D&gt;&lt;D xsi:type="xsd:long"&gt;43007&lt;/D&gt;&lt;D xsi:type="xsd:long"&gt;42978&lt;/D&gt;&lt;D xsi:type="xsd:long"&gt;42947&lt;/D&gt;&lt;D xsi:type="xsd:long"&gt;42916&lt;/D&gt;&lt;D xsi:type="xsd:long"&gt;42886&lt;/D&gt;&lt;D xsi:type="xsd:long"&gt;42853&lt;/D&gt;&lt;D xsi:type="xsd:long"&gt;42825&lt;/D&gt;&lt;D xsi:type="xsd:long"&gt;42794&lt;/D&gt;&lt;D xsi:type="xsd:long"&gt;42766&lt;/D&gt;&lt;D xsi:type="xsd:long"&gt;42734&lt;/D&gt;&lt;D xsi:type="xsd:long"&gt;42704&lt;/D&gt;&lt;D xsi:type="xsd:long"&gt;42674&lt;/D&gt;&lt;D xsi:type="xsd:long"&gt;42643&lt;/D&gt;&lt;D xsi:type="xsd:long"&gt;42613&lt;/D&gt;&lt;D xsi:type="xsd:long"&gt;42580&lt;/D&gt;&lt;D xsi:type="xsd:long"&gt;42551&lt;/D&gt;&lt;D xsi:type="xsd:long"&gt;42521&lt;/D&gt;&lt;D xsi:type="xsd:long"&gt;42489&lt;/D&gt;&lt;D xsi:type="xsd:long"&gt;42460&lt;/D&gt;&lt;D xsi:type="xsd:long"&gt;42429&lt;/D&gt;&lt;D xsi:type="xsd:long"&gt;42398&lt;/D&gt;&lt;D xsi:type="xsd:long"&gt;42369&lt;/D&gt;&lt;D xsi:type="xsd:long"&gt;42338&lt;/D&gt;&lt;D xsi:type="xsd:long"&gt;42307&lt;/D&gt;&lt;D xsi:type="xsd:long"&gt;42277&lt;/D&gt;&lt;D xsi:type="xsd:long"&gt;42247&lt;/D&gt;&lt;D xsi:type="xsd:long"&gt;42216&lt;/D&gt;&lt;D xsi:type="xsd:long"&gt;42185&lt;/D&gt;&lt;D xsi:type="xsd:long"&gt;42153&lt;/D&gt;&lt;D xsi:type="xsd:long"&gt;42124&lt;/D&gt;&lt;D xsi:type="xsd:long"&gt;42094&lt;/D&gt;&lt;D xsi:type="xsd:long"&gt;42062&lt;/D&gt;&lt;D xsi:type="xsd:long"&gt;42034&lt;/D&gt;&lt;D xsi:type="xsd:long"&gt;42004&lt;/D&gt;&lt;D xsi:type="xsd:long"&gt;41971&lt;/D&gt;&lt;D xsi:type="xsd:long"&gt;41943&lt;/D&gt;&lt;D xsi:type="xsd:long"&gt;41912&lt;/D&gt;&lt;D xsi:type="xsd:long"&gt;41880&lt;/D&gt;&lt;D xsi:type="xsd:long"&gt;41851&lt;/D&gt;&lt;D xsi:type="xsd:long"&gt;41820&lt;/D&gt;&lt;D xsi:type="xsd:long"&gt;41789&lt;/D&gt;&lt;D xsi:type="xsd:long"&gt;41759&lt;/D&gt;&lt;D xsi:type="xsd:long"&gt;41729&lt;/D&gt;&lt;D xsi:type="xsd:long"&gt;41698&lt;/D&gt;&lt;D xsi:type="xsd:long"&gt;41670&lt;/D&gt;&lt;D xsi:type="xsd:long"&gt;41639&lt;/D&gt;&lt;D xsi:type="xsd:long"&gt;41607&lt;/D&gt;&lt;D xsi:type="xsd:long"&gt;41578&lt;/D&gt;&lt;D xsi:type="xsd:long"&gt;41547&lt;/D&gt;&lt;D xsi:type="xsd:long"&gt;41516&lt;/D&gt;&lt;D xsi:type="xsd:long"&gt;41486&lt;/D&gt;&lt;D xsi:type="xsd:long"&gt;41453&lt;/D&gt;&lt;D xsi:type="xsd:long"&gt;41425&lt;/D&gt;&lt;D xsi:type="xsd:long"&gt;41394&lt;/D&gt;&lt;D xsi:type="xsd:long"&gt;41361&lt;/D&gt;&lt;D xsi:type="xsd:long"&gt;41333&lt;/D&gt;&lt;D xsi:type="xsd:long"&gt;41305&lt;/D&gt;&lt;D xsi:type="xsd:long"&gt;41274&lt;/D&gt;&lt;D xsi:type="xsd:long"&gt;41243&lt;/D&gt;&lt;D xsi:type="xsd:long"&gt;41213&lt;/D&gt;&lt;D xsi:type="xsd:long"&gt;41180&lt;/D&gt;&lt;D xsi:type="xsd:long"&gt;41152&lt;/D&gt;&lt;D xsi:type="xsd:long"&gt;41121&lt;/D&gt;&lt;D xsi:type="xsd:long"&gt;41089&lt;/D&gt;&lt;D xsi:type="xsd:long"&gt;41060&lt;/D&gt;&lt;D xsi:type="xsd:long"&gt;41029&lt;/D&gt;&lt;D xsi:type="xsd:long"&gt;40998&lt;/D&gt;&lt;D xsi:type="xsd:long"&gt;40968&lt;/D&gt;&lt;D xsi:type="xsd:long"&gt;40939&lt;/D&gt;&lt;D xsi:type="xsd:long"&gt;40907&lt;/D&gt;&lt;D xsi:type="xsd:long"&gt;40877&lt;/D&gt;&lt;D xsi:type="xsd:long"&gt;40847&lt;/D&gt;&lt;D xsi:type="xsd:long"&gt;40816&lt;/D&gt;&lt;D xsi:type="xsd:long"&gt;40786&lt;/D&gt;&lt;D xsi:type="xsd:long"&gt;40753&lt;/D&gt;&lt;D xsi:type="xsd:long"&gt;40724&lt;/D&gt;&lt;D xsi:type="xsd:long"&gt;40694&lt;/D&gt;&lt;D xsi:type="xsd:long"&gt;40662&lt;/D&gt;&lt;D xsi:type="xsd:long"&gt;40633&lt;/D&gt;&lt;D xsi:type="xsd:long"&gt;40602&lt;/D&gt;&lt;D xsi:type="xsd:long"&gt;40574&lt;/D&gt;&lt;D xsi:type="xsd:long"&gt;40543&lt;/D&gt;&lt;D xsi:type="xsd:long"&gt;40512&lt;/D&gt;&lt;D xsi:type="xsd:long"&gt;40480&lt;/D&gt;&lt;D xsi:type="xsd:long"&gt;40451&lt;/D&gt;&lt;D xsi:type="xsd:long"&gt;40421&lt;/D&gt;&lt;D xsi:type="xsd:long"&gt;40389&lt;/D&gt;&lt;D xsi:type="xsd:long"&gt;40359&lt;/D&gt;&lt;D xsi:type="xsd:long"&gt;40326&lt;/D&gt;&lt;D xsi:type="xsd:long"&gt;40298&lt;/D&gt;&lt;D xsi:type="xsd:long"&gt;40268&lt;/D&gt;&lt;D xsi:type="xsd:long"&gt;40235&lt;/D&gt;&lt;D xsi:type="xsd:long"&gt;40207&lt;/D&gt;&lt;D xsi:type="xsd:long"&gt;40178&lt;/D&gt;&lt;D xsi:type="xsd:long"&gt;40147&lt;/D&gt;&lt;D xsi:type="xsd:long"&gt;40116&lt;/D&gt;&lt;D xsi:type="xsd:long"&gt;40086&lt;/D&gt;&lt;D xsi:type="xsd:long"&gt;40056&lt;/D&gt;&lt;D xsi:type="xsd:long"&gt;40025&lt;/D&gt;&lt;D xsi:type="xsd:long"&gt;39994&lt;/D&gt;&lt;D xsi:type="xsd:long"&gt;39962&lt;/D&gt;&lt;D xsi:type="xsd:long"&gt;39933&lt;/D&gt;&lt;D xsi:type="xsd:long"&gt;39903&lt;/D&gt;&lt;D xsi:type="xsd:long"&gt;39871&lt;/D&gt;&lt;D xsi:type="xsd:long"&gt;39843&lt;/D&gt;&lt;D xsi:type="xsd:long"&gt;39813&lt;/D&gt;&lt;D xsi:type="xsd:long"&gt;39780&lt;/D&gt;&lt;D xsi:type="xsd:long"&gt;39752&lt;/D&gt;&lt;D xsi:type="xsd:long"&gt;39721&lt;/D&gt;&lt;D xsi:type="xsd:long"&gt;39689&lt;/D&gt;&lt;D xsi:type="xsd:long"&gt;39660&lt;/D&gt;&lt;D xsi:type="xsd:long"&gt;39629&lt;/D&gt;&lt;D xsi:type="xsd:long"&gt;39598&lt;/D&gt;&lt;D xsi:type="xsd:long"&gt;39568&lt;/D&gt;&lt;D xsi:type="xsd:long"&gt;39538&lt;/D&gt;&lt;D xsi:type="xsd:long"&gt;39507&lt;/D&gt;&lt;D xsi:type="xsd:long"&gt;39478&lt;/D&gt;&lt;D xsi:type="xsd:long"&gt;39447&lt;/D&gt;&lt;D xsi:type="xsd:long"&gt;39416&lt;/D&gt;&lt;D xsi:type="xsd:long"&gt;39386&lt;/D&gt;&lt;D xsi:type="xsd:long"&gt;39353&lt;/D&gt;&lt;D xsi:type="xsd:long"&gt;39325&lt;/D&gt;&lt;D xsi:type="xsd:long"&gt;39294&lt;/D&gt;&lt;D xsi:type="xsd:long"&gt;39262&lt;/D&gt;&lt;D xsi:type="xsd:long"&gt;39233&lt;/D&gt;&lt;D xsi:type="xsd:long"&gt;39202&lt;/D&gt;&lt;D xsi:type="xsd:long"&gt;39171&lt;/D&gt;&lt;D xsi:type="xsd:long"&gt;39141&lt;/D&gt;&lt;D xsi:type="xsd:long"&gt;39113&lt;/D&gt;&lt;D xsi:type="xsd:long"&gt;39080&lt;/D&gt;&lt;D xsi:type="xsd:long"&gt;39051&lt;/D&gt;&lt;D xsi:type="xsd:long"&gt;39021&lt;/D&gt;&lt;D xsi:type="xsd:long"&gt;38989&lt;/D&gt;&lt;D xsi:type="xsd:long"&gt;38960&lt;/D&gt;&lt;D xsi:type="xsd:long"&gt;38929&lt;/D&gt;&lt;D xsi:type="xsd:long"&gt;38898&lt;/D&gt;&lt;D xsi:type="xsd:long"&gt;38868&lt;/D&gt;&lt;D xsi:type="xsd:long"&gt;38835&lt;/D&gt;&lt;D xsi:type="xsd:long"&gt;38807&lt;/D&gt;&lt;D xsi:type="xsd:long"&gt;38776&lt;/D&gt;&lt;D xsi:type="xsd:long"&gt;38748&lt;/D&gt;&lt;D xsi:type="xsd:long"&gt;38716&lt;/D&gt;&lt;D xsi:type="xsd:long"&gt;38686&lt;/D&gt;&lt;D xsi:type="xsd:long"&gt;38656&lt;/D&gt;&lt;D xsi:type="xsd:long"&gt;38625&lt;/D&gt;&lt;D xsi:type="xsd:long"&gt;38595&lt;/D&gt;&lt;D xsi:type="xsd:long"&gt;38562&lt;/D&gt;&lt;D xsi:type="xsd:long"&gt;38533&lt;/D&gt;&lt;D xsi:type="xsd:long"&gt;38503&lt;/D&gt;&lt;D xsi:type="xsd:long"&gt;38471&lt;/D&gt;&lt;D xsi:type="xsd:long"&gt;38442&lt;/D&gt;&lt;D xsi:type="xsd:long"&gt;38411&lt;/D&gt;&lt;D xsi:type="xsd:long"&gt;38383&lt;/D&gt;&lt;D xsi:type="xsd:long"&gt;38352&lt;/D&gt;&lt;D xsi:type="xsd:long"&gt;38321&lt;/D&gt;&lt;D xsi:type="xsd:long"&gt;38289&lt;/D&gt;&lt;D xsi:type="xsd:long"&gt;38260&lt;/D&gt;&lt;D xsi:type="xsd:long"&gt;38230&lt;/D&gt;&lt;D xsi:type="xsd:long"&gt;38198&lt;/D&gt;&lt;D xsi:type="xsd:long"&gt;38168&lt;/D&gt;&lt;D xsi:type="xsd:long"&gt;38135&lt;/D&gt;&lt;D xsi:type="xsd:long"&gt;38107&lt;/D&gt;&lt;D xsi:type="xsd:long"&gt;38077&lt;/D&gt;&lt;D xsi:type="xsd:long"&gt;38044&lt;/D&gt;&lt;D xsi:type="xsd:long"&gt;38016&lt;/D&gt;&lt;D xsi:type="xsd:long"&gt;37986&lt;/D&gt;&lt;D xsi:type="xsd:long"&gt;37953&lt;/D&gt;&lt;D xsi:type="xsd:long"&gt;37925&lt;/D&gt;&lt;D xsi:type="xsd:long"&gt;37894&lt;/D&gt;&lt;D xsi:type="xsd:long"&gt;37862&lt;/D&gt;&lt;D xsi:type="xsd:long"&gt;37833&lt;/D&gt;&lt;D xsi:type="xsd:long"&gt;37802&lt;/D&gt;&lt;D xsi:type="xsd:long"&gt;37771&lt;/D&gt;&lt;D xsi:type="xsd:long"&gt;37741&lt;/D&gt;&lt;D xsi:type="xsd:long"&gt;37711&lt;/D&gt;&lt;D xsi:type="xsd:long"&gt;37680&lt;/D&gt;&lt;D xsi:type="xsd:long"&gt;37652&lt;/D&gt;&lt;D xsi:type="xsd:long"&gt;37621&lt;/D&gt;&lt;D xsi:type="xsd:long"&gt;37589&lt;/D&gt;&lt;D xsi:type="xsd:long"&gt;37560&lt;/D&gt;&lt;D xsi:type="xsd:long"&gt;37529&lt;/D&gt;&lt;D xsi:type="xsd:long"&gt;37498&lt;/D&gt;&lt;D xsi:type="xsd:long"&gt;37468&lt;/D&gt;&lt;D xsi:type="xsd:long"&gt;37435&lt;/D&gt;&lt;D xsi:type="xsd:long"&gt;37407&lt;/D&gt;&lt;D xsi:type="xsd:long"&gt;37376&lt;/D&gt;&lt;D xsi:type="xsd:long"&gt;37343&lt;/D&gt;&lt;D xsi:type="xsd:long"&gt;37315&lt;/D&gt;&lt;D xsi:type="xsd:long"&gt;37287&lt;/D&gt;&lt;D xsi:type="xsd:long"&gt;37256&lt;/D&gt;&lt;D xsi:type="xsd:long"&gt;37225&lt;/D&gt;&lt;D xsi:type="xsd:long"&gt;37195&lt;/D&gt;&lt;D xsi:type="xsd:long"&gt;37162&lt;/D&gt;&lt;D xsi:type="xsd:long"&gt;37134&lt;/D&gt;&lt;D xsi:type="xsd:long"&gt;37103&lt;/D&gt;&lt;D xsi:type="xsd:long"&gt;37071&lt;/D&gt;&lt;D xsi:type="xsd:long"&gt;37042&lt;/D&gt;&lt;D xsi:type="xsd:long"&gt;37011&lt;/D&gt;&lt;D xsi:type="xsd:long"&gt;36980&lt;/D&gt;&lt;D xsi:type="xsd:long"&gt;36950&lt;/D&gt;&lt;D xsi:type="xsd:long"&gt;36922&lt;/D&gt;&lt;D xsi:type="xsd:long"&gt;36889&lt;/D&gt;&lt;D xsi:type="xsd:long"&gt;36860&lt;/D&gt;&lt;D xsi:type="xsd:long"&gt;36830&lt;/D&gt;&lt;D xsi:type="xsd:long"&gt;36798&lt;/D&gt;&lt;D xsi:type="xsd:long"&gt;36769&lt;/D&gt;&lt;D xsi:type="xsd:long"&gt;36738&lt;/D&gt;&lt;D xsi:type="xsd:long"&gt;36707&lt;/D&gt;&lt;D xsi:type="xsd:long"&gt;36677&lt;/D&gt;&lt;D xsi:type="xsd:long"&gt;36644&lt;/D&gt;&lt;D xsi:type="xsd:long"&gt;36616&lt;/D&gt;&lt;D xsi:type="xsd:long"&gt;36585&lt;/D&gt;&lt;D xsi:type="xsd:long"&gt;36556&lt;/D&gt;&lt;/FQL&gt;&lt;FQL&gt;&lt;Q&gt;899901^FG_PRICE(0)&lt;/Q&gt;&lt;R&gt;1&lt;/R&gt;&lt;C&gt;1&lt;/C&gt;&lt;D xsi:type="xsd:double"&gt;573.885528&lt;/D&gt;&lt;/FQL&gt;&lt;FQL&gt;&lt;Q&gt;899901^JULIAN(FG_PRICE(0).DATES)&lt;/Q&gt;&lt;R&gt;1&lt;/R&gt;&lt;C&gt;1&lt;/C&gt;&lt;D xsi:type="xsd:long"&gt;46104&lt;/D&gt;&lt;/FQL&gt;&lt;FQL&gt;&lt;Q&gt;899901^FG_COMPANY_NAME()&lt;/Q&gt;&lt;R&gt;1&lt;/R&gt;&lt;C&gt;1&lt;/C&gt;&lt;D xsi:type="xsd:string"&gt;MSCI AC World ex USA&lt;/D&gt;&lt;/FQL&gt;&lt;FQL&gt;&lt;Q&gt;899901^FG_PRICE(3/17/2026)&lt;/Q&gt;&lt;R&gt;1&lt;/R&gt;&lt;C&gt;1&lt;/C&gt;&lt;D xsi:type="xsd:double"&gt;597.410452&lt;/D&gt;&lt;/FQL&gt;&lt;FQL&gt;&lt;Q&gt;899901^JULIAN(FG_PRICE(3/17/2026).DATES)&lt;/Q&gt;&lt;R&gt;1&lt;/R&gt;&lt;C&gt;1&lt;/C&gt;&lt;D xsi:type="xsd:long"&gt;46098&lt;/D&gt;&lt;/FQL&gt;&lt;FQL&gt;&lt;Q&gt;899901^FG_PRICE(3/17/2026,,,USD)&lt;/Q&gt;&lt;R&gt;1&lt;/R&gt;&lt;C&gt;1&lt;/C&gt;&lt;D xsi:type="xsd:double"&gt;434.941131&lt;/D&gt;&lt;/FQL&gt;&lt;FQL&gt;&lt;Q&gt;899901^JULIAN(FG_PRICE(3/17/2026,,,USD).DATES)&lt;/Q&gt;&lt;R&gt;1&lt;/R&gt;&lt;C&gt;1&lt;/C&gt;&lt;D xsi:type="xsd:long"&gt;46098&lt;/D&gt;&lt;/FQL&gt;&lt;FQL&gt;&lt;Q&gt;899901^FG_PRICE(2/27/2026,,,USD)&lt;/Q&gt;&lt;R&gt;1&lt;/R&gt;&lt;C&gt;1&lt;/C&gt;&lt;D xsi:type="xsd:double"&gt;467.945476&lt;/D&gt;&lt;/FQL&gt;&lt;FQL&gt;&lt;Q&gt;899901^JULIAN(FG_PRICE(2/27/2026,,,USD).DATES)&lt;/Q&gt;&lt;R&gt;1&lt;/R&gt;&lt;C&gt;1&lt;/C&gt;&lt;D xsi:type="xsd:long"&gt;46080&lt;/D&gt;&lt;/FQL&gt;&lt;FQL&gt;&lt;Q&gt;899901^FG_PRICE(2/27/2026,1/31/2000,,USD)&lt;/Q&gt;&lt;R&gt;6559&lt;/R&gt;&lt;C&gt;1&lt;/C&gt;&lt;D xsi:type="xsd:double"&gt;467.945476&lt;/D&gt;&lt;D xsi:type="xsd:double"&gt;467.451041&lt;/D&gt;&lt;D xsi:type="xsd:double"&gt;465.894969&lt;/D&gt;&lt;D xsi:type="xsd:double"&gt;461.130447&lt;/D&gt;&lt;D xsi:type="xsd:double"&gt;460.817255&lt;/D&gt;&lt;D xsi:type="xsd:double"&gt;460.074515&lt;/D&gt;&lt;D xsi:type="xsd:double"&gt;458.183955&lt;/D&gt;&lt;D xsi:type="xsd:double"&gt;459.093175&lt;/D&gt;&lt;D xsi:type="xsd:double"&gt;454.981389&lt;/D&gt;&lt;D xsi:type="xsd:double"&gt;456.076308&lt;/D&gt;&lt;D xsi:type="xsd:double"&gt;459.487463&lt;/D&gt;&lt;D xsi:type="xsd:double"&gt;459.224868&lt;/D&gt;&lt;D xsi:type="xsd:double"&gt;458.036927&lt;/D&gt;&lt;D xsi:type="xsd:double"&gt;454.730172&lt;/D&gt;&lt;D xsi:type="xsd:double"&gt;445.734932&lt;/D&gt;&lt;D xsi:type="xsd:double"&gt;442.674577&lt;/D&gt;&lt;D xsi:type="xsd:double"&gt;448.041122&lt;/D&gt;&lt;D xsi:type="xsd:double"&gt;448.584947&lt;/D&gt;&lt;D xsi:type="xsd:double"&gt;441.642911&lt;/D&gt;&lt;D xsi:type="xsd:double"&gt;446.042458&lt;/D&gt;&lt;D xsi:type="xsd:double"&gt;449.15707&lt;/D&gt;&lt;D xsi:type="xsd:double"&gt;449.570756&lt;/D&gt;&lt;D xsi:type="xsd:double"&gt;448.734563&lt;/D&gt;&lt;D xsi:type="xsd:double"&gt;443.989259&lt;/D&gt;&lt;D xsi:type="xsd:double"&gt;440.156639&lt;/D&gt;&lt;D xsi:type="xsd:double"&gt;438.481539&lt;/D&gt;&lt;D xsi:type="xsd:double"&gt;434.206342&lt;/D&gt;&lt;D xsi:type="xsd:double"&gt;435.280172&lt;/D&gt;&lt;D xsi:type="xsd:double"&gt;437.986889&lt;/D&gt;&lt;D xsi:type="xsd:double"&gt;437.647799&lt;/D&gt;&lt;D xsi:type="xsd:double"&gt;437.366798&lt;/D&gt;&lt;D xsi:type="xsd:double"&gt;435.109102&lt;/D&gt;&lt;D xsi:type="xsd:double"&gt;433.822413&lt;/D&gt;&lt;D xsi:type="xsd:double"&gt;431.091694&lt;/D&gt;&lt;D xsi:type="xsd:double"&gt;429.521749&lt;/D&gt;&lt;D xsi:type="xsd:double"&gt;431.651006&lt;/D&gt;&lt;D xsi:type="xsd:double"&gt;433.371265&lt;/D&gt;&lt;D xsi:type="xsd:double"&gt;429.705951&lt;/D&gt;&lt;D xsi:type="xsd:double"&gt;425.042466&lt;/D&gt;&lt;D xsi:type="xsd:double"&gt;421.039538&lt;/D&gt;&lt;D xsi:type="xsd:double"&gt;421.796668&lt;/D&gt;&lt;D xsi:type="xsd:double"&gt;421.320237&lt;/D&gt;&lt;D xsi:type="xsd:double"&gt;421.076042&lt;/D&gt;&lt;D xsi:type="xsd:double"&gt;420.566204&lt;/D&gt;&lt;D xsi:type="xsd:double"&gt;420.07</t>
        </r>
      </text>
    </comment>
    <comment ref="A81" authorId="0" shapeId="0">
      <text>
        <r>
          <rPr>
            <b/>
            <sz val="9"/>
            <color indexed="81"/>
            <rFont val="Tahoma"/>
            <family val="2"/>
          </rPr>
          <t>3514&lt;/D&gt;&lt;D xsi:type="xsd:double"&gt;418.01582&lt;/D&gt;&lt;D xsi:type="xsd:double"&gt;414.792143&lt;/D&gt;&lt;D xsi:type="xsd:double"&gt;413.243225&lt;/D&gt;&lt;D xsi:type="xsd:double"&gt;412.118292&lt;/D&gt;&lt;D xsi:type="xsd:double"&gt;412.25756&lt;/D&gt;&lt;D xsi:type="xsd:double"&gt;416.233721&lt;/D&gt;&lt;D xsi:type="xsd:double"&gt;416.033292&lt;/D&gt;&lt;D xsi:type="xsd:double"&gt;415.107802&lt;/D&gt;&lt;D xsi:type="xsd:double"&gt;412.618219&lt;/D&gt;&lt;D xsi:type="xsd:double"&gt;411.516218&lt;/D&gt;&lt;D xsi:type="xsd:double"&gt;412.590527&lt;/D&gt;&lt;D xsi:type="xsd:double"&gt;413.065798&lt;/D&gt;&lt;D xsi:type="xsd:double"&gt;413.526573&lt;/D&gt;&lt;D xsi:type="xsd:double"&gt;410.247187&lt;/D&gt;&lt;D xsi:type="xsd:double"&gt;408.915812&lt;/D&gt;&lt;D xsi:type="xsd:double"&gt;408.683472&lt;/D&gt;&lt;D xsi:type="xsd:double"&gt;409.338812&lt;/D&gt;&lt;D xsi:type="xsd:double"&gt;407.8661&lt;/D&gt;&lt;D xsi:type="xsd:double"&gt;402.318615&lt;/D&gt;&lt;D xsi:type="xsd:double"&gt;399.002742&lt;/D&gt;&lt;D xsi:type="xsd:double"&gt;396.904551&lt;/D&gt;&lt;D xsi:type="xsd:double"&gt;401.274362&lt;/D&gt;&lt;D xsi:type="xsd:double"&gt;399.69688&lt;/D&gt;&lt;D xsi:type="xsd:double"&gt;400.961297&lt;/D&gt;&lt;D xsi:type="xsd:double"&gt;408.657482&lt;/D&gt;&lt;D xsi:type="xsd:double"&gt;410.548744&lt;/D&gt;&lt;D xsi:type="xsd:double"&gt;415.579363&lt;/D&gt;&lt;D xsi:type="xsd:double"&gt;416.083663&lt;/D&gt;&lt;D xsi:type="xsd:double"&gt;413.375224&lt;/D&gt;&lt;D xsi:type="xsd:double"&gt;410.027779&lt;/D&gt;&lt;D xsi:type="xsd:double"&gt;405.632881&lt;/D&gt;&lt;D xsi:type="xsd:double"&gt;407.433627&lt;/D&gt;&lt;D xsi:type="xsd:double"&gt;405.626393&lt;/D&gt;&lt;D xsi:type="xsd:double"&gt;407.118396&lt;/D&gt;&lt;D xsi:type="xsd:double"&gt;410.675433&lt;/D&gt;&lt;D xsi:type="xsd:double"&gt;409.977099&lt;/D&gt;&lt;D xsi:type="xsd:double"&gt;411.379165&lt;/D&gt;&lt;D xsi:type="xsd:double"&gt;414.371562&lt;/D&gt;&lt;D xsi:type="xsd:double"&gt;413.331892&lt;/D&gt;&lt;D xsi:type="xsd:double"&gt;413.589602&lt;/D&gt;&lt;D xsi:type="xsd:double"&gt;410.083735&lt;/D&gt;&lt;D xsi:type="xsd:double"&gt;408.561167&lt;/D&gt;&lt;D xsi:type="xsd:double"&gt;408.124442&lt;/D&gt;&lt;D xsi:type="xsd:double"&gt;408.578041&lt;/D&gt;&lt;D xsi:type="xsd:double"&gt;409.723225&lt;/D&gt;&lt;D xsi:type="xsd:double"&gt;404.076142&lt;/D&gt;&lt;D xsi:type="xsd:double"&gt;408.400489&lt;/D&gt;&lt;D xsi:type="xsd:double"&gt;404.833938&lt;/D&gt;&lt;D xsi:type="xsd:double"&gt;399.491302&lt;/D&gt;&lt;D xsi:type="xsd:double"&gt;401.578001&lt;/D&gt;&lt;D xsi:type="xsd:double"&gt;402.660969&lt;/D&gt;&lt;D xsi:type="xsd:double"&gt;407.083458&lt;/D&gt;&lt;D xsi:type="xsd:double"&gt;408.126237&lt;/D&gt;&lt;D xsi:type="xsd:double"&gt;408.027428&lt;/D&gt;&lt;D xsi:type="xsd:double"&gt;409.465451&lt;/D&gt;&lt;D xsi:type="xsd:double"&gt;408.950544&lt;/D&gt;&lt;D xsi:type="xsd:double"&gt;405.956631&lt;/D&gt;&lt;D xsi:type="xsd:double"&gt;404.155845&lt;/D&gt;&lt;D xsi:type="xsd:double"&gt;402.147557&lt;/D&gt;&lt;D xsi:type="xsd:double"&gt;399.816363&lt;/D&gt;&lt;D xsi:type="xsd:double"&gt;397.672648&lt;/D&gt;&lt;D xsi:type="xsd:double"&gt;397.966592&lt;/D&gt;&lt;D xsi:type="xsd:double"&gt;400.923373&lt;/D&gt;&lt;D xsi:type="xsd:double"&gt;402.053901&lt;/D&gt;&lt;D xsi:type="xsd:double"&gt;401.260591&lt;/D&gt;&lt;D xsi:type="xsd:double"&gt;400.663411&lt;/D&gt;&lt;D xsi:type="xsd:double"&gt;401.254264&lt;/D&gt;&lt;D xsi:type="xsd:double"&gt;401.826451&lt;/D&gt;&lt;D xsi:type="xsd:double"&gt;401.651136&lt;/D&gt;&lt;D xsi:type="xsd:double"&gt;400.617648&lt;/D&gt;&lt;D xsi:type="xsd:double"&gt;398.971396&lt;/D&gt;&lt;D xsi:type="xsd:double"&gt;397.670721&lt;/D&gt;&lt;D xsi:type="xsd:double"&gt;396.104582&lt;/D&gt;&lt;D xsi:type="xsd:double"&gt;394.495995&lt;/D&gt;&lt;D xsi:type="xsd:double"&gt;393.369592&lt;/D&gt;&lt;D xsi:type="xsd:double"&gt;391.480462&lt;/D&gt;&lt;D xsi:type="xsd:double"&gt;387.517293&lt;/D&gt;&lt;D xsi:type="xsd:double"&gt;386.814059&lt;/D&gt;&lt;D xsi:type="xsd:double"&gt;386.421122&lt;/D&gt;&lt;D xsi:type="xsd:double"&gt;389.078209&lt;/D&gt;&lt;D xsi:type="xsd:double"&gt;389.857597&lt;/D&gt;&lt;D xsi:type="xsd:double"&gt;388.708783&lt;/D&gt;&lt;D xsi:type="xsd:double"&gt;389.96239&lt;/D&gt;&lt;D xsi:type="xsd:double"&gt;393.268095&lt;/D&gt;&lt;D xsi:type="xsd:double"&gt;392.921247&lt;/D&gt;&lt;D xsi:type="xsd:double"&gt;389.008638&lt;/D&gt;&lt;D xsi:type="xsd:double"&gt;390.04955&lt;/D&gt;&lt;D xsi:type="xsd:double"&gt;390.821103&lt;/D&gt;&lt;D xsi:type="xsd:double"&gt;390.234709&lt;/D&gt;&lt;D xsi:type="xsd:double"&gt;391.063869&lt;/D&gt;&lt;D xsi:type="xsd:double"&gt;389.020179&lt;/D&gt;&lt;D xsi:type="xsd:double"&gt;390.357618&lt;/D&gt;&lt;D xsi:type="xsd:double"&gt;385.656288&lt;/D&gt;&lt;D xsi:type="xsd:double"&gt;383.102223&lt;/D&gt;&lt;D xsi:type="xsd:double"&gt;383.959956&lt;/D&gt;&lt;D xsi:type="xsd:double"&gt;383.241018&lt;/D&gt;&lt;D xsi:type="xsd:double"&gt;380.233637&lt;/D&gt;&lt;D xsi:type="xsd:double"&gt;378.401876&lt;/D&gt;&lt;D xsi:type="xsd:double"&gt;376.303816&lt;/D&gt;&lt;D xsi:type="xsd:double"&gt;373.967141&lt;/D&gt;&lt;D xsi:type="xsd:double"&gt;376.596599&lt;/D&gt;&lt;D xsi:type="xsd:double"&gt;379.69729&lt;/D&gt;&lt;D xsi:type="xsd:double"&gt;380.589671&lt;/D&gt;&lt;D xsi:type="xsd:double"&gt;382.690399&lt;/D&gt;&lt;D xsi:type="xsd:double"&gt;385.084019&lt;/D&gt;&lt;D xsi:type="xsd:double"&gt;388.085102&lt;/D&gt;&lt;D xsi:type="xsd:double"&gt;386.233155&lt;/D&gt;&lt;D xsi:type="xsd:double"&gt;380.553128&lt;/D&gt;&lt;D xsi:type="xsd:double"&gt;380.742801&lt;/D&gt;&lt;D xsi:type="xsd:double"&gt;379.607887&lt;/D&gt;&lt;D xsi:type="xsd:double"&gt;377.881603&lt;/D&gt;&lt;D xsi:type="xsd:double"&gt;375.618658&lt;/D&gt;&lt;D xsi:type="xsd:double"&gt;376.946629&lt;/D&gt;&lt;D xsi:type="xsd:double"&gt;377.897211&lt;/D&gt;&lt;D xsi:type="xsd:double"&gt;378.14587&lt;/D&gt;&lt;D xsi:type="xsd:double"&gt;379.987354&lt;/D&gt;&lt;D xsi:type="xsd:double"&gt;379.312574&lt;/D&gt;&lt;D xsi:type="xsd:double"&gt;377.782577&lt;/D&gt;&lt;D xsi:type="xsd:double"&gt;377.848363&lt;/D&gt;&lt;D xsi:type="xsd:double"&gt;380.060201&lt;/D&gt;&lt;D xsi:type="xsd:double"&gt;378.904541&lt;/D&gt;&lt;D xsi:type="xsd:double"&gt;378.727943&lt;/D&gt;&lt;D xsi:type="xsd:double"&gt;378.145076&lt;/D&gt;&lt;D xsi:type="xsd:double"&gt;378.36136&lt;/D&gt;&lt;D xsi:type="xsd:double"&gt;375.945095&lt;/D&gt;&lt;D xsi:type="xsd:double"&gt;372.69423&lt;/D&gt;&lt;D xsi:type="xsd:double"&gt;373.586837&lt;/D&gt;&lt;D xsi:type="xsd:double"&gt;366.219735&lt;/D&gt;&lt;D xsi:type="xsd:double"&gt;367.433914&lt;/D&gt;&lt;D xsi:type="xsd:double"&gt;370.36756&lt;/D&gt;&lt;D xsi:type="xsd:double"&gt;371.173439&lt;/D&gt;&lt;D xsi:type="xsd:double"&gt;373.955302&lt;/D&gt;&lt;D xsi:type="xsd:double"&gt;371.189452&lt;/D&gt;&lt;D xsi:type="xsd:double"&gt;375.115752&lt;/D&gt;&lt;D xsi:type="xsd:double"&gt;374.483281&lt;/D&gt;&lt;D xsi:type="xsd:double"&gt;373.275638&lt;/D&gt;&lt;D xsi:type="xsd:double"&gt;372.300302&lt;/D&gt;&lt;D xsi:type="xsd:double"&gt;370.720628&lt;/D&gt;&lt;D xsi:type="xsd:double"&gt;371.407439&lt;/D&gt;&lt;D xsi:type="xsd:double"&gt;370.481702&lt;/D&gt;&lt;D xsi:type="xsd:double"&gt;367.138434&lt;/D&gt;&lt;D xsi:type="xsd:double"&gt;367.575539&lt;/D&gt;&lt;D xsi:type="xsd:double"&gt;366.407286&lt;/D&gt;&lt;D xsi:type="xsd:double"&gt;367.389328&lt;/D&gt;&lt;D xsi:type="xsd:double"&gt;365.408941&lt;/D&gt;&lt;D xsi:type="xsd:double"&gt;367.36438&lt;/D&gt;&lt;D xsi:type="xsd:double"&gt;365.459072&lt;/D&gt;&lt;D xsi:type="xsd:double"&gt;364.317875&lt;/D&gt;&lt;D xsi:type="xsd:double"&gt;367.632752&lt;/D&gt;&lt;D xsi:type="xsd:double"&gt;365.780781&lt;/D&gt;&lt;D xsi:type="xsd:double"&gt;364.132247&lt;/D&gt;&lt;D xsi:type="xsd:double"&gt;362.633359&lt;/D&gt;&lt;D xsi:type="xsd:double"&gt;362.403541&lt;/D&gt;&lt;D xsi:type="xsd:double"&gt;362.150588&lt;/D&gt;&lt;D xsi:type="xsd:double"&gt;359.659041&lt;/D&gt;&lt;D xsi:type="xsd:double"&gt;358.097155&lt;/D&gt;&lt;D xsi:type="xsd:double"&gt;357.148428&lt;/D&gt;&lt;D xsi:type="xsd:double"&gt;355.423674&lt;/D&gt;&lt;D xsi:type="xsd:double"&gt;357.3259&lt;/D&gt;&lt;D xsi:type="xsd:double"&gt;357.425034&lt;/D&gt;&lt;D xsi:type="xsd:double"&gt;357.564694&lt;/D&gt;&lt;D xsi:type="xsd:double"&gt;357.309934&lt;/D&gt;&lt;D xsi:type="xsd:double"&gt;350.041793&lt;/D&gt;&lt;D xsi:type="xsd:double"&gt;351.942569&lt;/D&gt;&lt;D xsi:type="xsd:double"&gt;350.176055&lt;/D&gt;&lt;D xsi:type="xsd:double"&gt;349.074638&lt;/D&gt;&lt;D xsi:type="xsd:double"&gt;346.644525&lt;/D&gt;&lt;D xsi:type="xsd:double"&gt;345.518653&lt;/D&gt;&lt;D xsi:type="xsd:double"&gt;344.308503&lt;/D&gt;&lt;D xsi:type="xsd:double"&gt;340.319585&lt;/D&gt;&lt;D xsi:type="xsd:double"&gt;339.514758&lt;/D&gt;&lt;D xsi:type="xsd:double"&gt;337.025287&lt;/D&gt;&lt;D xsi:type="xsd:double"&gt;335.868857&lt;/D&gt;&lt;D xsi:type="xsd:double"&gt;336.611748&lt;/D&gt;&lt;D xsi:type="xsd:double"&gt;332.837402&lt;/D&gt;&lt;D xsi:type="xsd:double"&gt;326.04064&lt;/D&gt;&lt;D xsi:type="xsd:double"&gt;323.313456&lt;/D&gt;&lt;D xsi:type="xsd:double"&gt;309.164203&lt;/D&gt;&lt;D xsi:type="xsd:double"&gt;312.821553&lt;/D&gt;&lt;D xsi:type="xsd:double"&gt;306.870541&lt;/D&gt;&lt;D xsi:type="xsd:double"&gt;327.378146&lt;/D&gt;&lt;D xsi:type="xsd:double"&gt;341.993139&lt;/D&gt;&lt;D xsi:type="xsd:double"&gt;344.273353&lt;/D&gt;&lt;D xsi:type="xsd:double"&gt;344.101948&lt;/D&gt;&lt;D xsi:type="xsd:double"&gt;340.832605&lt;/D&gt;&lt;D xsi:type="xsd:double"&gt;347.112373&lt;/D&gt;&lt;D xsi:type="xsd:double"&gt;350.059595&lt;/D&gt;&lt;D xsi:type="xsd:double"&gt;350.788635&lt;/D&gt;&lt;D xsi:type="xsd:double"&gt;351.954517&lt;/D&gt;&lt;D xsi:type="xsd:double"&gt;350.978072&lt;/D&gt;&lt;D xsi:type="xsd:double"&gt;351.209751&lt;/D&gt;&lt;D xsi:type="xsd:double"&gt;353.571932&lt;/D&gt;&lt;D xsi:type="xsd:double"&gt;354.403985&lt;/D&gt;&lt;D xsi:type="xsd:double"&gt;354.622205&lt;/D&gt;&lt;D xsi:type="xsd:double"&gt;352.280527&lt;/D&gt;&lt;D xsi:type="xsd:double"&gt;347.999709&lt;/D&gt;&lt;D xsi:type="xsd:double"&gt;344.320266&lt;/D&gt;&lt;D xsi:type="xsd:double"&gt;346.066607&lt;/D&gt;&lt;D xsi:type="xsd:double"&gt;344.456401&lt;/D&gt;&lt;D xsi:type="xsd:double"&gt;347.239108&lt;/D&gt;&lt;D xsi:type="xsd:double"&gt;351.715502&lt;/D&gt;&lt;D xsi:type="xsd:double"&gt;353.041958&lt;/D&gt;&lt;D xsi:type="xsd:double"&gt;350.313609&lt;/D&gt;&lt;D xsi:type="xsd:double"&gt;343.026339&lt;/D&gt;&lt;D xsi:type="xsd:double"&gt;346.497181&lt;/D&gt;&lt;D xsi:type="xsd:double"&gt;343.013978&lt;/D&gt;&lt;D xsi:type="xsd:double"&gt;346.786957&lt;/D&gt;&lt;D xsi:type="xsd:double"&gt;350.057022&lt;/D&gt;&lt;D xsi:type="xsd:double"&gt;347.503015&lt;/D&gt;&lt;D xsi:type="xsd:double"&gt;348.49164&lt;/D&gt;&lt;D xsi:type="xsd:double"&gt;349.412767&lt;/D&gt;&lt;D xsi:type="xsd:double"&gt;348.117573&lt;/D&gt;&lt;D xsi:type="xsd:double"&gt;348.36943&lt;/D&gt;&lt;D xsi:type="xsd:double"&gt;350.68915&lt;/D&gt;&lt;D xsi:type="xsd:double"&gt;348.260791&lt;/D&gt;&lt;D xsi:type="xsd:double"&gt;346.185853&lt;/D&gt;&lt;D xsi:type="xsd:double"&gt;342.099505&lt;/D&gt;&lt;D xsi:type="xsd:double"&gt;341.301951&lt;/D&gt;&lt;D xsi:type="xsd:double"&gt;341.315392&lt;/D&gt;&lt;D xsi:type="xsd:double"&gt;340.82574&lt;/D&gt;&lt;D xsi:type="xsd:double"&gt;341.426168&lt;/D&gt;&lt;D xsi:type="xsd:double"&gt;339.522687&lt;/D&gt;&lt;D xsi:type="xsd:double"&gt;336.620641&lt;/D&gt;&lt;D xsi:type="xsd:double"&gt;332.511931&lt;/D&gt;&lt;D xsi:type="xsd:double"&gt;338.759068&lt;/D&gt;&lt;D xsi:type="xsd:double"&gt;339.696581&lt;/D&gt;&lt;D xsi:type="xsd:double"&gt;337.246507&lt;/D&gt;&lt;D xsi:type="xsd:double"&gt;335.717576&lt;/D&gt;&lt;D xsi:type="xsd:double"&gt;336.519714&lt;/D&gt;&lt;D xsi:type="xsd:double"&gt;336.937663&lt;/D&gt;&lt;D xsi:type="xsd:double"&gt;334.102719&lt;/D&gt;&lt;D xsi:type="xsd:double"&gt;333.501942&lt;/D&gt;&lt;D xsi:type="xsd:double"&gt;332.45735&lt;/D&gt;&lt;D xsi:type="xsd:double"&gt;328.095811&lt;/D&gt;&lt;D xsi:type="xsd:double"&gt;327.062964&lt;/D&gt;&lt;D xsi:type="xsd:double"&gt;324.377169&lt;/D&gt;&lt;D xsi:type="xsd:double"&gt;321.354639&lt;/D&gt;&lt;D xsi:type="xsd:double"&gt;319.203122&lt;/D&gt;&lt;D xsi:type="xsd:double"&gt;322.628477&lt;/D&gt;&lt;D xsi:type="xsd:double"&gt;326.625857&lt;/D&gt;&lt;D xsi:type="xsd:double"&gt;328.852316&lt;/D&gt;&lt;D xsi:type="xsd:double"&gt;328.121394&lt;/D&gt;&lt;D xsi:type="xsd:double"&gt;325.293593&lt;/D&gt;&lt;D xsi:type="xsd:double"&gt;325.37466&lt;/D&gt;&lt;D xsi:type="xsd:double"&gt;325.878751&lt;/D&gt;&lt;D xsi:type="xsd:double"&gt;325.845987&lt;/D&gt;&lt;D xsi:type="xsd:double"&gt;327.789056&lt;/D&gt;&lt;D xsi:type="xsd:double"&gt;326.011221&lt;/D&gt;&lt;D xsi:type="xsd:double"&gt;325.530992&lt;/D&gt;&lt;D xsi:type="xsd:double"&gt;324.780301&lt;/D&gt;&lt;D xsi:type="xsd:double"&gt;323.145167&lt;/D&gt;&lt;D xsi:type="xsd:double"&gt;324.878415&lt;/D&gt;&lt;D xsi:type="xsd:double"&gt;331.194619&lt;/D&gt;&lt;D xsi:type="xsd:double"&gt;332.371576&lt;/D&gt;&lt;D xsi:type="xsd:double"&gt;333.988406&lt;/D&gt;&lt;D xsi:type="xsd:double"&gt;334.702976&lt;/D&gt;&lt;D xsi:type="xsd:double"&gt;337.160462&lt;/D&gt;&lt;D xsi:type="xsd:double"&gt;336.938568&lt;/D&gt;&lt;D xsi:type="xsd:double"&gt;336.887942&lt;/D&gt;&lt;D xsi:type="xsd:double"&gt;339.735728&lt;/D&gt;&lt;D xsi:type="xsd:double"&gt;338.345541&lt;/D&gt;&lt;D xsi:type="xsd:double"&gt;338.572116&lt;/D&gt;&lt;D xsi:type="xsd:double"&gt;337.13986&lt;/D&gt;&lt;D xsi:type="xsd:double"&gt;336.986227&lt;/D&gt;&lt;D xsi:type="xsd:double"&gt;333.535383&lt;/D&gt;&lt;D xsi:type="xsd:double"&gt;332.661852&lt;/D&gt;&lt;D xsi:type="xsd:double"&gt;331.357831&lt;/D&gt;&lt;D xsi:type="xsd:double"&gt;329.753363&lt;/D&gt;&lt;D xsi:type="xsd:double"&gt;331.643537&lt;/D&gt;&lt;D xsi:type="xsd:double"&gt;329.540835&lt;/D&gt;&lt;D xsi:type="xsd:double"&gt;329.065872&lt;/D&gt;&lt;D xsi:type="xsd:double"&gt;328.715622&lt;/D&gt;&lt;D xsi:type="xsd:double"&gt;330.522463&lt;/D&gt;&lt;D xsi:type="xsd:double"&gt;329.330623&lt;/D&gt;&lt;D xsi:type="xsd:double"&gt;328.659068&lt;/D&gt;&lt;D xsi:type="xsd:double"&gt;329.906186&lt;/D&gt;&lt;D xsi:type="xsd:double"&gt;329.904621&lt;/D&gt;&lt;D xsi:type="xsd:double"&gt;332.177708&lt;/D&gt;&lt;D xsi:type="xsd:double"&gt;337.517705&lt;/D&gt;&lt;D xsi:type="xsd:double"&gt;338.807163&lt;/D&gt;&lt;D xsi:type="xsd:double"&gt;340.975513&lt;/D&gt;&lt;D xsi:type="xsd:double"&gt;336.822619&lt;/D&gt;&lt;D xsi:type="xsd:double"&gt;339.95721&lt;/D&gt;&lt;D xsi:type="xsd:double"&gt;338.263634&lt;/D&gt;&lt;D xsi:type="xsd:double"&gt;336.853883&lt;/D&gt;&lt;D xsi:type="xsd:double"&gt;336.16176&lt;/D&gt;&lt;D xsi:type="xsd:double"&gt;339.111444&lt;/D&gt;&lt;D xsi:type="xsd:double"&gt;340.680128&lt;/D&gt;&lt;D xsi:type="xsd:double"&gt;341.58822&lt;/D&gt;&lt;D xsi:type="xsd:double"&gt;340.571454&lt;/D&gt;&lt;D xsi:type="xsd:double"&gt;340.551484&lt;/D&gt;&lt;D xsi:type="xsd:double"&gt;340.547607&lt;/D&gt;&lt;D xsi:type="xsd:double"&gt;342.629378&lt;/D&gt;&lt;D xsi:type="xsd:double"&gt;344.850299&lt;/D&gt;&lt;D xsi:type="xsd:double"&gt;347.196783&lt;/D&gt;&lt;D xsi:type="xsd:double"&gt;344.433836&lt;/D&gt;&lt;D xsi:type="xsd:double"&gt;344.552863&lt;/D&gt;&lt;D xsi:type="xsd:double"&gt;346.441613&lt;/D&gt;&lt;D xsi:type="xsd:double"&gt;348.398846&lt;/D&gt;&lt;D xsi:type="xsd:double"&gt;348.14362&lt;/D&gt;&lt;D xsi:type="xsd:double"&gt;346.924244&lt;/D&gt;&lt;D xsi:type="xsd:double"&gt;346.302846&lt;/D&gt;&lt;D xsi:type="xsd:double"&gt;346.373648&lt;/D&gt;&lt;D xsi:type="xsd:double"&gt;351.125673&lt;/D&gt;&lt;D xsi:type="xsd:double"&gt;349.44855&lt;/D&gt;&lt;D xsi:type="xsd:double"&gt;349.347762&lt;/D&gt;&lt;D xsi:type="xsd:double"&gt;352.060496&lt;/D&gt;&lt;D xsi:type="xsd:double"&gt;352.583227&lt;/D&gt;&lt;D xsi:type="xsd:double"&gt;353.621616&lt;/D&gt;&lt;D xsi:type="xsd:double"&gt;357.364718&lt;/D&gt;&lt;D xsi:type="xsd:double"&gt;354.103381&lt;/D&gt;&lt;D xsi:type="xsd:double"&gt;348.380561&lt;/D&gt;&lt;D xsi:type="xsd:double"&gt;348.26812&lt;/D&gt;&lt;D xsi:type="xsd:double"&gt;344.629181&lt;/D&gt;&lt;D xsi:type="xsd:double"&gt;343.301569&lt;/D&gt;&lt;D xsi:type="xsd:double"&gt;344.512596&lt;/D&gt;&lt;D xsi:type="xsd:double"&gt;339.865224&lt;/D&gt;&lt;D xsi:type="xsd:double"&gt;340.958021&lt;/D&gt;&lt;D xsi:type="xsd:double"&gt;340.756674&lt;/D&gt;&lt;D xsi:type="xsd:double"&gt;339.885591&lt;/D&gt;&lt;D xsi:type="xsd:double"&gt;337.140205&lt;/D&gt;&lt;D xsi:type="xsd:double"&gt;332.580446&lt;/D&gt;&lt;D xsi:type="xsd:double"&gt;333.212038&lt;/D&gt;&lt;D xsi:type="xsd:double"&gt;334.623989&lt;/D&gt;&lt;D xsi:type="xsd:double"&gt;335.991501&lt;/D&gt;&lt;D xsi:type="xsd:double"&gt;337.224688&lt;/D&gt;&lt;D xsi:type="xsd:double"&gt;338.258768&lt;/D&gt;&lt;D xsi:type="xsd:double"&gt;342.275119&lt;/D&gt;&lt;D xsi:type="xsd:double"&gt;345.280036&lt;/D&gt;&lt;D xsi:type="xsd:double"&gt;344.184759&lt;/D&gt;&lt;D xsi:type="xsd:double"&gt;344.22075&lt;/D&gt;&lt;D xsi:type="xsd:double"&gt;344.355307&lt;/D&gt;&lt;D xsi:type="xsd:double"&gt;344.358254&lt;/D&gt;&lt;D xsi:type="xsd:double"&gt;343.883882&lt;/D&gt;&lt;D xsi:type="xsd:double"&gt;341.247603&lt;/D&gt;&lt;D xsi:type="xsd:double"&gt;341.013174&lt;/D&gt;&lt;D xsi:type="xsd:double"&gt;340.663681&lt;/D&gt;&lt;D xsi:type="xsd:double"&gt;339.794886&lt;/D&gt;&lt;D xsi:type="xsd:double"&gt;336.798504&lt;/D&gt;&lt;D xsi:type="xsd:double"&gt;332.606896&lt;/D&gt;&lt;D xsi:type="xsd:double"&gt;331.695933&lt;/D&gt;&lt;D xsi:type="xsd:double"&gt;328.574584&lt;/D&gt;&lt;D xsi:type="xsd:double"&gt;325.252542&lt;/D&gt;&lt;D xsi:type="xsd:double"&gt;325.019689&lt;/D&gt;&lt;D xsi:type="xsd:double"&gt;321.557391&lt;/D&gt;&lt;D xsi:type="xsd:double"&gt;322.180281&lt;/D&gt;&lt;D xsi:type="xsd:double"&gt;317.966149&lt;/D&gt;&lt;D xsi:type="xsd:double"&gt;313.517485&lt;/D&gt;&lt;D xsi:type="xsd:double"&gt;325.114134&lt;/D&gt;&lt;D xsi:type="xsd:double"&gt;332.6346&lt;/D&gt;&lt;D xsi:type="xsd:double"&gt;336.439028&lt;/D&gt;&lt;D xsi:type="xsd:double"&gt;331.218736&lt;/D&gt;&lt;D xsi:type="xsd:double"&gt;331.57573&lt;/D&gt;&lt;D xsi:type="xsd:double"&gt;330.990482&lt;/D&gt;&lt;D xsi:type="xsd:double"&gt;329.85704&lt;/D&gt;&lt;D xsi:type="xsd:double"&gt;333.79592&lt;/D&gt;&lt;D xsi:type="xsd:double"&gt;335.078341&lt;/D&gt;&lt;D xsi:type="xsd:double"&gt;334.996779&lt;/D&gt;&lt;D xsi:type="xsd:double"&gt;334.64759&lt;/D&gt;&lt;D xsi:type="xsd:double"&gt;338.183914&lt;/D&gt;&lt;D xsi:type="xsd:double"&gt;340.373988&lt;/D&gt;&lt;D xsi:type="xsd:double"&gt;340.10696&lt;/D&gt;&lt;D xsi:type="xsd:double"&gt;341.339956&lt;/D&gt;&lt;D xsi:type="xsd:double"&gt;343.008605&lt;/D&gt;&lt;D xsi:type="xsd:double"&gt;341.589692&lt;/D&gt;&lt;D xsi:type="xsd:double"&gt;337.012323&lt;/D&gt;&lt;D xsi:type="xsd:double"&gt;335.042702&lt;/D&gt;&lt;D xsi:type="xsd:double"&gt;335.795121&lt;/D&gt;&lt;D xsi:type="xsd:double"&gt;335.813473&lt;/D&gt;&lt;D xsi:type="xsd:double"&gt;333.555155&lt;/D&gt;&lt;D xsi:type="xsd:double"&gt;329.682195&lt;/D&gt;&lt;D xsi:type="xsd:double"&gt;329.888038&lt;/D&gt;&lt;D xsi:type="xsd:double"&gt;329.378559&lt;/D&gt;&lt;D xsi:type="xsd:double"&gt;328.996475&lt;/D&gt;&lt;D xsi:type="xsd:double"&gt;329.765098&lt;/D&gt;&lt;D xsi:type="xsd:double"&gt;330.755606&lt;/D&gt;&lt;D xsi:type="xsd:double"&gt;330.311015&lt;/D&gt;&lt;D xsi:type="xsd:double"&gt;328.394561&lt;/D&gt;&lt;D xsi:type="xsd:double"&gt;331.066105&lt;/D&gt;&lt;D xsi:type="xsd:double"&gt;328.978117&lt;/D&gt;&lt;D xsi:type="xsd:double"&gt;326.463827&lt;/D&gt;&lt;D xsi:type="xsd:double"&gt;327.425392&lt;/D&gt;&lt;D xsi:type="xsd:double"&gt;329.930533&lt;/D&gt;&lt;D xsi:type="xsd:double"&gt;333.264863&lt;/D&gt;&lt;D xsi:type="xsd:double"&gt;329.527401&lt;/D&gt;&lt;D xsi:type="xsd:double"&gt;332.046494&lt;/D&gt;&lt;D xsi:type="xsd:double"&gt;333.215298&lt;/D&gt;&lt;D xsi:type="xsd:double"&gt;335.05576&lt;/D&gt;&lt;D xsi:type="xsd:double"&gt;332.391232&lt;/D&gt;&lt;D xsi:type="xsd:double"&gt;331.447512&lt;/D&gt;&lt;D xsi:type="xsd:double"&gt;333.652107&lt;/D&gt;&lt;D xsi:type="xsd:double"&gt;330.380113&lt;/D&gt;&lt;D xsi:type="xsd:double"&gt;329.408777&lt;/D&gt;&lt;D xsi:type="xsd:double"&gt;329.396181&lt;/D&gt;&lt;D xsi:type="xsd:double"&gt;334.685832&lt;/D&gt;&lt;D xsi:type="xsd:double"&gt;333.634391&lt;/D&gt;&lt;D xsi:type="xsd:double"&gt;334.683268&lt;/D&gt;&lt;D xsi:type="xsd:double"&gt;335.135455&lt;/D&gt;&lt;D xsi:type="xsd:double"&gt;336.650117&lt;/D&gt;&lt;D xsi:type="xsd:double"&gt;338.001552&lt;/D&gt;&lt;D xsi:type="xsd:double"&gt;337.387287&lt;/D&gt;&lt;D xsi:type="xsd:double"&gt;337.101041&lt;/D&gt;&lt;D xsi:type="xsd:double"&gt;335.43982&lt;/D&gt;&lt;D xsi:type="xsd:double"&gt;333.249996&lt;/D&gt;&lt;D xsi:type="xsd:double"&gt;332.583726&lt;/D&gt;&lt;D xsi:type="xsd:double"&gt;331.500269&lt;/D&gt;&lt;D xsi:type="xsd:double"&gt;329.521998&lt;/D&gt;&lt;D xsi:type="xsd:double"&gt;329.008334&lt;/D&gt;&lt;D xsi:type="xsd:double"&gt;330.503433&lt;/D&gt;&lt;D xsi:type="xsd:double"&gt;328.402188&lt;/D&gt;&lt;D xsi:type="xsd:double"&gt;326.850807&lt;/D&gt;&lt;D xsi:type="xsd:double"&gt;323.552275&lt;/D&gt;&lt;D xsi:type="xsd:double"&gt;321.580483&lt;/D&gt;&lt;D xsi:type="xsd:double"&gt;322.504028&lt;/D&gt;&lt;D xsi:type="xsd:double"&gt;323.873996&lt;/D&gt;&lt;D xsi:type="xsd:double"&gt;322.036392&lt;/D&gt;&lt;D xsi:type="xsd:double"&gt;319.925582&lt;/D&gt;&lt;D xsi:type="xsd:double"&gt;321.959121&lt;/D&gt;&lt;D xsi:type="xsd:double"&gt;320.542449&lt;/D&gt;&lt;D xsi:type="xsd:double"&gt;317.142389&lt;/D&gt;&lt;D xsi:type="xsd:double"&gt;314.981301&lt;/D&gt;&lt;D xsi:type="xsd:double"&gt;317.096457&lt;/D&gt;&lt;D xsi:type="xsd:double"&gt;315.55038&lt;/D&gt;&lt;D xsi:type="xsd:double"&gt;315.779201&lt;/D&gt;&lt;D xsi:type="xsd:double"&gt;321.347178&lt;/D&gt;&lt;D xsi:type="xsd:double"&gt;323.144757&lt;/D&gt;&lt;D xsi:type="xsd:double"&gt;325.312674&lt;/D&gt;&lt;D xsi:type="xsd:double"&gt;327.144636&lt;/D&gt;&lt;D xsi:type="xsd:double"&gt;329.200163&lt;/D&gt;&lt;D xsi:type="xsd:double"&gt;328.60068&lt;/D&gt;&lt;D xsi:type="xsd:double"&gt;326.697211&lt;/D&gt;&lt;D xsi:type="xsd:double"&gt;329.526165&lt;/D&gt;&lt;D xsi:type="xsd:double"&gt;327.512676&lt;/D&gt;&lt;D xsi:type="xsd:double"&gt;327.337349&lt;/D&gt;&lt;D xsi:type="xsd:double"&gt;327.473754&lt;/D&gt;&lt;D xsi:type="xsd:double"&gt;328.946292&lt;/D&gt;&lt;D xsi:type="xsd:double"&gt;329.258743&lt;/D&gt;&lt;D xsi:type="xsd:double"&gt;328.891032&lt;/D&gt;&lt;D xsi:type="xsd:double"&gt;328.433038&lt;/D&gt;&lt;D xsi:type="xsd:double"&gt;328.996941&lt;/D&gt;&lt;D xsi:type="xsd:double"&gt;330.438862&lt;/D&gt;&lt;D xsi:type="xsd:double"&gt;326.329668&lt;/D&gt;&lt;D xsi:type="xsd:double"&gt;326.096442&lt;/D&gt;&lt;D xsi:type="xsd:double"&gt;327.115098&lt;/D&gt;&lt;D xsi:type="xsd:double"&gt;326.167238&lt;/D&gt;&lt;D xsi:type="xsd:double"&gt;328.237628&lt;/D&gt;&lt;D xsi:type="xsd:double"&gt;329.405166&lt;/D&gt;&lt;D xsi:type="xsd:double"&gt;328.860835&lt;/D&gt;&lt;D xsi:type="xsd:double"&gt;327.12199&lt;/D&gt;&lt;D xsi:type="xsd:double"&gt;329.327471&lt;/D&gt;&lt;D xsi:type="xsd:double"&gt;327.556935&lt;/D&gt;&lt;D xsi:type="xsd:double"&gt;325.096081&lt;/D&gt;&lt;D xsi:type="xsd:double"&gt;322.92687&lt;/D&gt;&lt;D xsi:type="xsd:double"&gt;323.617277&lt;/D&gt;&lt;D xsi:type="xsd:double"&gt;322.96262&lt;/D&gt;&lt;D xsi:type="xsd:double"&gt;320.791697&lt;/D&gt;&lt;D xsi:type="xsd:double"&gt;320.085792&lt;/D&gt;&lt;D xsi:type="xsd:double"&gt;322.086842&lt;/D&gt;&lt;D xsi:type="xsd:double"&gt;321.346965&lt;/D&gt;&lt;D xsi:type="xsd:double"&gt;321.802654&lt;/D&gt;&lt;D xsi:type="xsd:double"&gt;320.962213&lt;/D&gt;&lt;D xsi:type="xsd:double"&gt;318.199133&lt;/D&gt;&lt;D xsi:type="xsd:double"&gt;318.970707&lt;/D&gt;&lt;D xsi:type="xsd:double"&gt;317.723768&lt;/D&gt;&lt;D xsi:type="xsd:double"&gt;315.209433&lt;/D&gt;&lt;D xsi:type="xsd:double"&gt;311.947993&lt;/D&gt;&lt;D xsi:type="xsd:double"&gt;311.292631&lt;/D&gt;&lt;D xsi:type="xsd:double"&gt;313.247742&lt;/D&gt;&lt;D xsi:type="xsd:double"&gt;312.791083&lt;/D&gt;&lt;D xsi:type="xsd:double"&gt;312.617694&lt;/D&gt;&lt;D xsi:type="xsd:double"&gt;313.350795&lt;/D&gt;&lt;D xsi:type="xsd:double"&gt;312.743395&lt;/D&gt;&lt;D xsi:type="xsd:double"&gt;310.105194&lt;/D&gt;&lt;D xsi:type="xsd:double"&gt;312.014512&lt;/D&gt;&lt;D xsi:type="xsd:double"&gt;312.255516&lt;/D&gt;&lt;D xsi:type="xsd:double"&gt;313.313639&lt;/D&gt;&lt;D xsi:type="xsd:double"&gt;312.353147&lt;/D&gt;&lt;D xsi:type="xsd:double"&gt;312.6112&lt;/D&gt;&lt;D xsi:type="xsd:double"&gt;311.744342&lt;/D&gt;&lt;D xsi:type="xsd:double"&gt;310.820509&lt;/D&gt;&lt;D xsi:type="xsd:double"&gt;310.836006&lt;/D&gt;&lt;D xsi:type="xsd:double"&gt;306.968135&lt;/D&gt;&lt;D xsi:type="xsd:double"&gt;307.509369&lt;/D&gt;&lt;D xsi:type="xsd:double"&gt;306.274026&lt;/D&gt;&lt;D xsi:type="xsd:double"&gt;304.444161&lt;/D&gt;&lt;D xsi:type="xsd:double"&gt;303.363573&lt;/D&gt;&lt;D xsi:type="xsd:double"&gt;308.320297&lt;/D&gt;&lt;D xsi:type="xsd:double"&gt;313.041729&lt;/D&gt;&lt;D xsi:type="xsd:double"&gt;310.687515&lt;/D&gt;&lt;D xsi:type="xsd:double"&gt;310.834375&lt;/D&gt;&lt;D xsi:type="xsd:double"&gt;310.639477&lt;/D&gt;&lt;D xsi:type="xsd:double"&gt;311.768218&lt;/D&gt;&lt;D xsi:type="xsd:double"&gt;311.909961&lt;/D&gt;&lt;D xsi:type="xsd:double"&gt;311.489899&lt;/D&gt;&lt;D xsi:type="xsd:double"&gt;310.058137&lt;/D&gt;&lt;D xsi:type="xsd:double"&gt;313.802702&lt;/D&gt;&lt;D xsi:type="xsd:double"&gt;316.619062&lt;/D&gt;&lt;D xsi:type="xsd:double"&gt;316.964792&lt;/D&gt;&lt;D xsi:type="xsd:double"&gt;315.425198&lt;/D&gt;&lt;D xsi:type="xsd:double"&gt;312.0759&lt;/D&gt;&lt;D xsi:type="xsd:double"&gt;311.351652&lt;/D&gt;&lt;D xsi:type="xsd:double"&gt;311.024772&lt;/D&gt;&lt;D xsi:type="xsd:double"&gt;310.844485&lt;/D&gt;&lt;D xsi:type="xsd:double"&gt;310.599079&lt;/D&gt;&lt;D xsi:type="xsd:double"&gt;308.469892&lt;/D&gt;&lt;D xsi:type="xsd:double"&gt;309.844383&lt;/D&gt;&lt;D xsi:type="xsd:double"&gt;309.687502&lt;/D&gt;&lt;D xsi:type="xsd:double"&gt;303.18224&lt;/D&gt;&lt;D xsi:type="xsd:double"&gt;302.582162&lt;/D&gt;&lt;D xsi:type="xsd:double"&gt;302.002468&lt;/D&gt;&lt;D xsi:type="xsd:double"&gt;302.043206&lt;/D&gt;&lt;D xsi:type="xsd:double"&gt;301.508194&lt;/D&gt;&lt;D xsi:type="xsd:double"&gt;301.989182&lt;/D&gt;&lt;D xsi:type="xsd:double"&gt;300.277036&lt;/D&gt;&lt;D xsi:type="xsd:double"&gt;301.399661&lt;/D&gt;&lt;D xsi:type="xsd:double"&gt;302.186376&lt;/D&gt;&lt;D xsi:type="xsd:double"&gt;301.825241&lt;/D&gt;&lt;D xsi:type="xsd:double"&gt;301.125879&lt;/D&gt;&lt;D xsi:type="xsd:double"&gt;300.909598&lt;/D&gt;&lt;D xsi:type="xsd:double"&gt;299.694895&lt;/D&gt;&lt;D xsi:type="xsd:double"&gt;300.761029&lt;/D&gt;&lt;D xsi:type="xsd:double"&gt;298.938247&lt;/D&gt;&lt;D xsi:type="xsd:double"&gt;300.244165&lt;/D&gt;&lt;D xsi:type="xsd:double"&gt;300.095452&lt;/D&gt;&lt;D xsi:type="xsd:double"&gt;298.366994&lt;/D&gt;&lt;D xsi:type="xsd:double"&gt;296.734361&lt;/D&gt;&lt;D xsi:type="xsd:double"&gt;297.74996&lt;/D&gt;&lt;D xsi:type="xsd:double"&gt;293.612869&lt;/D&gt;&lt;D xsi:type="xsd:double"&gt;288.668567&lt;/D&gt;&lt;D xsi:type="xsd:double"&gt;287.037911&lt;/D&gt;&lt;D xsi:type="xsd:double"&gt;289.997413&lt;/D&gt;&lt;D xsi:type="xsd:double"&gt;288.35304&lt;/D&gt;&lt;D xsi:type="xsd:double"&gt;288.744641&lt;/D&gt;&lt;D xsi:type="xsd:double"&gt;291.637392&lt;/D&gt;&lt;D xsi:type="xsd:double"&gt;289.170341&lt;/D&gt;&lt;D xsi:type="xsd:double"&gt;284.980254&lt;/D&gt;&lt;D xsi:type="xsd:double"&gt;279.533246&lt;/D&gt;&lt;D xsi:type="xsd:double"&gt;277.364589&lt;/D&gt;&lt;D xsi:type="xsd:double"&gt;278.371064&lt;/D&gt;&lt;D xsi:type="xsd:double"&gt;277.409196&lt;/D&gt;&lt;D xsi:type="xsd:double"&gt;276.653072&lt;/D&gt;&lt;D xsi:type="xsd:double"&gt;279.541093&lt;/D&gt;&lt;D xsi:type="xsd:double"&gt;279.489119&lt;/D&gt;&lt;D xsi:type="xsd:double"&gt;279.068829&lt;/D&gt;&lt;D xsi:type="xsd:double"&gt;279.957624&lt;/D&gt;&lt;D xsi:type="xsd:double"&gt;282.304688&lt;/D&gt;&lt;D xsi:type="xsd:double"&gt;285.70033&lt;/D&gt;&lt;D xsi:type="xsd:double"&gt;288.485097&lt;/D&gt;&lt;D xsi:type="xsd:double"&gt;287.280787&lt;/D&gt;&lt;D xsi:type="xsd:double"&gt;287.386321&lt;/D&gt;&lt;D xsi:type="xsd:double"&gt;291.008256&lt;/D&gt;&lt;D xsi:type="xsd:double"&gt;290.98079&lt;/D&gt;&lt;D xsi:type="xsd:double"&gt;289.206697&lt;/D&gt;&lt;D xsi:type="xsd:double"&gt;284.063545&lt;/D&gt;&lt;D xsi:type="xsd:double"&gt;284.088683&lt;/D&gt;&lt;D xsi:type="xsd:double"&gt;282.38152&lt;/D&gt;&lt;D xsi:type="xsd:double"&gt;280.156091&lt;/D&gt;&lt;D xsi:type="xsd:double"&gt;282.31671&lt;/D&gt;&lt;D xsi:type="xsd:double"&gt;286.009936&lt;/D&gt;&lt;D xsi:type="xsd:double"&gt;289.485185&lt;/D&gt;&lt;D xsi:type="xsd:double"&gt;288.202349&lt;/D&gt;&lt;D xsi:type="xsd:double"&gt;287.886522&lt;/D&gt;&lt;D xsi:type="xsd:double"&gt;289.102654&lt;/D&gt;&lt;D xsi:type="xsd:double"&gt;291.29776&lt;/D&gt;&lt;D xsi:type="xsd:double"&gt;293.851216&lt;/D&gt;&lt;D xsi:type="xsd:double"&gt;293.682209&lt;/D&gt;&lt;D xsi:type="xsd:double"&gt;298.751608&lt;/D&gt;&lt;D xsi:type="xsd:double"&gt;298.04944&lt;/D&gt;&lt;D xsi:type="xsd:double"&gt;298.268347&lt;/D&gt;&lt;D xsi:type="xsd:double"&gt;300.450368&lt;/D&gt;&lt;D xsi:type="xsd:double"&gt;299.360676&lt;/D&gt;&lt;D xsi:type="xsd:double"&gt;296.54927&lt;/D&gt;&lt;D xsi:type="xsd:double"&gt;296.833675&lt;/D&gt;&lt;D xsi:type="xsd:double"&gt;297.350313&lt;/D&gt;&lt;D xsi:type="xsd:double"&gt;295.547461&lt;/D&gt;&lt;D xsi:type="xsd:double"&gt;295.814923&lt;/D&gt;&lt;D xsi:type="xsd:double"&gt;297.006972&lt;/D&gt;&lt;D xsi:type="xsd:double"&gt;298.120668&lt;/D&gt;&lt;D xsi:type="xsd:double"&gt;299.909496&lt;/D&gt;&lt;D xsi:type="xsd:double"&gt;299.708149&lt;/D&gt;&lt;D xsi:type="xsd:double"&gt;301.168476&lt;/D&gt;&lt;D xsi:type="xsd:double"&gt;299.321204&lt;/D&gt;&lt;D xsi:type="xsd:double"&gt;296.324986&lt;/D&gt;&lt;D xsi:type="xsd:double"&gt;293.091249&lt;/D&gt;&lt;D xsi:type="xsd:double"&gt;295.983249&lt;/D&gt;&lt;D xsi:type="xsd:double"&gt;295.678711&lt;/D&gt;&lt;D xsi:type="xsd:double"&gt;293.998923&lt;/D&gt;&lt;D xsi:type="xsd:double"&gt;292.417067&lt;/D&gt;&lt;D xsi:type="xsd:double"&gt;293.036624&lt;/D&gt;&lt;D xsi:type="xsd:double"&gt;294.961725&lt;/D&gt;&lt;D xsi:type="xsd:double"&gt;296.88079&lt;/D&gt;&lt;D xsi:type="xsd:double"&gt;299.072884&lt;/D&gt;&lt;D xsi:type="xsd:double"&gt;300.524423&lt;/D&gt;&lt;D xsi:type="xsd:double"&gt;303.346701&lt;/D&gt;&lt;D xsi:type="xsd:double"&gt;306.483772&lt;/D&gt;&lt;D xsi:type="xsd:double"&gt;304.606595&lt;/D&gt;&lt;D xsi:type="xsd:double"&gt;303.40633&lt;/D&gt;&lt;D xsi:type="xsd:double"&gt;305.891546&lt;/D&gt;&lt;D xsi:type="xsd:double"&gt;306.239754&lt;/D&gt;&lt;D xsi:type="xsd:double"&gt;304.202767&lt;/D&gt;&lt;D xsi:type="xsd:double"&gt;305.894734&lt;/D&gt;&lt;D xsi:type="xsd:double"&gt;312.019698&lt;/D&gt;&lt;D xsi:type="xsd:double"&gt;314.691007&lt;/D&gt;&lt;D xsi:type="xsd:double"&gt;313.842895&lt;/D&gt;&lt;D xsi:type="xsd:double"&gt;312.757045&lt;/D&gt;&lt;D xsi:type="xsd:double"&gt;311.595576&lt;/D&gt;&lt;D xsi:type="xsd:double"&gt;311.81959&lt;/D&gt;&lt;D xsi:type="xsd:double"&gt;309.790134&lt;/D&gt;&lt;D xsi:type="xsd:double"&gt;309.652114&lt;/D&gt;&lt;D xsi:type="xsd:double"&gt;310.363525&lt;/D&gt;&lt;D xsi:type="xsd:double"&gt;311.048543&lt;/D&gt;&lt;D xsi:type="xsd:double"&gt;311.226826&lt;/D&gt;&lt;D xsi:type="xsd:double"&gt;310.345025&lt;/D&gt;&lt;D xsi:type="xsd:double"&gt;311.688624&lt;/D&gt;&lt;D xsi:type="xsd:double"&gt;310.771338&lt;/D&gt;&lt;D xsi:type="xsd:double"&gt;306.232601&lt;/D&gt;&lt;D xsi:type="xsd:double"&gt;300.718602&lt;/D&gt;&lt;D xsi:type="xsd:double"&gt;297.974889&lt;/D&gt;&lt;D xsi:type="xsd:double"&gt;297.589018&lt;/D&gt;&lt;D xsi:type="xsd:double"&gt;296.849939&lt;/D&gt;&lt;D xsi:type="xsd:double"&gt;302.768256&lt;/D&gt;&lt;D xsi:type="xsd:double"&gt;304.804032&lt;/D&gt;&lt;D xsi:type="xsd:double"&gt;302.897832&lt;/D&gt;&lt;D xsi:type="xsd:double"&gt;300.730615&lt;/D&gt;&lt;D xsi:type="xsd:double"&gt;301.05046&lt;/D&gt;&lt;D xsi:type="xsd:double"&gt;300.439051&lt;/D&gt;&lt;D xsi:type="xsd:double"&gt;299.308706&lt;/D&gt;&lt;D xsi:type="xsd:double"&gt;299.209787&lt;/D&gt;&lt;D xsi:type="xsd:double"&gt;302.943097&lt;/D&gt;&lt;D xsi:type="xsd:double"&gt;304.361019&lt;/D&gt;&lt;D xsi:type="xsd:double"&gt;305.239761&lt;/D&gt;&lt;D xsi:type="xsd:double"&gt;309.777781&lt;/D&gt;&lt;D xsi:type="xsd:double"&gt;308.347372&lt;/D&gt;&lt;D xsi:type="xsd:double"&gt;307.153295&lt;/D&gt;&lt;D xsi:type="xsd:double"&gt;304.994823&lt;/D&gt;&lt;D xsi:type="xsd:double"&gt;301.863064&lt;/D&gt;&lt;D xsi:type="xsd:double"&gt;301.519115&lt;/D&gt;&lt;D xsi:type="xsd:double"&gt;300.466727&lt;/D&gt;&lt;D xsi:type="xsd:double"&gt;299.817179&lt;/D&gt;&lt;D xsi:type="xsd:double"&gt;299.917775&lt;/D&gt;&lt;D xsi:type="xsd:double"&gt;299.10071&lt;/D&gt;&lt;D xsi:type="xsd:double"&gt;298.736291&lt;/D&gt;&lt;D xsi:type="xsd:double"&gt;293.770265&lt;/D&gt;&lt;D xsi:type="xsd:double"&gt;290.653958&lt;/D&gt;&lt;D xsi:type="xsd:double"&gt;294.968223&lt;/D&gt;&lt;D xsi:type="xsd:double"&gt;295.802023&lt;/D&gt;&lt;D xsi:type="xsd:double"&gt;293.852926&lt;/D&gt;&lt;D xsi:type="xsd:double"&gt;296.166891&lt;/D&gt;&lt;D xsi:type="xsd:double"&gt;300.331445&lt;/D&gt;&lt;D xsi:type="xsd:double"&gt;302.426494&lt;/D&gt;&lt;D xsi:type="xsd:double"&gt;301.557306&lt;/D&gt;&lt;D xsi:type="xsd:double"&gt;300.197626&lt;/D&gt;&lt;D xsi:type="xsd:double"&gt;299.89223&lt;/D&gt;&lt;D xsi:type="xsd:double"&gt;301.259359&lt;/D&gt;&lt;D xsi:type="xsd:double"&gt;302.016991&lt;/D&gt;&lt;D xsi:type="xsd:double"&gt;300.757925&lt;/D&gt;&lt;D xsi:type="xsd:double"&gt;301.630104&lt;/D&gt;&lt;D xsi:type="xsd:double"&gt;302.8923&lt;/D&gt;&lt;D xsi:type="xsd:double"&gt;303.543348&lt;/D&gt;&lt;D xsi:type="xsd:double"&gt;305.039941&lt;/D&gt;&lt;D xsi:type="xsd:double"&gt;303.495862&lt;/D&gt;&lt;D xsi:type="xsd:double"&gt;301.135285&lt;/D&gt;&lt;D xsi:type="xsd:double"&gt;301.45393&lt;/D&gt;&lt;D xsi:type="xsd:double"&gt;300.361421&lt;/D&gt;&lt;D xsi:type="xsd:double"&gt;302.492439&lt;/D&gt;&lt;D xsi:type="xsd:double"&gt;302.931122&lt;/D&gt;&lt;D xsi:type="xsd:double"&gt;301.343405&lt;/D&gt;&lt;D xsi:type="xsd:double"&gt;300.987757&lt;/D&gt;&lt;D xsi:type="xsd:double"&gt;301.454158&lt;/D&gt;&lt;D xsi:type="xsd:double"&gt;303.898911&lt;/D&gt;&lt;D xsi:type="xsd:double"&gt;303.545793&lt;/D&gt;&lt;D xsi:type="xsd:double"&gt;304.524838&lt;/D&gt;&lt;D xsi:type="xsd:double"&gt;304.389818&lt;/D&gt;&lt;D xsi:type="xsd:double"&gt;305.755517&lt;/D&gt;&lt;D xsi:type="xsd:double"&gt;304.38862&lt;/D&gt;&lt;D xsi:type="xsd:double"&gt;305.294751&lt;/D&gt;&lt;D xsi:type="xsd:double"&gt;304.855723&lt;/D&gt;&lt;D xsi:type="xsd:double"&gt;302.540939&lt;/D&gt;&lt;D xsi:type="xsd:double"&gt;301.178262&lt;/D&gt;&lt;D xsi:type="xsd:double"&gt;298.016363&lt;/D&gt;&lt;D xsi:type="xsd:double"&gt;299.131101&lt;/D&gt;&lt;D xsi:type="xsd:double"&gt;299.510792&lt;/D&gt;&lt;D xsi:type="xsd:double"&gt;301.078555&lt;/D&gt;&lt;D xsi:type="xsd:double"&gt;300.077091&lt;/D&gt;&lt;D xsi:type="xsd:double"&gt;298.679133&lt;/D&gt;&lt;D xsi:type="xsd:double"&gt;297.373383&lt;/D&gt;&lt;D xsi:type="xsd:double"&gt;294.621036&lt;/D&gt;&lt;D xsi:type="xsd:double"&gt;291.877769&lt;/D&gt;&lt;D xsi:type="xsd:double"&gt;290.017743&lt;/D&gt;&lt;D xsi:type="xsd:double"&gt;289.147586&lt;/D&gt;&lt;D xsi:type="xsd:double"&gt;292.963772&lt;/D&gt;&lt;D xsi:type="xsd:double"&gt;290.304137&lt;/D&gt;&lt;D xsi:type="xsd:double"&gt;288.213385&lt;/D&gt;&lt;D xsi:type="xsd:double"&gt;285.306399&lt;/D&gt;&lt;D xsi:type="xsd:double"&gt;284.496763&lt;/D&gt;&lt;D xsi:type="xsd:double"&gt;283.951083&lt;/D&gt;&lt;D xsi:type="xsd:double"&gt;282.532191&lt;/D&gt;&lt;D xsi:type="xsd:double"&gt;287.938217&lt;/D&gt;&lt;D xsi:type="xsd:double"&gt;289.157503&lt;/D&gt;&lt;D xsi:type="xsd:double"&gt;291.314858&lt;/D&gt;&lt;D xsi:type="xsd:double"&gt;293.775354&lt;/D&gt;&lt;D xsi:type="xsd:double"&gt;294.327996&lt;/D&gt;&lt;D xsi:type="xsd:double"&gt;295.67434&lt;/D&gt;&lt;D xsi:type="xsd:double"&gt;298.903648&lt;/D&gt;&lt;D xsi:type="xsd:double"&gt;296.896941&lt;/D&gt;&lt;D xsi:type="xsd:double"&gt;294.252384&lt;/D&gt;&lt;D xsi:type="xsd:double"&gt;294.81565&lt;/D&gt;&lt;D xsi:type="xsd:double"&gt;292.933107&lt;/D&gt;&lt;D xsi:type="xsd:double"&gt;293.633967&lt;/D&gt;&lt;D xsi:type="xsd:double"&gt;291.846824&lt;/D&gt;&lt;D xsi:type="xsd:double"&gt;295.7041&lt;/D&gt;&lt;D xsi:type="xsd:double"&gt;295.969595&lt;/D&gt;&lt;D xsi:type="xsd:double"&gt;298.898181&lt;/D&gt;&lt;D xsi:type="xsd:double"&gt;299.513149&lt;/D&gt;&lt;D xsi:type="xsd:double"&gt;301.511796&lt;/D&gt;&lt;D xsi:type="xsd:double"&gt;300.55652&lt;/D&gt;&lt;D xsi:type="xsd:double"&gt;302.530767&lt;/D&gt;&lt;D xsi:type="xsd:double"&gt;302.012503&lt;/D&gt;&lt;D xsi:type="xsd:double"&gt;300.933021&lt;/D&gt;&lt;D xsi:type="xsd:double"&gt;304.226256&lt;/D&gt;&lt;D xsi:type="xsd:double"&gt;302.448841&lt;/D&gt;&lt;D xsi:type="xsd:double"&gt;301.336746&lt;/D&gt;&lt;D xsi:type="xsd:double"&gt;300.674048&lt;/D&gt;&lt;D xsi:type="xsd:double"&gt;306.23974&lt;/D&gt;&lt;D xsi:type="xsd:double"&gt;308.266105&lt;/D&gt;&lt;D xsi:type="xsd:double"&gt;305.939696&lt;/D&gt;&lt;D xsi:type="xsd:double"&gt;303.952523&lt;/D&gt;&lt;D xsi:type="xsd:double"&gt;305.495806&lt;/D&gt;&lt;D xsi:type="xsd:double"&gt;306.368832&lt;/D&gt;&lt;D xsi:type="xsd:double"&gt;305.912462&lt;/D&gt;&lt;D xsi:type="xsd:double"&gt;305.064952&lt;/D&gt;&lt;D xsi:type="xsd:double"&gt;304.638124&lt;/D&gt;&lt;D xsi:type="xsd:double"&gt;303.88148&lt;/D&gt;&lt;D xsi:type="xsd:double"&gt;302.045935&lt;/D&gt;&lt;D xsi:type="xsd:double"&gt;300.100228&lt;/D&gt;&lt;D xsi:type="xsd:double"&gt;303.620687&lt;/D&gt;&lt;D xsi:type="xsd:double"&gt;302.081238&lt;/D&gt;&lt;D xsi:type="xsd:double"&gt;301.381172&lt;/D&gt;&lt;D xsi:type="xsd:double"&gt;298.551361&lt;/D&gt;&lt;D xsi:type="xsd:double"&gt;295.353357&lt;/D&gt;&lt;D xsi:type="xsd:double"&gt;293.760667&lt;/D&gt;&lt;D xsi:type="xsd:double"&gt;294.856134&lt;/D&gt;&lt;D xsi:type="xsd:double"&gt;289.389374&lt;/D&gt;&lt;D xsi:type="xsd:double"&gt;285.293461&lt;/D&gt;&lt;D xsi:type="xsd:double"&gt;286.519332&lt;/D&gt;&lt;D xsi:type="xsd:double"&gt;283.249764&lt;/D&gt;&lt;D xsi:type="xsd:double"&gt;281.305147&lt;/D&gt;&lt;D xsi:type="xsd:double"&gt;282.562895&lt;/D&gt;&lt;D xsi:type="xsd:double"&gt;281.415026&lt;/D&gt;&lt;D xsi:type="xsd:double"&gt;282.419574&lt;/D&gt;&lt;D xsi:type="xsd:double"&gt;281.221163&lt;/D&gt;&lt;D xsi:type="xsd:double"&gt;281.976282&lt;/D&gt;&lt;D xsi:type="xsd:double"&gt;282.395326&lt;/D&gt;&lt;D xsi:type="xsd:double"&gt;280.368863&lt;/D&gt;&lt;D xsi:type="xsd:double"&gt;279.736717&lt;/D&gt;&lt;D xsi:type="xsd:double"&gt;280.514385&lt;/D&gt;&lt;D xsi:type="xsd:double"&gt;283.36546&lt;/D&gt;&lt;D xsi:type="xsd:double"&gt;289.71241&lt;/D&gt;&lt;D xsi:type="xsd:double"&gt;288.761914&lt;/D&gt;&lt;D xsi:type="xsd:double"&gt;284.27914&lt;/D&gt;&lt;D xsi:type="xsd:double"&gt;286.857511&lt;/D&gt;&lt;D xsi:type="xsd:double"&gt;284.606926&lt;/D&gt;&lt;D xsi:type="xsd:double"&gt;283.336495&lt;/D&gt;&lt;D xsi:type="xsd:double"&gt;285.616177&lt;/D&gt;&lt;D xsi:type="xsd:double"&gt;288.234047&lt;/D&gt;&lt;D xsi:type="xsd:double"&gt;287.725766&lt;/D&gt;&lt;D xsi:type="xsd:double"&gt;289.417171&lt;/D&gt;&lt;D xsi:type="xsd:double"&gt;283.8213&lt;/D&gt;&lt;D xsi:type="xsd:double"&gt;282.184319&lt;/D&gt;&lt;D xsi:type="xsd:double"&gt;280.82278&lt;/D&gt;&lt;D xsi:type="xsd:double"&gt;283.226375&lt;/D&gt;&lt;D xsi:type="xsd:double"&gt;280.82511&lt;/D&gt;&lt;D xsi:type="xsd:double"&gt;277.885253&lt;/D&gt;&lt;D xsi:type="xsd:double"&gt;275.659634&lt;/D&gt;&lt;D xsi:type="xsd:double"&gt;279.142141&lt;/D&gt;&lt;D xsi:type="xsd:double"&gt;277.123409&lt;/D&gt;&lt;D xsi:type="xsd:double"&gt;280.143382&lt;/D&gt;&lt;D xsi:type="xsd:double"&gt;281.575815&lt;/D&gt;&lt;D xsi:type="xsd:double"&gt;278.153634&lt;/D&gt;&lt;D xsi:type="xsd:double"&gt;278.48998&lt;/D&gt;&lt;D xsi:type="xsd:double"&gt;270.077152&lt;/D&gt;&lt;D xsi:type="xsd:double"&gt;264.084159&lt;/D&gt;&lt;D xsi:type="xsd:double"&gt;265.793231&lt;/D&gt;&lt;D xsi:type="xsd:double"&gt;262.844695&lt;/D&gt;&lt;D xsi:type="xsd:double"&gt;259.378736&lt;/D&gt;&lt;D xsi:type="xsd:double"&gt;253.159224&lt;/D&gt;&lt;D xsi:type="xsd:double"&gt;257.475161&lt;/D&gt;&lt;D xsi:type="xsd:double"&gt;257.192029&lt;/D&gt;&lt;D xsi:type="xsd:double"&gt;254.272565&lt;/D&gt;&lt;D xsi:type="xsd:double"&gt;254.053635&lt;/D&gt;&lt;D xsi:type="xsd:double"&gt;256.401366&lt;/D&gt;&lt;D xsi:type="xsd:double"&gt;256.18823&lt;/D&gt;&lt;D xsi:type="xsd:double"&gt;252.869737&lt;/D&gt;&lt;D xsi:type="xsd:double"&gt;249.235398&lt;/D&gt;&lt;D xsi:type="xsd:double"&gt;248.337449&lt;/D&gt;&lt;D xsi:type="xsd:double"&gt;249.830693&lt;/D&gt;&lt;D xsi:type="xsd:double"&gt;249.234283&lt;/D&gt;&lt;D xsi:type="xsd:double"&gt;251.785978&lt;/D&gt;&lt;D xsi:type="xsd:double"&gt;249.181333&lt;/D&gt;&lt;D xsi:type="xsd:double"&gt;246.560481&lt;/D&gt;&lt;D xsi:type="xsd:double"&gt;244.347905&lt;/D&gt;&lt;D xsi:type="xsd:double"&gt;244.584372&lt;/D&gt;&lt;D xsi:type="xsd:double"&gt;245.395159&lt;/D&gt;&lt;D xsi:type="xsd:double"&gt;248.903633&lt;/D&gt;&lt;D xsi:type="xsd:double"&gt;252.060995&lt;/D&gt;&lt;D xsi:type="xsd:double"&gt;255.786375&lt;/D&gt;&lt;D xsi:type="xsd:double"&gt;256.758339&lt;/D&gt;&lt;D xsi:type="xsd:double"&gt;257.396553&lt;/D&gt;&lt;D xsi:type="xsd:double"&gt;249.056026&lt;/D&gt;&lt;D xsi:type="xsd:double"&gt;247.046851&lt;/D&gt;&lt;D xsi:type="xsd:double"&gt;246.329308&lt;/D&gt;&lt;D xsi:type="xsd:double"&gt;246.687453&lt;/D&gt;&lt;D xsi:type="xsd:double"&gt;247.768253&lt;/D&gt;&lt;D xsi:type="xsd:double"&gt;247.918779&lt;/D&gt;&lt;D xsi:type="xsd:double"&gt;252.264067&lt;/D&gt;&lt;D xsi:type="xsd:double"&gt;258.643411&lt;/D&gt;&lt;D xsi:type="xsd:double"&gt;261.988353&lt;/D&gt;&lt;D xsi:type="xsd:double"&gt;264.806463&lt;/D&gt;&lt;D xsi:type="xsd:double"&gt;265.554851&lt;/D&gt;&lt;D xsi:type="xsd:double"&gt;266.256389&lt;/D&gt;&lt;D xsi:type="xsd:double"&gt;269.399267&lt;/D&gt;&lt;D xsi:type="xsd:double"&gt;270.992388&lt;/D&gt;&lt;D xsi:type="xsd:double"&gt;274.423701&lt;/D&gt;&lt;D xsi:type="xsd:double"&gt;278.506094&lt;/D&gt;&lt;D xsi:type="xsd:double"&gt;273.929995&lt;/D&gt;&lt;D xsi:type="xsd:double"&gt;268.711289&lt;/D&gt;&lt;D xsi:type="xsd:double"&gt;266.526942&lt;/D&gt;&lt;D xsi:type="xsd:double"&gt;268.34314&lt;/D&gt;&lt;D xsi:type="xsd:double"&gt;271.971129&lt;/D&gt;&lt;D xsi:type="xsd:double"&gt;268.911474&lt;/D&gt;&lt;D xsi:type="xsd:double"&gt;275.398612&lt;/D&gt;&lt;D xsi:type="xsd:double"&gt;276.211803&lt;/D&gt;&lt;D xsi:type="xsd:double"&gt;276.828984&lt;/D&gt;&lt;D xsi:type="xsd:double"&gt;281.169667&lt;/D&gt;&lt;D xsi:type="xsd:double"&gt;282.869063&lt;/D&gt;&lt;D xsi:type="xsd:double"&gt;280.269504&lt;/D&gt;&lt;D xsi:type="xsd:double"&gt;280.791742&lt;/D&gt;&lt;D xsi:type="xsd:double"&gt;281.399543&lt;/D&gt;&lt;D xsi:type="xsd:double"&gt;284.517272&lt;/D&gt;&lt;D xsi:type="xsd:double"&gt;288.019592&lt;/D&gt;&lt;D xsi:type="xsd:double"&gt;288.637502&lt;/D&gt;&lt;D xsi:type="xsd:double"&gt;289.887394&lt;/D&gt;&lt;D xs</t>
        </r>
      </text>
    </comment>
    <comment ref="A82" authorId="0" shapeId="0">
      <text>
        <r>
          <rPr>
            <b/>
            <sz val="9"/>
            <color indexed="81"/>
            <rFont val="Tahoma"/>
            <family val="2"/>
          </rPr>
          <t>i:type="xsd:double"&gt;290.243817&lt;/D&gt;&lt;D xsi:type="xsd:double"&gt;290.329454&lt;/D&gt;&lt;D xsi:type="xsd:double"&gt;290.577153&lt;/D&gt;&lt;D xsi:type="xsd:double"&gt;288.878346&lt;/D&gt;&lt;D xsi:type="xsd:double"&gt;285.254893&lt;/D&gt;&lt;D xsi:type="xsd:double"&gt;286.561411&lt;/D&gt;&lt;D xsi:type="xsd:double"&gt;284.607788&lt;/D&gt;&lt;D xsi:type="xsd:double"&gt;285.653739&lt;/D&gt;&lt;D xsi:type="xsd:double"&gt;283.21357&lt;/D&gt;&lt;D xsi:type="xsd:double"&gt;284.060831&lt;/D&gt;&lt;D xsi:type="xsd:double"&gt;287.378553&lt;/D&gt;&lt;D xsi:type="xsd:double"&gt;285.383435&lt;/D&gt;&lt;D xsi:type="xsd:double"&gt;283.309083&lt;/D&gt;&lt;D xsi:type="xsd:double"&gt;279.746732&lt;/D&gt;&lt;D xsi:type="xsd:double"&gt;279.187855&lt;/D&gt;&lt;D xsi:type="xsd:double"&gt;279.920425&lt;/D&gt;&lt;D xsi:type="xsd:double"&gt;280.538939&lt;/D&gt;&lt;D xsi:type="xsd:double"&gt;279.068075&lt;/D&gt;&lt;D xsi:type="xsd:double"&gt;278.423313&lt;/D&gt;&lt;D xsi:type="xsd:double"&gt;277.246141&lt;/D&gt;&lt;D xsi:type="xsd:double"&gt;274.469721&lt;/D&gt;&lt;D xsi:type="xsd:double"&gt;269.697416&lt;/D&gt;&lt;D xsi:type="xsd:double"&gt;266.691646&lt;/D&gt;&lt;D xsi:type="xsd:double"&gt;271.35611&lt;/D&gt;&lt;D xsi:type="xsd:double"&gt;271.53317&lt;/D&gt;&lt;D xsi:type="xsd:double"&gt;273.012434&lt;/D&gt;&lt;D xsi:type="xsd:double"&gt;276.747163&lt;/D&gt;&lt;D xsi:type="xsd:double"&gt;275.484562&lt;/D&gt;&lt;D xsi:type="xsd:double"&gt;271.26716&lt;/D&gt;&lt;D xsi:type="xsd:double"&gt;271.61683&lt;/D&gt;&lt;D xsi:type="xsd:double"&gt;274.453885&lt;/D&gt;&lt;D xsi:type="xsd:double"&gt;276.435728&lt;/D&gt;&lt;D xsi:type="xsd:double"&gt;280.301785&lt;/D&gt;&lt;D xsi:type="xsd:double"&gt;283.597651&lt;/D&gt;&lt;D xsi:type="xsd:double"&gt;283.774307&lt;/D&gt;&lt;D xsi:type="xsd:double"&gt;280.082279&lt;/D&gt;&lt;D xsi:type="xsd:double"&gt;274.875819&lt;/D&gt;&lt;D xsi:type="xsd:double"&gt;276.368607&lt;/D&gt;&lt;D xsi:type="xsd:double"&gt;279.294049&lt;/D&gt;&lt;D xsi:type="xsd:double"&gt;274.360919&lt;/D&gt;&lt;D xsi:type="xsd:double"&gt;277.1707&lt;/D&gt;&lt;D xsi:type="xsd:double"&gt;279.951243&lt;/D&gt;&lt;D xsi:type="xsd:double"&gt;278.717903&lt;/D&gt;&lt;D xsi:type="xsd:double"&gt;281.696211&lt;/D&gt;&lt;D xsi:type="xsd:double"&gt;290.817357&lt;/D&gt;&lt;D xsi:type="xsd:double"&gt;297.942773&lt;/D&gt;&lt;D xsi:type="xsd:double"&gt;302.138268&lt;/D&gt;&lt;D xsi:type="xsd:double"&gt;301.521882&lt;/D&gt;&lt;D xsi:type="xsd:double"&gt;303.209356&lt;/D&gt;&lt;D xsi:type="xsd:double"&gt;301.198389&lt;/D&gt;&lt;D xsi:type="xsd:double"&gt;301.842688&lt;/D&gt;&lt;D xsi:type="xsd:double"&gt;300.945861&lt;/D&gt;&lt;D xsi:type="xsd:double"&gt;303.250545&lt;/D&gt;&lt;D xsi:type="xsd:double"&gt;300.052303&lt;/D&gt;&lt;D xsi:type="xsd:double"&gt;295.690694&lt;/D&gt;&lt;D xsi:type="xsd:double"&gt;293.848182&lt;/D&gt;&lt;D xsi:type="xsd:double"&gt;293.418869&lt;/D&gt;&lt;D xsi:type="xsd:double"&gt;295.721021&lt;/D&gt;&lt;D xsi:type="xsd:double"&gt;292.378707&lt;/D&gt;&lt;D xsi:type="xsd:double"&gt;289.735536&lt;/D&gt;&lt;D xsi:type="xsd:double"&gt;292.485912&lt;/D&gt;&lt;D xsi:type="xsd:double"&gt;293.492039&lt;/D&gt;&lt;D xsi:type="xsd:double"&gt;287.850871&lt;/D&gt;&lt;D xsi:type="xsd:double"&gt;287.054305&lt;/D&gt;&lt;D xsi:type="xsd:double"&gt;282.048102&lt;/D&gt;&lt;D xsi:type="xsd:double"&gt;286.959506&lt;/D&gt;&lt;D xsi:type="xsd:double"&gt;284.720817&lt;/D&gt;&lt;D xsi:type="xsd:double"&gt;285.151957&lt;/D&gt;&lt;D xsi:type="xsd:double"&gt;292.833386&lt;/D&gt;&lt;D xsi:type="xsd:double"&gt;297.137271&lt;/D&gt;&lt;D xsi:type="xsd:double"&gt;299.186049&lt;/D&gt;&lt;D xsi:type="xsd:double"&gt;300.341996&lt;/D&gt;&lt;D xsi:type="xsd:double"&gt;299.328236&lt;/D&gt;&lt;D xsi:type="xsd:double"&gt;302.423388&lt;/D&gt;&lt;D xsi:type="xsd:double"&gt;298.95108&lt;/D&gt;&lt;D xsi:type="xsd:double"&gt;296.743757&lt;/D&gt;&lt;D xsi:type="xsd:double"&gt;298.810416&lt;/D&gt;&lt;D xsi:type="xsd:double"&gt;300.872634&lt;/D&gt;&lt;D xsi:type="xsd:double"&gt;307.519763&lt;/D&gt;&lt;D xsi:type="xsd:double"&gt;313.638616&lt;/D&gt;&lt;D xsi:type="xsd:double"&gt;314.802671&lt;/D&gt;&lt;D xsi:type="xsd:double"&gt;311.580483&lt;/D&gt;&lt;D xsi:type="xsd:double"&gt;313.413753&lt;/D&gt;&lt;D xsi:type="xsd:double"&gt;315.326713&lt;/D&gt;&lt;D xsi:type="xsd:double"&gt;314.997382&lt;/D&gt;&lt;D xsi:type="xsd:double"&gt;314.132964&lt;/D&gt;&lt;D xsi:type="xsd:double"&gt;315.604266&lt;/D&gt;&lt;D xsi:type="xsd:double"&gt;318.215539&lt;/D&gt;&lt;D xsi:type="xsd:double"&gt;316.857405&lt;/D&gt;&lt;D xsi:type="xsd:double"&gt;319.735348&lt;/D&gt;&lt;D xsi:type="xsd:double"&gt;324.492289&lt;/D&gt;&lt;D xsi:type="xsd:double"&gt;325.588407&lt;/D&gt;&lt;D xsi:type="xsd:double"&gt;322.958095&lt;/D&gt;&lt;D xsi:type="xsd:double"&gt;323.590808&lt;/D&gt;&lt;D xsi:type="xsd:double"&gt;326.654204&lt;/D&gt;&lt;D xsi:type="xsd:double"&gt;325.306826&lt;/D&gt;&lt;D xsi:type="xsd:double"&gt;319.319845&lt;/D&gt;&lt;D xsi:type="xsd:double"&gt;320.286006&lt;/D&gt;&lt;D xsi:type="xsd:double"&gt;321.411682&lt;/D&gt;&lt;D xsi:type="xsd:double"&gt;322.049133&lt;/D&gt;&lt;D xsi:type="xsd:double"&gt;321.743106&lt;/D&gt;&lt;D xsi:type="xsd:double"&gt;319.190861&lt;/D&gt;&lt;D xsi:type="xsd:double"&gt;319.376234&lt;/D&gt;&lt;D xsi:type="xsd:double"&gt;318.475525&lt;/D&gt;&lt;D xsi:type="xsd:double"&gt;310.768969&lt;/D&gt;&lt;D xsi:type="xsd:double"&gt;300.711404&lt;/D&gt;&lt;D xsi:type="xsd:double"&gt;303.569647&lt;/D&gt;&lt;D xsi:type="xsd:double"&gt;305.16062&lt;/D&gt;&lt;D xsi:type="xsd:double"&gt;307.450071&lt;/D&gt;&lt;D xsi:type="xsd:double"&gt;306.663624&lt;/D&gt;&lt;D xsi:type="xsd:double"&gt;299.186148&lt;/D&gt;&lt;D xsi:type="xsd:double"&gt;302.155964&lt;/D&gt;&lt;D xsi:type="xsd:double"&gt;309.006087&lt;/D&gt;&lt;D xsi:type="xsd:double"&gt;318.054218&lt;/D&gt;&lt;D xsi:type="xsd:double"&gt;319.504956&lt;/D&gt;&lt;D xsi:type="xsd:double"&gt;320.961226&lt;/D&gt;&lt;D xsi:type="xsd:double"&gt;324.458285&lt;/D&gt;&lt;D xsi:type="xsd:double"&gt;324.252585&lt;/D&gt;&lt;D xsi:type="xsd:double"&gt;315.63435&lt;/D&gt;&lt;D xsi:type="xsd:double"&gt;328.789337&lt;/D&gt;&lt;D xsi:type="xsd:double"&gt;329.339151&lt;/D&gt;&lt;D xsi:type="xsd:double"&gt;334.439271&lt;/D&gt;&lt;D xsi:type="xsd:double"&gt;337.552916&lt;/D&gt;&lt;D xsi:type="xsd:double"&gt;338.846108&lt;/D&gt;&lt;D xsi:type="xsd:double"&gt;336.268029&lt;/D&gt;&lt;D xsi:type="xsd:double"&gt;333.45574&lt;/D&gt;&lt;D xsi:type="xsd:double"&gt;340.036461&lt;/D&gt;&lt;D xsi:type="xsd:double"&gt;342.757335&lt;/D&gt;&lt;D xsi:type="xsd:double"&gt;341.541661&lt;/D&gt;&lt;D xsi:type="xsd:double"&gt;336.211284&lt;/D&gt;&lt;D xsi:type="xsd:double"&gt;336.157613&lt;/D&gt;&lt;D xsi:type="xsd:double"&gt;335.015228&lt;/D&gt;&lt;D xsi:type="xsd:double"&gt;335.411241&lt;/D&gt;&lt;D xsi:type="xsd:double"&gt;337.405618&lt;/D&gt;&lt;D xsi:type="xsd:double"&gt;334.929369&lt;/D&gt;&lt;D xsi:type="xsd:double"&gt;331.492603&lt;/D&gt;&lt;D xsi:type="xsd:double"&gt;327.597293&lt;/D&gt;&lt;D xsi:type="xsd:double"&gt;327.775902&lt;/D&gt;&lt;D xsi:type="xsd:double"&gt;332.454537&lt;/D&gt;&lt;D xsi:type="xsd:double"&gt;330.191854&lt;/D&gt;&lt;D xsi:type="xsd:double"&gt;331.740363&lt;/D&gt;&lt;D xsi:type="xsd:double"&gt;340.007877&lt;/D&gt;&lt;D xsi:type="xsd:double"&gt;344.879707&lt;/D&gt;&lt;D xsi:type="xsd:double"&gt;341.968976&lt;/D&gt;&lt;D xsi:type="xsd:double"&gt;343.35125&lt;/D&gt;&lt;D xsi:type="xsd:double"&gt;346.540826&lt;/D&gt;&lt;D xsi:type="xsd:double"&gt;349.518671&lt;/D&gt;&lt;D xsi:type="xsd:double"&gt;349.291601&lt;/D&gt;&lt;D xsi:type="xsd:double"&gt;343.557841&lt;/D&gt;&lt;D xsi:type="xsd:double"&gt;341.334441&lt;/D&gt;&lt;D xsi:type="xsd:double"&gt;342.999819&lt;/D&gt;&lt;D xsi:type="xsd:double"&gt;341.537548&lt;/D&gt;&lt;D xsi:type="xsd:double"&gt;346.008615&lt;/D&gt;&lt;D xsi:type="xsd:double"&gt;346.511897&lt;/D&gt;&lt;D xsi:type="xsd:double"&gt;343.635717&lt;/D&gt;&lt;D xsi:type="xsd:double"&gt;344.326797&lt;/D&gt;&lt;D xsi:type="xsd:double"&gt;343.231547&lt;/D&gt;&lt;D xsi:type="xsd:double"&gt;343.207743&lt;/D&gt;&lt;D xsi:type="xsd:double"&gt;343.428042&lt;/D&gt;&lt;D xsi:type="xsd:double"&gt;341.685668&lt;/D&gt;&lt;D xsi:type="xsd:double"&gt;340.97325&lt;/D&gt;&lt;D xsi:type="xsd:double"&gt;338.134607&lt;/D&gt;&lt;D xsi:type="xsd:double"&gt;335.21943&lt;/D&gt;&lt;D xsi:type="xsd:double"&gt;331.22129&lt;/D&gt;&lt;D xsi:type="xsd:double"&gt;336.764836&lt;/D&gt;&lt;D xsi:type="xsd:double"&gt;339.521108&lt;/D&gt;&lt;D xsi:type="xsd:double"&gt;335.229732&lt;/D&gt;&lt;D xsi:type="xsd:double"&gt;335.572112&lt;/D&gt;&lt;D xsi:type="xsd:double"&gt;337.874027&lt;/D&gt;&lt;D xsi:type="xsd:double"&gt;339.952534&lt;/D&gt;&lt;D xsi:type="xsd:double"&gt;341.367652&lt;/D&gt;&lt;D xsi:type="xsd:double"&gt;341.994695&lt;/D&gt;&lt;D xsi:type="xsd:double"&gt;340.802782&lt;/D&gt;&lt;D xsi:type="xsd:double"&gt;334.068682&lt;/D&gt;&lt;D xsi:type="xsd:double"&gt;333.256156&lt;/D&gt;&lt;D xsi:type="xsd:double"&gt;335.003183&lt;/D&gt;&lt;D xsi:type="xsd:double"&gt;336.100762&lt;/D&gt;&lt;D xsi:type="xsd:double"&gt;331.101043&lt;/D&gt;&lt;D xsi:type="xsd:double"&gt;334.482691&lt;/D&gt;&lt;D xsi:type="xsd:double"&gt;335.73522&lt;/D&gt;&lt;D xsi:type="xsd:double"&gt;342.516801&lt;/D&gt;&lt;D xsi:type="xsd:double"&gt;343.953175&lt;/D&gt;&lt;D xsi:type="xsd:double"&gt;346.052268&lt;/D&gt;&lt;D xsi:type="xsd:double"&gt;348.49565&lt;/D&gt;&lt;D xsi:type="xsd:double"&gt;349.48368&lt;/D&gt;&lt;D xsi:type="xsd:double"&gt;350.754923&lt;/D&gt;&lt;D xsi:type="xsd:double"&gt;352.080947&lt;/D&gt;&lt;D xsi:type="xsd:double"&gt;352.750743&lt;/D&gt;&lt;D xsi:type="xsd:double"&gt;351.985406&lt;/D&gt;&lt;D xsi:type="xsd:double"&gt;350.489243&lt;/D&gt;&lt;D xsi:type="xsd:double"&gt;350.21694&lt;/D&gt;&lt;D xsi:type="xsd:double"&gt;351.492917&lt;/D&gt;&lt;D xsi:type="xsd:double"&gt;351.912868&lt;/D&gt;&lt;D xsi:type="xsd:double"&gt;351.021102&lt;/D&gt;&lt;D xsi:type="xsd:double"&gt;351.122639&lt;/D&gt;&lt;D xsi:type="xsd:double"&gt;349.839631&lt;/D&gt;&lt;D xsi:type="xsd:double"&gt;349.302354&lt;/D&gt;&lt;D xsi:type="xsd:double"&gt;349.945778&lt;/D&gt;&lt;D xsi:type="xsd:double"&gt;347.122108&lt;/D&gt;&lt;D xsi:type="xsd:double"&gt;350.149941&lt;/D&gt;&lt;D xsi:type="xsd:double"&gt;349.224226&lt;/D&gt;&lt;D xsi:type="xsd:double"&gt;350.892136&lt;/D&gt;&lt;D xsi:type="xsd:double"&gt;349.965931&lt;/D&gt;&lt;D xsi:type="xsd:double"&gt;350.00159&lt;/D&gt;&lt;D xsi:type="xsd:double"&gt;349.22324&lt;/D&gt;&lt;D xsi:type="xsd:double"&gt;350.584429&lt;/D&gt;&lt;D xsi:type="xsd:double"&gt;349.11139&lt;/D&gt;&lt;D xsi:type="xsd:double"&gt;346.613216&lt;/D&gt;&lt;D xsi:type="xsd:double"&gt;347.546497&lt;/D&gt;&lt;D xsi:type="xsd:double"&gt;343.779719&lt;/D&gt;&lt;D xsi:type="xsd:double"&gt;340.639372&lt;/D&gt;&lt;D xsi:type="xsd:double"&gt;338.730051&lt;/D&gt;&lt;D xsi:type="xsd:double"&gt;340.592229&lt;/D&gt;&lt;D xsi:type="xsd:double"&gt;339.40565&lt;/D&gt;&lt;D xsi:type="xsd:double"&gt;338.592198&lt;/D&gt;&lt;D xsi:type="xsd:double"&gt;333.463302&lt;/D&gt;&lt;D xsi:type="xsd:double"&gt;336.528375&lt;/D&gt;&lt;D xsi:type="xsd:double"&gt;336.144245&lt;/D&gt;&lt;D xsi:type="xsd:double"&gt;337.231734&lt;/D&gt;&lt;D xsi:type="xsd:double"&gt;339.297395&lt;/D&gt;&lt;D xsi:type="xsd:double"&gt;339.149372&lt;/D&gt;&lt;D xsi:type="xsd:double"&gt;341.375419&lt;/D&gt;&lt;D xsi:type="xsd:double"&gt;346.332902&lt;/D&gt;&lt;D xsi:type="xsd:double"&gt;346.272642&lt;/D&gt;&lt;D xsi:type="xsd:double"&gt;348.125185&lt;/D&gt;&lt;D xsi:type="xsd:double"&gt;345.484839&lt;/D&gt;&lt;D xsi:type="xsd:double"&gt;344.161754&lt;/D&gt;&lt;D xsi:type="xsd:double"&gt;342.974361&lt;/D&gt;&lt;D xsi:type="xsd:double"&gt;348.047072&lt;/D&gt;&lt;D xsi:type="xsd:double"&gt;349.751416&lt;/D&gt;&lt;D xsi:type="xsd:double"&gt;351.485871&lt;/D&gt;&lt;D xsi:type="xsd:double"&gt;353.539971&lt;/D&gt;&lt;D xsi:type="xsd:double"&gt;353.488782&lt;/D&gt;&lt;D xsi:type="xsd:double"&gt;353.953736&lt;/D&gt;&lt;D xsi:type="xsd:double"&gt;352.631997&lt;/D&gt;&lt;D xsi:type="xsd:double"&gt;354.173078&lt;/D&gt;&lt;D xsi:type="xsd:double"&gt;357.131601&lt;/D&gt;&lt;D xsi:type="xsd:double"&gt;355.732913&lt;/D&gt;&lt;D xsi:type="xsd:double"&gt;354.86401&lt;/D&gt;&lt;D xsi:type="xsd:double"&gt;353.997073&lt;/D&gt;&lt;D xsi:type="xsd:double"&gt;351.517853&lt;/D&gt;&lt;D xsi:type="xsd:double"&gt;349.971037&lt;/D&gt;&lt;D xsi:type="xsd:double"&gt;348.110883&lt;/D&gt;&lt;D xsi:type="xsd:double"&gt;346.438078&lt;/D&gt;&lt;D xsi:type="xsd:double"&gt;347.950427&lt;/D&gt;&lt;D xsi:type="xsd:double"&gt;347.814166&lt;/D&gt;&lt;D xsi:type="xsd:double"&gt;343.982809&lt;/D&gt;&lt;D xsi:type="xsd:double"&gt;339.218057&lt;/D&gt;&lt;D xsi:type="xsd:double"&gt;340.283238&lt;/D&gt;&lt;D xsi:type="xsd:double"&gt;346.681133&lt;/D&gt;&lt;D xsi:type="xsd:double"&gt;346.201883&lt;/D&gt;&lt;D xsi:type="xsd:double"&gt;349.29184&lt;/D&gt;&lt;D xsi:type="xsd:double"&gt;351.690893&lt;/D&gt;&lt;D xsi:type="xsd:double"&gt;350.96334&lt;/D&gt;&lt;D xsi:type="xsd:double"&gt;351.659509&lt;/D&gt;&lt;D xsi:type="xsd:double"&gt;350.332097&lt;/D&gt;&lt;D xsi:type="xsd:double"&gt;349.401139&lt;/D&gt;&lt;D xsi:type="xsd:double"&gt;349.224068&lt;/D&gt;&lt;D xsi:type="xsd:double"&gt;351.181396&lt;/D&gt;&lt;D xsi:type="xsd:double"&gt;350.650742&lt;/D&gt;&lt;D xsi:type="xsd:double"&gt;349.550062&lt;/D&gt;&lt;D xsi:type="xsd:double"&gt;349.604807&lt;/D&gt;&lt;D xsi:type="xsd:double"&gt;345.716169&lt;/D&gt;&lt;D xsi:type="xsd:double"&gt;349.201756&lt;/D&gt;&lt;D xsi:type="xsd:double"&gt;344.056803&lt;/D&gt;&lt;D xsi:type="xsd:double"&gt;342.90961&lt;/D&gt;&lt;D xsi:type="xsd:double"&gt;345.358425&lt;/D&gt;&lt;D xsi:type="xsd:double"&gt;346.809564&lt;/D&gt;&lt;D xsi:type="xsd:double"&gt;347.101659&lt;/D&gt;&lt;D xsi:type="xsd:double"&gt;344.734721&lt;/D&gt;&lt;D xsi:type="xsd:double"&gt;341.158816&lt;/D&gt;&lt;D xsi:type="xsd:double"&gt;341.982884&lt;/D&gt;&lt;D xsi:type="xsd:double"&gt;348.429608&lt;/D&gt;&lt;D xsi:type="xsd:double"&gt;350.302942&lt;/D&gt;&lt;D xsi:type="xsd:double"&gt;351.558569&lt;/D&gt;&lt;D xsi:type="xsd:double"&gt;351.987141&lt;/D&gt;&lt;D xsi:type="xsd:double"&gt;351.177832&lt;/D&gt;&lt;D xsi:type="xsd:double"&gt;348.214512&lt;/D&gt;&lt;D xsi:type="xsd:double"&gt;346.170707&lt;/D&gt;&lt;D xsi:type="xsd:double"&gt;350.458157&lt;/D&gt;&lt;D xsi:type="xsd:double"&gt;350.608141&lt;/D&gt;&lt;D xsi:type="xsd:double"&gt;351.577199&lt;/D&gt;&lt;D xsi:type="xsd:double"&gt;351.904807&lt;/D&gt;&lt;D xsi:type="xsd:double"&gt;352.025526&lt;/D&gt;&lt;D xsi:type="xsd:double"&gt;354.243663&lt;/D&gt;&lt;D xsi:type="xsd:double"&gt;354.974695&lt;/D&gt;&lt;D xsi:type="xsd:double"&gt;356.260479&lt;/D&gt;&lt;D xsi:type="xsd:double"&gt;354.053782&lt;/D&gt;&lt;D xsi:type="xsd:double"&gt;352.688134&lt;/D&gt;&lt;D xsi:type="xsd:double"&gt;352.019284&lt;/D&gt;&lt;D xsi:type="xsd:double"&gt;350.528017&lt;/D&gt;&lt;D xsi:type="xsd:double"&gt;350.983719&lt;/D&gt;&lt;D xsi:type="xsd:double"&gt;355.489967&lt;/D&gt;&lt;D xsi:type="xsd:double"&gt;359.488478&lt;/D&gt;&lt;D xsi:type="xsd:double"&gt;359.8182&lt;/D&gt;&lt;D xsi:type="xsd:double"&gt;359.485244&lt;/D&gt;&lt;D xsi:type="xsd:double"&gt;358.729077&lt;/D&gt;&lt;D xsi:type="xsd:double"&gt;358.40971&lt;/D&gt;&lt;D xsi:type="xsd:double"&gt;357.882226&lt;/D&gt;&lt;D xsi:type="xsd:double"&gt;358.584533&lt;/D&gt;&lt;D xsi:type="xsd:double"&gt;358.771636&lt;/D&gt;&lt;D xsi:type="xsd:double"&gt;357.994948&lt;/D&gt;&lt;D xsi:type="xsd:double"&gt;356.67039&lt;/D&gt;&lt;D xsi:type="xsd:double"&gt;358.145261&lt;/D&gt;&lt;D xsi:type="xsd:double"&gt;358.020676&lt;/D&gt;&lt;D xsi:type="xsd:double"&gt;354.595255&lt;/D&gt;&lt;D xsi:type="xsd:double"&gt;352.465421&lt;/D&gt;&lt;D xsi:type="xsd:double"&gt;352.502995&lt;/D&gt;&lt;D xsi:type="xsd:double"&gt;352.115294&lt;/D&gt;&lt;D xsi:type="xsd:double"&gt;349.872719&lt;/D&gt;&lt;D xsi:type="xsd:double"&gt;349.277338&lt;/D&gt;&lt;D xsi:type="xsd:double"&gt;348.536875&lt;/D&gt;&lt;D xsi:type="xsd:double"&gt;346.260329&lt;/D&gt;&lt;D xsi:type="xsd:double"&gt;349.792572&lt;/D&gt;&lt;D xsi:type="xsd:double"&gt;345.694385&lt;/D&gt;&lt;D xsi:type="xsd:double"&gt;345.085944&lt;/D&gt;&lt;D xsi:type="xsd:double"&gt;339.980224&lt;/D&gt;&lt;D xsi:type="xsd:double"&gt;343.217885&lt;/D&gt;&lt;D xsi:type="xsd:double"&gt;346.400655&lt;/D&gt;&lt;D xsi:type="xsd:double"&gt;352.293718&lt;/D&gt;&lt;D xsi:type="xsd:double"&gt;351.341031&lt;/D&gt;&lt;D xsi:type="xsd:double"&gt;347.71379&lt;/D&gt;&lt;D xsi:type="xsd:double"&gt;345.572694&lt;/D&gt;&lt;D xsi:type="xsd:double"&gt;343.106079&lt;/D&gt;&lt;D xsi:type="xsd:double"&gt;346.049098&lt;/D&gt;&lt;D xsi:type="xsd:double"&gt;345.205141&lt;/D&gt;&lt;D xsi:type="xsd:double"&gt;348.97756&lt;/D&gt;&lt;D xsi:type="xsd:double"&gt;348.981911&lt;/D&gt;&lt;D xsi:type="xsd:double"&gt;348.250998&lt;/D&gt;&lt;D xsi:type="xsd:double"&gt;348.969766&lt;/D&gt;&lt;D xsi:type="xsd:double"&gt;347.064043&lt;/D&gt;&lt;D xsi:type="xsd:double"&gt;346.128876&lt;/D&gt;&lt;D xsi:type="xsd:double"&gt;343.899539&lt;/D&gt;&lt;D xsi:type="xsd:double"&gt;344.957978&lt;/D&gt;&lt;D xsi:type="xsd:double"&gt;348.677047&lt;/D&gt;&lt;D xsi:type="xsd:double"&gt;348.155369&lt;/D&gt;&lt;D xsi:type="xsd:double"&gt;346.10492&lt;/D&gt;&lt;D xsi:type="xsd:double"&gt;344.413804&lt;/D&gt;&lt;D xsi:type="xsd:double"&gt;342.355542&lt;/D&gt;&lt;D xsi:type="xsd:double"&gt;341.652456&lt;/D&gt;&lt;D xsi:type="xsd:double"&gt;342.948278&lt;/D&gt;&lt;D xsi:type="xsd:double"&gt;343.927434&lt;/D&gt;&lt;D xsi:type="xsd:double"&gt;342.455086&lt;/D&gt;&lt;D xsi:type="xsd:double"&gt;342.408636&lt;/D&gt;&lt;D xsi:type="xsd:double"&gt;340.97327&lt;/D&gt;&lt;D xsi:type="xsd:double"&gt;338.909186&lt;/D&gt;&lt;D xsi:type="xsd:double"&gt;336.073854&lt;/D&gt;&lt;D xsi:type="xsd:double"&gt;336.959863&lt;/D&gt;&lt;D xsi:type="xsd:double"&gt;336.488354&lt;/D&gt;&lt;D xsi:type="xsd:double"&gt;336.308349&lt;/D&gt;&lt;D xsi:type="xsd:double"&gt;332.372242&lt;/D&gt;&lt;D xsi:type="xsd:double"&gt;333.408339&lt;/D&gt;&lt;D xsi:type="xsd:double"&gt;337.286576&lt;/D&gt;&lt;D xsi:type="xsd:double"&gt;340.002793&lt;/D&gt;&lt;D xsi:type="xsd:double"&gt;340.13361&lt;/D&gt;&lt;D xsi:type="xsd:double"&gt;342.553951&lt;/D&gt;&lt;D xsi:type="xsd:double"&gt;340.609492&lt;/D&gt;&lt;D xsi:type="xsd:double"&gt;341.593735&lt;/D&gt;&lt;D xsi:type="xsd:double"&gt;339.544336&lt;/D&gt;&lt;D xsi:type="xsd:double"&gt;339.871789&lt;/D&gt;&lt;D xsi:type="xsd:double"&gt;340.575042&lt;/D&gt;&lt;D xsi:type="xsd:double"&gt;335.998107&lt;/D&gt;&lt;D xsi:type="xsd:double"&gt;334.617485&lt;/D&gt;&lt;D xsi:type="xsd:double"&gt;331.533695&lt;/D&gt;&lt;D xsi:type="xsd:double"&gt;332.213687&lt;/D&gt;&lt;D xsi:type="xsd:double"&gt;335.43331&lt;/D&gt;&lt;D xsi:type="xsd:double"&gt;340.0152&lt;/D&gt;&lt;D xsi:type="xsd:double"&gt;338.12757&lt;/D&gt;&lt;D xsi:type="xsd:double"&gt;338.067656&lt;/D&gt;&lt;D xsi:type="xsd:double"&gt;333.105639&lt;/D&gt;&lt;D xsi:type="xsd:double"&gt;343.2274&lt;/D&gt;&lt;D xsi:type="xsd:double"&gt;341.388758&lt;/D&gt;&lt;D xsi:type="xsd:double"&gt;344.398209&lt;/D&gt;&lt;D xsi:type="xsd:double"&gt;344.349277&lt;/D&gt;&lt;D xsi:type="xsd:double"&gt;346.752294&lt;/D&gt;&lt;D xsi:type="xsd:double"&gt;345.040926&lt;/D&gt;&lt;D xsi:type="xsd:double"&gt;347.791867&lt;/D&gt;&lt;D xsi:type="xsd:double"&gt;350.01183&lt;/D&gt;&lt;D xsi:type="xsd:double"&gt;346.109878&lt;/D&gt;&lt;D xsi:type="xsd:double"&gt;345.382771&lt;/D&gt;&lt;D xsi:type="xsd:double"&gt;344.441649&lt;/D&gt;&lt;D xsi:type="xsd:double"&gt;342.817637&lt;/D&gt;&lt;D xsi:type="xsd:double"&gt;341.133084&lt;/D&gt;&lt;D xsi:type="xsd:double"&gt;338.593971&lt;/D&gt;&lt;D xsi:type="xsd:double"&gt;336.195223&lt;/D&gt;&lt;D xsi:type="xsd:double"&gt;336.760263&lt;/D&gt;&lt;D xsi:type="xsd:double"&gt;334.611757&lt;/D&gt;&lt;D xsi:type="xsd:double"&gt;331.171908&lt;/D&gt;&lt;D xsi:type="xsd:double"&gt;326.968143&lt;/D&gt;&lt;D xsi:type="xsd:double"&gt;332.348041&lt;/D&gt;&lt;D xsi:type="xsd:double"&gt;334.759731&lt;/D&gt;&lt;D xsi:type="xsd:double"&gt;338.984136&lt;/D&gt;&lt;D xsi:type="xsd:double"&gt;340.063387&lt;/D&gt;&lt;D xsi:type="xsd:double"&gt;339.898611&lt;/D&gt;&lt;D xsi:type="xsd:double"&gt;342.14183&lt;/D&gt;&lt;D xsi:type="xsd:double"&gt;340.821962&lt;/D&gt;&lt;D xsi:type="xsd:double"&gt;338.361176&lt;/D&gt;&lt;D xsi:type="xsd:double"&gt;335.79181&lt;/D&gt;&lt;D xsi:type="xsd:double"&gt;339.338876&lt;/D&gt;&lt;D xsi:type="xsd:double"&gt;337.551841&lt;/D&gt;&lt;D xsi:type="xsd:double"&gt;336.259618&lt;/D&gt;&lt;D xsi:type="xsd:double"&gt;335.382138&lt;/D&gt;&lt;D xsi:type="xsd:double"&gt;338.604403&lt;/D&gt;&lt;D xsi:type="xsd:double"&gt;333.943789&lt;/D&gt;&lt;D xsi:type="xsd:double"&gt;331.835344&lt;/D&gt;&lt;D xsi:type="xsd:double"&gt;330.537393&lt;/D&gt;&lt;D xsi:type="xsd:double"&gt;328.98823&lt;/D&gt;&lt;D xsi:type="xsd:double"&gt;326.457293&lt;/D&gt;&lt;D xsi:type="xsd:double"&gt;327.714742&lt;/D&gt;&lt;D xsi:type="xsd:double"&gt;325.702288&lt;/D&gt;&lt;D xsi:type="xsd:double"&gt;322.136251&lt;/D&gt;&lt;D xsi:type="xsd:double"&gt;320.765686&lt;/D&gt;&lt;D xsi:type="xsd:double"&gt;320.62306&lt;/D&gt;&lt;D xsi:type="xsd:double"&gt;317.748339&lt;/D&gt;&lt;D xsi:type="xsd:double"&gt;318.582065&lt;/D&gt;&lt;D xsi:type="xsd:double"&gt;323.224368&lt;/D&gt;&lt;D xsi:type="xsd:double"&gt;324.724222&lt;/D&gt;&lt;D xsi:type="xsd:double"&gt;322.152894&lt;/D&gt;&lt;D xsi:type="xsd:double"&gt;319.131946&lt;/D&gt;&lt;D xsi:type="xsd:double"&gt;318.581686&lt;/D&gt;&lt;D xsi:type="xsd:double"&gt;318.448535&lt;/D&gt;&lt;D xsi:type="xsd:double"&gt;319.329018&lt;/D&gt;&lt;D xsi:type="xsd:double"&gt;319.362457&lt;/D&gt;&lt;D xsi:type="xsd:double"&gt;318.501751&lt;/D&gt;&lt;D xsi:type="xsd:double"&gt;318.400035&lt;/D&gt;&lt;D xsi:type="xsd:double"&gt;318.877409&lt;/D&gt;&lt;D xsi:type="xsd:double"&gt;317.245806&lt;/D&gt;&lt;D xsi:type="xsd:double"&gt;314.774171&lt;/D&gt;&lt;D xsi:type="xsd:double"&gt;313.650234&lt;/D&gt;&lt;D xsi:type="xsd:double"&gt;310.09846&lt;/D&gt;&lt;D xsi:type="xsd:double"&gt;314.836113&lt;/D&gt;&lt;D xsi:type="xsd:double"&gt;312.34862&lt;/D&gt;&lt;D xsi:type="xsd:double"&gt;312.202082&lt;/D&gt;&lt;D xsi:type="xsd:double"&gt;308.268385&lt;/D&gt;&lt;D xsi:type="xsd:double"&gt;308.303388&lt;/D&gt;&lt;D xsi:type="xsd:double"&gt;306.611592&lt;/D&gt;&lt;D xsi:type="xsd:double"&gt;308.477987&lt;/D&gt;&lt;D xsi:type="xsd:double"&gt;307.490683&lt;/D&gt;&lt;D xsi:type="xsd:double"&gt;306.965119&lt;/D&gt;&lt;D xsi:type="xsd:double"&gt;302.539537&lt;/D&gt;&lt;D xsi:type="xsd:double"&gt;302.341714&lt;/D&gt;&lt;D xsi:type="xsd:double"&gt;302.941686&lt;/D&gt;&lt;D xsi:type="xsd:double"&gt;301.36205&lt;/D&gt;&lt;D xsi:type="xsd:double"&gt;300.082392&lt;/D&gt;&lt;D xsi:type="xsd:double"&gt;294.241542&lt;/D&gt;&lt;D xsi:type="xsd:double"&gt;292.711722&lt;/D&gt;&lt;D xsi:type="xsd:double"&gt;286.007659&lt;/D&gt;&lt;D xsi:type="xsd:double"&gt;282.231557&lt;/D&gt;&lt;D xsi:type="xsd:double"&gt;277.118604&lt;/D&gt;&lt;D xsi:type="xsd:double"&gt;273.574972&lt;/D&gt;&lt;D xsi:type="xsd:double"&gt;275.831884&lt;/D&gt;&lt;D xsi:type="xsd:double"&gt;277.37706&lt;/D&gt;&lt;D xsi:type="xsd:double"&gt;283.303268&lt;/D&gt;&lt;D xsi:type="xsd:double"&gt;284.104907&lt;/D&gt;&lt;D xsi:type="xsd:double"&gt;287.204821&lt;/D&gt;&lt;D xsi:type="xsd:double"&gt;286.235605&lt;/D&gt;&lt;D xsi:type="xsd:double"&gt;287.563793&lt;/D&gt;&lt;D xsi:type="xsd:double"&gt;287.455206&lt;/D&gt;&lt;D xsi:type="xsd:double"&gt;287.374715&lt;/D&gt;&lt;D xsi:type="xsd:double"&gt;286.189553&lt;/D&gt;&lt;D xsi:type="xsd:double"&gt;284.776188&lt;/D&gt;&lt;D xsi:type="xsd:double"&gt;289.698431&lt;/D&gt;&lt;D xsi:type="xsd:double"&gt;289.767034&lt;/D&gt;&lt;D xsi:type="xsd:double"&gt;291.063508&lt;/D&gt;&lt;D xsi:type="xsd:double"&gt;289.000586&lt;/D&gt;&lt;D xsi:type="xsd:double"&gt;287.156859&lt;/D&gt;&lt;D xsi:type="xsd:double"&gt;285.047315&lt;/D&gt;&lt;D xsi:type="xsd:double"&gt;284.800639&lt;/D&gt;&lt;D xsi:type="xsd:double"&gt;283.750256&lt;/D&gt;&lt;D xsi:type="xsd:double"&gt;279.897328&lt;/D&gt;&lt;D xsi:type="xsd:double"&gt;280.561482&lt;/D&gt;&lt;D xsi:type="xsd:double"&gt;279.802999&lt;/D&gt;&lt;D xsi:type="xsd:double"&gt;280.040317&lt;/D&gt;&lt;D xsi:type="xsd:double"&gt;280.019684&lt;/D&gt;&lt;D xsi:type="xsd:double"&gt;275.603743&lt;/D&gt;&lt;D xsi:type="xsd:double"&gt;275.325613&lt;/D&gt;&lt;D xsi:type="xsd:double"&gt;279.160366&lt;/D&gt;&lt;D xsi:type="xsd:double"&gt;279.558747&lt;/D&gt;&lt;D xsi:type="xsd:double"&gt;280.516254&lt;/D&gt;&lt;D xsi:type="xsd:double"&gt;287.581649&lt;/D&gt;&lt;D xsi:type="xsd:double"&gt;287.401688&lt;/D&gt;&lt;D xsi:type="xsd:double"&gt;289.649229&lt;/D&gt;&lt;D xsi:type="xsd:double"&gt;288.503114&lt;/D&gt;&lt;D xsi:type="xsd:double"&gt;287.397018&lt;/D&gt;&lt;D xsi:type="xsd:double"&gt;284.968094&lt;/D&gt;&lt;D xsi:type="xsd:double"&gt;284.469601&lt;/D&gt;&lt;D xsi:type="xsd:double"&gt;284.223023&lt;/D&gt;&lt;D xsi:type="xsd:double"&gt;282.720473&lt;/D&gt;&lt;D xsi:type="xsd:double"&gt;283.078105&lt;/D&gt;&lt;D xsi:type="xsd:double"&gt;286.823063&lt;/D&gt;&lt;D xsi:type="xsd:double"&gt;289.325856&lt;/D&gt;&lt;D xsi:type="xsd:double"&gt;288.405657&lt;/D&gt;&lt;D xsi:type="xsd:double"&gt;287.541552&lt;/D&gt;&lt;D xsi:type="xsd:double"&gt;289.272806&lt;/D&gt;&lt;D xsi:type="xsd:double"&gt;288.090552&lt;/D&gt;&lt;D xsi:type="xsd:double"&gt;289.759104&lt;/D&gt;&lt;D xsi:type="xsd:double"&gt;287.997939&lt;/D&gt;&lt;D xsi:type="xsd:double"&gt;287.486905&lt;/D&gt;&lt;D xsi:type="xsd:double"&gt;283.645746&lt;/D&gt;&lt;D xsi:type="xsd:double"&gt;283.44704&lt;/D&gt;&lt;D xsi:type="xsd:double"&gt;287.738569&lt;/D&gt;&lt;D xsi:type="xsd:double"&gt;287.54683&lt;/D&gt;&lt;D xsi:type="xsd:double"&gt;286.858319&lt;/D&gt;&lt;D xsi:type="xsd:double"&gt;285.577903&lt;/D&gt;&lt;D xsi:type="xsd:double"&gt;287.157385&lt;/D&gt;&lt;D xsi:type="xsd:double"&gt;286.987058&lt;/D&gt;&lt;D xsi:type="xsd:double"&gt;284.394804&lt;/D&gt;&lt;D xsi:type="xsd:double"&gt;281.140146&lt;/D&gt;&lt;D xsi:type="xsd:double"&gt;280.822386&lt;/D&gt;&lt;D xsi:type="xsd:double"&gt;282.976259&lt;/D&gt;&lt;D xsi:type="xsd:double"&gt;283.987632&lt;/D&gt;&lt;D xsi:type="xsd:double"&gt;280.691187&lt;/D&gt;&lt;D xsi:type="xsd:double"&gt;277.943725&lt;/D&gt;&lt;D xsi:type="xsd:double"&gt;276.211289&lt;/D&gt;&lt;D xsi:type="xsd:double"&gt;279.039727&lt;/D&gt;&lt;D xsi:type="xsd:double"&gt;282.063982&lt;/D&gt;&lt;D xsi:type="xsd:double"&gt;281.629075&lt;/D&gt;&lt;D xsi:type="xsd:double"&gt;281.202671&lt;/D&gt;&lt;D xsi:type="xsd:double"&gt;278.436137&lt;/D&gt;&lt;D xsi:type="xsd:double"&gt;281.284563&lt;/D&gt;&lt;D xsi:type="xsd:double"&gt;281.236034&lt;/D&gt;&lt;D xsi:type="xsd:double"&gt;282.478711&lt;/D&gt;&lt;D xsi:type="xsd:double"&gt;279.019804&lt;/D&gt;&lt;D xsi:type="xsd:double"&gt;277.20686&lt;/D&gt;&lt;D xsi:type="xsd:double"&gt;276.492762&lt;/D&gt;&lt;D xsi:type="xsd:double"&gt;279.179056&lt;/D&gt;&lt;D xsi:type="xsd:double"&gt;275.108488&lt;/D&gt;&lt;D xsi:type="xsd:double"&gt;276.707681&lt;/D&gt;&lt;D xsi:type="xsd:double"&gt;274.008862&lt;/D&gt;&lt;D xsi:type="xsd:double"&gt;273.967064&lt;/D&gt;&lt;D xsi:type="xsd:double"&gt;274.391908&lt;/D&gt;&lt;D xsi:type="xsd:double"&gt;273.769254&lt;/D&gt;&lt;D xsi:type="xsd:double"&gt;275.889339&lt;/D&gt;&lt;D xsi:type="xsd:double"&gt;269.909321&lt;/D&gt;&lt;D xsi:type="xsd:double"&gt;265.817048&lt;/D&gt;&lt;D xsi:type="xsd:double"&gt;264.999512&lt;/D&gt;&lt;D xsi:type="xsd:double"&gt;264.205837&lt;/D&gt;&lt;D xsi:type="xsd:double"&gt;264.741378&lt;/D&gt;&lt;D xsi:type="xsd:double"&gt;265.624154&lt;/D&gt;&lt;D xsi:type="xsd:double"&gt;266.819696&lt;/D&gt;&lt;D xsi:type="xsd:double"&gt;271.667304&lt;/D&gt;&lt;D xsi:type="xsd:double"&gt;267.494406&lt;/D&gt;&lt;D xsi:type="xsd:double"&gt;267.745005&lt;/D&gt;&lt;D xsi:type="xsd:double"&gt;267.074062&lt;/D&gt;&lt;D xsi:type="xsd:double"&gt;267.955489&lt;/D&gt;&lt;D xsi:type="xsd:double"&gt;266.772311&lt;/D&gt;&lt;D xsi:type="xsd:double"&gt;259.745436&lt;/D&gt;&lt;D xsi:type="xsd:double"&gt;262.9241&lt;/D&gt;&lt;D xsi:type="xsd:double"&gt;265.309193&lt;/D&gt;&lt;D xsi:type="xsd:double"&gt;273.416823&lt;/D&gt;&lt;D xsi:type="xsd:double"&gt;273.647898&lt;/D&gt;&lt;D xsi:type="xsd:double"&gt;273.82155&lt;/D&gt;&lt;D xsi:type="xsd:double"&gt;272.602272&lt;/D&gt;&lt;D xsi:type="xsd:double"&gt;268.564525&lt;/D&gt;&lt;D xsi:type="xsd:double"&gt;267.907636&lt;/D&gt;&lt;D xsi:type="xsd:double"&gt;262.318437&lt;/D&gt;&lt;D xsi:type="xsd:double"&gt;258.18731&lt;/D&gt;&lt;D xsi:type="xsd:double"&gt;254.145935&lt;/D&gt;&lt;D xsi:type="xsd:double"&gt;255.715451&lt;/D&gt;&lt;D xsi:type="xsd:double"&gt;252.261942&lt;/D&gt;&lt;D xsi:type="xsd:double"&gt;251.611861&lt;/D&gt;&lt;D xsi:type="xsd:double"&gt;243.602739&lt;/D&gt;&lt;D xsi:type="xsd:double"&gt;246.973689&lt;/D&gt;&lt;D xsi:type="xsd:double"&gt;248.989206&lt;/D&gt;&lt;D xsi:type="xsd:double"&gt;246.519677&lt;/D&gt;&lt;D xsi:type="xsd:double"&gt;244.001579&lt;/D&gt;&lt;D xsi:type="xsd:double"&gt;238.415528&lt;/D&gt;&lt;D xsi:type="xsd:double"&gt;237.612499&lt;/D&gt;&lt;D xsi:type="xsd:double"&gt;241.708152&lt;/D&gt;&lt;D xsi:type="xsd:double"&gt;244.64478&lt;/D&gt;&lt;D xsi:type="xsd:double"&gt;244.825196&lt;/D&gt;&lt;D xsi:type="xsd:double"&gt;244.940078&lt;/D&gt;&lt;D xsi:type="xsd:double"&gt;240.603047&lt;/D&gt;&lt;D xsi:type="xsd:double"&gt;240.195012&lt;/D&gt;&lt;D xsi:type="xsd:double"&gt;240.536796&lt;/D&gt;&lt;D xsi:type="xsd:double"&gt;238.018162&lt;/D&gt;&lt;D xsi:type="xsd:double"&gt;243.568098&lt;/D&gt;&lt;D xsi:type="xsd:double"&gt;246.691658&lt;/D&gt;&lt;D xsi:type="xsd:double"&gt;247.471972&lt;/D&gt;&lt;D xsi:type="xsd:double"&gt;243.294348&lt;/D&gt;&lt;D xsi:type="xsd:double"&gt;240.709883&lt;/D&gt;&lt;D xsi:type="xsd:double"&gt;235.962831&lt;/D&gt;&lt;D xsi:type="xsd:double"&gt;238.118657&lt;/D&gt;&lt;D xsi:type="xsd:double"&gt;236.209325&lt;/D&gt;&lt;D xsi:type="xsd:double"&gt;233.765067&lt;/D&gt;&lt;D xsi:type="xsd:double"&gt;240.676753&lt;/D&gt;&lt;D xsi:type="xsd:double"&gt;240.891945&lt;/D&gt;&lt;D xsi:type="xsd:double"&gt;235.105433&lt;/D&gt;&lt;D xsi:type="xsd:double"&gt;236.19342&lt;/D&gt;&lt;D xsi:type="xsd:double"&gt;241.339263&lt;/D&gt;&lt;D xsi:type="xsd:double"&gt;237.597263&lt;/D&gt;&lt;D xsi:type="xsd:double"&gt;238.234292&lt;/D&gt;&lt;D xsi:type="xsd:double"&gt;234.351182&lt;/D&gt;&lt;D xsi:type="xsd:double"&gt;234.006917&lt;/D&gt;&lt;D xsi:type="xsd:double"&gt;228.436577&lt;/D&gt;&lt;D xsi:type="xsd:double"&gt;220.984042&lt;/D&gt;&lt;D xsi:type="xsd:double"&gt;223.542862&lt;/D&gt;&lt;D xsi:type="xsd:double"&gt;223.507403&lt;/D&gt;&lt;D xsi:type="xsd:double"&gt;229.684862&lt;/D&gt;&lt;D xsi:type="xsd:double"&gt;228.015626&lt;/D&gt;&lt;D xsi:type="xsd:double"&gt;227.579318&lt;/D&gt;&lt;D xsi:type="xsd:double"&gt;230.223474&lt;/D&gt;&lt;D xsi:type="xsd:double"&gt;224.514373&lt;/D&gt;&lt;D xsi:type="xsd:double"&gt;214.544764&lt;/D&gt;&lt;D xsi:type="xsd:double"&gt;200.32865&lt;/D&gt;&lt;D xsi:type="xsd:double"&gt;208.314831&lt;/D&gt;&lt;D xsi:type="xsd:double"&gt;204.604625&lt;/D&gt;&lt;D xsi:type="xsd:double"&gt;205.107875&lt;/D&gt;&lt;D xsi:type="xsd:double"&gt;215.303408&lt;/D&gt;&lt;D xsi:type="xsd:double"&gt;214.428524&lt;/D&gt;&lt;D xsi:type="xsd:double"&gt;225.654318&lt;/D&gt;&lt;D xsi:type="xsd:double"&gt;224.833386&lt;/D&gt;&lt;D xsi:type="xsd:double"&gt;248.459101&lt;/D&gt;&lt;D xsi:type="xsd:double"&gt;253.375726&lt;/D&gt;&lt;D xsi:type="xsd:double"&gt;253.46037&lt;/D&gt;&lt;D xsi:type="xsd:double"&gt;270.435822&lt;/D&gt;&lt;D xsi:type="xsd:double"&gt;277.151666&lt;/D&gt;&lt;D xsi:type="xsd:double"&gt;277.585854&lt;/D&gt;&lt;D xsi:type="xsd:double"&gt;275.384604&lt;/D&gt;&lt;D xsi:type="xsd:double"&gt;272.950304&lt;/D&gt;&lt;D xsi:type="xsd:double"&gt;269.784446&lt;/D&gt;&lt;D xsi:type="xsd:double"&gt;277.878119&lt;/D&gt;&lt;D xsi:type="xsd:double"&gt;283.254727&lt;/D&gt;&lt;D xsi:type="xsd:double"&gt;285.408202&lt;/D&gt;&lt;D xsi:type="xsd:double"&gt;289.279625&lt;/D&gt;&lt;D xsi:type="xsd:double"&gt;296.541318&lt;/D&gt;&lt;D xsi:type="xsd:double"&gt;297.558861&lt;/D&gt;&lt;D xsi:type="xsd:double"&gt;299.586624&lt;/D&gt;&lt;D xsi:type="xsd:double"&gt;298.449706&lt;/D&gt;&lt;D xsi:type="xsd:double"&gt;300.704283&lt;/D&gt;&lt;D xsi:type="xsd:double"&gt;301.126881&lt;/D&gt;&lt;D xsi:type="xsd:double"&gt;302.204788&lt;/D&gt;&lt;D xsi:type="xsd:double"&gt;300.519399&lt;/D&gt;&lt;D xsi:type="xsd:double"&gt;298.345884&lt;/D&gt;&lt;D xsi:type="xsd:double"&gt;299.460697&lt;/D&gt;&lt;D xsi:type="xsd:double"&gt;301.112271&lt;/D&gt;&lt;D xsi:type="xsd:double"&gt;298.514954&lt;/D&gt;&lt;D xsi:type="xsd:double"&gt;296.537026&lt;/D&gt;&lt;D xsi:type="xsd:double"&gt;292.565269&lt;/D&gt;&lt;D xsi:type="xsd:double"&gt;293.434659&lt;/D&gt;&lt;D xsi:type="xsd:double"&gt;294.956324&lt;/D&gt;&lt;D xsi:type="xsd:double"&gt;298.422294&lt;/D&gt;&lt;D xsi:type="xsd:double"&gt;298.205257&lt;/D&gt;&lt;D xsi:type="xsd:double"&gt;298.002902&lt;/D&gt;&lt;D xsi:type="xsd:double"&gt;303.118477&lt;/D&gt;&lt;D xsi:type="xsd:double"&gt;302.582064&lt;/D&gt;&lt;D xsi:type="xsd:double"&gt;304.897579&lt;/D&gt;&lt;D xsi:type="xsd:double"&gt;304.406683&lt;/D&gt;&lt;D xsi:type="xsd:double"&gt;306.54243&lt;/D&gt;&lt;D xsi:type="xsd:double"&gt;305.132209&lt;/D&gt;&lt;D xsi:type="xsd:double"&gt;304.627827&lt;/D&gt;&lt;D xsi:type="xsd:double"&gt;304.823056&lt;/D&gt;&lt;D xsi:type="xsd:double"&gt;304.214506&lt;/D&gt;&lt;D xsi:type="xsd:double"&gt;303.522011&lt;/D&gt;&lt;D xsi:type="xsd:double"&gt;302.72828&lt;/D&gt;&lt;D xsi:type="xsd:double"&gt;300.656777&lt;/D&gt;&lt;D xsi:type="xsd:double"&gt;301.743097&lt;/D&gt;&lt;D xsi:type="xsd:double"&gt;301.04324&lt;/D&gt;&lt;D xsi:type="xsd:double"&gt;302.890445&lt;/D&gt;&lt;D xsi:type="xsd:double"&gt;303.882419&lt;/D&gt;&lt;D xsi:type="xsd:double"&gt;301.673185&lt;/D&gt;&lt;D xsi:type="xsd:double"&gt;301.762088&lt;/D&gt;&lt;D xsi:type="xsd:double"&gt;302.504292&lt;/D&gt;&lt;D xsi:type="xsd:double"&gt;300.827888&lt;/D&gt;&lt;D xsi:type="xsd:double"&gt;300.419862&lt;/D&gt;&lt;D xsi:type="xsd:double"&gt;300.301641&lt;/D&gt;&lt;D xsi:type="xsd:double"&gt;300.11437&lt;/D&gt;&lt;D xsi:type="xsd:double"&gt;299.562009&lt;/D&gt;&lt;D xsi:type="xsd:double"&gt;299.590732&lt;/D&gt;&lt;D xsi:type="xsd:double"&gt;299.809554&lt;/D&gt;&lt;D xsi:type="xsd:double"&gt;299.005599&lt;/D&gt;&lt;D xsi:type="xsd:double"&gt;297.158729&lt;/D&gt;&lt;D xsi:type="xsd:double"&gt;293.390982&lt;/D&gt;&lt;D xsi:type="xsd:double"&gt;291.798379&lt;/D&gt;&lt;D xsi:type="xsd:double"&gt;290.808552&lt;/D&gt;&lt;D xsi:type="xsd:double"&gt;291.263767&lt;/D&gt;&lt;D xsi:type="xsd:double"&gt;290.881097&lt;/D&gt;&lt;D xsi:type="xsd:double"&gt;289.1963&lt;/D&gt;&lt;D xsi:type="xsd:double"&gt;288.455506&lt;/D&gt;&lt;D xsi:type="xsd:double"&gt;287.579786&lt;/D&gt;&lt;D xsi:type="xsd:double"&gt;288.827351&lt;/D&gt;&lt;D xsi:type="xsd:double"&gt;289.566516&lt;/D&gt;&lt;D xsi:type="xsd:double"&gt;291.59697&lt;/D&gt;&lt;D xsi:type="xsd:double"&gt;290.769439&lt;/D&gt;&lt;D xsi:type="xsd:double"&gt;290.934321&lt;/D&gt;&lt;D xsi:type="xsd:double"&gt;289.157203&lt;/D&gt;&lt;D xsi:type="xsd:double"&gt;288.769607&lt;/D&gt;&lt;D xsi:type="xsd:double"&gt;289.866333&lt;/D&gt;&lt;D xsi:type="xsd:double"&gt;291.55865&lt;/D&gt;&lt;D xsi:type="xsd:double"&gt;291.331489&lt;/D&gt;&lt;D xsi:type="xsd:double"&gt;290.551781&lt;/D&gt;&lt;D xsi:type="xsd:double"&gt;288.451596&lt;/D&gt;&lt;D xsi:type="xsd:double"&gt;289.658916&lt;/D&gt;&lt;D xsi:type="xsd:double"&gt;291.249078&lt;/D&gt;&lt;D xsi:type="xsd:double"&gt;290.668113&lt;/D&gt;&lt;D xsi:type="xsd:double"&gt;291.554145&lt;/D&gt;&lt;D xsi:type="xsd:double"&gt;292.630288&lt;/D&gt;&lt;D xsi:type="xsd:double"&gt;291.984451&lt;/D&gt;&lt;D xsi:type="xsd:double"&gt;291.827059&lt;/D&gt;&lt;D xsi:type="xsd:double"&gt;291.404898&lt;/D&gt;&lt;D xsi:type="xsd:double"&gt;289.165078&lt;/D&gt;&lt;D xsi:type="xsd:double"&gt;287.398265&lt;/D&gt;&lt;D xsi:type="xsd:double"&gt;287.216466&lt;/D&gt;&lt;D xsi:type="xsd:double"&gt;287.295574&lt;/D&gt;&lt;D xsi:type="xsd:double"&gt;286.615996&lt;/D&gt;&lt;D xsi:type="xsd:double"&gt;285.885444&lt;/D&gt;&lt;D xsi:type="xsd:double"&gt;285.695395&lt;/D&gt;&lt;D xsi:type="xsd:double"&gt;284.241629&lt;/D&gt;&lt;D xsi:type="xsd:double"&gt;284.441164&lt;/D&gt;&lt;D xsi:type="xsd:double"&gt;283.986843&lt;/D&gt;&lt;D xsi:type="xsd:double"&gt;282.477076&lt;/D&gt;&lt;D xsi:type="xsd:double"&gt;283.070046&lt;/D&gt;&lt;D xsi:type="xsd:double"&gt;282.094261&lt;/D&gt;&lt;D xsi:type="xsd:double"&gt;281.195176&lt;/D&gt;&lt;D xsi:type="xsd:double"&gt;279.093211&lt;/D&gt;&lt;D xsi:type="xsd:double"&gt;279.230359&lt;/D&gt;&lt;D xsi:type="xsd:double"&gt;274.610392&lt;/D&gt;&lt;D xsi:type="xsd:double"&gt;273.338395&lt;/D&gt;&lt;D xsi:type="xsd:double"&gt;273.096898&lt;/D&gt;&lt;D xsi:type="xsd:double"&gt;274.650608&lt;/D&gt;&lt;D xsi:type="xsd:double"&gt;273.82103&lt;/D&gt;&lt;D xsi:type="xsd:double"&gt;272.625051&lt;/D&gt;&lt;D xsi:type="xsd:double"&gt;272.662379&lt;/D&gt;&lt;D xsi:type="xsd:double"&gt;276.655461&lt;/D&gt;&lt;D xsi:type="xsd:double"&gt;277.992963&lt;/D&gt;&lt;D xsi:type="xsd:double"&gt;278.703778&lt;/D&gt;&lt;D xsi:type="xsd:double"&gt;279.308088&lt;/D&gt;&lt;D xsi:type="xsd:double"&gt;278.45227&lt;/D&gt;&lt;D xsi:type="xsd:double"&gt;280.446797&lt;/D&gt;&lt;D xsi:type="xsd:double"&gt;280.621401&lt;/D&gt;&lt;D xsi:type="xsd:double"&gt;281.99046&lt;/D&gt;&lt;D xsi:type="xsd:double"&gt;281.718384&lt;/D&gt;&lt;D xsi:type="xsd:double"&gt;281.147068&lt;/D&gt;&lt;D xsi:type="xsd:double"&gt;281.197332&lt;/D&gt;&lt;D xsi:type="xsd:double"&gt;281.242762&lt;/D&gt;&lt;D xsi:type="xsd:double"&gt;282.85196&lt;/D&gt;&lt;D xsi:type="xsd:double"&gt;281.145364&lt;/D&gt;&lt;D xsi:type="xsd:double"&gt;279.876618&lt;/D&gt;&lt;D xsi:type="xsd:double"&gt;277.973514&lt;/D&gt;&lt;D xsi:type="xsd:double"&gt;277.962376&lt;/D&gt;&lt;D xsi:type="xsd:double"&gt;277.712002&lt;/D&gt;&lt;D xsi:type="xsd:double"&gt;276.458589&lt;/D&gt;&lt;D xsi:type="xsd:double"&gt;273.787104&lt;/D&gt;&lt;D xsi:type="xsd:double"&gt;270.434249&lt;/D&gt;&lt;D xsi:type="xsd:double"&gt;271.798865&lt;/D&gt;&lt;D xsi:type="xsd:double"&gt;269.577071&lt;/D&gt;&lt;D xsi:type="xsd:double"&gt;268.152519&lt;/D&gt;&lt;D xsi:type="xsd:double"&gt;268.427306&lt;/D&gt;&lt;D xsi:type="xsd:double"&gt;267.102619&lt;/D&gt;&lt;D xsi:type="xsd:double"&gt;268.963754&lt;/D&gt;&lt;D xsi:type="xsd:double"&gt;269.610653&lt;/D&gt;&lt;D xsi:type="xsd:double"&gt;270.895104&lt;/D&gt;&lt;D xsi:type="xsd:double"&gt;269.490105&lt;/D&gt;&lt;D xsi:type="xsd:double"&gt;269.806039&lt;/D&gt;&lt;D xsi:type="xsd:double"&gt;267.366527&lt;/D&gt;&lt;D xsi:type="xsd:double"&gt;265.232655&lt;/D&gt;&lt;D xsi:type="xsd:double"&gt;266.935619&lt;/D&gt;&lt;D xsi:type="xsd:double"&gt;269.406&lt;/D&gt;&lt;D xsi:type="xsd:double"&gt;270.537793&lt;/D&gt;&lt;D xsi:type="xsd:double"&gt;271.307871&lt;/D&gt;&lt;D xsi:type="xsd:double"&gt;272.127559&lt;/D&gt;&lt;D xsi:type="xsd:double"&gt;269.403201&lt;/D&gt;&lt;D xsi:type="xsd:double"&gt;268.491047&lt;/D&gt;&lt;D xsi:type="xsd:double"&gt;269.921645&lt;/D&gt;&lt;D xsi:type="xsd:double"&gt;275.163111&lt;/D&gt;&lt;D xsi:type="xsd:double"&gt;279.850946&lt;/D&gt;&lt;D xsi:type="xsd:double"&gt;281.199469&lt;/D&gt;&lt;D xsi:type="xsd:double"&gt;281.915387&lt;/D&gt;&lt;D xsi:type="xsd:double"&gt;283.504205&lt;/D&gt;&lt;D xsi:type="xsd:double"&gt;283.85463&lt;/D&gt;&lt;D xsi:type="xsd:double"&gt;284.709314&lt;/D&gt;&lt;D xsi:type="xsd:double"&gt;285.589124&lt;/D&gt;&lt;D xsi:type="xsd:double"&gt;285.289706&lt;/D&gt;&lt;D xsi:type="xsd:double"&gt;284.52023&lt;/D&gt;&lt;D xsi:type="xsd:double"&gt;285.017753&lt;/D&gt;&lt;D xsi:type="xsd:double"&gt;283.35021&lt;/D&gt;&lt;D xsi:type="xsd:double"&gt;284.750352&lt;/D&gt;&lt;D xsi:type="xsd:double"&gt;285.565967&lt;/D&gt;&lt;D xsi:type="xsd:double"&gt;285.704672&lt;/D&gt;&lt;D xsi:type="xsd:double"&gt;284.879717&lt;/D&gt;&lt;D xsi:type="xsd:double"&gt;285.002886&lt;/D&gt;&lt;D xsi:type="xsd:double"&gt;284.27337&lt;/D&gt;&lt;D xsi:type="xsd:double"&gt;283.459392&lt;/D&gt;&lt;D xsi:type="xsd:double"&gt;284.595723&lt;/D&gt;&lt;D xsi:type="xsd:double"&gt;286.569957&lt;/D&gt;&lt;D xsi:type="xsd:double"&gt;287.960003&lt;/D&gt;&lt;D xsi:type="xsd:double"&gt;287.214874&lt;/D&gt;&lt;D xsi:type="xsd:double"&gt;286.631092&lt;/D&gt;&lt;D xsi:type="xsd:double"&gt;285.111181&lt;/D&gt;&lt;D xsi:type="xsd:double"&gt;284.102226&lt;/D&gt;&lt;D xsi:type="xsd:double"&gt;282.959229&lt;/D&gt;&lt;D xsi:type="xsd:double"&gt;283.718813&lt;/D&gt;&lt;D xsi:type="xsd:double"&gt;284.593237&lt;/D&gt;&lt;D xsi:type="xsd:double"&gt;283.840094&lt;/D&gt;&lt;D xsi:type="xsd:double"&gt;284.66422&lt;/D&gt;&lt;D xsi:type="xsd:double"&gt;281.218314&lt;/D&gt;&lt;D xsi:type="xsd:double"&gt;278.56641&lt;/D&gt;&lt;D xsi:type="xsd:double"&gt;275.873369&lt;/D&gt;&lt;D xsi:type="xsd:double"&gt;276.574865&lt;/D&gt;&lt;D xsi:type="xsd:double"&gt;277.973112&lt;/D&gt;&lt;D xsi:type="xsd:double"&gt;279.034377&lt;/D&gt;&lt;D xsi:type="xsd:double"&gt;280.13699&lt;/D&gt;&lt;D xsi:type="xsd:double"&gt;278.150245&lt;/D&gt;&lt;D xsi:type="xsd:double"&gt;276.602522&lt;/D&gt;&lt;D xsi:type="xsd:double"&gt;273.997644&lt;/D&gt;&lt;D xsi:type="xsd:double"&gt;274.025808&lt;/D&gt;&lt;D xsi:type="xsd:double"&gt;272.151417&lt;/D&gt;&lt;D xsi:type="xsd:double"&gt;271.056977&lt;/D&gt;&lt;D xsi:type="xsd:double"&gt;269.603358&lt;/D&gt;&lt;D xsi:type="xsd:double"&gt;270.323702&lt;/D&gt;&lt;D xsi:type="xsd:double"&gt;269.901457&lt;/D&gt;&lt;D xsi:type="xsd:double"&gt;272.857421&lt;/D&gt;&lt;D xsi:type="xsd:double"&gt;272.660995&lt;/D&gt;&lt;D xsi:type="xsd:double"&gt;271.063718&lt;/D&gt;&lt;D xsi:type="xsd:double"&gt;274.078229&lt;/D&gt;&lt;D xsi:type="xsd:double"&gt;274.657569&lt;/D&gt;&lt;D xsi:type="xsd:double"&gt;273.929988&lt;/D&gt;&lt;D xsi:type="xsd:double"&gt;274.803581&lt;/D&gt;&lt;D xsi:type="xsd:double"&gt;276.195686&lt;/D&gt;&lt;D xsi:type="xsd:double"&gt;275.539978&lt;/D&gt;&lt;D xsi:type="xsd:double"&gt;274.452215&lt;/D&gt;&lt;D xsi:type="xsd:double"&gt;274.263129&lt;/D&gt;&lt;D xsi:type="xsd:double"&gt;277.247697&lt;/D&gt;&lt;D xsi:type="xsd:double"&gt;276.354865&lt;/D&gt;&lt;D xsi:type="xsd:double"&gt;280.155728&lt;/D&gt;&lt;D xsi:type="xsd:double"&gt;280.990282&lt;/D&gt;&lt;D xsi:type="xsd:double"&gt;283.578315&lt;/D&gt;&lt;D xsi:type="xsd:double"&gt;286.32102&lt;/D&gt;&lt;D xsi:type="xsd:double"&gt;285.197451&lt;/D&gt;&lt;D xsi:type="xsd:double"&gt;286.872866&lt;/D&gt;&lt;D xsi:type="xsd:double"&gt;286.389571&lt;/D&gt;&lt;D xsi:type="xsd:double"&gt;286.144002&lt;/D&gt;&lt;D xsi:type="xsd:double"&gt;285.727728&lt;/D&gt;&lt;D xsi:type="xsd:double"&gt;285.085479&lt;/D&gt;&lt;D xsi:type="xsd:double"&gt;286.295072&lt;/D&gt;&lt;D xsi:type="xsd:double"&gt;287.348277&lt;/D&gt;&lt;D xsi:type="xsd:double"&gt;287.090225&lt;/D&gt;&lt;D xsi:type="xsd:double"&gt;287.358762&lt;/D&gt;&lt;D xsi:type="xsd:double"&gt;288.379319&lt;/D&gt;&lt;D xsi:type="xsd:double"&gt;287.832888&lt;/D&gt;&lt;D xsi:type="xsd:double"&gt;286.946997&lt;/D&gt;&lt;D xsi:type="xsd:double"&gt;286.49752&lt;/D&gt;&lt;D xsi:type="xsd:do</t>
        </r>
      </text>
    </comment>
    <comment ref="A83" authorId="0" shapeId="0">
      <text>
        <r>
          <rPr>
            <b/>
            <sz val="9"/>
            <color indexed="81"/>
            <rFont val="Tahoma"/>
            <family val="2"/>
          </rPr>
          <t>uble"&gt;285.610408&lt;/D&gt;&lt;D xsi:type="xsd:double"&gt;286.330274&lt;/D&gt;&lt;D xsi:type="xsd:double"&gt;286.221454&lt;/D&gt;&lt;D xsi:type="xsd:double"&gt;286.264961&lt;/D&gt;&lt;D xsi:type="xsd:double"&gt;285.619271&lt;/D&gt;&lt;D xsi:type="xsd:double"&gt;285.097063&lt;/D&gt;&lt;D xsi:type="xsd:double"&gt;285.717474&lt;/D&gt;&lt;D xsi:type="xsd:double"&gt;282.984232&lt;/D&gt;&lt;D xsi:type="xsd:double"&gt;282.908065&lt;/D&gt;&lt;D xsi:type="xsd:double"&gt;279.785154&lt;/D&gt;&lt;D xsi:type="xsd:double"&gt;277.912237&lt;/D&gt;&lt;D xsi:type="xsd:double"&gt;278.783624&lt;/D&gt;&lt;D xsi:type="xsd:double"&gt;279.860823&lt;/D&gt;&lt;D xsi:type="xsd:double"&gt;278.059634&lt;/D&gt;&lt;D xsi:type="xsd:double"&gt;280.570436&lt;/D&gt;&lt;D xsi:type="xsd:double"&gt;283.234&lt;/D&gt;&lt;D xsi:type="xsd:double"&gt;282.783236&lt;/D&gt;&lt;D xsi:type="xsd:double"&gt;284.136588&lt;/D&gt;&lt;D xsi:type="xsd:double"&gt;283.289075&lt;/D&gt;&lt;D xsi:type="xsd:double"&gt;281.348349&lt;/D&gt;&lt;D xsi:type="xsd:double"&gt;279.121211&lt;/D&gt;&lt;D xsi:type="xsd:double"&gt;278.796708&lt;/D&gt;&lt;D xsi:type="xsd:double"&gt;277.994308&lt;/D&gt;&lt;D xsi:type="xsd:double"&gt;276.003188&lt;/D&gt;&lt;D xsi:type="xsd:double"&gt;274.012508&lt;/D&gt;&lt;D xsi:type="xsd:double"&gt;276.924995&lt;/D&gt;&lt;D xsi:type="xsd:double"&gt;279.56296&lt;/D&gt;&lt;D xsi:type="xsd:double"&gt;279.574506&lt;/D&gt;&lt;D xsi:type="xsd:double"&gt;279.816221&lt;/D&gt;&lt;D xsi:type="xsd:double"&gt;279.813993&lt;/D&gt;&lt;D xsi:type="xsd:double"&gt;279.298846&lt;/D&gt;&lt;D xsi:type="xsd:double"&gt;280.693037&lt;/D&gt;&lt;D xsi:type="xsd:double"&gt;280.863641&lt;/D&gt;&lt;D xsi:type="xsd:double"&gt;280.823244&lt;/D&gt;&lt;D xsi:type="xsd:double"&gt;279.362753&lt;/D&gt;&lt;D xsi:type="xsd:double"&gt;278.613336&lt;/D&gt;&lt;D xsi:type="xsd:double"&gt;278.872748&lt;/D&gt;&lt;D xsi:type="xsd:double"&gt;276.568713&lt;/D&gt;&lt;D xsi:type="xsd:double"&gt;274.187217&lt;/D&gt;&lt;D xsi:type="xsd:double"&gt;273.404699&lt;/D&gt;&lt;D xsi:type="xsd:double"&gt;274.087817&lt;/D&gt;&lt;D xsi:type="xsd:double"&gt;273.069524&lt;/D&gt;&lt;D xsi:type="xsd:double"&gt;270.736267&lt;/D&gt;&lt;D xsi:type="xsd:double"&gt;270.756336&lt;/D&gt;&lt;D xsi:type="xsd:double"&gt;273.067959&lt;/D&gt;&lt;D xsi:type="xsd:double"&gt;275.792299&lt;/D&gt;&lt;D xsi:type="xsd:double"&gt;276.387604&lt;/D&gt;&lt;D xsi:type="xsd:double"&gt;274.142518&lt;/D&gt;&lt;D xsi:type="xsd:double"&gt;274.365325&lt;/D&gt;&lt;D xsi:type="xsd:double"&gt;274.461193&lt;/D&gt;&lt;D xsi:type="xsd:double"&gt;271.813387&lt;/D&gt;&lt;D xsi:type="xsd:double"&gt;270.779351&lt;/D&gt;&lt;D xsi:type="xsd:double"&gt;270.025987&lt;/D&gt;&lt;D xsi:type="xsd:double"&gt;271.148106&lt;/D&gt;&lt;D xsi:type="xsd:double"&gt;268.239639&lt;/D&gt;&lt;D xsi:type="xsd:double"&gt;267.383517&lt;/D&gt;&lt;D xsi:type="xsd:double"&gt;267.620185&lt;/D&gt;&lt;D xsi:type="xsd:double"&gt;269.280166&lt;/D&gt;&lt;D xsi:type="xsd:double"&gt;266.230119&lt;/D&gt;&lt;D xsi:type="xsd:double"&gt;266.315413&lt;/D&gt;&lt;D xsi:type="xsd:double"&gt;266.036388&lt;/D&gt;&lt;D xsi:type="xsd:double"&gt;264.484873&lt;/D&gt;&lt;D xsi:type="xsd:double"&gt;265.70477&lt;/D&gt;&lt;D xsi:type="xsd:double"&gt;265.630787&lt;/D&gt;&lt;D xsi:type="xsd:double"&gt;265.038782&lt;/D&gt;&lt;D xsi:type="xsd:double"&gt;261.117592&lt;/D&gt;&lt;D xsi:type="xsd:double"&gt;260.165751&lt;/D&gt;&lt;D xsi:type="xsd:double"&gt;257.479494&lt;/D&gt;&lt;D xsi:type="xsd:double"&gt;253.336891&lt;/D&gt;&lt;D xsi:type="xsd:double"&gt;253.669989&lt;/D&gt;&lt;D xsi:type="xsd:double"&gt;255.406978&lt;/D&gt;&lt;D xsi:type="xsd:double"&gt;254.35248&lt;/D&gt;&lt;D xsi:type="xsd:double"&gt;251.104009&lt;/D&gt;&lt;D xsi:type="xsd:double"&gt;250.436133&lt;/D&gt;&lt;D xsi:type="xsd:double"&gt;252.31991&lt;/D&gt;&lt;D xsi:type="xsd:double"&gt;253.116545&lt;/D&gt;&lt;D xsi:type="xsd:double"&gt;254.335379&lt;/D&gt;&lt;D xsi:type="xsd:double"&gt;257.861388&lt;/D&gt;&lt;D xsi:type="xsd:double"&gt;256.836961&lt;/D&gt;&lt;D xsi:type="xsd:double"&gt;258.817283&lt;/D&gt;&lt;D xsi:type="xsd:double"&gt;259.836576&lt;/D&gt;&lt;D xsi:type="xsd:double"&gt;263.049816&lt;/D&gt;&lt;D xsi:type="xsd:double"&gt;262.816724&lt;/D&gt;&lt;D xsi:type="xsd:double"&gt;258.069749&lt;/D&gt;&lt;D xsi:type="xsd:double"&gt;257.285899&lt;/D&gt;&lt;D xsi:type="xsd:double"&gt;262.368624&lt;/D&gt;&lt;D xsi:type="xsd:double"&gt;261.200335&lt;/D&gt;&lt;D xsi:type="xsd:double"&gt;270.075044&lt;/D&gt;&lt;D xsi:type="xsd:double"&gt;272.316555&lt;/D&gt;&lt;D xsi:type="xsd:double"&gt;267.942643&lt;/D&gt;&lt;D xsi:type="xsd:double"&gt;269.211842&lt;/D&gt;&lt;D xsi:type="xsd:double"&gt;266.705653&lt;/D&gt;&lt;D xsi:type="xsd:double"&gt;265.66315&lt;/D&gt;&lt;D xsi:type="xsd:double"&gt;266.051669&lt;/D&gt;&lt;D xsi:type="xsd:double"&gt;264.305892&lt;/D&gt;&lt;D xsi:type="xsd:double"&gt;265.149183&lt;/D&gt;&lt;D xsi:type="xsd:double"&gt;264.046136&lt;/D&gt;&lt;D xsi:type="xsd:double"&gt;267.837929&lt;/D&gt;&lt;D xsi:type="xsd:double"&gt;267.835696&lt;/D&gt;&lt;D xsi:type="xsd:double"&gt;266.768085&lt;/D&gt;&lt;D xsi:type="xsd:double"&gt;266.531889&lt;/D&gt;&lt;D xsi:type="xsd:double"&gt;266.861286&lt;/D&gt;&lt;D xsi:type="xsd:double"&gt;266.97996&lt;/D&gt;&lt;D xsi:type="xsd:double"&gt;269.990705&lt;/D&gt;&lt;D xsi:type="xsd:double"&gt;273.041011&lt;/D&gt;&lt;D xsi:type="xsd:double"&gt;272.860518&lt;/D&gt;&lt;D xsi:type="xsd:double"&gt;270.629957&lt;/D&gt;&lt;D xsi:type="xsd:double"&gt;270.084603&lt;/D&gt;&lt;D xsi:type="xsd:double"&gt;270.975717&lt;/D&gt;&lt;D xsi:type="xsd:double"&gt;268.166785&lt;/D&gt;&lt;D xsi:type="xsd:double"&gt;265.835859&lt;/D&gt;&lt;D xsi:type="xsd:double"&gt;261.678473&lt;/D&gt;&lt;D xsi:type="xsd:double"&gt;261.012029&lt;/D&gt;&lt;D xsi:type="xsd:double"&gt;260.770904&lt;/D&gt;&lt;D xsi:type="xsd:double"&gt;262.122728&lt;/D&gt;&lt;D xsi:type="xsd:double"&gt;263.835742&lt;/D&gt;&lt;D xsi:type="xsd:double"&gt;265.832853&lt;/D&gt;&lt;D xsi:type="xsd:double"&gt;270.689772&lt;/D&gt;&lt;D xsi:type="xsd:double"&gt;270.828985&lt;/D&gt;&lt;D xsi:type="xsd:double"&gt;271.111517&lt;/D&gt;&lt;D xsi:type="xsd:double"&gt;273.580044&lt;/D&gt;&lt;D xsi:type="xsd:double"&gt;273.927198&lt;/D&gt;&lt;D xsi:type="xsd:double"&gt;270.792317&lt;/D&gt;&lt;D xsi:type="xsd:double"&gt;271.615611&lt;/D&gt;&lt;D xsi:type="xsd:double"&gt;269.783705&lt;/D&gt;&lt;D xsi:type="xsd:double"&gt;276.552219&lt;/D&gt;&lt;D xsi:type="xsd:double"&gt;278.557877&lt;/D&gt;&lt;D xsi:type="xsd:double"&gt;279.460142&lt;/D&gt;&lt;D xsi:type="xsd:double"&gt;281.59445&lt;/D&gt;&lt;D xsi:type="xsd:double"&gt;283.867891&lt;/D&gt;&lt;D xsi:type="xsd:double"&gt;287.267848&lt;/D&gt;&lt;D xsi:type="xsd:double"&gt;287.451551&lt;/D&gt;&lt;D xsi:type="xsd:double"&gt;289.382809&lt;/D&gt;&lt;D xsi:type="xsd:double"&gt;289.616088&lt;/D&gt;&lt;D xsi:type="xsd:double"&gt;291.062624&lt;/D&gt;&lt;D xsi:type="xsd:double"&gt;291.832673&lt;/D&gt;&lt;D xsi:type="xsd:double"&gt;291.613133&lt;/D&gt;&lt;D xsi:type="xsd:double"&gt;290.973406&lt;/D&gt;&lt;D xsi:type="xsd:double"&gt;292.217138&lt;/D&gt;&lt;D xsi:type="xsd:double"&gt;289.897926&lt;/D&gt;&lt;D xsi:type="xsd:double"&gt;287.572796&lt;/D&gt;&lt;D xsi:type="xsd:double"&gt;285.701774&lt;/D&gt;&lt;D xsi:type="xsd:double"&gt;284.262278&lt;/D&gt;&lt;D xsi:type="xsd:double"&gt;284.54432&lt;/D&gt;&lt;D xsi:type="xsd:double"&gt;282.914147&lt;/D&gt;&lt;D xsi:type="xsd:double"&gt;281.243743&lt;/D&gt;&lt;D xsi:type="xsd:double"&gt;280.012982&lt;/D&gt;&lt;D xsi:type="xsd:double"&gt;280.517524&lt;/D&gt;&lt;D xsi:type="xsd:double"&gt;280.713268&lt;/D&gt;&lt;D xsi:type="xsd:double"&gt;281.259691&lt;/D&gt;&lt;D xsi:type="xsd:double"&gt;282.491846&lt;/D&gt;&lt;D xsi:type="xsd:double"&gt;285.244143&lt;/D&gt;&lt;D xsi:type="xsd:double"&gt;289.055775&lt;/D&gt;&lt;D xsi:type="xsd:double"&gt;290.876905&lt;/D&gt;&lt;D xsi:type="xsd:double"&gt;292.565965&lt;/D&gt;&lt;D xsi:type="xsd:double"&gt;292.405196&lt;/D&gt;&lt;D xsi:type="xsd:double"&gt;291.714678&lt;/D&gt;&lt;D xsi:type="xsd:double"&gt;288.280909&lt;/D&gt;&lt;D xsi:type="xsd:double"&gt;287.152299&lt;/D&gt;&lt;D xsi:type="xsd:double"&gt;288.451166&lt;/D&gt;&lt;D xsi:type="xsd:double"&gt;286.835299&lt;/D&gt;&lt;D xsi:type="xsd:double"&gt;285.203537&lt;/D&gt;&lt;D xsi:type="xsd:double"&gt;283.431756&lt;/D&gt;&lt;D xsi:type="xsd:double"&gt;282.603154&lt;/D&gt;&lt;D xsi:type="xsd:double"&gt;281.408173&lt;/D&gt;&lt;D xsi:type="xsd:double"&gt;285.651959&lt;/D&gt;&lt;D xsi:type="xsd:double"&gt;285.272711&lt;/D&gt;&lt;D xsi:type="xsd:double"&gt;288.414833&lt;/D&gt;&lt;D xsi:type="xsd:double"&gt;293.397547&lt;/D&gt;&lt;D xsi:type="xsd:double"&gt;293.681173&lt;/D&gt;&lt;D xsi:type="xsd:double"&gt;293.745113&lt;/D&gt;&lt;D xsi:type="xsd:double"&gt;291.676738&lt;/D&gt;&lt;D xsi:type="xsd:double"&gt;292.567222&lt;/D&gt;&lt;D xsi:type="xsd:double"&gt;291.582856&lt;/D&gt;&lt;D xsi:type="xsd:double"&gt;295.26102&lt;/D&gt;&lt;D xsi:type="xsd:double"&gt;295.957031&lt;/D&gt;&lt;D xsi:type="xsd:double"&gt;296.591645&lt;/D&gt;&lt;D xsi:type="xsd:double"&gt;296.701186&lt;/D&gt;&lt;D xsi:type="xsd:double"&gt;295.603411&lt;/D&gt;&lt;D xsi:type="xsd:double"&gt;294.517675&lt;/D&gt;&lt;D xsi:type="xsd:double"&gt;294.309848&lt;/D&gt;&lt;D xsi:type="xsd:double"&gt;291.943902&lt;/D&gt;&lt;D xsi:type="xsd:double"&gt;292.474065&lt;/D&gt;&lt;D xsi:type="xsd:double"&gt;290.335515&lt;/D&gt;&lt;D xsi:type="xsd:double"&gt;291.531591&lt;/D&gt;&lt;D xsi:type="xsd:double"&gt;291.260772&lt;/D&gt;&lt;D xsi:type="xsd:double"&gt;291.256165&lt;/D&gt;&lt;D xsi:type="xsd:double"&gt;291.672244&lt;/D&gt;&lt;D xsi:type="xsd:double"&gt;290.63125&lt;/D&gt;&lt;D xsi:type="xsd:double"&gt;289.670348&lt;/D&gt;&lt;D xsi:type="xsd:double"&gt;292.930372&lt;/D&gt;&lt;D xsi:type="xsd:double"&gt;292.793716&lt;/D&gt;&lt;D xsi:type="xsd:double"&gt;290.146132&lt;/D&gt;&lt;D xsi:type="xsd:double"&gt;288.034202&lt;/D&gt;&lt;D xsi:type="xsd:double"&gt;287.406488&lt;/D&gt;&lt;D xsi:type="xsd:double"&gt;285.886937&lt;/D&gt;&lt;D xsi:type="xsd:double"&gt;289.518796&lt;/D&gt;&lt;D xsi:type="xsd:double"&gt;285.696849&lt;/D&gt;&lt;D xsi:type="xsd:double"&gt;287.226498&lt;/D&gt;&lt;D xsi:type="xsd:double"&gt;288.516899&lt;/D&gt;&lt;D xsi:type="xsd:double"&gt;288.748944&lt;/D&gt;&lt;D xsi:type="xsd:double"&gt;292.886247&lt;/D&gt;&lt;D xsi:type="xsd:double"&gt;290.592558&lt;/D&gt;&lt;D xsi:type="xsd:double"&gt;292.33985&lt;/D&gt;&lt;D xsi:type="xsd:double"&gt;290.760937&lt;/D&gt;&lt;D xsi:type="xsd:double"&gt;294.561811&lt;/D&gt;&lt;D xsi:type="xsd:double"&gt;296.669172&lt;/D&gt;&lt;D xsi:type="xsd:double"&gt;299.258947&lt;/D&gt;&lt;D xsi:type="xsd:double"&gt;300.379889&lt;/D&gt;&lt;D xsi:type="xsd:double"&gt;300.703237&lt;/D&gt;&lt;D xsi:type="xsd:double"&gt;301.002588&lt;/D&gt;&lt;D xsi:type="xsd:double"&gt;299.384993&lt;/D&gt;&lt;D xsi:type="xsd:double"&gt;301.396286&lt;/D&gt;&lt;D xsi:type="xsd:double"&gt;300.873165&lt;/D&gt;&lt;D xsi:type="xsd:double"&gt;298.855473&lt;/D&gt;&lt;D xsi:type="xsd:double"&gt;299.967504&lt;/D&gt;&lt;D xsi:type="xsd:double"&gt;297.031264&lt;/D&gt;&lt;D xsi:type="xsd:double"&gt;295.770198&lt;/D&gt;&lt;D xsi:type="xsd:double"&gt;294.924302&lt;/D&gt;&lt;D xsi:type="xsd:double"&gt;295.457122&lt;/D&gt;&lt;D xsi:type="xsd:double"&gt;299.703457&lt;/D&gt;&lt;D xsi:type="xsd:double"&gt;300.646225&lt;/D&gt;&lt;D xsi:type="xsd:double"&gt;301.214932&lt;/D&gt;&lt;D xsi:type="xsd:double"&gt;304.517016&lt;/D&gt;&lt;D xsi:type="xsd:double"&gt;303.52718&lt;/D&gt;&lt;D xsi:type="xsd:double"&gt;303.443277&lt;/D&gt;&lt;D xsi:type="xsd:double"&gt;304.289428&lt;/D&gt;&lt;D xsi:type="xsd:double"&gt;304.074892&lt;/D&gt;&lt;D xsi:type="xsd:double"&gt;304.321852&lt;/D&gt;&lt;D xsi:type="xsd:double"&gt;307.548891&lt;/D&gt;&lt;D xsi:type="xsd:double"&gt;306.38739&lt;/D&gt;&lt;D xsi:type="xsd:double"&gt;304.132298&lt;/D&gt;&lt;D xsi:type="xsd:double"&gt;302.689655&lt;/D&gt;&lt;D xsi:type="xsd:double"&gt;301.837484&lt;/D&gt;&lt;D xsi:type="xsd:double"&gt;302.080599&lt;/D&gt;&lt;D xsi:type="xsd:double"&gt;301.122772&lt;/D&gt;&lt;D xsi:type="xsd:double"&gt;300.590666&lt;/D&gt;&lt;D xsi:type="xsd:double"&gt;302.172345&lt;/D&gt;&lt;D xsi:type="xsd:double"&gt;302.497102&lt;/D&gt;&lt;D xsi:type="xsd:double"&gt;304.165812&lt;/D&gt;&lt;D xsi:type="xsd:double"&gt;303.561373&lt;/D&gt;&lt;D xsi:type="xsd:double"&gt;302.056992&lt;/D&gt;&lt;D xsi:type="xsd:double"&gt;301.037027&lt;/D&gt;&lt;D xsi:type="xsd:double"&gt;303.717621&lt;/D&gt;&lt;D xsi:type="xsd:double"&gt;303.772577&lt;/D&gt;&lt;D xsi:type="xsd:double"&gt;305.093441&lt;/D&gt;&lt;D xsi:type="xsd:double"&gt;307.645023&lt;/D&gt;&lt;D xsi:type="xsd:double"&gt;307.322686&lt;/D&gt;&lt;D xsi:type="xsd:double"&gt;304.88985&lt;/D&gt;&lt;D xsi:type="xsd:double"&gt;304.023013&lt;/D&gt;&lt;D xsi:type="xsd:double"&gt;304.275016&lt;/D&gt;&lt;D xsi:type="xsd:double"&gt;304.216715&lt;/D&gt;&lt;D xsi:type="xsd:double"&gt;304.545161&lt;/D&gt;&lt;D xsi:type="xsd:double"&gt;304.775919&lt;/D&gt;&lt;D xsi:type="xsd:double"&gt;301.765207&lt;/D&gt;&lt;D xsi:type="xsd:double"&gt;300.459551&lt;/D&gt;&lt;D xsi:type="xsd:double"&gt;301.02017&lt;/D&gt;&lt;D xsi:type="xsd:double"&gt;297.42172&lt;/D&gt;&lt;D xsi:type="xsd:double"&gt;298.775347&lt;/D&gt;&lt;D xsi:type="xsd:double"&gt;299.955567&lt;/D&gt;&lt;D xsi:type="xsd:double"&gt;299.837009&lt;/D&gt;&lt;D xsi:type="xsd:double"&gt;299.112201&lt;/D&gt;&lt;D xsi:type="xsd:double"&gt;301.621014&lt;/D&gt;&lt;D xsi:type="xsd:double"&gt;299.26679&lt;/D&gt;&lt;D xsi:type="xsd:double"&gt;298.552777&lt;/D&gt;&lt;D xsi:type="xsd:double"&gt;303.009566&lt;/D&gt;&lt;D xsi:type="xsd:double"&gt;305.069268&lt;/D&gt;&lt;D xsi:type="xsd:double"&gt;305.014209&lt;/D&gt;&lt;D xsi:type="xsd:double"&gt;304.97017&lt;/D&gt;&lt;D xsi:type="xsd:double"&gt;307.094017&lt;/D&gt;&lt;D xsi:type="xsd:double"&gt;307.730986&lt;/D&gt;&lt;D xsi:type="xsd:double"&gt;307.859789&lt;/D&gt;&lt;D xsi:type="xsd:double"&gt;308.990209&lt;/D&gt;&lt;D xsi:type="xsd:double"&gt;309.260962&lt;/D&gt;&lt;D xsi:type="xsd:double"&gt;306.609104&lt;/D&gt;&lt;D xsi:type="xsd:double"&gt;305.20152&lt;/D&gt;&lt;D xsi:type="xsd:double"&gt;303.77753&lt;/D&gt;&lt;D xsi:type="xsd:double"&gt;304.497895&lt;/D&gt;&lt;D xsi:type="xsd:double"&gt;301.340073&lt;/D&gt;&lt;D xsi:type="xsd:double"&gt;300.97732&lt;/D&gt;&lt;D xsi:type="xsd:double"&gt;303.505313&lt;/D&gt;&lt;D xsi:type="xsd:double"&gt;306.813178&lt;/D&gt;&lt;D xsi:type="xsd:double"&gt;310.233215&lt;/D&gt;&lt;D xsi:type="xsd:double"&gt;311.524125&lt;/D&gt;&lt;D xsi:type="xsd:double"&gt;310.048058&lt;/D&gt;&lt;D xsi:type="xsd:double"&gt;308.05162&lt;/D&gt;&lt;D xsi:type="xsd:double"&gt;309.156907&lt;/D&gt;&lt;D xsi:type="xsd:double"&gt;308.451533&lt;/D&gt;&lt;D xsi:type="xsd:double"&gt;309.955813&lt;/D&gt;&lt;D xsi:type="xsd:double"&gt;308.374079&lt;/D&gt;&lt;D xsi:type="xsd:double"&gt;304.561678&lt;/D&gt;&lt;D xsi:type="xsd:double"&gt;301.016167&lt;/D&gt;&lt;D xsi:type="xsd:double"&gt;299.965341&lt;/D&gt;&lt;D xsi:type="xsd:double"&gt;297.088601&lt;/D&gt;&lt;D xsi:type="xsd:double"&gt;301.564663&lt;/D&gt;&lt;D xsi:type="xsd:double"&gt;304.714103&lt;/D&gt;&lt;D xsi:type="xsd:double"&gt;302.740935&lt;/D&gt;&lt;D xsi:type="xsd:double"&gt;311.792112&lt;/D&gt;&lt;D xsi:type="xsd:double"&gt;317.413799&lt;/D&gt;&lt;D xsi:type="xsd:double"&gt;322.183798&lt;/D&gt;&lt;D xsi:type="xsd:double"&gt;322.571657&lt;/D&gt;&lt;D xsi:type="xsd:double"&gt;322.517227&lt;/D&gt;&lt;D xsi:type="xsd:double"&gt;325.375725&lt;/D&gt;&lt;D xsi:type="xsd:double"&gt;327.236555&lt;/D&gt;&lt;D xsi:type="xsd:double"&gt;326.857095&lt;/D&gt;&lt;D xsi:type="xsd:double"&gt;326.21938&lt;/D&gt;&lt;D xsi:type="xsd:double"&gt;325.019763&lt;/D&gt;&lt;D xsi:type="xsd:double"&gt;322.486393&lt;/D&gt;&lt;D xsi:type="xsd:double"&gt;321.278888&lt;/D&gt;&lt;D xsi:type="xsd:double"&gt;319.749065&lt;/D&gt;&lt;D xsi:type="xsd:double"&gt;319.745457&lt;/D&gt;&lt;D xsi:type="xsd:double"&gt;319.5981&lt;/D&gt;&lt;D xsi:type="xsd:double"&gt;316.857514&lt;/D&gt;&lt;D xsi:type="xsd:double"&gt;314.734049&lt;/D&gt;&lt;D xsi:type="xsd:double"&gt;314.684541&lt;/D&gt;&lt;D xsi:type="xsd:double"&gt;314.600764&lt;/D&gt;&lt;D xsi:type="xsd:double"&gt;314.144535&lt;/D&gt;&lt;D xsi:type="xsd:double"&gt;314.044793&lt;/D&gt;&lt;D xsi:type="xsd:double"&gt;312.146849&lt;/D&gt;&lt;D xsi:type="xsd:double"&gt;308.373456&lt;/D&gt;&lt;D xsi:type="xsd:double"&gt;307.562109&lt;/D&gt;&lt;D xsi:type="xsd:double"&gt;305.669531&lt;/D&gt;&lt;D xsi:type="xsd:double"&gt;304.511387&lt;/D&gt;&lt;D xsi:type="xsd:double"&gt;303.565874&lt;/D&gt;&lt;D xsi:type="xsd:double"&gt;302.406881&lt;/D&gt;&lt;D xsi:type="xsd:double"&gt;302.290923&lt;/D&gt;&lt;D xsi:type="xsd:double"&gt;302.029035&lt;/D&gt;&lt;D xsi:type="xsd:double"&gt;301.191519&lt;/D&gt;&lt;D xsi:type="xsd:double"&gt;301.099685&lt;/D&gt;&lt;D xsi:type="xsd:double"&gt;301.950039&lt;/D&gt;&lt;D xsi:type="xsd:double"&gt;298.051581&lt;/D&gt;&lt;D xsi:type="xsd:double"&gt;299.038801&lt;/D&gt;&lt;D xsi:type="xsd:double"&gt;299.351617&lt;/D&gt;&lt;D xsi:type="xsd:double"&gt;298.52072&lt;/D&gt;&lt;D xsi:type="xsd:double"&gt;298.9127&lt;/D&gt;&lt;D xsi:type="xsd:double"&gt;297.303785&lt;/D&gt;&lt;D xsi:type="xsd:double"&gt;295.809476&lt;/D&gt;&lt;D xsi:type="xsd:double"&gt;295.441054&lt;/D&gt;&lt;D xsi:type="xsd:double"&gt;297.890293&lt;/D&gt;&lt;D xsi:type="xsd:double"&gt;298.640985&lt;/D&gt;&lt;D xsi:type="xsd:double"&gt;297.580622&lt;/D&gt;&lt;D xsi:type="xsd:double"&gt;299.369954&lt;/D&gt;&lt;D xsi:type="xsd:double"&gt;300.304669&lt;/D&gt;&lt;D xsi:type="xsd:double"&gt;300.538273&lt;/D&gt;&lt;D xsi:type="xsd:double"&gt;300.657314&lt;/D&gt;&lt;D xsi:type="xsd:double"&gt;302.149567&lt;/D&gt;&lt;D xsi:type="xsd:double"&gt;300.452097&lt;/D&gt;&lt;D xsi:type="xsd:double"&gt;299.061821&lt;/D&gt;&lt;D xsi:type="xsd:double"&gt;297.128779&lt;/D&gt;&lt;D xsi:type="xsd:double"&gt;296.912722&lt;/D&gt;&lt;D xsi:type="xsd:double"&gt;296.18295&lt;/D&gt;&lt;D xsi:type="xsd:double"&gt;293.927543&lt;/D&gt;&lt;D xsi:type="xsd:double"&gt;295.556623&lt;/D&gt;&lt;D xsi:type="xsd:double"&gt;296.159764&lt;/D&gt;&lt;D xsi:type="xsd:double"&gt;298.039786&lt;/D&gt;&lt;D xsi:type="xsd:double"&gt;298.703627&lt;/D&gt;&lt;D xsi:type="xsd:double"&gt;299.780169&lt;/D&gt;&lt;D xsi:type="xsd:double"&gt;299.193633&lt;/D&gt;&lt;D xsi:type="xsd:double"&gt;298.862363&lt;/D&gt;&lt;D xsi:type="xsd:double"&gt;298.621868&lt;/D&gt;&lt;D xsi:type="xsd:double"&gt;299.166949&lt;/D&gt;&lt;D xsi:type="xsd:double"&gt;298.717258&lt;/D&gt;&lt;D xsi:type="xsd:double"&gt;297.368783&lt;/D&gt;&lt;D xsi:type="xsd:double"&gt;296.933019&lt;/D&gt;&lt;D xsi:type="xsd:double"&gt;295.500795&lt;/D&gt;&lt;D xsi:type="xsd:double"&gt;295.525344&lt;/D&gt;&lt;D xsi:type="xsd:double"&gt;295.836976&lt;/D&gt;&lt;D xsi:type="xsd:double"&gt;296.399205&lt;/D&gt;&lt;D xsi:type="xsd:double"&gt;296.725324&lt;/D&gt;&lt;D xsi:type="xsd:double"&gt;297.138493&lt;/D&gt;&lt;D xsi:type="xsd:double"&gt;297.976317&lt;/D&gt;&lt;D xsi:type="xsd:double"&gt;298.021022&lt;/D&gt;&lt;D xsi:type="xsd:double"&gt;297.341142&lt;/D&gt;&lt;D xsi:type="xsd:double"&gt;298.645455&lt;/D&gt;&lt;D xsi:type="xsd:double"&gt;298.286537&lt;/D&gt;&lt;D xsi:type="xsd:double"&gt;297.061605&lt;/D&gt;&lt;D xsi:type="xsd:double"&gt;296.470395&lt;/D&gt;&lt;D xsi:type="xsd:double"&gt;295.929653&lt;/D&gt;&lt;D xsi:type="xsd:double"&gt;293.572255&lt;/D&gt;&lt;D xsi:type="xsd:double"&gt;293.363342&lt;/D&gt;&lt;D xsi:type="xsd:double"&gt;293.565001&lt;/D&gt;&lt;D xsi:type="xsd:double"&gt;293.887268&lt;/D&gt;&lt;D xsi:type="xsd:double"&gt;293.603713&lt;/D&gt;&lt;D xsi:type="xsd:double"&gt;292.004496&lt;/D&gt;&lt;D xsi:type="xsd:double"&gt;292.074918&lt;/D&gt;&lt;D xsi:type="xsd:double"&gt;290.430431&lt;/D&gt;&lt;D xsi:type="xsd:double"&gt;289.971133&lt;/D&gt;&lt;D xsi:type="xsd:double"&gt;290.090041&lt;/D&gt;&lt;D xsi:type="xsd:double"&gt;292.202144&lt;/D&gt;&lt;D xsi:type="xsd:double"&gt;293.852731&lt;/D&gt;&lt;D xsi:type="xsd:double"&gt;293.328948&lt;/D&gt;&lt;D xsi:type="xsd:double"&gt;294.87945&lt;/D&gt;&lt;D xsi:type="xsd:double"&gt;294.205915&lt;/D&gt;&lt;D xsi:type="xsd:double"&gt;293.256677&lt;/D&gt;&lt;D xsi:type="xsd:double"&gt;292.300988&lt;/D&gt;&lt;D xsi:type="xsd:double"&gt;291.575457&lt;/D&gt;&lt;D xsi:type="xsd:double"&gt;292.111866&lt;/D&gt;&lt;D xsi:type="xsd:double"&gt;292.905024&lt;/D&gt;&lt;D xsi:type="xsd:double"&gt;292.100807&lt;/D&gt;&lt;D xsi:type="xsd:double"&gt;290.249441&lt;/D&gt;&lt;D xsi:type="xsd:double"&gt;289.741448&lt;/D&gt;&lt;D xsi:type="xsd:double"&gt;287.74076&lt;/D&gt;&lt;D xsi:type="xsd:double"&gt;287.567823&lt;/D&gt;&lt;D xsi:type="xsd:double"&gt;288.623147&lt;/D&gt;&lt;D xsi:type="xsd:double"&gt;287.399255&lt;/D&gt;&lt;D xsi:type="xsd:double"&gt;285.98161&lt;/D&gt;&lt;D xsi:type="xsd:double"&gt;286.34134&lt;/D&gt;&lt;D xsi:type="xsd:double"&gt;287.15822&lt;/D&gt;&lt;D xsi:type="xsd:double"&gt;286.845998&lt;/D&gt;&lt;D xsi:type="xsd:double"&gt;285.802271&lt;/D&gt;&lt;D xsi:type="xsd:double"&gt;285.493157&lt;/D&gt;&lt;D xsi:type="xsd:double"&gt;285.121222&lt;/D&gt;&lt;D xsi:type="xsd:double"&gt;284.14157&lt;/D&gt;&lt;D xsi:type="xsd:double"&gt;283.73008&lt;/D&gt;&lt;D xsi:type="xsd:double"&gt;284.995411&lt;/D&gt;&lt;D xsi:type="xsd:double"&gt;284.772371&lt;/D&gt;&lt;D xsi:type="xsd:double"&gt;283.456485&lt;/D&gt;&lt;D xsi:type="xsd:double"&gt;284.237925&lt;/D&gt;&lt;D xsi:type="xsd:double"&gt;282.625848&lt;/D&gt;&lt;D xsi:type="xsd:double"&gt;284.635172&lt;/D&gt;&lt;D xsi:type="xsd:double"&gt;286.728205&lt;/D&gt;&lt;D xsi:type="xsd:double"&gt;288.497228&lt;/D&gt;&lt;D xsi:type="xsd:double"&gt;288.858646&lt;/D&gt;&lt;D xsi:type="xsd:double"&gt;287.757549&lt;/D&gt;&lt;D xsi:type="xsd:double"&gt;288.393582&lt;/D&gt;&lt;D xsi:type="xsd:double"&gt;288.539341&lt;/D&gt;&lt;D xsi:type="xsd:double"&gt;288.571108&lt;/D&gt;&lt;D xsi:type="xsd:double"&gt;286.632626&lt;/D&gt;&lt;D xsi:type="xsd:double"&gt;285.985777&lt;/D&gt;&lt;D xsi:type="xsd:double"&gt;286.812561&lt;/D&gt;&lt;D xsi:type="xsd:double"&gt;285.596229&lt;/D&gt;&lt;D xsi:type="xsd:double"&gt;285.25611&lt;/D&gt;&lt;D xsi:type="xsd:double"&gt;284.782085&lt;/D&gt;&lt;D xsi:type="xsd:double"&gt;285.33744&lt;/D&gt;&lt;D xsi:type="xsd:double"&gt;286.396937&lt;/D&gt;&lt;D xsi:type="xsd:double"&gt;285.143339&lt;/D&gt;&lt;D xsi:type="xsd:double"&gt;283.999395&lt;/D&gt;&lt;D xsi:type="xsd:double"&gt;283.79965&lt;/D&gt;&lt;D xsi:type="xsd:double"&gt;283.338922&lt;/D&gt;&lt;D xsi:type="xsd:double"&gt;281.352541&lt;/D&gt;&lt;D xsi:type="xsd:double"&gt;280.119113&lt;/D&gt;&lt;D xsi:type="xsd:double"&gt;276.920941&lt;/D&gt;&lt;D xsi:type="xsd:double"&gt;276.558602&lt;/D&gt;&lt;D xsi:type="xsd:double"&gt;275.352159&lt;/D&gt;&lt;D xsi:type="xsd:double"&gt;276.45197&lt;/D&gt;&lt;D xsi:type="xsd:double"&gt;276.78005&lt;/D&gt;&lt;D xsi:type="xsd:double"&gt;277.501709&lt;/D&gt;&lt;D xsi:type="xsd:double"&gt;276.831311&lt;/D&gt;&lt;D xsi:type="xsd:double"&gt;278.37799&lt;/D&gt;&lt;D xsi:type="xsd:double"&gt;278.858243&lt;/D&gt;&lt;D xsi:type="xsd:double"&gt;278.05128&lt;/D&gt;&lt;D xsi:type="xsd:double"&gt;278.33683&lt;/D&gt;&lt;D xsi:type="xsd:double"&gt;277.283276&lt;/D&gt;&lt;D xsi:type="xsd:double"&gt;276.702402&lt;/D&gt;&lt;D xsi:type="xsd:double"&gt;276.045609&lt;/D&gt;&lt;D xsi:type="xsd:double"&gt;276.729912&lt;/D&gt;&lt;D xsi:type="xsd:double"&gt;278.697503&lt;/D&gt;&lt;D xsi:type="xsd:double"&gt;277.001407&lt;/D&gt;&lt;D xsi:type="xsd:double"&gt;275.290797&lt;/D&gt;&lt;D xsi:type="xsd:double"&gt;279.016087&lt;/D&gt;&lt;D xsi:type="xsd:double"&gt;277.949525&lt;/D&gt;&lt;D xsi:type="xsd:double"&gt;276.645938&lt;/D&gt;&lt;D xsi:type="xsd:double"&gt;278.067181&lt;/D&gt;&lt;D xsi:type="xsd:double"&gt;278.114427&lt;/D&gt;&lt;D xsi:type="xsd:double"&gt;278.791801&lt;/D&gt;&lt;D xsi:type="xsd:double"&gt;279.004177&lt;/D&gt;&lt;D xsi:type="xsd:double"&gt;279.756519&lt;/D&gt;&lt;D xsi:type="xsd:double"&gt;280.107925&lt;/D&gt;&lt;D xsi:type="xsd:double"&gt;277.523744&lt;/D&gt;&lt;D xsi:type="xsd:double"&gt;276.679514&lt;/D&gt;&lt;D xsi:type="xsd:double"&gt;276.495332&lt;/D&gt;&lt;D xsi:type="xsd:double"&gt;277.103948&lt;/D&gt;&lt;D xsi:type="xsd:double"&gt;277.682078&lt;/D&gt;&lt;D xsi:type="xsd:double"&gt;276.574398&lt;/D&gt;&lt;D xsi:type="xsd:double"&gt;277.052988&lt;/D&gt;&lt;D xsi:type="xsd:double"&gt;277.055097&lt;/D&gt;&lt;D xsi:type="xsd:double"&gt;275.377361&lt;/D&gt;&lt;D xsi:type="xsd:double"&gt;273.194573&lt;/D&gt;&lt;D xsi:type="xsd:double"&gt;276.068815&lt;/D&gt;&lt;D xsi:type="xsd:double"&gt;277.341762&lt;/D&gt;&lt;D xsi:type="xsd:double"&gt;275.554036&lt;/D&gt;&lt;D xsi:type="xsd:double"&gt;274.173565&lt;/D&gt;&lt;D xsi:type="xsd:double"&gt;273.137236&lt;/D&gt;&lt;D xsi:type="xsd:double"&gt;273.380887&lt;/D&gt;&lt;D xsi:type="xsd:double"&gt;272.743783&lt;/D&gt;&lt;D xsi:type="xsd:double"&gt;273.13588&lt;/D&gt;&lt;D xsi:type="xsd:double"&gt;272.427081&lt;/D&gt;&lt;D xsi:type="xsd:double"&gt;271.099083&lt;/D&gt;&lt;D xsi:type="xsd:double"&gt;270.689033&lt;/D&gt;&lt;D xsi:type="xsd:double"&gt;271.149008&lt;/D&gt;&lt;D xsi:type="xsd:double"&gt;269.851285&lt;/D&gt;&lt;D xsi:type="xsd:double"&gt;269.191856&lt;/D&gt;&lt;D xsi:type="xsd:double"&gt;269.478733&lt;/D&gt;&lt;D xsi:type="xsd:double"&gt;270.282453&lt;/D&gt;&lt;D xsi:type="xsd:double"&gt;270.054829&lt;/D&gt;&lt;D xsi:type="xsd:double"&gt;268.361618&lt;/D&gt;&lt;D xsi:type="xsd:double"&gt;262.939909&lt;/D&gt;&lt;D xsi:type="xsd:double"&gt;263.060353&lt;/D&gt;&lt;D xsi:type="xsd:double"&gt;261.764254&lt;/D&gt;&lt;D xsi:type="xsd:double"&gt;262.210907&lt;/D&gt;&lt;D xsi:type="xsd:double"&gt;264.105245&lt;/D&gt;&lt;D xsi:type="xsd:double"&gt;263.127495&lt;/D&gt;&lt;D xsi:type="xsd:double"&gt;263.5239&lt;/D&gt;&lt;D xsi:type="xsd:double"&gt;263.439028&lt;/D&gt;&lt;D xsi:type="xsd:double"&gt;262.976827&lt;/D&gt;&lt;D xsi:type="xsd:double"&gt;263.093245&lt;/D&gt;&lt;D xsi:type="xsd:double"&gt;263.248701&lt;/D&gt;&lt;D xsi:type="xsd:double"&gt;264.092071&lt;/D&gt;&lt;D xsi:type="xsd:double"&gt;263.957814&lt;/D&gt;&lt;D xsi:type="xsd:double"&gt;263.858914&lt;/D&gt;&lt;D xsi:type="xsd:double"&gt;264.157225&lt;/D&gt;&lt;D xsi:type="xsd:double"&gt;265.929925&lt;/D&gt;&lt;D xsi:type="xsd:double"&gt;266.050092&lt;/D&gt;&lt;D xsi:type="xsd:double"&gt;266.917387&lt;/D&gt;&lt;D xsi:type="xsd:double"&gt;265.033255&lt;/D&gt;&lt;D xsi:type="xsd:double"&gt;265.178637&lt;/D&gt;&lt;D xsi:type="xsd:double"&gt;264.66708&lt;/D&gt;&lt;D xsi:type="xsd:double"&gt;263.645397&lt;/D&gt;&lt;D xsi:type="xsd:double"&gt;265.62371&lt;/D&gt;&lt;D xsi:type="xsd:double"&gt;265.571234&lt;/D&gt;&lt;D xsi:type="xsd:double"&gt;265.169427&lt;/D&gt;&lt;D xsi:type="xsd:double"&gt;264.95702&lt;/D&gt;&lt;D xsi:type="xsd:double"&gt;260.543894&lt;/D&gt;&lt;D xsi:type="xsd:double"&gt;259.813439&lt;/D&gt;&lt;D xsi:type="xsd:double"&gt;260.651275&lt;/D&gt;&lt;D xsi:type="xsd:double"&gt;258.926984&lt;/D&gt;&lt;D xsi:type="xsd:double"&gt;257.031364&lt;/D&gt;&lt;D xsi:type="xsd:double"&gt;257.707187&lt;/D&gt;&lt;D xsi:type="xsd:double"&gt;258.677115&lt;/D&gt;&lt;D xsi:type="xsd:double"&gt;259.05903&lt;/D&gt;&lt;D xsi:type="xsd:double"&gt;258.746441&lt;/D&gt;&lt;D xsi:type="xsd:double"&gt;259.193582&lt;/D&gt;&lt;D xsi:type="xsd:double"&gt;259.562765&lt;/D&gt;&lt;D xsi:type="xsd:double"&gt;258.613293&lt;/D&gt;&lt;D xsi:type="xsd:double"&gt;258.807827&lt;/D&gt;&lt;D xsi:type="xsd:double"&gt;259.158651&lt;/D&gt;&lt;D xsi:type="xsd:double"&gt;261.417364&lt;/D&gt;&lt;D xsi:type="xsd:double"&gt;260.578465&lt;/D&gt;&lt;D xsi:type="xsd:double"&gt;260.069192&lt;/D&gt;&lt;D xsi:type="xsd:double"&gt;259.682966&lt;/D&gt;&lt;D xsi:type="xsd:double"&gt;260.657604&lt;/D&gt;&lt;D xsi:type="xsd:double"&gt;259.290372&lt;/D&gt;&lt;D xsi:type="xsd:double"&gt;257.567088&lt;/D&gt;&lt;D xsi:type="xsd:double"&gt;258.781019&lt;/D&gt;&lt;D xsi:type="xsd:double"&gt;257.609624&lt;/D&gt;&lt;D xsi:type="xsd:double"&gt;256.384718&lt;/D&gt;&lt;D xsi:type="xsd:double"&gt;256.376769&lt;/D&gt;&lt;D xsi:type="xsd:double"&gt;255.135968&lt;/D&gt;&lt;D xsi:type="xsd:double"&gt;255.651165&lt;/D&gt;&lt;D xsi:type="xsd:double"&gt;256.763338&lt;/D&gt;&lt;D xsi:type="xsd:double"&gt;255.86174&lt;/D&gt;&lt;D xsi:type="xsd:double"&gt;255.448263&lt;/D&gt;&lt;D xsi:type="xsd:double"&gt;255.023643&lt;/D&gt;&lt;D xsi:type="xsd:double"&gt;255.032388&lt;/D&gt;&lt;D xsi:type="xsd:double"&gt;256.527446&lt;/D&gt;&lt;D xsi:type="xsd:double"&gt;256.448632&lt;/D&gt;&lt;D xsi:type="xsd:double"&gt;256.421919&lt;/D&gt;&lt;D xsi:type="xsd:double"&gt;254.375029&lt;/D&gt;&lt;D xsi:type="xsd:double"&gt;253.428987&lt;/D&gt;&lt;D xsi:type="xsd:double"&gt;252.483023&lt;/D&gt;&lt;D xsi:type="xsd:double"&gt;251.641773&lt;/D&gt;&lt;D xsi:type="xsd:double"&gt;253.475727&lt;/D&gt;&lt;D xsi:type="xsd:double"&gt;253.071525&lt;/D&gt;&lt;D xsi:type="xsd:double"&gt;253.72239&lt;/D&gt;&lt;D xsi:type="xsd:double"&gt;253.066621&lt;/D&gt;&lt;D xsi:type="xsd:double"&gt;250.390309&lt;/D&gt;&lt;D xsi:type="xsd:double"&gt;251.497074&lt;/D&gt;&lt;D xsi:type="xsd:double"&gt;250.326506&lt;/D&gt;&lt;D xsi:type="xsd:double"&gt;251.180356&lt;/D&gt;&lt;D xsi:type="xsd:double"&gt;252.116266&lt;/D&gt;&lt;D xsi:type="xsd:double"&gt;248.930333&lt;/D&gt;&lt;D xsi:type="xsd:double"&gt;246.192359&lt;/D&gt;&lt;D xsi:type="xsd:double"&gt;246.389525&lt;/D&gt;&lt;D xsi:type="xsd:double"&gt;245.30357&lt;/D&gt;&lt;D xsi:type="xsd:double"&gt;244.08383&lt;/D&gt;&lt;D xsi:type="xsd:double"&gt;243.969891&lt;/D&gt;&lt;D xsi:type="xsd:double"&gt;244.046632&lt;/D&gt;&lt;D xsi:type="xsd:double"&gt;244.162583&lt;/D&gt;&lt;D xsi:type="xsd:double"&gt;244.757546&lt;/D&gt;&lt;D xsi:type="xsd:double"&gt;244.422226&lt;/D&gt;&lt;D xsi:type="xsd:double"&gt;244.75532&lt;/D&gt;&lt;D xsi:type="xsd:double"&gt;244.509571&lt;/D&gt;&lt;D xsi:type="xsd:double"&gt;244.141161&lt;/D&gt;&lt;D xsi:type="xsd:double"&gt;248.647799&lt;/D&gt;&lt;D xsi:type="xsd:double"&gt;249.361255&lt;/D&gt;&lt;D xsi:type="xsd:double"&gt;247.177461&lt;/D&gt;&lt;D xsi:type="xsd:double"&gt;247.137502&lt;/D&gt;&lt;D xsi:type="xsd:double"&gt;246.850492&lt;/D&gt;&lt;D xsi:type="xsd:double"&gt;245.744932&lt;/D&gt;&lt;D xsi:type="xsd:double"&gt;243.135857&lt;/D&gt;&lt;D xsi:type="xsd:double"&gt;241.00296&lt;/D&gt;&lt;D xsi:type="xsd:double"&gt;240.178937&lt;/D&gt;&lt;D xsi:type="xsd:double"&gt;240.509262&lt;/D&gt;&lt;D xsi:type="xsd:double"&gt;240.574157&lt;/D&gt;&lt;D xsi:type="xsd:double"&gt;240.405917&lt;/D&gt;&lt;D xsi:type="xsd:double"&gt;240.414549&lt;/D&gt;&lt;D xsi:type="xsd:double"&gt;240.549629&lt;/D&gt;&lt;D xsi:type="xsd:double"&gt;238.657301&lt;/D&gt;&lt;D xsi:type="xsd:double"&gt;239.899182&lt;/D&gt;&lt;D xsi:type="xsd:double"&gt;239.147504&lt;/D&gt;&lt;D xsi:type="xsd:double"&gt;237.468546&lt;/D&gt;&lt;D xsi:type="xsd:double"&gt;239.620654&lt;/D&gt;&lt;D xsi:type="xsd:double"&gt;238.635594&lt;/D&gt;&lt;D xsi:type="xsd:double"&gt;238.793976&lt;/D&gt;&lt;D xsi:type="xsd:double"&gt;238.099869&lt;/D&gt;&lt;D xsi:type="xsd:double"&gt;240.071792&lt;/D&gt;&lt;D xsi:type="xsd:double"&gt;242.598674&lt;/D&gt;&lt;D xsi:type="xsd:double"&gt;241.938114&lt;/D&gt;&lt;D xsi:type="xsd:double"&gt;245.123767&lt;/D&gt;&lt;D xsi:type="xsd:double"&gt;244.004716&lt;/D&gt;&lt;D xsi:type="xsd:double"&gt;241.987958&lt;/D&gt;&lt;D xsi:type="xsd:double"&gt;243.786312&lt;/D&gt;&lt;D xsi:type="xsd:double"&gt;244.477815&lt;/D&gt;&lt;D xsi:type="xsd:double"&gt;246.447&lt;/D&gt;&lt;D xsi:type="xsd:double"&gt;246.639066&lt;/D&gt;&lt;D xsi:type="xsd:double"&gt;246.575352&lt;/D&gt;&lt;D xsi:type="xsd:double"&gt;246.896371&lt;/D&gt;&lt;D xsi:type="xsd:double"&gt;247.781692&lt;/D&gt;&lt;D xsi:type="xsd:double"&gt;248.126366&lt;/D&gt;&lt;D xsi:type="xsd:double"&gt;248.411727&lt;/D&gt;&lt;D xsi:type="xsd:double"&gt;247.938253&lt;/D&gt;&lt;D xsi:type="xsd:double"&gt;248.884137&lt;/D&gt;&lt;D xsi:type="xsd:double"&gt;249.192369&lt;/D&gt;&lt;D xsi:type="xsd:double"&gt;247.949622&lt;/D&gt;&lt;D xsi:type="xsd:double"&gt;245.129314&lt;/D&gt;&lt;D xsi:type="xsd:double"&gt;246.068699&lt;/D&gt;&lt;D xsi:type="xsd:double"&gt;244.551021&lt;/D&gt;&lt;D xsi:type="xsd:double"&gt;246.071346&lt;/D&gt;&lt;D xsi:type="xsd:double"&gt;247.856939&lt;/D&gt;&lt;D xsi:type="xsd:double"&gt;250.396821&lt;/D&gt;&lt;D xsi:type="xsd:double"&gt;249.513127&lt;/D&gt;&lt;D xsi:type="xsd:double"&gt;250.384876&lt;/D&gt;&lt;D xsi:type="xsd:double"&gt;251.011688&lt;/D&gt;&lt;D xsi:type="xsd:double"&gt;251.310273&lt;/D&gt;&lt;D xsi:type="xsd:double"&gt;251.050915&lt;/D&gt;&lt;D xsi:type="xsd:double"&gt;250.420176&lt;/D&gt;&lt;D xsi:type="xsd:double"&gt;251.654003&lt;/D&gt;&lt;D xsi:type="xsd:double"&gt;250.541986&lt;/D&gt;&lt;D xsi:type="xsd:double"&gt;250.385224&lt;/D&gt;&lt;D xsi:type="xsd:double"&gt;250.36038&lt;/D&gt;&lt;D xsi:type="xsd:double"&gt;252.833416&lt;/D&gt;&lt;D xsi:type="xsd:double"&gt;254.461019&lt;/D&gt;&lt;D xsi:type="xsd:double"&gt;250.161536&lt;/D&gt;&lt;D xsi:type="xsd:double"&gt;247.671529&lt;/D&gt;&lt;D xsi:type="xsd:double"&gt;247.6183&lt;/D&gt;&lt;D xsi:type="xsd:double"&gt;245.040788&lt;/D&gt;&lt;D xsi:type="xsd:double"&gt;246.580937&lt;/D&gt;&lt;D xsi:type="xsd:double"&gt;245.738144&lt;/D&gt;&lt;D xsi:type="xsd:double"&gt;246.292595&lt;/D&gt;&lt;D xsi:type="xsd:double"&gt;248.118066&lt;/D&gt;&lt;D xsi:type="xsd:double"&gt;251.275228&lt;/D&gt;&lt;D xsi:type="xsd:double"&gt;255.512748&lt;/D&gt;&lt;D xsi:type="xsd:double"&gt;255.598795&lt;/D&gt;&lt;D xsi:type="xsd:double"&gt;254.981454&lt;/D&gt;&lt;D xsi:type="xsd:double"&gt;251.208958&lt;/D&gt;&lt;D xsi:type="xsd:double"&gt;248.859808&lt;/D&gt;&lt;D xsi:type="xsd:double"&gt;247.984461&lt;/D&gt;&lt;D xsi:type="xsd:double"&gt;248.81625&lt;/D&gt;&lt;D xsi:type="xsd:double"&gt;248.596012&lt;/D&gt;&lt;D xsi:type="xsd:double"&gt;250.540486&lt;/D&gt;&lt;D xsi:type="xsd:double"&gt;250.223785&lt;/D&gt;&lt;D xsi:type="xsd:double"&gt;250.844563&lt;/D&gt;&lt;D xsi:type="xsd:double"&gt;251.962019&lt;/D&gt;&lt;D xsi:type="xsd:double"&gt;250.747521&lt;/D&gt;&lt;D xsi:type="xsd:double"&gt;250.84557&lt;/D&gt;&lt;D xsi:type="xsd:double"&gt;252.204325&lt;/D&gt;&lt;D xsi:type="xsd:double"&gt;250.990594&lt;/D&gt;&lt;D xsi:type="xsd:double"&gt;251.631655&lt;/D&gt;&lt;D xsi:type="xsd:double"&gt;252.376178&lt;/D&gt;&lt;D xsi:type="xsd:double"&gt;251.923466&lt;/D&gt;&lt;D xsi:type="xsd:double"&gt;251.474195&lt;/D&gt;&lt;D xsi:type="xsd:double"&gt;250.212296&lt;/D&gt;&lt;D xsi:type="xsd:double"&gt;249.475034&lt;/D&gt;&lt;D xsi:type="xsd:double"&gt;247.003491&lt;/D&gt;&lt;D xsi:type="xsd:double"&gt;245.226281&lt;/D&gt;&lt;D xsi:type="xsd:double"&gt;244.453777&lt;/D&gt;&lt;D xsi:type="xsd:double"&gt;242.860291&lt;/D&gt;&lt;D xsi:type="xsd:double"&gt;245.200223&lt;/D&gt;&lt;D xsi:type="xsd:double"&gt;246.826393&lt;/D&gt;&lt;D xsi:type="xsd:double"&gt;247.028577&lt;/D&gt;&lt;D xsi:type="xsd:double"&gt;243.754551&lt;/D&gt;&lt;D xsi:type="xsd:double"&gt;243.835409&lt;/D&gt;&lt;D xsi:type="xsd:double"&gt;243.149423&lt;/D&gt;&lt;D xsi:type="xsd:double"&gt;242.600553&lt;/D&gt;&lt;D xsi:type="xsd:double"&gt;242.628634&lt;/D&gt;&lt;D xsi:type="xsd:double"&gt;243.596051&lt;/D&gt;&lt;D xsi:type="xsd:double"&gt;243.190753&lt;/D&gt;&lt;D xsi:type="xsd:double"&gt;241.93497&lt;/D&gt;&lt;D xsi:type="xsd:double"&gt;243.0735&lt;/D&gt;&lt;D xsi:type="xsd:double"&gt;242.672343&lt;/D&gt;&lt;D xsi:type="xsd:double"&gt;243.031619&lt;/D&gt;&lt;D xsi:type="xsd:double"&gt;241.425129&lt;/D&gt;&lt;D xsi:type="xsd:double"&gt;240.270673&lt;/D&gt;&lt;D xsi:type="xsd:double"&gt;237.682907&lt;/D&gt;&lt;D xsi:type="xsd:double"&gt;233.687696&lt;/D&gt;&lt;D xsi:type="xsd:double"&gt;232.686603&lt;/D&gt;&lt;D xsi:type="xsd:double"&gt;231.163285&lt;/D&gt;&lt;D xsi:type="xsd:double"&gt;234.742441&lt;/D&gt;&lt;D xsi:type="xsd:double"&gt;237.360467&lt;/D&gt;&lt;D xsi:type="xsd:double"&gt;235.65999&lt;/D&gt;&lt;D xsi:type="xsd:double"&gt;233.306909&lt;/D&gt;&lt;D xsi:type="xsd:double"&gt;227.066623&lt;/D&gt;&lt;D xsi:type="xsd:double"&gt;223.511547&lt;/D&gt;&lt;D xsi:type="xsd:double"&gt;229.518096&lt;/D&gt;&lt;D xsi:type="xsd:double"&gt;244.305516&lt;/D&gt;&lt;D xsi:type="xsd:double"&gt;241.02742&lt;/D&gt;&lt;D xsi:type="xsd:double"&gt;240.53169&lt;/D&gt;&lt;D xsi:type="xsd:double"&gt;239.671999&lt;/D&gt;&lt;D xsi:type="xsd:double"&gt;232.510358&lt;/D&gt;&lt;D xsi:type="xsd:double"&gt;229.125571&lt;/D&gt;&lt;D xsi:type="xsd:double"&gt;232.015915&lt;/D&gt;&lt;D xsi:type="xsd:double"&gt;230.333781&lt;/D&gt;&lt;D xsi:type="xsd:double"&gt;234.469992&lt;/D&gt;&lt;D xsi:type="xsd:double"&gt;238.674758&lt;/D&gt;&lt;D xsi:type="xsd:double"&gt;243.334117&lt;/D&gt;&lt;D xsi:type="xsd:double"&gt;246.078701&lt;/D&gt;&lt;D xsi:type="xsd:double"&gt;245.187222&lt;/D&gt;&lt;D xsi:type="xsd:double"&gt;242.555703&lt;/D&gt;&lt;D xsi:type="xsd:double"&gt;241.277119&lt;/D&gt;&lt;D xsi:type="xsd:double"&gt;238.719626&lt;/D&gt;&lt;D xsi:type="xsd:double"&gt;239.22575&lt;/D&gt;&lt;D xsi:type="xsd:double"&gt;240.080412&lt;/D&gt;&lt;D xsi:type="xsd:double"&gt;240.351979&lt;/D&gt;&lt;D xsi:type="xsd:double"&gt;240.115092&lt;/D&gt;&lt;D xsi:type="xsd:double"&gt;238.929558&lt;/D&gt;&lt;D xsi:type="xsd:double"&gt;236.051475&lt;/D&gt;&lt;D xsi:type="xsd:double"&gt;234.58208&lt;/D&gt;&lt;D xsi:type="xsd:double"&gt;234.953307&lt;/D&gt;&lt;D xsi:type="xsd:double"&gt;233.059796&lt;/D&gt;&lt;D xsi:type="xsd:double"&gt;236.590509&lt;/D&gt;&lt;D xsi:type="xsd:double"&gt;237.247157&lt;/D&gt;&lt;D xsi:type="xsd:double"&gt;236.313762&lt;/D&gt;&lt;D xsi:type="xsd:double"&gt;235.374316&lt;/D&gt;&lt;D xsi:type="xsd:double"&gt;237.669211&lt;/D&gt;&lt;D xsi:type="xsd:double"&gt;238.655984&lt;/D&gt;&lt;D xsi:type="xsd:double"&gt;238.4694&lt;/D&gt;&lt;D xsi:type="xsd:double"&gt;236.095349&lt;/D&gt;&lt;D xsi:type="xsd:double"&gt;236.705034&lt;/D&gt;&lt;D xsi:type="xsd:double"&gt;237.241384&lt;/D&gt;&lt;D xsi:type="xsd:double"&gt;238.17295&lt;/D&gt;&lt;D xsi:type="xsd:double"&gt;241.104182&lt;/D&gt;&lt;D xsi:type="xsd:double"&gt;244.265487&lt;/D&gt;&lt;D xsi:type="xsd:double"&gt;245.362816&lt;/D&gt;&lt;D xsi:type="xsd:double"&gt;246.049594&lt;/D&gt;&lt;D xsi:type="xsd:double"&gt;245.839366&lt;/D&gt;&lt;D xsi:type="xsd:double"&gt;246.138737&lt;/D&gt;&lt;D xsi:type="xsd:double"&gt;245.657608&lt;/D&gt;&lt;D xsi:type="xsd:double"&gt;246.511683&lt;/D&gt;&lt;D xsi:type="xsd:double"&gt;248.337174&lt;/D&gt;&lt;D xsi:type="xsd:double"&gt;248.013772&lt;/D&gt;&lt;D xsi:type="xsd:double"&gt;247.863995&lt;/D&gt;&lt;D xsi:type="xsd:double"&gt;243.204667&lt;/D&gt;&lt;D xsi:type="xsd:double"&gt;243.811763&lt;/D&gt;&lt;D xsi:type="xsd:double"&gt;243.916451&lt;/D&gt;&lt;D xsi:type="xsd:double"&gt;242.20723&lt;/D&gt;&lt;D xsi:type="xsd:double"&gt;238.08488&lt;/D&gt;&lt;D xsi:type="xsd:double"&gt;236.852512&lt;/D&gt;&lt;D xsi:type="xsd:double"&gt;235.626308&lt;/D&gt;&lt;D xsi:type="xsd:double"&gt;232.958933&lt;/D&gt;&lt;D xsi:type="xsd:double"&gt;232.940325&lt;/D&gt;&lt;D xsi:type="xsd:double"&gt;231.988262&lt;/D&gt;&lt;D xsi:type="xsd:double"&gt;236.29447&lt;/D&gt;&lt;D xsi:type="xsd:double"&gt;235.204635&lt;/D&gt;&lt;D xsi:type="xsd:double"&gt;239.855968&lt;/D&gt;&lt;D xsi:type="xsd:double"&gt;240.585502&lt;/D&gt;&lt;D xsi:type="xsd:double"&gt;235.802212&lt;/D&gt;&lt;D xsi:type="xsd:double"&gt;235.831966&lt;/D&gt;&lt;D xsi:type="xsd:double"&gt;234.478038&lt;/D&gt;&lt;D xsi:type="xsd:double"&gt;237.457484&lt;/D&gt;&lt;D xsi:type="xsd:double"&gt;239.617682&lt;/D&gt;&lt;D xsi:type="xsd:double"&gt;239.400862&lt;/D&gt;&lt;D xsi:type="xsd:double"&gt;240.073958&lt;/D&gt;&lt;D xsi:type="xsd:double"&gt;239.945049&lt;/D&gt;&lt;D xsi:type="xsd:double"&gt;234.072198&lt;/D&gt;&lt;D xsi:type="xsd:double"&gt;234.939175&lt;/D&gt;&lt;D xsi:type="xsd:double"&gt;237.462465&lt;/D&gt;&lt;D xsi:type="xsd:double"&gt;236.575498&lt;/D&gt;&lt;D xsi:type="xsd:double"&gt;232.238888&lt;/D&gt;&lt;D xsi:type="xsd:double"&gt;232.399688&lt;/D&gt;&lt;D xsi:type="xsd:double"&gt;232.372428&lt;/D&gt;&lt;D xsi:type="xsd:double"&gt;233.649916&lt;/D&gt;&lt;D xsi:type="xsd:double"&gt;233.744353&lt;/D&gt;&lt;D xsi:type="xsd:double"&gt;231.177809&lt;/D&gt;&lt;D xsi:type="xsd:double"&gt;228.638044&lt;/D&gt;&lt;D xsi:type="xsd:double"&gt;225.183691&lt;/D&gt;&lt;D xsi:type="xsd:double"&gt;222.663255&lt;/D&gt;&lt;D xsi:type="xsd:double"&gt;222.582636&lt;/D&gt;&lt;D xsi:type="xsd:double"&gt;221.756831&lt;/D&gt;&lt;D xsi:type="xsd:double"&gt;219.387527&lt;/D&gt;&lt;D xsi:type="xsd:double"&gt;222.726641&lt;/D&gt;&lt;D xsi:type="xsd:double"&gt;224.643183&lt;/D&gt;&lt;D xsi:type="xsd:double"&gt;222.256502&lt;/D&gt;&lt;D xsi:type="xsd:double"&gt;224.087594&lt;/D&gt;&lt;D xsi:type="xsd:double"&gt;222.423974&lt;/D&gt;&lt;D xsi:type="xsd:double"&gt;219.541018&lt;/D&gt;&lt;D xsi:type="xsd:double"&gt;213.140255&lt;/D&gt;&lt;D xsi:type="xsd:double"&gt;213.137862&lt;/D&gt;&lt;D xsi:type="xsd:double"&gt;216.176321&lt;/D&gt;&lt;D xsi:type="xsd:double"&gt;216.668435&lt;/D&gt;&lt;D xsi:type="xsd:double"&gt;219.480391&lt;/D&gt;&lt;D xsi:type="xsd:double"&gt;223.125409&lt;/D&gt;&lt;D xsi:type="xsd:double"&gt;225.118185&lt;/D&gt;&lt;D xsi:type="xsd:double"&gt;222.20502&lt;/D&gt;&lt;D xsi:type="xsd:double"&gt;223.34976&lt;/D&gt;&lt;D xsi:type="xsd:double"&gt;227.043679&lt;/D&gt;&lt;D xsi:type="xsd:double"&gt;225.743246&lt;/D&gt;&lt;D xsi:type="xsd:double"&gt;222.46479&lt;/D&gt;&lt;D xsi:type="xsd:double"&gt;222.929471&lt;/D&gt;&lt;D xsi:type="xsd:double"&gt;220.819345&lt;/D&gt;&lt;D xsi:type="xsd:double"&gt;220.807093&lt;/D&gt;&lt;D xsi:type="xsd:double"&gt;220.814127&lt;/D&gt;&lt;D xsi:type="xsd:double"&gt;213.688766&lt;/D&gt;&lt;D xsi:type="xsd:double"&gt;213.421353&lt;/D&gt;&lt;D xsi:type="xsd:double"&gt;219.976906&lt;/D&gt;&lt;D xsi:type="xsd:double"&gt;219.742921&lt;/D&gt;&lt;D xsi:type="xsd:double"&gt;222.946123&lt;/D&gt;&lt;D xsi:type="xsd:double"&gt;226.157539&lt;/D&gt;&lt;D xsi:type="xsd:double"&gt;224.059988&lt;/D&gt;&lt;D xsi:type="xsd:double"&gt;224.861937&lt;/D&gt;&lt;D xsi:type="xsd:double"&gt;227.085464&lt;/D&gt;&lt;D xsi:type="xsd:double"&gt;228.324941&lt;/D&gt;&lt;D xsi:type="xsd:double"&gt;232.758419&lt;/D&gt;&lt;D xsi:type="xsd:double"&gt;235.382824&lt;/D&gt;&lt;D xsi:type="xsd:double"&gt;235.922781&lt;/D&gt;&lt;D xsi:type="xsd:double"&gt;242.347864&lt;/D&gt;&lt;D xsi:type="xsd:double"&gt;243.503078&lt;/D&gt;&lt;D xsi:type="xsd:double"&gt;244.601693&lt;/D&gt;&lt;D xsi:type="xsd:double"&gt;243.257252&lt;/D&gt;&lt;D xsi:type="xsd:double"&gt;243.908152&lt;/D&gt;&lt;D xsi:type="xsd:double"&gt;242.705906&lt;/D&gt;&lt;D xsi:type="xsd:double"&gt;239.628512&lt;/D&gt;&lt;D xsi:type="xsd:double"&gt;238.628295&lt;/D&gt;&lt;D xsi:type="xsd:double"&gt;239.078642&lt;/D&gt;&lt;D xsi:type="xsd:double"&gt;240.913099&lt;/D&gt;&lt;D xsi:type="xsd:double"&gt;240.015106&lt;/D&gt;&lt;D xsi:type="xsd:double"&gt;237.137502&lt;/D&gt;&lt;D xsi:type="xsd:double"&gt;235.477203&lt;/D&gt;&lt;D xsi:type="xsd:double"&gt;238.296893&lt;/D&gt;&lt;D xsi:type="xsd:double"&gt;241.237705&lt;/D&gt;&lt;D xsi:type="xsd:double"&gt;242.392978&lt;/D&gt;&lt;D xsi:type="xsd:double"&gt;241.996995&lt;/D&gt;&lt;D xsi:type="xsd:double"&gt;245.543951&lt;/D&gt;&lt;D xsi:type="xsd:double"&gt;246.053</t>
        </r>
      </text>
    </comment>
    <comment ref="A84" authorId="0" shapeId="0">
      <text>
        <r>
          <rPr>
            <b/>
            <sz val="9"/>
            <color indexed="81"/>
            <rFont val="Tahoma"/>
            <family val="2"/>
          </rPr>
          <t>664&lt;/D&gt;&lt;D xsi:type="xsd:double"&gt;247.327404&lt;/D&gt;&lt;D xsi:type="xsd:double"&gt;248.479917&lt;/D&gt;&lt;D xsi:type="xsd:double"&gt;249.480845&lt;/D&gt;&lt;D xsi:type="xsd:double"&gt;247.298959&lt;/D&gt;&lt;D xsi:type="xsd:double"&gt;248.373725&lt;/D&gt;&lt;D xsi:type="xsd:double"&gt;248.456&lt;/D&gt;&lt;D xsi:type="xsd:double"&gt;248.005236&lt;/D&gt;&lt;D xsi:type="xsd:double"&gt;249.07241&lt;/D&gt;&lt;D xsi:type="xsd:double"&gt;250.466798&lt;/D&gt;&lt;D xsi:type="xsd:double"&gt;250.479828&lt;/D&gt;&lt;D xsi:type="xsd:double"&gt;246.678307&lt;/D&gt;&lt;D xsi:type="xsd:double"&gt;246.896368&lt;/D&gt;&lt;D xsi:type="xsd:double"&gt;243.399584&lt;/D&gt;&lt;D xsi:type="xsd:double"&gt;244.195072&lt;/D&gt;&lt;D xsi:type="xsd:double"&gt;246.790781&lt;/D&gt;&lt;D xsi:type="xsd:double"&gt;248.605839&lt;/D&gt;&lt;D xsi:type="xsd:double"&gt;247.239845&lt;/D&gt;&lt;D xsi:type="xsd:double"&gt;248.593762&lt;/D&gt;&lt;D xsi:type="xsd:double"&gt;250.003353&lt;/D&gt;&lt;D xsi:type="xsd:double"&gt;252.425968&lt;/D&gt;&lt;D xsi:type="xsd:double"&gt;253.157456&lt;/D&gt;&lt;D xsi:type="xsd:double"&gt;252.786758&lt;/D&gt;&lt;D xsi:type="xsd:double"&gt;252.280845&lt;/D&gt;&lt;D xsi:type="xsd:double"&gt;252.8925&lt;/D&gt;&lt;D xsi:type="xsd:double"&gt;251.750353&lt;/D&gt;&lt;D xsi:type="xsd:double"&gt;254.538384&lt;/D&gt;&lt;D xsi:type="xsd:double"&gt;253.05721&lt;/D&gt;&lt;D xsi:type="xsd:double"&gt;255.151916&lt;/D&gt;&lt;D xsi:type="xsd:double"&gt;255.162081&lt;/D&gt;&lt;D xsi:type="xsd:double"&gt;252.632529&lt;/D&gt;&lt;D xsi:type="xsd:double"&gt;252.40931&lt;/D&gt;&lt;D xsi:type="xsd:double"&gt;252.310978&lt;/D&gt;&lt;D xsi:type="xsd:double"&gt;252.708456&lt;/D&gt;&lt;D xsi:type="xsd:double"&gt;253.659377&lt;/D&gt;&lt;D xsi:type="xsd:double"&gt;252.655024&lt;/D&gt;&lt;D xsi:type="xsd:double"&gt;249.333028&lt;/D&gt;&lt;D xsi:type="xsd:double"&gt;250.629933&lt;/D&gt;&lt;D xsi:type="xsd:double"&gt;253.207018&lt;/D&gt;&lt;D xsi:type="xsd:double"&gt;252.896288&lt;/D&gt;&lt;D xsi:type="xsd:double"&gt;249.521913&lt;/D&gt;&lt;D xsi:type="xsd:double"&gt;249.150843&lt;/D&gt;&lt;D xsi:type="xsd:double"&gt;246.434408&lt;/D&gt;&lt;D xsi:type="xsd:double"&gt;243.961171&lt;/D&gt;&lt;D xsi:type="xsd:double"&gt;239.082972&lt;/D&gt;&lt;D xsi:type="xsd:double"&gt;237.132497&lt;/D&gt;&lt;D xsi:type="xsd:double"&gt;235.571458&lt;/D&gt;&lt;D xsi:type="xsd:double"&gt;230.613656&lt;/D&gt;&lt;D xsi:type="xsd:double"&gt;233.925022&lt;/D&gt;&lt;D xsi:type="xsd:double"&gt;237.232941&lt;/D&gt;&lt;D xsi:type="xsd:double"&gt;234.710467&lt;/D&gt;&lt;D xsi:type="xsd:double"&gt;236.781929&lt;/D&gt;&lt;D xsi:type="xsd:double"&gt;238.338148&lt;/D&gt;&lt;D xsi:type="xsd:double"&gt;243.447064&lt;/D&gt;&lt;D xsi:type="xsd:double"&gt;245.917029&lt;/D&gt;&lt;D xsi:type="xsd:double"&gt;247.737054&lt;/D&gt;&lt;D xsi:type="xsd:double"&gt;247.052293&lt;/D&gt;&lt;D xsi:type="xsd:double"&gt;242.81168&lt;/D&gt;&lt;D xsi:type="xsd:double"&gt;242.359148&lt;/D&gt;&lt;D xsi:type="xsd:double"&gt;242.851121&lt;/D&gt;&lt;D xsi:type="xsd:double"&gt;243.702304&lt;/D&gt;&lt;D xsi:type="xsd:double"&gt;246.193805&lt;/D&gt;&lt;D xsi:type="xsd:double"&gt;240.984098&lt;/D&gt;&lt;D xsi:type="xsd:double"&gt;238.52971&lt;/D&gt;&lt;D xsi:type="xsd:double"&gt;243.021046&lt;/D&gt;&lt;D xsi:type="xsd:double"&gt;241.029558&lt;/D&gt;&lt;D xsi:type="xsd:double"&gt;241.830823&lt;/D&gt;&lt;D xsi:type="xsd:double"&gt;247.651359&lt;/D&gt;&lt;D xsi:type="xsd:double"&gt;249.015281&lt;/D&gt;&lt;D xsi:type="xsd:double"&gt;246.701412&lt;/D&gt;&lt;D xsi:type="xsd:double"&gt;242.001292&lt;/D&gt;&lt;D xsi:type="xsd:double"&gt;242.670421&lt;/D&gt;&lt;D xsi:type="xsd:double"&gt;239.806609&lt;/D&gt;&lt;D xsi:type="xsd:double"&gt;249.051733&lt;/D&gt;&lt;D xsi:type="xsd:double"&gt;254.551541&lt;/D&gt;&lt;D xsi:type="xsd:double"&gt;257.194087&lt;/D&gt;&lt;D xsi:type="xsd:double"&gt;260.430513&lt;/D&gt;&lt;D xsi:type="xsd:double"&gt;261.457765&lt;/D&gt;&lt;D xsi:type="xsd:double"&gt;262.113417&lt;/D&gt;&lt;D xsi:type="xsd:double"&gt;262.579738&lt;/D&gt;&lt;D xsi:type="xsd:double"&gt;262.326591&lt;/D&gt;&lt;D xsi:type="xsd:double"&gt;265.652641&lt;/D&gt;&lt;D xsi:type="xsd:double"&gt;268.284616&lt;/D&gt;&lt;D xsi:type="xsd:double"&gt;266.332681&lt;/D&gt;&lt;D xsi:type="xsd:double"&gt;267.032828&lt;/D&gt;&lt;D xsi:type="xsd:double"&gt;267.941323&lt;/D&gt;&lt;D xsi:type="xsd:double"&gt;267.844052&lt;/D&gt;&lt;D xsi:type="xsd:double"&gt;267.740108&lt;/D&gt;&lt;D xsi:type="xsd:double"&gt;268.791488&lt;/D&gt;&lt;D xsi:type="xsd:double"&gt;266.034532&lt;/D&gt;&lt;D xsi:type="xsd:double"&gt;266.777017&lt;/D&gt;&lt;D xsi:type="xsd:double"&gt;264.461747&lt;/D&gt;&lt;D xsi:type="xsd:double"&gt;264.224784&lt;/D&gt;&lt;D xsi:type="xsd:double"&gt;266.925221&lt;/D&gt;&lt;D xsi:type="xsd:double"&gt;269.618463&lt;/D&gt;&lt;D xsi:type="xsd:double"&gt;269.560331&lt;/D&gt;&lt;D xsi:type="xsd:double"&gt;272.585475&lt;/D&gt;&lt;D xsi:type="xsd:double"&gt;272.228049&lt;/D&gt;&lt;D xsi:type="xsd:double"&gt;272.434704&lt;/D&gt;&lt;D xsi:type="xsd:double"&gt;273.054602&lt;/D&gt;&lt;D xsi:type="xsd:double"&gt;271.16804&lt;/D&gt;&lt;D xsi:type="xsd:double"&gt;271.404727&lt;/D&gt;&lt;D xsi:type="xsd:double"&gt;269.854655&lt;/D&gt;&lt;D xsi:type="xsd:double"&gt;267.990136&lt;/D&gt;&lt;D xsi:type="xsd:double"&gt;263.268648&lt;/D&gt;&lt;D xsi:type="xsd:double"&gt;259.96607&lt;/D&gt;&lt;D xsi:type="xsd:double"&gt;261.820979&lt;/D&gt;&lt;D xsi:type="xsd:double"&gt;265.622452&lt;/D&gt;&lt;D xsi:type="xsd:double"&gt;271.299185&lt;/D&gt;&lt;D xsi:type="xsd:double"&gt;271.202777&lt;/D&gt;&lt;D xsi:type="xsd:double"&gt;269.881062&lt;/D&gt;&lt;D xsi:type="xsd:double"&gt;270.524631&lt;/D&gt;&lt;D xsi:type="xsd:double"&gt;276.773646&lt;/D&gt;&lt;D xsi:type="xsd:double"&gt;278.567172&lt;/D&gt;&lt;D xsi:type="xsd:double"&gt;279.226966&lt;/D&gt;&lt;D xsi:type="xsd:double"&gt;279.752835&lt;/D&gt;&lt;D xsi:type="xsd:double"&gt;279.794787&lt;/D&gt;&lt;D xsi:type="xsd:double"&gt;274.670033&lt;/D&gt;&lt;D xsi:type="xsd:double"&gt;274.983621&lt;/D&gt;&lt;D xsi:type="xsd:double"&gt;272.056903&lt;/D&gt;&lt;D xsi:type="xsd:double"&gt;272.847946&lt;/D&gt;&lt;D xsi:type="xsd:double"&gt;272.923823&lt;/D&gt;&lt;D xsi:type="xsd:double"&gt;275.87337&lt;/D&gt;&lt;D xsi:type="xsd:double"&gt;276.344852&lt;/D&gt;&lt;D xsi:type="xsd:double"&gt;276.225525&lt;/D&gt;&lt;D xsi:type="xsd:double"&gt;272.051017&lt;/D&gt;&lt;D xsi:type="xsd:double"&gt;272.67993&lt;/D&gt;&lt;D xsi:type="xsd:double"&gt;273.447363&lt;/D&gt;&lt;D xsi:type="xsd:double"&gt;277.843845&lt;/D&gt;&lt;D xsi:type="xsd:double"&gt;279.935605&lt;/D&gt;&lt;D xsi:type="xsd:double"&gt;278.69302&lt;/D&gt;&lt;D xsi:type="xsd:double"&gt;277.404582&lt;/D&gt;&lt;D xsi:type="xsd:double"&gt;278.31936&lt;/D&gt;&lt;D xsi:type="xsd:double"&gt;280.270545&lt;/D&gt;&lt;D xsi:type="xsd:double"&gt;281.113571&lt;/D&gt;&lt;D xsi:type="xsd:double"&gt;280.597699&lt;/D&gt;&lt;D xsi:type="xsd:double"&gt;284.693883&lt;/D&gt;&lt;D xsi:type="xsd:double"&gt;285.892184&lt;/D&gt;&lt;D xsi:type="xsd:double"&gt;284.844053&lt;/D&gt;&lt;D xsi:type="xsd:double"&gt;284.941834&lt;/D&gt;&lt;D xsi:type="xsd:double"&gt;286.201749&lt;/D&gt;&lt;D xsi:type="xsd:double"&gt;286.837644&lt;/D&gt;&lt;D xsi:type="xsd:double"&gt;285.621067&lt;/D&gt;&lt;D xsi:type="xsd:double"&gt;284.737176&lt;/D&gt;&lt;D xsi:type="xsd:double"&gt;282.86434&lt;/D&gt;&lt;D xsi:type="xsd:double"&gt;283.659567&lt;/D&gt;&lt;D xsi:type="xsd:double"&gt;283.719692&lt;/D&gt;&lt;D xsi:type="xsd:double"&gt;279.588365&lt;/D&gt;&lt;D xsi:type="xsd:double"&gt;282.627019&lt;/D&gt;&lt;D xsi:type="xsd:double"&gt;282.029358&lt;/D&gt;&lt;D xsi:type="xsd:double"&gt;283.557831&lt;/D&gt;&lt;D xsi:type="xsd:double"&gt;283.27353&lt;/D&gt;&lt;D xsi:type="xsd:double"&gt;283.873901&lt;/D&gt;&lt;D xsi:type="xsd:double"&gt;286.628058&lt;/D&gt;&lt;D xsi:type="xsd:double"&gt;288.192581&lt;/D&gt;&lt;D xsi:type="xsd:double"&gt;288.270332&lt;/D&gt;&lt;D xsi:type="xsd:double"&gt;286.238295&lt;/D&gt;&lt;D xsi:type="xsd:double"&gt;284.205624&lt;/D&gt;&lt;D xsi:type="xsd:double"&gt;282.962527&lt;/D&gt;&lt;D xsi:type="xsd:double"&gt;282.702302&lt;/D&gt;&lt;D xsi:type="xsd:double"&gt;281.008872&lt;/D&gt;&lt;D xsi:type="xsd:double"&gt;281.237356&lt;/D&gt;&lt;D xsi:type="xsd:double"&gt;283.527324&lt;/D&gt;&lt;D xsi:type="xsd:double"&gt;281.583975&lt;/D&gt;&lt;D xsi:type="xsd:double"&gt;281.953183&lt;/D&gt;&lt;D xsi:type="xsd:double"&gt;280.432121&lt;/D&gt;&lt;D xsi:type="xsd:double"&gt;280.788748&lt;/D&gt;&lt;D xsi:type="xsd:double"&gt;279.743758&lt;/D&gt;&lt;D xsi:type="xsd:double"&gt;279.039304&lt;/D&gt;&lt;D xsi:type="xsd:double"&gt;278.347083&lt;/D&gt;&lt;D xsi:type="xsd:double"&gt;277.773223&lt;/D&gt;&lt;D xsi:type="xsd:double"&gt;274.586717&lt;/D&gt;&lt;D xsi:type="xsd:double"&gt;271.847695&lt;/D&gt;&lt;D xsi:type="xsd:double"&gt;271.006827&lt;/D&gt;&lt;D xsi:type="xsd:double"&gt;272.92053&lt;/D&gt;&lt;D xsi:type="xsd:double"&gt;272.152997&lt;/D&gt;&lt;D xsi:type="xsd:double"&gt;273.159912&lt;/D&gt;&lt;D xsi:type="xsd:double"&gt;276.681463&lt;/D&gt;&lt;D xsi:type="xsd:double"&gt;277.104405&lt;/D&gt;&lt;D xsi:type="xsd:double"&gt;276.764806&lt;/D&gt;&lt;D xsi:type="xsd:double"&gt;274.877514&lt;/D&gt;&lt;D xsi:type="xsd:double"&gt;270.48131&lt;/D&gt;&lt;D xsi:type="xsd:double"&gt;269.446835&lt;/D&gt;&lt;D xsi:type="xsd:double"&gt;267.46833&lt;/D&gt;&lt;D xsi:type="xsd:double"&gt;267.072595&lt;/D&gt;&lt;D xsi:type="xsd:double"&gt;265.017637&lt;/D&gt;&lt;D xsi:type="xsd:double"&gt;266.382848&lt;/D&gt;&lt;D xsi:type="xsd:double"&gt;264.444974&lt;/D&gt;&lt;D xsi:type="xsd:double"&gt;264.510518&lt;/D&gt;&lt;D xsi:type="xsd:double"&gt;269.020014&lt;/D&gt;&lt;D xsi:type="xsd:double"&gt;270.895007&lt;/D&gt;&lt;D xsi:type="xsd:double"&gt;273.206355&lt;/D&gt;&lt;D xsi:type="xsd:double"&gt;272.938556&lt;/D&gt;&lt;D xsi:type="xsd:double"&gt;274.446773&lt;/D&gt;&lt;D xsi:type="xsd:double"&gt;275.639083&lt;/D&gt;&lt;D xsi:type="xsd:double"&gt;276.480446&lt;/D&gt;&lt;D xsi:type="xsd:double"&gt;276.1325&lt;/D&gt;&lt;D xsi:type="xsd:double"&gt;276.451956&lt;/D&gt;&lt;D xsi:type="xsd:double"&gt;275.503156&lt;/D&gt;&lt;D xsi:type="xsd:double"&gt;274.631122&lt;/D&gt;&lt;D xsi:type="xsd:double"&gt;273.930401&lt;/D&gt;&lt;D xsi:type="xsd:double"&gt;273.67191&lt;/D&gt;&lt;D xsi:type="xsd:double"&gt;272.874341&lt;/D&gt;&lt;D xsi:type="xsd:double"&gt;271.4849&lt;/D&gt;&lt;D xsi:type="xsd:double"&gt;271.396082&lt;/D&gt;&lt;D xsi:type="xsd:double"&gt;268.614055&lt;/D&gt;&lt;D xsi:type="xsd:double"&gt;265.127171&lt;/D&gt;&lt;D xsi:type="xsd:double"&gt;266.739915&lt;/D&gt;&lt;D xsi:type="xsd:double"&gt;266.809228&lt;/D&gt;&lt;D xsi:type="xsd:double"&gt;267.768123&lt;/D&gt;&lt;D xsi:type="xsd:double"&gt;269.024027&lt;/D&gt;&lt;D xsi:type="xsd:double"&gt;268.3647&lt;/D&gt;&lt;D xsi:type="xsd:double"&gt;266.94039&lt;/D&gt;&lt;D xsi:type="xsd:double"&gt;264.279567&lt;/D&gt;&lt;D xsi:type="xsd:double"&gt;262.831042&lt;/D&gt;&lt;D xsi:type="xsd:double"&gt;264.635425&lt;/D&gt;&lt;D xsi:type="xsd:double"&gt;266.575047&lt;/D&gt;&lt;D xsi:type="xsd:double"&gt;267.779775&lt;/D&gt;&lt;D xsi:type="xsd:double"&gt;266.005564&lt;/D&gt;&lt;D xsi:type="xsd:double"&gt;265.653798&lt;/D&gt;&lt;D xsi:type="xsd:double"&gt;264.504583&lt;/D&gt;&lt;D xsi:type="xsd:double"&gt;263.710139&lt;/D&gt;&lt;D xsi:type="xsd:double"&gt;261.364018&lt;/D&gt;&lt;D xsi:type="xsd:double"&gt;258.84183&lt;/D&gt;&lt;D xsi:type="xsd:double"&gt;259.053432&lt;/D&gt;&lt;D xsi:type="xsd:double"&gt;257.015597&lt;/D&gt;&lt;D xsi:type="xsd:double"&gt;259.336331&lt;/D&gt;&lt;D xsi:type="xsd:double"&gt;257.97179&lt;/D&gt;&lt;D xsi:type="xsd:double"&gt;258.086647&lt;/D&gt;&lt;D xsi:type="xsd:double"&gt;258.561212&lt;/D&gt;&lt;D xsi:type="xsd:double"&gt;253.304619&lt;/D&gt;&lt;D xsi:type="xsd:double"&gt;253.94173&lt;/D&gt;&lt;D xsi:type="xsd:double"&gt;256.642335&lt;/D&gt;&lt;D xsi:type="xsd:double"&gt;261.847794&lt;/D&gt;&lt;D xsi:type="xsd:double"&gt;263.378952&lt;/D&gt;&lt;D xsi:type="xsd:double"&gt;263.590764&lt;/D&gt;&lt;D xsi:type="xsd:double"&gt;265.467459&lt;/D&gt;&lt;D xsi:type="xsd:double"&gt;264.665162&lt;/D&gt;&lt;D xsi:type="xsd:double"&gt;264.661721&lt;/D&gt;&lt;D xsi:type="xsd:double"&gt;264.063954&lt;/D&gt;&lt;D xsi:type="xsd:double"&gt;264.676589&lt;/D&gt;&lt;D xsi:type="xsd:double"&gt;263.165799&lt;/D&gt;&lt;D xsi:type="xsd:double"&gt;260.882077&lt;/D&gt;&lt;D xsi:type="xsd:double"&gt;256.815951&lt;/D&gt;&lt;D xsi:type="xsd:double"&gt;257.114214&lt;/D&gt;&lt;D xsi:type="xsd:double"&gt;255.323941&lt;/D&gt;&lt;D xsi:type="xsd:double"&gt;260.293421&lt;/D&gt;&lt;D xsi:type="xsd:double"&gt;263.143251&lt;/D&gt;&lt;D xsi:type="xsd:double"&gt;264.982246&lt;/D&gt;&lt;D xsi:type="xsd:double"&gt;267.410779&lt;/D&gt;&lt;D xsi:type="xsd:double"&gt;269.378841&lt;/D&gt;&lt;D xsi:type="xsd:double"&gt;271.185687&lt;/D&gt;&lt;D xsi:type="xsd:double"&gt;271.163556&lt;/D&gt;&lt;D xsi:type="xsd:double"&gt;271.645463&lt;/D&gt;&lt;D xsi:type="xsd:double"&gt;271.636166&lt;/D&gt;&lt;D xsi:type="xsd:double"&gt;271.690753&lt;/D&gt;&lt;D xsi:type="xsd:double"&gt;273.525189&lt;/D&gt;&lt;D xsi:type="xsd:double"&gt;275.617377&lt;/D&gt;&lt;D xsi:type="xsd:double"&gt;274.764252&lt;/D&gt;&lt;D xsi:type="xsd:double"&gt;273.770618&lt;/D&gt;&lt;D xsi:type="xsd:double"&gt;273.389546&lt;/D&gt;&lt;D xsi:type="xsd:double"&gt;270.680402&lt;/D&gt;&lt;D xsi:type="xsd:double"&gt;271.072724&lt;/D&gt;&lt;D xsi:type="xsd:double"&gt;271.580855&lt;/D&gt;&lt;D xsi:type="xsd:double"&gt;269.053227&lt;/D&gt;&lt;D xsi:type="xsd:double"&gt;270.160375&lt;/D&gt;&lt;D xsi:type="xsd:double"&gt;270.100907&lt;/D&gt;&lt;D xsi:type="xsd:double"&gt;270.056968&lt;/D&gt;&lt;D xsi:type="xsd:double"&gt;270.284809&lt;/D&gt;&lt;D xsi:type="xsd:double"&gt;270.110127&lt;/D&gt;&lt;D xsi:type="xsd:double"&gt;268.160718&lt;/D&gt;&lt;D xsi:type="xsd:double"&gt;268.680404&lt;/D&gt;&lt;D xsi:type="xsd:double"&gt;269.934231&lt;/D&gt;&lt;D xsi:type="xsd:double"&gt;269.563046&lt;/D&gt;&lt;D xsi:type="xsd:double"&gt;269.051784&lt;/D&gt;&lt;D xsi:type="xsd:double"&gt;271.969134&lt;/D&gt;&lt;D xsi:type="xsd:double"&gt;269.303314&lt;/D&gt;&lt;D xsi:type="xsd:double"&gt;270.071389&lt;/D&gt;&lt;D xsi:type="xsd:double"&gt;268.330137&lt;/D&gt;&lt;D xsi:type="xsd:double"&gt;265.636971&lt;/D&gt;&lt;D xsi:type="xsd:double"&gt;265.869536&lt;/D&gt;&lt;D xsi:type="xsd:double"&gt;265.370046&lt;/D&gt;&lt;D xsi:type="xsd:double"&gt;265.338304&lt;/D&gt;&lt;D xsi:type="xsd:double"&gt;264.059519&lt;/D&gt;&lt;D xsi:type="xsd:double"&gt;262.071816&lt;/D&gt;&lt;D xsi:type="xsd:double"&gt;260.606293&lt;/D&gt;&lt;D xsi:type="xsd:double"&gt;257.517205&lt;/D&gt;&lt;D xsi:type="xsd:double"&gt;259.153492&lt;/D&gt;&lt;D xsi:type="xsd:double"&gt;262.243482&lt;/D&gt;&lt;D xsi:type="xsd:double"&gt;263.465234&lt;/D&gt;&lt;D xsi:type="xsd:double"&gt;262.682995&lt;/D&gt;&lt;D xsi:type="xsd:double"&gt;268.15856&lt;/D&gt;&lt;D xsi:type="xsd:double"&gt;267.815684&lt;/D&gt;&lt;D xsi:type="xsd:double"&gt;269.693194&lt;/D&gt;&lt;D xsi:type="xsd:double"&gt;270.854166&lt;/D&gt;&lt;D xsi:type="xsd:double"&gt;268.359207&lt;/D&gt;&lt;D xsi:type="xsd:double"&gt;268.996249&lt;/D&gt;&lt;D xsi:type="xsd:double"&gt;272.516802&lt;/D&gt;&lt;D xsi:type="xsd:double"&gt;274.897017&lt;/D&gt;&lt;D xsi:type="xsd:double"&gt;275.391817&lt;/D&gt;&lt;D xsi:type="xsd:double"&gt;277.195894&lt;/D&gt;&lt;D xsi:type="xsd:double"&gt;278.307176&lt;/D&gt;&lt;D xsi:type="xsd:double"&gt;280.342637&lt;/D&gt;&lt;D xsi:type="xsd:double"&gt;280.234367&lt;/D&gt;&lt;D xsi:type="xsd:double"&gt;282.023198&lt;/D&gt;&lt;D xsi:type="xsd:double"&gt;284.462543&lt;/D&gt;&lt;D xsi:type="xsd:double"&gt;285.150067&lt;/D&gt;&lt;D xsi:type="xsd:double"&gt;284.665051&lt;/D&gt;&lt;D xsi:type="xsd:double"&gt;283.707876&lt;/D&gt;&lt;D xsi:type="xsd:double"&gt;284.232163&lt;/D&gt;&lt;D xsi:type="xsd:double"&gt;284.964761&lt;/D&gt;&lt;D xsi:type="xsd:double"&gt;285.884047&lt;/D&gt;&lt;D xsi:type="xsd:double"&gt;286.169173&lt;/D&gt;&lt;D xsi:type="xsd:double"&gt;287.155949&lt;/D&gt;&lt;D xsi:type="xsd:double"&gt;288.954035&lt;/D&gt;&lt;D xsi:type="xsd:double"&gt;290.069285&lt;/D&gt;&lt;D xsi:type="xsd:double"&gt;291.107165&lt;/D&gt;&lt;D xsi:type="xsd:double"&gt;291.652648&lt;/D&gt;&lt;D xsi:type="xsd:double"&gt;289.194455&lt;/D&gt;&lt;D xsi:type="xsd:double"&gt;289.55496&lt;/D&gt;&lt;D xsi:type="xsd:double"&gt;289.205416&lt;/D&gt;&lt;D xsi:type="xsd:double"&gt;290.980587&lt;/D&gt;&lt;D xsi:type="xsd:double"&gt;290.226104&lt;/D&gt;&lt;D xsi:type="xsd:double"&gt;289.264764&lt;/D&gt;&lt;D xsi:type="xsd:double"&gt;287.749426&lt;/D&gt;&lt;D xsi:type="xsd:double"&gt;288.881631&lt;/D&gt;&lt;D xsi:type="xsd:double"&gt;288.101414&lt;/D&gt;&lt;D xsi:type="xsd:double"&gt;288.506841&lt;/D&gt;&lt;D xsi:type="xsd:double"&gt;287.260205&lt;/D&gt;&lt;D xsi:type="xsd:double"&gt;285.641862&lt;/D&gt;&lt;D xsi:type="xsd:double"&gt;285.972459&lt;/D&gt;&lt;D xsi:type="xsd:double"&gt;285.036473&lt;/D&gt;&lt;D xsi:type="xsd:double"&gt;283.792326&lt;/D&gt;&lt;D xsi:type="xsd:double"&gt;283.768404&lt;/D&gt;&lt;D xsi:type="xsd:double"&gt;280.420447&lt;/D&gt;&lt;D xsi:type="xsd:double"&gt;282.125247&lt;/D&gt;&lt;D xsi:type="xsd:double"&gt;283.394263&lt;/D&gt;&lt;D xsi:type="xsd:double"&gt;285.204096&lt;/D&gt;&lt;D xsi:type="xsd:double"&gt;286.423278&lt;/D&gt;&lt;D xsi:type="xsd:double"&gt;286.548012&lt;/D&gt;&lt;D xsi:type="xsd:double"&gt;288.627827&lt;/D&gt;&lt;D xsi:type="xsd:double"&gt;291.386578&lt;/D&gt;&lt;D xsi:type="xsd:double"&gt;292.722076&lt;/D&gt;&lt;D xsi:type="xsd:double"&gt;292.598222&lt;/D&gt;&lt;D xsi:type="xsd:double"&gt;292.635073&lt;/D&gt;&lt;D xsi:type="xsd:double"&gt;293.718431&lt;/D&gt;&lt;D xsi:type="xsd:double"&gt;293.069148&lt;/D&gt;&lt;D xsi:type="xsd:double"&gt;292.423806&lt;/D&gt;&lt;D xsi:type="xsd:double"&gt;290.085913&lt;/D&gt;&lt;D xsi:type="xsd:double"&gt;290.638956&lt;/D&gt;&lt;D xsi:type="xsd:double"&gt;290.793937&lt;/D&gt;&lt;D xsi:type="xsd:double"&gt;292.549605&lt;/D&gt;&lt;D xsi:type="xsd:double"&gt;290.747503&lt;/D&gt;&lt;D xsi:type="xsd:double"&gt;291.611792&lt;/D&gt;&lt;D xsi:type="xsd:double"&gt;289.473221&lt;/D&gt;&lt;D xsi:type="xsd:double"&gt;289.635694&lt;/D&gt;&lt;D xsi:type="xsd:double"&gt;291.759667&lt;/D&gt;&lt;D xsi:type="xsd:double"&gt;291.98293&lt;/D&gt;&lt;D xsi:type="xsd:double"&gt;293.764151&lt;/D&gt;&lt;D xsi:type="xsd:double"&gt;295.191005&lt;/D&gt;&lt;D xsi:type="xsd:double"&gt;294.510644&lt;/D&gt;&lt;D xsi:type="xsd:double"&gt;293.439563&lt;/D&gt;&lt;D xsi:type="xsd:double"&gt;291.95094&lt;/D&gt;&lt;D xsi:type="xsd:double"&gt;290.939571&lt;/D&gt;&lt;D xsi:type="xsd:double"&gt;290.491835&lt;/D&gt;&lt;D xsi:type="xsd:double"&gt;290.131318&lt;/D&gt;&lt;D xsi:type="xsd:double"&gt;291.757633&lt;/D&gt;&lt;D xsi:type="xsd:double"&gt;292.043193&lt;/D&gt;&lt;D xsi:type="xsd:double"&gt;292.457952&lt;/D&gt;&lt;D xsi:type="xsd:double"&gt;293.625404&lt;/D&gt;&lt;D xsi:type="xsd:double"&gt;290.548755&lt;/D&gt;&lt;D xsi:type="xsd:double"&gt;289.976502&lt;/D&gt;&lt;D xsi:type="xsd:double"&gt;290.226996&lt;/D&gt;&lt;D xsi:type="xsd:double"&gt;290.691618&lt;/D&gt;&lt;D xsi:type="xsd:double"&gt;291.393738&lt;/D&gt;&lt;D xsi:type="xsd:double"&gt;291.187338&lt;/D&gt;&lt;D xsi:type="xsd:double"&gt;291.556072&lt;/D&gt;&lt;D xsi:type="xsd:double"&gt;291.135003&lt;/D&gt;&lt;D xsi:type="xsd:double"&gt;290.704546&lt;/D&gt;&lt;D xsi:type="xsd:double"&gt;288.777858&lt;/D&gt;&lt;D xsi:type="xsd:double"&gt;288.063877&lt;/D&gt;&lt;D xsi:type="xsd:double"&gt;288.317224&lt;/D&gt;&lt;D xsi:type="xsd:double"&gt;288.265888&lt;/D&gt;&lt;D xsi:type="xsd:double"&gt;287.766151&lt;/D&gt;&lt;D xsi:type="xsd:double"&gt;288.31478&lt;/D&gt;&lt;D xsi:type="xsd:double"&gt;287.686306&lt;/D&gt;&lt;D xsi:type="xsd:double"&gt;287.509744&lt;/D&gt;&lt;D xsi:type="xsd:double"&gt;286.857354&lt;/D&gt;&lt;D xsi:type="xsd:double"&gt;286.284895&lt;/D&gt;&lt;D xsi:type="xsd:double"&gt;284.681561&lt;/D&gt;&lt;D xsi:type="xsd:double"&gt;284.276101&lt;/D&gt;&lt;D xsi:type="xsd:double"&gt;285.127381&lt;/D&gt;&lt;D xsi:type="xsd:double"&gt;285.368459&lt;/D&gt;&lt;D xsi:type="xsd:double"&gt;285.784697&lt;/D&gt;&lt;D xsi:type="xsd:double"&gt;287.137292&lt;/D&gt;&lt;D xsi:type="xsd:double"&gt;286.233848&lt;/D&gt;&lt;D xsi:type="xsd:double"&gt;285.026539&lt;/D&gt;&lt;D xsi:type="xsd:double"&gt;283.742413&lt;/D&gt;&lt;D xsi:type="xsd:double"&gt;285.297661&lt;/D&gt;&lt;D xsi:type="xsd:double"&gt;283.763745&lt;/D&gt;&lt;D xsi:type="xsd:double"&gt;285.044495&lt;/D&gt;&lt;D xsi:type="xsd:double"&gt;284.265641&lt;/D&gt;&lt;D xsi:type="xsd:double"&gt;284.730216&lt;/D&gt;&lt;D xsi:type="xsd:double"&gt;284.404142&lt;/D&gt;&lt;D xsi:type="xsd:double"&gt;283.627479&lt;/D&gt;&lt;D xsi:type="xsd:double"&gt;283.201476&lt;/D&gt;&lt;D xsi:type="xsd:double"&gt;281.300752&lt;/D&gt;&lt;D xsi:type="xsd:double"&gt;281.492557&lt;/D&gt;&lt;D xsi:type="xsd:double"&gt;282.900416&lt;/D&gt;&lt;D xsi:type="xsd:double"&gt;282.696038&lt;/D&gt;&lt;D xsi:type="xsd:double"&gt;283.108068&lt;/D&gt;&lt;D xsi:type="xsd:double"&gt;281.591016&lt;/D&gt;&lt;D xsi:type="xsd:double"&gt;281.779979&lt;/D&gt;&lt;D xsi:type="xsd:double"&gt;280.299299&lt;/D&gt;&lt;D xsi:type="xsd:double"&gt;277.607847&lt;/D&gt;&lt;D xsi:type="xsd:double"&gt;279.381517&lt;/D&gt;&lt;D xsi:type="xsd:double"&gt;279.967535&lt;/D&gt;&lt;D xsi:type="xsd:double"&gt;282.97374&lt;/D&gt;&lt;D xsi:type="xsd:double"&gt;282.570154&lt;/D&gt;&lt;D xsi:type="xsd:double"&gt;281.934758&lt;/D&gt;&lt;D xsi:type="xsd:double"&gt;281.274599&lt;/D&gt;&lt;D xsi:type="xsd:double"&gt;283.144713&lt;/D&gt;&lt;D xsi:type="xsd:double"&gt;282.153492&lt;/D&gt;&lt;D xsi:type="xsd:double"&gt;282.681718&lt;/D&gt;&lt;D xsi:type="xsd:double"&gt;282.086515&lt;/D&gt;&lt;D xsi:type="xsd:double"&gt;280.820395&lt;/D&gt;&lt;D xsi:type="xsd:double"&gt;278.869425&lt;/D&gt;&lt;D xsi:type="xsd:double"&gt;277.020476&lt;/D&gt;&lt;D xsi:type="xsd:double"&gt;276.49183&lt;/D&gt;&lt;D xsi:type="xsd:double"&gt;274.412118&lt;/D&gt;&lt;D xsi:type="xsd:double"&gt;272.372776&lt;/D&gt;&lt;D xsi:type="xsd:double"&gt;272.650302&lt;/D&gt;&lt;D xsi:type="xsd:double"&gt;271.872881&lt;/D&gt;&lt;D xsi:type="xsd:double"&gt;275.089289&lt;/D&gt;&lt;D xsi:type="xsd:double"&gt;275.699985&lt;/D&gt;&lt;D xsi:type="xsd:double"&gt;273.72255&lt;/D&gt;&lt;D xsi:type="xsd:double"&gt;272.128335&lt;/D&gt;&lt;D xsi:type="xsd:double"&gt;274.892906&lt;/D&gt;&lt;D xsi:type="xsd:double"&gt;275.900143&lt;/D&gt;&lt;D xsi:type="xsd:double"&gt;278.630398&lt;/D&gt;&lt;D xsi:type="xsd:double"&gt;278.460714&lt;/D&gt;&lt;D xsi:type="xsd:double"&gt;280.310245&lt;/D&gt;&lt;D xsi:type="xsd:double"&gt;282.020252&lt;/D&gt;&lt;D xsi:type="xsd:double"&gt;279.716263&lt;/D&gt;&lt;D xsi:type="xsd:double"&gt;279.128994&lt;/D&gt;&lt;D xsi:type="xsd:double"&gt;276.238498&lt;/D&gt;&lt;D xsi:type="xsd:double"&gt;281.063937&lt;/D&gt;&lt;D xsi:type="xsd:double"&gt;279.458021&lt;/D&gt;&lt;D xsi:type="xsd:double"&gt;279.355944&lt;/D&gt;&lt;D xsi:type="xsd:double"&gt;280.69339&lt;/D&gt;&lt;D xsi:type="xsd:double"&gt;280.183751&lt;/D&gt;&lt;D xsi:type="xsd:double"&gt;279.404299&lt;/D&gt;&lt;D xsi:type="xsd:double"&gt;277.297582&lt;/D&gt;&lt;D xsi:type="xsd:double"&gt;279.143442&lt;/D&gt;&lt;D xsi:type="xsd:double"&gt;279.045766&lt;/D&gt;&lt;D xsi:type="xsd:double"&gt;276.332748&lt;/D&gt;&lt;D xsi:type="xsd:double"&gt;274.851117&lt;/D&gt;&lt;D xsi:type="xsd:double"&gt;275.233844&lt;/D&gt;&lt;D xsi:type="xsd:double"&gt;273.787942&lt;/D&gt;&lt;D xsi:type="xsd:double"&gt;270.889228&lt;/D&gt;&lt;D xsi:type="xsd:double"&gt;269.963822&lt;/D&gt;&lt;D xsi:type="xsd:double"&gt;267.297783&lt;/D&gt;&lt;D xsi:type="xsd:double"&gt;263.684277&lt;/D&gt;&lt;D xsi:type="xsd:double"&gt;262.536515&lt;/D&gt;&lt;D xsi:type="xsd:double"&gt;265.58348&lt;/D&gt;&lt;D xsi:type="xsd:double"&gt;268.099271&lt;/D&gt;&lt;D xsi:type="xsd:double"&gt;269.120079&lt;/D&gt;&lt;D xsi:type="xsd:double"&gt;270.918118&lt;/D&gt;&lt;D xsi:type="xsd:double"&gt;270.405896&lt;/D&gt;&lt;D xsi:type="xsd:double"&gt;270.013395&lt;/D&gt;&lt;D xsi:type="xsd:double"&gt;273.707699&lt;/D&gt;&lt;D xsi:type="xsd:double"&gt;278.433469&lt;/D&gt;&lt;D xsi:type="xsd:double"&gt;280.118948&lt;/D&gt;&lt;D xsi:type="xsd:double"&gt;279.337948&lt;/D&gt;&lt;D xsi:type="xsd:double"&gt;279.521784&lt;/D&gt;&lt;D xsi:type="xsd:double"&gt;279.252775&lt;/D&gt;&lt;D xsi:type="xsd:double"&gt;279.321551&lt;/D&gt;&lt;D xsi:type="xsd:double"&gt;278.103514&lt;/D&gt;&lt;D xsi:type="xsd:double"&gt;279.227417&lt;/D&gt;&lt;D xsi:type="xsd:double"&gt;278.270129&lt;/D&gt;&lt;D xsi:type="xsd:double"&gt;275.922737&lt;/D&gt;&lt;D xsi:type="xsd:double"&gt;277.669754&lt;/D&gt;&lt;D xsi:type="xsd:double"&gt;276.795167&lt;/D&gt;&lt;D xsi:type="xsd:double"&gt;276.621853&lt;/D&gt;&lt;D xsi:type="xsd:double"&gt;277.796245&lt;/D&gt;&lt;D xsi:type="xsd:double"&gt;278.092104&lt;/D&gt;&lt;D xsi:type="xsd:double"&gt;281.06337&lt;/D&gt;&lt;D xsi:type="xsd:double"&gt;280.670124&lt;/D&gt;&lt;D xsi:type="xsd:double"&gt;279.795317&lt;/D&gt;&lt;D xsi:type="xsd:double"&gt;277.114638&lt;/D&gt;&lt;D xsi:type="xsd:double"&gt;276.515155&lt;/D&gt;&lt;D xsi:type="xsd:double"&gt;276.456251&lt;/D&gt;&lt;D xsi:type="xsd:double"&gt;274.446462&lt;/D&gt;&lt;D xsi:type="xsd:double"&gt;273.512589&lt;/D&gt;&lt;D xsi:type="xsd:double"&gt;272.026424&lt;/D&gt;&lt;D xsi:type="xsd:double"&gt;269.908946&lt;/D&gt;&lt;D xsi:type="xsd:double"&gt;270.792809&lt;/D&gt;&lt;D xsi:type="xsd:double"&gt;269.315386&lt;/D&gt;&lt;D xsi:type="xsd:double"&gt;269.75486&lt;/D&gt;&lt;D xsi:type="xsd:double"&gt;272.874634&lt;/D&gt;&lt;D xsi:type="xsd:double"&gt;274.61847&lt;/D&gt;&lt;D xsi:type="xsd:double"&gt;274.881478&lt;/D&gt;&lt;D xsi:type="xsd:double"&gt;273.293388&lt;/D&gt;&lt;D xsi:type="xsd:double"&gt;271.803955&lt;/D&gt;&lt;D xsi:type="xsd:double"&gt;272.32368&lt;/D&gt;&lt;D xsi:type="xsd:double"&gt;274.96731&lt;/D&gt;&lt;D xsi:type="xsd:double"&gt;277.149208&lt;/D&gt;&lt;D xsi:type="xsd:double"&gt;278.860671&lt;/D&gt;&lt;D xsi:type="xsd:double"&gt;277.051176&lt;/D&gt;&lt;D xsi:type="xsd:double"&gt;276.64977&lt;/D&gt;&lt;D xsi:type="xsd:double"&gt;277.582769&lt;/D&gt;&lt;D xsi:type="xsd:double"&gt;276.968052&lt;/D&gt;&lt;D xsi:type="xsd:double"&gt;275.939427&lt;/D&gt;&lt;D xsi:type="xsd:double"&gt;277.491472&lt;/D&gt;&lt;D xsi:type="xsd:double"&gt;278.349832&lt;/D&gt;&lt;D xsi:type="xsd:double"&gt;279.655656&lt;/D&gt;&lt;D xsi:type="xsd:double"&gt;276.947763&lt;/D&gt;&lt;D xsi:type="xsd:double"&gt;274.734307&lt;/D&gt;&lt;D xsi:type="xsd:double"&gt;271.927012&lt;/D&gt;&lt;D xsi:type="xsd:double"&gt;273.85075&lt;/D&gt;&lt;D xsi:type="xsd:double"&gt;274.031315&lt;/D&gt;&lt;D xsi:type="xsd:double"&gt;273.009335&lt;/D&gt;&lt;D xsi:type="xsd:double"&gt;274.871641&lt;/D&gt;&lt;D xsi:type="xsd:double"&gt;277.420606&lt;/D&gt;&lt;D xsi:type="xsd:double"&gt;275.964225&lt;/D&gt;&lt;D xsi:type="xsd:double"&gt;277.16195&lt;/D&gt;&lt;D xsi:type="xsd:double"&gt;276.340474&lt;/D&gt;&lt;D xsi:type="xsd:double"&gt;278.880215&lt;/D&gt;&lt;D xsi:type="xsd:double"&gt;281.095006&lt;/D&gt;&lt;D xsi:type="xsd:double"&gt;280.176709&lt;/D&gt;&lt;D xsi:type="xsd:double"&gt;280.153264&lt;/D&gt;&lt;D xsi:type="xsd:double"&gt;279.333123&lt;/D&gt;&lt;D xsi:type="xsd:double"&gt;280.54414&lt;/D&gt;&lt;D xsi:type="xsd:double"&gt;279.700341&lt;/D&gt;&lt;D xsi:type="xsd:double"&gt;281.779979&lt;/D&gt;&lt;D xsi:type="xsd:double"&gt;279.76626&lt;/D&gt;&lt;D xsi:type="xsd:double"&gt;279.263666&lt;/D&gt;&lt;D xsi:type="xsd:double"&gt;277.094675&lt;/D&gt;&lt;D xsi:type="xsd:double"&gt;273.862758&lt;/D&gt;&lt;D xsi:type="xsd:double"&gt;273.606915&lt;/D&gt;&lt;D xsi:type="xsd:double"&gt;272.83421&lt;/D&gt;&lt;D xsi:type="xsd:double"&gt;272.2796&lt;/D&gt;&lt;D xsi:type="xsd:double"&gt;269.933192&lt;/D&gt;&lt;D xsi:type="xsd:double"&gt;266.977877&lt;/D&gt;&lt;D xsi:type="xsd:double"&gt;268.22172&lt;/D&gt;&lt;D xsi:type="xsd:double"&gt;268.750807&lt;/D&gt;&lt;D xsi:type="xsd:double"&gt;270.126722&lt;/D&gt;&lt;D xsi:type="xsd:double"&gt;270.33319&lt;/D&gt;&lt;D xsi:type="xsd:double"&gt;270.10091&lt;/D&gt;&lt;D xsi:type="xsd:double"&gt;270.567407&lt;/D&gt;&lt;D xsi:type="xsd:double"&gt;269.191252&lt;/D&gt;&lt;D xsi:type="xsd:double"&gt;271.82304799999997&lt;/D&gt;&lt;D xsi:type="xsd:double"&gt;271.545&lt;/D&gt;&lt;D xsi:type="xsd:double"&gt;271.836332&lt;/D&gt;&lt;D xsi:type="xsd:double"&gt;271.931926&lt;/D&gt;&lt;D xsi:type="xsd:double"&gt;272.381972&lt;/D&gt;&lt;D xsi:type="xsd:double"&gt;272.628022&lt;/D&gt;&lt;D xsi:type="xsd:double"&gt;274.287604&lt;/D&gt;&lt;D xsi:type="xsd:double"&gt;269.216523&lt;/D&gt;&lt;D xsi:type="xsd:double"&gt;268.06486&lt;/D&gt;&lt;D xsi:type="xsd:double"&gt;268.937499&lt;/D&gt;&lt;D xsi:type="xsd:double"&gt;265.593929&lt;/D&gt;&lt;D xsi:type="xsd:double"&gt;266.215481&lt;/D&gt;&lt;D xsi:type="xsd:double"&gt;266.307461&lt;/D&gt;&lt;D xsi:type="xsd:double"&gt;265.11741&lt;/D&gt;&lt;D xsi:type="xsd:double"&gt;261.970087&lt;/D&gt;&lt;D xsi:type="xsd:double"&gt;259.360158&lt;/D&gt;&lt;D xsi:type="xsd:double"&gt;257.533939&lt;/D&gt;&lt;D xsi:type="xsd:double"&gt;256.904362&lt;/D&gt;&lt;D xsi:type="xsd:double"&gt;255.557503&lt;/D&gt;&lt;D xsi:type="xsd:double"&gt;252.339039&lt;/D&gt;&lt;D xsi:type="xsd:double"&gt;253.521631&lt;/D&gt;&lt;D xsi:type="xsd:double"&gt;253.117588&lt;/D&gt;&lt;D xsi:type="xsd:double"&gt;255.409875&lt;/D&gt;&lt;D xsi:type="xsd:double"&gt;258.483892&lt;/D&gt;&lt;D xsi:type="xsd:double"&gt;258.800943&lt;/D&gt;&lt;D xsi:type="xsd:double"&gt;256.065654&lt;/D&gt;&lt;D xsi:type="xsd:double"&gt;255.84184&lt;/D&gt;&lt;D xsi:type="xsd:double"&gt;258.180593&lt;/D&gt;&lt;D xsi:type="xsd:double"&gt;260.15667&lt;/D&gt;&lt;D xsi:type="xsd:double"&gt;261.694149&lt;/D&gt;&lt;D xsi:type="xsd:double"&gt;260.83995&lt;/D&gt;&lt;D xsi:type="xsd:double"&gt;263.359405&lt;/D&gt;&lt;D xsi:type="xsd:double"&gt;261.990058&lt;/D&gt;&lt;D xsi:type="xsd:double"&gt;261.202153&lt;/D&gt;&lt;D xsi:type="xsd:double"&gt;261.385544&lt;/D&gt;&lt;D xsi:type="xsd:double"&gt;260.555782&lt;/D&gt;&lt;D xsi:type="xsd:double"&gt;258.500313&lt;/D&gt;&lt;D xsi:type="xsd:double"&gt;260.652447&lt;/D&gt;&lt;D xsi:type="xsd:double"&gt;260.482186&lt;/D&gt;&lt;D xsi:type="xsd:double"&gt;261.093055&lt;/D&gt;&lt;D xsi:type="xsd:double"&gt;258.782744&lt;/D&gt;&lt;D xsi:type="xsd:double"&gt;256.495649&lt;/D&gt;&lt;D xsi:type="xsd:double"&gt;257.532868&lt;/D&gt;&lt;D xsi:type="xsd:double"&gt;257.313891&lt;/D&gt;&lt;D xsi:type="xsd:double"&gt;259.057242&lt;/D&gt;&lt;D xsi:type="xsd:double"&gt;259.732585&lt;/D&gt;&lt;D xsi:type="xsd:double"&gt;261.005653&lt;/D&gt;&lt;D xsi:type="xsd:double"&gt;260.639222&lt;/D&gt;&lt;D xsi:type="xsd:double"&gt;259.588013&lt;/D&gt;&lt;D xsi:type="xsd:double"&gt;257.784271&lt;/D&gt;&lt;D xsi:type="xsd:double"&gt;257.846886&lt;/D&gt;&lt;D xsi:type="xsd:double"&gt;256.88551&lt;/D&gt;&lt;D xsi:type="xsd:double"&gt;256.364857&lt;/D&gt;&lt;D xsi:type="xsd:double"&gt;255.511684&lt;/D&gt;&lt;D xsi:type="xsd:double"&gt;254.710592&lt;/D&gt;&lt;D xsi:type="xsd:double"&gt;254.835297&lt;/D&gt;&lt;D xsi:type="xsd:double"&gt;249.602571&lt;/D&gt;&lt;D xsi:type="xsd:double"&gt;248.080553&lt;/D&gt;&lt;D xsi:type="xsd:double"&gt;246.189123&lt;/D&gt;&lt;D xsi:type="xsd:double"&gt;245.565258&lt;/D&gt;&lt;D xsi:type="xsd:double"&gt;245.075954&lt;/D&gt;&lt;D xsi:type="xsd:double"&gt;247.708891&lt;/D&gt;&lt;D xsi:type="xsd:double"&gt;247.962293&lt;/D&gt;&lt;D xsi:type="xsd:double"&gt;245.979946&lt;/D&gt;&lt;D xsi:type="xsd:double"&gt;244.557028&lt;/D&gt;&lt;D xsi:type="xsd:double"&gt;241.95985&lt;/D&gt;&lt;D xsi:type="xsd:double"&gt;239.423596&lt;/D&gt;&lt;D xsi:type="xsd:double"&gt;238.045224&lt;/D&gt;&lt;D xsi:type="xsd:double"&gt;242.237612&lt;/D&gt;&lt;D xsi:type="xsd:double"&gt;244.01555&lt;/D&gt;&lt;D xsi:type="xsd:double"&gt;255.368783&lt;/D&gt;&lt;D xsi:type="xsd:double"&gt;254.876889&lt;/D&gt;&lt;D xsi:type="xsd:double"&gt;255.12565&lt;/D&gt;&lt;D xsi:type="xsd:double"&gt;252.807872&lt;/D&gt;&lt;D xsi:type="xsd:double"&gt;251.027027&lt;/D&gt;&lt;D xsi:type="xsd:double"&gt;253.133604&lt;/D&gt;&lt;D xsi:type="xsd:double"&gt;252.865091&lt;/D&gt;&lt;D xsi:type="xsd:double"&gt;254.34013&lt;/D&gt;&lt;D xsi:type="xsd:double"&gt;253.851473&lt;/D&gt;&lt;D xsi:type="xsd:double"&gt;252.558015&lt;/D&gt;&lt;D xsi:type="xsd:double"&gt;253.78815&lt;/D&gt;&lt;D xsi:type="xsd:double"&gt;257.94975&lt;/D&gt;&lt;D xsi:type="xsd:double"&gt;256.096502&lt;/D&gt;&lt;D xsi:type="xsd:double"&gt;257.753448&lt;/D&gt;&lt;D xsi:type="xsd:double"&gt;260.619615&lt;/D&gt;&lt;D xsi:type="xsd:double"&gt;261.071071&lt;/D&gt;&lt;D xsi:type="xsd:double"&gt;262.201493&lt;/D&gt;&lt;D xsi:type="xsd:double"&gt;262.119527&lt;/D&gt;&lt;D xsi:type="xsd:double"&gt;262.116447&lt;/D&gt;&lt;D xsi:type="xsd:double"&gt;268.466543&lt;/D&gt;&lt;D xsi:type="xsd:double"&gt;268.659837&lt;/D&gt;&lt;D xsi:type="xsd:double"&gt;268.423797&lt;/D&gt;&lt;D xsi:type="xsd:double"&gt;266.470759&lt;/D&gt;&lt;D xsi:type="xsd:double"&gt;267.468096&lt;/D&gt;&lt;D xsi:type="xsd:double"&gt;267.079135&lt;/D&gt;&lt;D xsi:type="xsd:double"&gt;266.82706&lt;/D&gt;&lt;D xsi:type="xsd:double"&gt;266.428677&lt;/D&gt;&lt;D xsi:type="xsd:double"&gt;266.447101&lt;/D&gt;&lt;D xsi:type="xsd:double"&gt;268.014386&lt;/D&gt;&lt;D xsi:type="xsd:double"&gt;269.516393&lt;/D&gt;&lt;D xsi:type="xsd:double"&gt;266.573345&lt;/D&gt;&lt;D xsi:type="xsd:double"&gt;264.388156&lt;/D&gt;&lt;D xsi:type="xsd:double"&gt;264.797544&lt;/D&gt;&lt;D xsi:type="xsd:double"&gt;263.095644&lt;/D&gt;&lt;D xsi:type="xsd:double"&gt;264.374855&lt;/D&gt;&lt;D xsi:type="xsd:double"&gt;265.101374&lt;/D&gt;&lt;D xsi:type="xsd:double"&gt;262.783265&lt;/D&gt;&lt;D xsi:type="xsd:double"&gt;260.991118&lt;/D&gt;&lt;D xsi:type="xsd:double"&gt;261.274778&lt;/D&gt;&lt;D xsi:type="xsd:double"&gt;259.144023&lt;/D&gt;&lt;D xsi:type="xsd:double"&gt;256.666443&lt;/D&gt;&lt;D xsi:type="xsd:double"&gt;254.186716&lt;/D&gt;&lt;D xsi:type="xsd:double"&gt;253.771324&lt;/D&gt;&lt;D xsi:type="xsd:double"&gt;252.513647&lt;/D&gt;&lt;D xsi:type="xsd:double"&gt;253.294601&lt;/D&gt;&lt;D xsi:type="xsd:double"&gt;255.847901&lt;/D&gt;&lt;D xsi:type="xsd:double"&gt;256.492725&lt;/D&gt;&lt;D xsi:type="xsd:double"&gt;259.562995&lt;/D&gt;&lt;D xsi:type="xsd:double"&gt;261.333375&lt;/D&gt;&lt;D xsi:type="xsd:double"&gt;258.83613&lt;/D&gt;&lt;D xsi:type="xsd:double"&gt;255.381421&lt;/D&gt;&lt;D xsi:type="xsd:double"&gt;253.698736&lt;/D&gt;&lt;D xsi:type="xsd:double"&gt;252.995549&lt;/D&gt;&lt;D xsi:type="xsd:double"&gt;253.501274&lt;/D&gt;&lt;D xsi:type="xsd:double"&gt;255.889009&lt;/D&gt;&lt;D xsi:type="xsd:double"&gt;256.613234&lt;/D&gt;&lt;D xsi:type="xsd:double"&gt;255.625017&lt;/D&gt;&lt;D xsi:type="xsd:double"&gt;256.625726&lt;/D&gt;&lt;D xsi:type="xsd:double"&gt;255.847007&lt;/D&gt;&lt;D xsi:type="xsd:double"&gt;256.686449&lt;/D&gt;&lt;D xsi:type="xsd:double"&gt;256.328599&lt;/D&gt;&lt;D xsi:type="xsd:double"&gt;256.833246&lt;/D&gt;&lt;D xsi:type="xsd:double"&gt;257.144801&lt;/D&gt;&lt;D xsi:type="xsd:double"&gt;257.781389&lt;/D&gt;&lt;D xsi:type="xsd:double"&gt;256.989831&lt;/D&gt;&lt;D xsi:type="xsd:double"&gt;257.966939&lt;/D&gt;&lt;D xsi:type="xsd:double"&gt;261.426473&lt;/D&gt;&lt;D xsi:type="xsd:double"&gt;260.077079&lt;/D&gt;&lt;D xsi:type="xsd:double"&gt;258.356774&lt;/D&gt;&lt;D xsi:type="xsd:double"&gt;260.160139&lt;/D&gt;&lt;D xsi:type="xsd:double"&gt;260.419579&lt;/D&gt;&lt;D xsi:type="xsd:double"&gt;259.436499&lt;/D&gt;&lt;D xsi:type="xsd:double"&gt;258.840562&lt;/D&gt;&lt;D xsi:type="xsd:double"&gt;258.608628&lt;/D&gt;&lt;D xsi:type="xsd:double"&gt;257.690689&lt;/D&gt;&lt;D xsi:type="xsd:double"&gt;254.775988&lt;/D&gt;&lt;D xsi:type="xsd:double"&gt;255.524195&lt;/D&gt;&lt;D xsi:type="xsd:double"&gt;257.114964&lt;/D&gt;&lt;D xsi:type="xsd:double"&gt;254.764576&lt;/D&gt;&lt;D xsi:type="xsd:double"&gt;253.350906&lt;/D&gt;&lt;D xsi:type="xsd:double"&gt;256.903055&lt;/D&gt;&lt;D xsi:type="xsd:double"&gt;256.069039&lt;/D&gt;&lt;D xsi:type="xsd:double"&gt;255.048944&lt;/D&gt;&lt;D xsi:type="xsd:double"&gt;259.813543&lt;/D&gt;&lt;D xsi:type="xsd:double"&gt;259.650514&lt;/D&gt;&lt;D xsi:type="xsd:double"&gt;257.521504&lt;/D&gt;&lt;D xsi:type="xsd:double"&gt;258.617611&lt;/D&gt;&lt;D xsi:type="xsd:double"&gt;259.375353&lt;/D&gt;&lt;D xsi:type="xsd:double"&gt;259.186133&lt;/D&gt;&lt;D xsi:type="xsd:double"&gt;257.059088&lt;/D&gt;&lt;D xsi:type="xsd:double"&gt;258.4358&lt;/D&gt;&lt;D xsi:type="xsd:double"&gt;257.124138&lt;/D&gt;&lt;D xsi:type="xsd:double"&gt;258.850038&lt;/D&gt;&lt;D xsi:type="xsd:double"&gt;258.251459&lt;/D&gt;&lt;D xsi:type="xsd:double"&gt;259.196724&lt;/D&gt;&lt;D xsi:type="xsd:double"&gt;261.749695&lt;/D&gt;&lt;D xsi:type="xsd:double"&gt;260.324612&lt;/D&gt;&lt;D xsi:type="xsd:double"&gt;260.951693&lt;/D&gt;&lt;D xsi:type="xsd:double"&gt;260.561763&lt;/D&gt;&lt;D xsi:type="xsd:double"&gt;258.85129&lt;/D&gt;&lt;D xsi:type="xsd:double"&gt;259.600136&lt;/D&gt;&lt;D xsi:type="xsd:double"&gt;258.239963&lt;/D&gt;&lt;D xsi:type="xsd:double"&gt;257.619843&lt;/D&gt;&lt;D xsi:type="xsd:double"&gt;258.244061&lt;/D&gt;&lt;D xsi:type="xsd:double"&gt;257.696949&lt;/D&gt;&lt;D xsi:type="xsd:double"&gt;257.407805&lt;/D&gt;&lt;D xsi:type="xsd:double"&gt;256.365656&lt;/D&gt;&lt;D xsi:type="xsd:double"&gt;257.621213&lt;/D&gt;&lt;D xsi:type="xsd:double"&gt;257.543699&lt;/D&gt;&lt;D xsi:type="xsd:double"&gt;257.426186&lt;/D&gt;&lt;D xsi:type="xsd:double"&gt;256.643425&lt;/D&gt;&lt;D xsi:type="xsd:double"&gt;254.615355&lt;/D&gt;&lt;D xsi:type="xsd:double"&gt;253.635536&lt;/D&gt;&lt;D xsi:type="xsd:double"&gt;254.704357&lt;/D&gt;&lt;D xsi:type="xsd:double"&gt;255.110802&lt;/D&gt;&lt;D xsi:type="xsd:double"&gt;254.756981&lt;/D&gt;&lt;D xsi:type="xsd:double"&gt;254.994121&lt;/D&gt;&lt;D xsi:type="xsd:double"&gt;250.356225&lt;/D&gt;&lt;D xsi:type="xsd:double"&gt;250.363303&lt;/D&gt;&lt;D xsi:type="xsd:double"&gt;250.601467&lt;/D&gt;&lt;D xsi:type="xsd:double"&gt;250.110255&lt;/D&gt;&lt;D xsi:type="xsd:double"&gt;249.602645&lt;/D&gt;&lt;D xsi:type="xsd:double"&gt;249.880202&lt;/D&gt;&lt;D xsi:type="xsd:double"&gt;251.667498&lt;/D&gt;&lt;D xsi:type="xsd:double"&gt;251.958887&lt;/D&gt;&lt;D xsi:type="xsd:double"&gt;249.743333&lt;/D&gt;&lt;D xsi:type="xsd:double"&gt;248.021276&lt;/D&gt;&lt;D xsi:type="xsd:double"&gt;247.692547&lt;/D&gt;&lt;D xsi:type="xsd:double"&gt;247.456466&lt;/D&gt;&lt;D xsi:type="xsd:double"&gt;247.435552&lt;/D&gt;&lt;D xsi:type="xsd:double"&gt;246.379724&lt;/D&gt;&lt;D xsi:type="xsd:double"&gt;245.012331&lt;/D&gt;&lt;D xsi:type="xsd:double"&gt;244.451708&lt;/D&gt;&lt;D xsi:type="xsd:double"&gt;244.422503&lt;/D&gt;&lt;D xsi:type="xsd:double"&gt;243.783756&lt;/D&gt;&lt;D xsi:type="xsd:double"&gt;243.150842&lt;/D&gt;&lt;D xsi:type="xsd:double"&gt;242.904164&lt;/D&gt;&lt;D xsi:type="xsd:double"&gt;242.225985&lt;/D&gt;&lt;D xsi:type="xsd:double"&gt;241.880744&lt;/D&gt;&lt;D xsi:type="xsd:double"&gt;238.848611&lt;/D&gt;&lt;D xsi:type="xsd:double"&gt;239.421626&lt;/D&gt;&lt;D xsi:type="xsd:double"&gt;239.281396&lt;/D&gt;&lt;D xsi:type="xsd:double"&gt;239.576209&lt;/D&gt;&lt;D xsi:type="xsd:double"&gt;235.221109&lt;/D&gt;&lt;D xsi:type="xsd:double"&gt;234.717655&lt;/D&gt;&lt;D xsi:type="xsd:double"&gt;234.655024&lt;/D&gt;&lt;D xsi:type="xsd:double"&gt;229.89695&lt;/D&gt;&lt;D xsi:type="xsd:double"&gt;231.348987&lt;/D&gt;&lt;D xsi:type="xsd:double"&gt;232.319116&lt;/D&gt;&lt;D xsi:type="xsd:double"&gt;233.994774&lt;/D&gt;&lt;D xsi:type="xsd:double"&gt;234.299918&lt;/D&gt;&lt;D xsi:type="xsd:double"&gt;234.93116&lt;/D&gt;&lt;D xsi:type="xsd:double"&gt;235.735869&lt;/D&gt;&lt;D xsi:type="xsd:double"&gt;237.618724&lt;/D&gt;&lt;D xsi:type="xsd:double"&gt;239.286799&lt;/D&gt;&lt;D xsi:type="xsd:double"&gt;238.20717&lt;/D&gt;&lt;D xsi:type="xsd:double"&gt;239.56815&lt;/D&gt;&lt;D xsi:type="xsd:double"&gt;239.521094&lt;/D&gt;&lt;D xsi:type="xsd:double"&gt;238.118992&lt;/D&gt;&lt;D xsi:type="xsd:double"&gt;237.574776&lt;/D&gt;&lt;D xsi:type="xsd:double"&gt;238.619549&lt;/D&gt;&lt;D xsi:type="xsd:double"&gt;237.759889&lt;/D&gt;&lt;D xsi:type="xsd:double"&gt;237.641275&lt;/D&gt;&lt;D xsi:type="xsd:double"&gt;241.482979&lt;/D&gt;&lt;D xsi:type="xsd:double"&gt;241.913565&lt;/D&gt;&lt;D xsi:type="xsd:double"&gt;243.963344&lt;/D&gt;&lt;D xsi:type="xsd:double"&gt;243.371546&lt;/D&gt;&lt;D xsi:type="xsd:double"&gt;240.753306&lt;/D&gt;&lt;D xsi:type="xsd:double"&gt;237.486975&lt;/D&gt;&lt;D xsi:type="xsd:double"&gt;237.213191&lt;/D&gt;&lt;D xsi:type="xsd:double"&gt;237.382193&lt;/D&gt;&lt;D xsi:type="xsd:double"&gt;236.148333&lt;/D&gt;&lt;D xsi:type="xsd:double"&gt;237.579725&lt;/D&gt;&lt;D xsi:type="xsd:double"&gt;239.403692&lt;/D&gt;&lt;D xsi:type="xsd:double"&gt;241.776444&lt;/D&gt;&lt;D xsi:type="xsd:double"&gt;239.805042&lt;/D&gt;&lt;D xsi:type="xsd:double"&gt;238.127752&lt;/D&gt;&lt;D xsi:type="xsd:double"&gt;239.269801&lt;/D&gt;&lt;D xsi:type="xsd:double"&gt;239.22045&lt;/D&gt;&lt;D xsi:type="xsd:double"&gt;237.415695&lt;/D&gt;&lt;D xsi:type="xsd:double"&gt;238.870157&lt;/D&gt;&lt;D xsi:type="xsd:double"&gt;237.243659&lt;/D&gt;&lt;D xsi:type="xsd:double"&gt;242.031178&lt;/D&gt;&lt;D xsi:type="xsd:double"&gt;241.241023&lt;/D&gt;&lt;D xsi:type="xsd:double"&gt;242.734091&lt;/D&gt;&lt;D xsi:type="xsd:double"&gt;241.199675&lt;/D&gt;&lt;D xsi:type="xsd:double"&gt;243.742237&lt;/D&gt;&lt;D xsi:type="xsd:double"&gt;242.559986&lt;/D&gt;&lt;D xsi:type="xsd:double"&gt;244.128592&lt;/D&gt;&lt;D xsi:type="xsd:double"&gt;245.04475299999999&lt;/D&gt;&lt;D xsi:type="xsd:double"&gt;238.728858&lt;/D&gt;&lt;D xsi:type="xsd:double"&gt;238.083218&lt;/D&gt;&lt;D xsi:type="xsd:double"&gt;236.737885&lt;/D&gt;&lt;D xsi:type="xsd:double"&gt;235.576166&lt;/D&gt;&lt;D xsi:type="xsd:double"&gt;235.919778&lt;/D&gt;&lt;D xsi:type="xsd:double"&gt;231.440519&lt;/D&gt;&lt;D xsi:type="xsd:double"&gt;227.725585&lt;/D&gt;&lt;D xsi:type="xsd:double"&gt;228.39128&lt;/D&gt;&lt;D xsi:type="xsd:double"&gt;229.555343&lt;/D&gt;&lt;D xsi:type="xsd:double"&gt;228.286998&lt;/D&gt;&lt;D xsi:type="xsd:double"&gt;230.528958&lt;/D&gt;&lt;D xsi:type="xsd:double"&gt;231.234697&lt;/D&gt;&lt;D xsi:type="xsd:double"&gt;232.028117&lt;/D&gt;&lt;D xsi:type="xsd:double"&gt;231.965337&lt;/D&gt;&lt;D xsi:type="xsd:double"&gt;233.588046&lt;/D&gt;&lt;D xsi:type="xsd:double"&gt;232.44572&lt;/D&gt;&lt;D xsi:type="xsd:double"&gt;234.510978&lt;/D&gt;&lt;D xsi:type="xsd:double"&gt;232.337816&lt;/D&gt;&lt;D xsi:type="xsd:double"&gt;232.568509&lt;/D&gt;&lt;D xsi:type="xsd:double"&gt;232.449219&lt;/D&gt;&lt;D xsi:type="xsd:double"&gt;230.614553&lt;/D&gt;&lt;D xsi:type="xsd:double"&gt;231.28952&lt;/D&gt;&lt;D xsi:type="xsd:double"&gt;230.633829&lt;/D&gt;&lt;D xsi:type="xsd:double"&gt;231.35031&lt;/D&gt;&lt;D xsi:type="xsd:double"&gt;231.655363&lt;/D&gt;&lt;D xsi:type="xsd:double"&gt;230.750917&lt;/D&gt;&lt;D xsi:type="xsd:double"&gt;230.811823&lt;/D&gt;&lt;D xsi:type="xsd:double"&gt;229.320027&lt;/D&gt;&lt;D xsi:type="xsd:double"&gt;226.530314&lt;/D&gt;&lt;D xsi:type="xsd:double"&gt;222.504688&lt;/D&gt;&lt;D xsi:type="xsd:double"&gt;225.481014&lt;/D&gt;&lt;D xsi:type="xsd:double"&gt;225.48</t>
        </r>
      </text>
    </comment>
    <comment ref="A85" authorId="0" shapeId="0">
      <text>
        <r>
          <rPr>
            <b/>
            <sz val="9"/>
            <color indexed="81"/>
            <rFont val="Tahoma"/>
            <family val="2"/>
          </rPr>
          <t>3637&lt;/D&gt;&lt;D xsi:type="xsd:double"&gt;225.359334&lt;/D&gt;&lt;D xsi:type="xsd:double"&gt;223.671846&lt;/D&gt;&lt;D xsi:type="xsd:double"&gt;219.436501&lt;/D&gt;&lt;D xsi:type="xsd:double"&gt;214.257547&lt;/D&gt;&lt;D xsi:type="xsd:double"&gt;214.776599&lt;/D&gt;&lt;D xsi:type="xsd:double"&gt;215.879159&lt;/D&gt;&lt;D xsi:type="xsd:double"&gt;221.241435&lt;/D&gt;&lt;D xsi:type="xsd:double"&gt;224.371519&lt;/D&gt;&lt;D xsi:type="xsd:double"&gt;221.740362&lt;/D&gt;&lt;D xsi:type="xsd:double"&gt;220.225747&lt;/D&gt;&lt;D xsi:type="xsd:double"&gt;220.218212&lt;/D&gt;&lt;D xsi:type="xsd:double"&gt;219.766223&lt;/D&gt;&lt;D xsi:type="xsd:double"&gt;216.877226&lt;/D&gt;&lt;D xsi:type="xsd:double"&gt;220.349185&lt;/D&gt;&lt;D xsi:type="xsd:double"&gt;220.38015&lt;/D&gt;&lt;D xsi:type="xsd:double"&gt;220.41145&lt;/D&gt;&lt;D xsi:type="xsd:double"&gt;222.203477&lt;/D&gt;&lt;D xsi:type="xsd:double"&gt;224.699562&lt;/D&gt;&lt;D xsi:type="xsd:double"&gt;226.595923&lt;/D&gt;&lt;D xsi:type="xsd:double"&gt;223.78699&lt;/D&gt;&lt;D xsi:type="xsd:double"&gt;222.646468&lt;/D&gt;&lt;D xsi:type="xsd:double"&gt;215.113851&lt;/D&gt;&lt;D xsi:type="xsd:double"&gt;215.546578&lt;/D&gt;&lt;D xsi:type="xsd:double"&gt;213.495362&lt;/D&gt;&lt;D xsi:type="xsd:double"&gt;213.654773&lt;/D&gt;&lt;D xsi:type="xsd:double"&gt;216.465284&lt;/D&gt;&lt;D xsi:type="xsd:double"&gt;219.079306&lt;/D&gt;&lt;D xsi:type="xsd:double"&gt;222.263131&lt;/D&gt;&lt;D xsi:type="xsd:double"&gt;220.893893&lt;/D&gt;&lt;D xsi:type="xsd:double"&gt;217.749989&lt;/D&gt;&lt;D xsi:type="xsd:double"&gt;216.659303&lt;/D&gt;&lt;D xsi:type="xsd:double"&gt;214.27773&lt;/D&gt;&lt;D xsi:type="xsd:double"&gt;214.909738&lt;/D&gt;&lt;D xsi:type="xsd:double"&gt;213.632426&lt;/D&gt;&lt;D xsi:type="xsd:double"&gt;213.642877&lt;/D&gt;&lt;D xsi:type="xsd:double"&gt;211.983104&lt;/D&gt;&lt;D xsi:type="xsd:double"&gt;214.572317&lt;/D&gt;&lt;D xsi:type="xsd:double"&gt;211.719061&lt;/D&gt;&lt;D xsi:type="xsd:double"&gt;207.591575&lt;/D&gt;&lt;D xsi:type="xsd:double"&gt;206.412286&lt;/D&gt;&lt;D xsi:type="xsd:double"&gt;207.564334&lt;/D&gt;&lt;D xsi:type="xsd:double"&gt;210.798871&lt;/D&gt;&lt;D xsi:type="xsd:double"&gt;211.504712&lt;/D&gt;&lt;D xsi:type="xsd:double"&gt;215.466826&lt;/D&gt;&lt;D xsi:type="xsd:double"&gt;212.626041&lt;/D&gt;&lt;D xsi:type="xsd:double"&gt;213.103245&lt;/D&gt;&lt;D xsi:type="xsd:double"&gt;211.84071&lt;/D&gt;&lt;D xsi:type="xsd:double"&gt;217.210672&lt;/D&gt;&lt;D xsi:type="xsd:double"&gt;214.417994&lt;/D&gt;&lt;D xsi:type="xsd:double"&gt;213.300112&lt;/D&gt;&lt;D xsi:type="xsd:double"&gt;216.55084&lt;/D&gt;&lt;D xsi:type="xsd:double"&gt;217.629471&lt;/D&gt;&lt;D xsi:type="xsd:double"&gt;220.784628&lt;/D&gt;&lt;D xsi:type="xsd:double"&gt;223.068972&lt;/D&gt;&lt;D xsi:type="xsd:double"&gt;227.314993&lt;/D&gt;&lt;D xsi:type="xsd:double"&gt;227.996354&lt;/D&gt;&lt;D xsi:type="xsd:double"&gt;227.095608&lt;/D&gt;&lt;D xsi:type="xsd:double"&gt;229.50026&lt;/D&gt;&lt;D xsi:type="xsd:double"&gt;232.274189&lt;/D&gt;&lt;D xsi:type="xsd:double"&gt;234.21457&lt;/D&gt;&lt;D xsi:type="xsd:double"&gt;237.357115&lt;/D&gt;&lt;D xsi:type="xsd:double"&gt;238.067975&lt;/D&gt;&lt;D xsi:type="xsd:double"&gt;238.980831&lt;/D&gt;&lt;D xsi:type="xsd:double"&gt;239.246635&lt;/D&gt;&lt;D xsi:type="xsd:double"&gt;239.47522&lt;/D&gt;&lt;D xsi:type="xsd:double"&gt;238.168237&lt;/D&gt;&lt;D xsi:type="xsd:double"&gt;236.932367&lt;/D&gt;&lt;D xsi:type="xsd:double"&gt;235.634497&lt;/D&gt;&lt;D xsi:type="xsd:double"&gt;233.871791&lt;/D&gt;&lt;D xsi:type="xsd:double"&gt;238.1602&lt;/D&gt;&lt;D xsi:type="xsd:double"&gt;237.311286&lt;/D&gt;&lt;D xsi:type="xsd:double"&gt;237.991766&lt;/D&gt;&lt;D xsi:type="xsd:double"&gt;237.951368&lt;/D&gt;&lt;D xsi:type="xsd:double"&gt;235.017164&lt;/D&gt;&lt;D xsi:type="xsd:double"&gt;235.685135&lt;/D&gt;&lt;D xsi:type="xsd:double"&gt;237.814854&lt;/D&gt;&lt;D xsi:type="xsd:double"&gt;234.829512&lt;/D&gt;&lt;D xsi:type="xsd:double"&gt;234.167398&lt;/D&gt;&lt;D xsi:type="xsd:double"&gt;237.436228&lt;/D&gt;&lt;D xsi:type="xsd:double"&gt;238.713419&lt;/D&gt;&lt;D xsi:type="xsd:double"&gt;239.115686&lt;/D&gt;&lt;D xsi:type="xsd:double"&gt;245.511582&lt;/D&gt;&lt;D xsi:type="xsd:double"&gt;246.475457&lt;/D&gt;&lt;D xsi:type="xsd:double"&gt;244.024771&lt;/D&gt;&lt;D xsi:type="xsd:double"&gt;242.334081&lt;/D&gt;&lt;D xsi:type="xsd:double"&gt;244.786217&lt;/D&gt;&lt;D xsi:type="xsd:double"&gt;247.31437&lt;/D&gt;&lt;D xsi:type="xsd:double"&gt;246.375583&lt;/D&gt;&lt;D xsi:type="xsd:double"&gt;244.545598&lt;/D&gt;&lt;D xsi:type="xsd:double"&gt;243.95321&lt;/D&gt;&lt;D xsi:type="xsd:double"&gt;245.259845&lt;/D&gt;&lt;D xsi:type="xsd:double"&gt;246.338079&lt;/D&gt;&lt;D xsi:type="xsd:double"&gt;248.993431&lt;/D&gt;&lt;D xsi:type="xsd:double"&gt;248.505477&lt;/D&gt;&lt;D xsi:type="xsd:double"&gt;246.90639&lt;/D&gt;&lt;D xsi:type="xsd:double"&gt;245.594272&lt;/D&gt;&lt;D xsi:type="xsd:double"&gt;246.142719&lt;/D&gt;&lt;D xsi:type="xsd:double"&gt;243.210031&lt;/D&gt;&lt;D xsi:type="xsd:double"&gt;244.394768&lt;/D&gt;&lt;D xsi:type="xsd:double"&gt;244.256134&lt;/D&gt;&lt;D xsi:type="xsd:double"&gt;239.523963&lt;/D&gt;&lt;D xsi:type="xsd:double"&gt;239.552559&lt;/D&gt;&lt;D xsi:type="xsd:double"&gt;245.727931&lt;/D&gt;&lt;D xsi:type="xsd:double"&gt;247.655306&lt;/D&gt;&lt;D xsi:type="xsd:double"&gt;248.602896&lt;/D&gt;&lt;D xsi:type="xsd:double"&gt;248.341502&lt;/D&gt;&lt;D xsi:type="xsd:double"&gt;248.071607&lt;/D&gt;&lt;D xsi:type="xsd:double"&gt;246.571516&lt;/D&gt;&lt;D xsi:type="xsd:double"&gt;248.178227&lt;/D&gt;&lt;D xsi:type="xsd:double"&gt;246.172986&lt;/D&gt;&lt;D xsi:type="xsd:double"&gt;245.760022&lt;/D&gt;&lt;D xsi:type="xsd:double"&gt;246.811272&lt;/D&gt;&lt;D xsi:type="xsd:double"&gt;244.801041&lt;/D&gt;&lt;D xsi:type="xsd:double"&gt;242.078989&lt;/D&gt;&lt;D xsi:type="xsd:double"&gt;243.189719&lt;/D&gt;&lt;D xsi:type="xsd:double"&gt;241.302335&lt;/D&gt;&lt;D xsi:type="xsd:double"&gt;243.079706&lt;/D&gt;&lt;D xsi:type="xsd:double"&gt;240.94536&lt;/D&gt;&lt;D xsi:type="xsd:double"&gt;245.011473&lt;/D&gt;&lt;D xsi:type="xsd:double"&gt;244.401757&lt;/D&gt;&lt;D xsi:type="xsd:double"&gt;243.24771&lt;/D&gt;&lt;D xsi:type="xsd:double"&gt;242.099061&lt;/D&gt;&lt;D xsi:type="xsd:double"&gt;242.199551&lt;/D&gt;&lt;D xsi:type="xsd:double"&gt;240.681095&lt;/D&gt;&lt;D xsi:type="xsd:double"&gt;239.444972&lt;/D&gt;&lt;D xsi:type="xsd:double"&gt;235.647618&lt;/D&gt;&lt;D xsi:type="xsd:double"&gt;234.231623&lt;/D&gt;&lt;D xsi:type="xsd:double"&gt;236.498364&lt;/D&gt;&lt;D xsi:type="xsd:double"&gt;237.52574&lt;/D&gt;&lt;D xsi:type="xsd:double"&gt;233.335339&lt;/D&gt;&lt;D xsi:type="xsd:double"&gt;233.094987&lt;/D&gt;&lt;D xsi:type="xsd:double"&gt;234.718069&lt;/D&gt;&lt;D xsi:type="xsd:double"&gt;232.433397&lt;/D&gt;&lt;D xsi:type="xsd:double"&gt;231.525576&lt;/D&gt;&lt;D xsi:type="xsd:double"&gt;228.637&lt;/D&gt;&lt;D xsi:type="xsd:double"&gt;227.148141&lt;/D&gt;&lt;D xsi:type="xsd:double"&gt;223.543657&lt;/D&gt;&lt;D xsi:type="xsd:double"&gt;224.534422&lt;/D&gt;&lt;D xsi:type="xsd:double"&gt;223.831291&lt;/D&gt;&lt;D xsi:type="xsd:double"&gt;224.922661&lt;/D&gt;&lt;D xsi:type="xsd:double"&gt;221.098085&lt;/D&gt;&lt;D xsi:type="xsd:double"&gt;221.083572&lt;/D&gt;&lt;D xsi:type="xsd:double"&gt;222.562298&lt;/D&gt;&lt;D xsi:type="xsd:double"&gt;225.469607&lt;/D&gt;&lt;D xsi:type="xsd:double"&gt;226.401485&lt;/D&gt;&lt;D xsi:type="xsd:double"&gt;220.871363&lt;/D&gt;&lt;D xsi:type="xsd:double"&gt;218.454613&lt;/D&gt;&lt;D xsi:type="xsd:double"&gt;217.492745&lt;/D&gt;&lt;D xsi:type="xsd:double"&gt;220.434508&lt;/D&gt;&lt;D xsi:type="xsd:double"&gt;220.248856&lt;/D&gt;&lt;D xsi:type="xsd:double"&gt;218.814418&lt;/D&gt;&lt;D xsi:type="xsd:double"&gt;217.364&lt;/D&gt;&lt;D xsi:type="xsd:double"&gt;216.766164&lt;/D&gt;&lt;D xsi:type="xsd:double"&gt;212.830294&lt;/D&gt;&lt;D xsi:type="xsd:double"&gt;214.899597&lt;/D&gt;&lt;D xsi:type="xsd:double"&gt;214.045129&lt;/D&gt;&lt;D xsi:type="xsd:double"&gt;213.903965&lt;/D&gt;&lt;D xsi:type="xsd:double"&gt;218.645989&lt;/D&gt;&lt;D xsi:type="xsd:double"&gt;220.318811&lt;/D&gt;&lt;D xsi:type="xsd:double"&gt;223.599268&lt;/D&gt;&lt;D xsi:type="xsd:double"&gt;223.630511&lt;/D&gt;&lt;D xsi:type="xsd:double"&gt;227.12824&lt;/D&gt;&lt;D xsi:type="xsd:double"&gt;226.031206&lt;/D&gt;&lt;D xsi:type="xsd:double"&gt;228.621917&lt;/D&gt;&lt;D xsi:type="xsd:double"&gt;226.682373&lt;/D&gt;&lt;D xsi:type="xsd:double"&gt;225.61394&lt;/D&gt;&lt;D xsi:type="xsd:double"&gt;223.585999&lt;/D&gt;&lt;D xsi:type="xsd:double"&gt;216.675248&lt;/D&gt;&lt;D xsi:type="xsd:double"&gt;214.441351&lt;/D&gt;&lt;D xsi:type="xsd:double"&gt;207.667883&lt;/D&gt;&lt;D xsi:type="xsd:double"&gt;209.185413&lt;/D&gt;&lt;D xsi:type="xsd:double"&gt;213.958971&lt;/D&gt;&lt;D xsi:type="xsd:double"&gt;214.383911&lt;/D&gt;&lt;D xsi:type="xsd:double"&gt;220.396546&lt;/D&gt;&lt;D xsi:type="xsd:double"&gt;222.851412&lt;/D&gt;&lt;D xsi:type="xsd:double"&gt;225.072396&lt;/D&gt;&lt;D xsi:type="xsd:double"&gt;226.179016&lt;/D&gt;&lt;D xsi:type="xsd:double"&gt;228.546763&lt;/D&gt;&lt;D xsi:type="xsd:double"&gt;229.759495&lt;/D&gt;&lt;D xsi:type="xsd:double"&gt;224.38781&lt;/D&gt;&lt;D xsi:type="xsd:double"&gt;227.867965&lt;/D&gt;&lt;D xsi:type="xsd:double"&gt;232.030132&lt;/D&gt;&lt;D xsi:type="xsd:double"&gt;230.956768&lt;/D&gt;&lt;D xsi:type="xsd:double"&gt;231.489827&lt;/D&gt;&lt;D xsi:type="xsd:double"&gt;230.664861&lt;/D&gt;&lt;D xsi:type="xsd:double"&gt;229.027969&lt;/D&gt;&lt;D xsi:type="xsd:double"&gt;227.06755&lt;/D&gt;&lt;D xsi:type="xsd:double"&gt;236.218593&lt;/D&gt;&lt;D xsi:type="xsd:double"&gt;243.489254&lt;/D&gt;&lt;D xsi:type="xsd:double"&gt;241.645436&lt;/D&gt;&lt;D xsi:type="xsd:double"&gt;230.847459&lt;/D&gt;&lt;D xsi:type="xsd:double"&gt;231.074635&lt;/D&gt;&lt;D xsi:type="xsd:double"&gt;231.817928&lt;/D&gt;&lt;D xsi:type="xsd:double"&gt;227.393461&lt;/D&gt;&lt;D xsi:type="xsd:double"&gt;221.865776&lt;/D&gt;&lt;D xsi:type="xsd:double"&gt;226.504594&lt;/D&gt;&lt;D xsi:type="xsd:double"&gt;224.480369&lt;/D&gt;&lt;D xsi:type="xsd:double"&gt;227.315843&lt;/D&gt;&lt;D xsi:type="xsd:double"&gt;227.823477&lt;/D&gt;&lt;D xsi:type="xsd:double"&gt;225.511045&lt;/D&gt;&lt;D xsi:type="xsd:double"&gt;226.619161&lt;/D&gt;&lt;D xsi:type="xsd:double"&gt;222.607537&lt;/D&gt;&lt;D xsi:type="xsd:double"&gt;221.251677&lt;/D&gt;&lt;D xsi:type="xsd:double"&gt;217.15661&lt;/D&gt;&lt;D xsi:type="xsd:double"&gt;213.892587&lt;/D&gt;&lt;D xsi:type="xsd:double"&gt;207.17372&lt;/D&gt;&lt;D xsi:type="xsd:double"&gt;203.367996&lt;/D&gt;&lt;D xsi:type="xsd:double"&gt;208.387253&lt;/D&gt;&lt;D xsi:type="xsd:double"&gt;213.877657&lt;/D&gt;&lt;D xsi:type="xsd:double"&gt;218.083806&lt;/D&gt;&lt;D xsi:type="xsd:double"&gt;216.967195&lt;/D&gt;&lt;D xsi:type="xsd:double"&gt;218.755768&lt;/D&gt;&lt;D xsi:type="xsd:double"&gt;209.001585&lt;/D&gt;&lt;D xsi:type="xsd:double"&gt;209.012189&lt;/D&gt;&lt;D xsi:type="xsd:double"&gt;209.416608&lt;/D&gt;&lt;D xsi:type="xsd:double"&gt;221.549659&lt;/D&gt;&lt;D xsi:type="xsd:double"&gt;224.40379&lt;/D&gt;&lt;D xsi:type="xsd:double"&gt;222.28472&lt;/D&gt;&lt;D xsi:type="xsd:double"&gt;227.98278&lt;/D&gt;&lt;D xsi:type="xsd:double"&gt;226.250531&lt;/D&gt;&lt;D xsi:type="xsd:double"&gt;221.25107&lt;/D&gt;&lt;D xsi:type="xsd:double"&gt;221.168839&lt;/D&gt;&lt;D xsi:type="xsd:double"&gt;219.48015&lt;/D&gt;&lt;D xsi:type="xsd:double"&gt;225.561426&lt;/D&gt;&lt;D xsi:type="xsd:double"&gt;232.584416&lt;/D&gt;&lt;D xsi:type="xsd:double"&gt;231.634852&lt;/D&gt;&lt;D xsi:type="xsd:double"&gt;225.930947&lt;/D&gt;&lt;D xsi:type="xsd:double"&gt;236.677933&lt;/D&gt;&lt;D xsi:type="xsd:double"&gt;241.443134&lt;/D&gt;&lt;D xsi:type="xsd:double"&gt;241.440412&lt;/D&gt;&lt;D xsi:type="xsd:double"&gt;236.656611&lt;/D&gt;&lt;D xsi:type="xsd:double"&gt;235.012977&lt;/D&gt;&lt;D xsi:type="xsd:double"&gt;230.01419&lt;/D&gt;&lt;D xsi:type="xsd:double"&gt;230.058537&lt;/D&gt;&lt;D xsi:type="xsd:double"&gt;231.762232&lt;/D&gt;&lt;D xsi:type="xsd:double"&gt;231.18582&lt;/D&gt;&lt;D xsi:type="xsd:double"&gt;227.90248&lt;/D&gt;&lt;D xsi:type="xsd:double"&gt;228.254772&lt;/D&gt;&lt;D xsi:type="xsd:double"&gt;231.948505&lt;/D&gt;&lt;D xsi:type="xsd:double"&gt;241.404607&lt;/D&gt;&lt;D xsi:type="xsd:double"&gt;240.033294&lt;/D&gt;&lt;D xsi:type="xsd:double"&gt;240.440599&lt;/D&gt;&lt;D xsi:type="xsd:double"&gt;235.744855&lt;/D&gt;&lt;D xsi:type="xsd:double"&gt;232.366488&lt;/D&gt;&lt;D xsi:type="xsd:double"&gt;228.716619&lt;/D&gt;&lt;D xsi:type="xsd:double"&gt;230.922061&lt;/D&gt;&lt;D xsi:type="xsd:double"&gt;230.52525&lt;/D&gt;&lt;D xsi:type="xsd:double"&gt;239.745944&lt;/D&gt;&lt;D xsi:type="xsd:double"&gt;245.655498&lt;/D&gt;&lt;D xsi:type="xsd:double"&gt;254.557715&lt;/D&gt;&lt;D xsi:type="xsd:double"&gt;258.9207&lt;/D&gt;&lt;D xsi:type="xsd:double"&gt;263.471728&lt;/D&gt;&lt;D xsi:type="xsd:double"&gt;264.813416&lt;/D&gt;&lt;D xsi:type="xsd:double"&gt;266.027537&lt;/D&gt;&lt;D xsi:type="xsd:double"&gt;267.55471&lt;/D&gt;&lt;D xsi:type="xsd:double"&gt;270.954807&lt;/D&gt;&lt;D xsi:type="xsd:double"&gt;269.25857&lt;/D&gt;&lt;D xsi:type="xsd:double"&gt;270.718836&lt;/D&gt;&lt;D xsi:type="xsd:double"&gt;268.894225&lt;/D&gt;&lt;D xsi:type="xsd:double"&gt;265.233368&lt;/D&gt;&lt;D xsi:type="xsd:double"&gt;262.370694&lt;/D&gt;&lt;D xsi:type="xsd:double"&gt;259.318626&lt;/D&gt;&lt;D xsi:type="xsd:double"&gt;263.286492&lt;/D&gt;&lt;D xsi:type="xsd:double"&gt;263.782726&lt;/D&gt;&lt;D xsi:type="xsd:double"&gt;265.422702&lt;/D&gt;&lt;D xsi:type="xsd:double"&gt;261.156898&lt;/D&gt;&lt;D xsi:type="xsd:double"&gt;263.755212&lt;/D&gt;&lt;D xsi:type="xsd:double"&gt;269.808897&lt;/D&gt;&lt;D xsi:type="xsd:double"&gt;271.445945&lt;/D&gt;&lt;D xsi:type="xsd:double"&gt;270.035884&lt;/D&gt;&lt;D xsi:type="xsd:double"&gt;271.729196&lt;/D&gt;&lt;D xsi:type="xsd:double"&gt;270.362015&lt;/D&gt;&lt;D xsi:type="xsd:double"&gt;268.815409&lt;/D&gt;&lt;D xsi:type="xsd:double"&gt;264.817267&lt;/D&gt;&lt;D xsi:type="xsd:double"&gt;260.452312&lt;/D&gt;&lt;D xsi:type="xsd:double"&gt;258.049848&lt;/D&gt;&lt;D xsi:type="xsd:double"&gt;258.039427&lt;/D&gt;&lt;D xsi:type="xsd:double"&gt;257.071884&lt;/D&gt;&lt;D xsi:type="xsd:double"&gt;262.675713&lt;/D&gt;&lt;D xsi:type="xsd:double"&gt;261.963097&lt;/D&gt;&lt;D xsi:type="xsd:double"&gt;257.672951&lt;/D&gt;&lt;D xsi:type="xsd:double"&gt;258.721396&lt;/D&gt;&lt;D xsi:type="xsd:double"&gt;257.306743&lt;/D&gt;&lt;D xsi:type="xsd:double"&gt;261.827444&lt;/D&gt;&lt;D xsi:type="xsd:double"&gt;265.447357&lt;/D&gt;&lt;D xsi:type="xsd:double"&gt;262.060488&lt;/D&gt;&lt;D xsi:type="xsd:double"&gt;262.35279&lt;/D&gt;&lt;D xsi:type="xsd:double"&gt;266.263599&lt;/D&gt;&lt;D xsi:type="xsd:double"&gt;265.992424&lt;/D&gt;&lt;D xsi:type="xsd:double"&gt;268.61111&lt;/D&gt;&lt;D xsi:type="xsd:double"&gt;267.612449&lt;/D&gt;&lt;D xsi:type="xsd:double"&gt;268.962702&lt;/D&gt;&lt;D xsi:type="xsd:double"&gt;268.797289&lt;/D&gt;&lt;D xsi:type="xsd:double"&gt;272.122018&lt;/D&gt;&lt;D xsi:type="xsd:double"&gt;273.370433&lt;/D&gt;&lt;D xsi:type="xsd:double"&gt;269.457469&lt;/D&gt;&lt;D xsi:type="xsd:double"&gt;265.997862&lt;/D&gt;&lt;D xsi:type="xsd:double"&gt;263.942655&lt;/D&gt;&lt;D xsi:type="xsd:double"&gt;263.627483&lt;/D&gt;&lt;D xsi:type="xsd:double"&gt;262.21212&lt;/D&gt;&lt;D xsi:type="xsd:double"&gt;268.246783&lt;/D&gt;&lt;D xsi:type="xsd:double"&gt;269.498172&lt;/D&gt;&lt;D xsi:type="xsd:double"&gt;268.905224&lt;/D&gt;&lt;D xsi:type="xsd:double"&gt;266.357773&lt;/D&gt;&lt;D xsi:type="xsd:double"&gt;268.671071&lt;/D&gt;&lt;D xsi:type="xsd:double"&gt;269.801048&lt;/D&gt;&lt;D xsi:type="xsd:double"&gt;270.731262&lt;/D&gt;&lt;D xsi:type="xsd:double"&gt;274.624138&lt;/D&gt;&lt;D xsi:type="xsd:double"&gt;275.126166&lt;/D&gt;&lt;D xsi:type="xsd:double"&gt;272.682814&lt;/D&gt;&lt;D xsi:type="xsd:double"&gt;275.414432&lt;/D&gt;&lt;D xsi:type="xsd:double"&gt;274.95659&lt;/D&gt;&lt;D xsi:type="xsd:double"&gt;278.502733&lt;/D&gt;&lt;D xsi:type="xsd:double"&gt;281.449388&lt;/D&gt;&lt;D xsi:type="xsd:double"&gt;284.511447&lt;/D&gt;&lt;D xsi:type="xsd:double"&gt;283.054551&lt;/D&gt;&lt;D xsi:type="xsd:double"&gt;282.249087&lt;/D&gt;&lt;D xsi:type="xsd:double"&gt;278.92582&lt;/D&gt;&lt;D xsi:type="xsd:double"&gt;278.839768&lt;/D&gt;&lt;D xsi:type="xsd:double"&gt;277.879556&lt;/D&gt;&lt;D xsi:type="xsd:double"&gt;278.719656&lt;/D&gt;&lt;D xsi:type="xsd:double"&gt;275.904712&lt;/D&gt;&lt;D xsi:type="xsd:double"&gt;269.193401&lt;/D&gt;&lt;D xsi:type="xsd:double"&gt;267.777245&lt;/D&gt;&lt;D xsi:type="xsd:double"&gt;273.091498&lt;/D&gt;&lt;D xsi:type="xsd:double"&gt;273.48342&lt;/D&gt;&lt;D xsi:type="xsd:double"&gt;274.344095&lt;/D&gt;&lt;D xsi:type="xsd:double"&gt;272.525697&lt;/D&gt;&lt;D xsi:type="xsd:double"&gt;276.723153&lt;/D&gt;&lt;D xsi:type="xsd:double"&gt;277.32861&lt;/D&gt;&lt;D xsi:type="xsd:double"&gt;274.413983&lt;/D&gt;&lt;D xsi:type="xsd:double"&gt;275.28919&lt;/D&gt;&lt;D xsi:type="xsd:double"&gt;273.625872&lt;/D&gt;&lt;D xsi:type="xsd:double"&gt;274.118581&lt;/D&gt;&lt;D xsi:type="xsd:double"&gt;272.479893&lt;/D&gt;&lt;D xsi:type="xsd:double"&gt;270.765497&lt;/D&gt;&lt;D xsi:type="xsd:double"&gt;270.156482&lt;/D&gt;&lt;D xsi:type="xsd:double"&gt;266.904154&lt;/D&gt;&lt;D xsi:type="xsd:double"&gt;267.422117&lt;/D&gt;&lt;D xsi:type="xsd:double"&gt;268.464188&lt;/D&gt;&lt;D xsi:type="xsd:double"&gt;268.078295&lt;/D&gt;&lt;D xsi:type="xsd:double"&gt;265.541235&lt;/D&gt;&lt;D xsi:type="xsd:double"&gt;265.730608&lt;/D&gt;&lt;D xsi:type="xsd:double"&gt;263.370444&lt;/D&gt;&lt;D xsi:type="xsd:double"&gt;259.430827&lt;/D&gt;&lt;D xsi:type="xsd:double"&gt;257.589288&lt;/D&gt;&lt;D xsi:type="xsd:double"&gt;254.394796&lt;/D&gt;&lt;D xsi:type="xsd:double"&gt;254.040378&lt;/D&gt;&lt;D xsi:type="xsd:double"&gt;262.208213&lt;/D&gt;&lt;D xsi:type="xsd:double"&gt;264.795925&lt;/D&gt;&lt;D xsi:type="xsd:double"&gt;266.108074&lt;/D&gt;&lt;D xsi:type="xsd:double"&gt;271.35106&lt;/D&gt;&lt;D xsi:type="xsd:double"&gt;271.511377&lt;/D&gt;&lt;D xsi:type="xsd:double"&gt;272.365878&lt;/D&gt;&lt;D xsi:type="xsd:double"&gt;273.94751&lt;/D&gt;&lt;D xsi:type="xsd:double"&gt;272.951667&lt;/D&gt;&lt;D xsi:type="xsd:double"&gt;271.312479&lt;/D&gt;&lt;D xsi:type="xsd:double"&gt;272.475577&lt;/D&gt;&lt;D xsi:type="xsd:double"&gt;272.329584&lt;/D&gt;&lt;D xsi:type="xsd:double"&gt;269.74574&lt;/D&gt;&lt;D xsi:type="xsd:double"&gt;266.87667&lt;/D&gt;&lt;D xsi:type="xsd:double"&gt;268.046688&lt;/D&gt;&lt;D xsi:type="xsd:double"&gt;269.577513&lt;/D&gt;&lt;D xsi:type="xsd:double"&gt;273.948762&lt;/D&gt;&lt;D xsi:type="xsd:double"&gt;272.856972&lt;/D&gt;&lt;D xsi:type="xsd:double"&gt;270.971793&lt;/D&gt;&lt;D xsi:type="xsd:double"&gt;269.639093&lt;/D&gt;&lt;D xsi:type="xsd:double"&gt;269.179053&lt;/D&gt;&lt;D xsi:type="xsd:double"&gt;267.739397&lt;/D&gt;&lt;D xsi:type="xsd:double"&gt;267.810837&lt;/D&gt;&lt;D xsi:type="xsd:double"&gt;270.519522&lt;/D&gt;&lt;D xsi:type="xsd:double"&gt;272.409727&lt;/D&gt;&lt;D xsi:type="xsd:double"&gt;270.902535&lt;/D&gt;&lt;D xsi:type="xsd:double"&gt;269.837303&lt;/D&gt;&lt;D xsi:type="xsd:double"&gt;270.040771&lt;/D&gt;&lt;D xsi:type="xsd:double"&gt;271.477041&lt;/D&gt;&lt;D xsi:type="xsd:double"&gt;269.929828&lt;/D&gt;&lt;D xsi:type="xsd:double"&gt;265.754135&lt;/D&gt;&lt;D xsi:type="xsd:double"&gt;265.817369&lt;/D&gt;&lt;D xsi:type="xsd:double"&gt;268.976291&lt;/D&gt;&lt;D xsi:type="xsd:double"&gt;268.572316&lt;/D&gt;&lt;D xsi:type="xsd:double"&gt;266.85512&lt;/D&gt;&lt;D xsi:type="xsd:double"&gt;267.364882&lt;/D&gt;&lt;D xsi:type="xsd:double"&gt;265.557401&lt;/D&gt;&lt;D xsi:type="xsd:double"&gt;264.05846&lt;/D&gt;&lt;D xsi:type="xsd:double"&gt;268.972369&lt;/D&gt;&lt;D xsi:type="xsd:double"&gt;269.042883&lt;/D&gt;&lt;D xsi:type="xsd:double"&gt;267.222445&lt;/D&gt;&lt;D xsi:type="xsd:double"&gt;267.702207&lt;/D&gt;&lt;D xsi:type="xsd:double"&gt;265.282249&lt;/D&gt;&lt;D xsi:type="xsd:double"&gt;260.931996&lt;/D&gt;&lt;D xsi:type="xsd:double"&gt;259.288264&lt;/D&gt;&lt;D xsi:type="xsd:double"&gt;261.436273&lt;/D&gt;&lt;D xsi:type="xsd:double"&gt;262.246515&lt;/D&gt;&lt;D xsi:type="xsd:double"&gt;262.631751&lt;/D&gt;&lt;D xsi:type="xsd:double"&gt;265.071375&lt;/D&gt;&lt;D xsi:type="xsd:double"&gt;264.289328&lt;/D&gt;&lt;D xsi:type="xsd:double"&gt;263.361466&lt;/D&gt;&lt;D xsi:type="xsd:double"&gt;261.968444&lt;/D&gt;&lt;D xsi:type="xsd:double"&gt;261.946537&lt;/D&gt;&lt;D xsi:type="xsd:double"&gt;260.516537&lt;/D&gt;&lt;D xsi:type="xsd:double"&gt;259.794203&lt;/D&gt;&lt;D xsi:type="xsd:double"&gt;260.205287&lt;/D&gt;&lt;D xsi:type="xsd:double"&gt;259.905953&lt;/D&gt;&lt;D xsi:type="xsd:double"&gt;259.656716&lt;/D&gt;&lt;D xsi:type="xsd:double"&gt;256.538993&lt;/D&gt;&lt;D xsi:type="xsd:double"&gt;256.668046&lt;/D&gt;&lt;D xsi:type="xsd:double"&gt;257.384643&lt;/D&gt;&lt;D xsi:type="xsd:double"&gt;258.92119&lt;/D&gt;&lt;D xsi:type="xsd:double"&gt;260.882858&lt;/D&gt;&lt;D xsi:type="xsd:double"&gt;260.013865&lt;/D&gt;&lt;D xsi:type="xsd:double"&gt;256.868474&lt;/D&gt;&lt;D xsi:type="xsd:double"&gt;256.469952&lt;/D&gt;&lt;D xsi:type="xsd:double"&gt;255.647906&lt;/D&gt;&lt;D xsi:type="xsd:double"&gt;257.952803&lt;/D&gt;&lt;D xsi:type="xsd:double"&gt;256.397644&lt;/D&gt;&lt;D xsi:type="xsd:double"&gt;256.671788&lt;/D&gt;&lt;D xsi:type="xsd:double"&gt;253.786396&lt;/D&gt;&lt;D xsi:type="xsd:double"&gt;248.837731&lt;/D&gt;&lt;D xsi:type="xsd:double"&gt;244.454107&lt;/D&gt;&lt;D xsi:type="xsd:double"&gt;245.820159&lt;/D&gt;&lt;D xsi:type="xsd:double"&gt;248.518683&lt;/D&gt;&lt;D xsi:type="xsd:double"&gt;251.557233&lt;/D&gt;&lt;D xsi:type="xsd:double"&gt;250.464065&lt;/D&gt;&lt;D xsi:type="xsd:double"&gt;255.509349&lt;/D&gt;&lt;D xsi:type="xsd:double"&gt;256.403996&lt;/D&gt;&lt;D xsi:type="xsd:double"&gt;256.500553&lt;/D&gt;&lt;D xsi:type="xsd:double"&gt;252.317241&lt;/D&gt;&lt;D xsi:type="xsd:double"&gt;252.158034&lt;/D&gt;&lt;D xsi:type="xsd:double"&gt;256.970171&lt;/D&gt;&lt;D xsi:type="xsd:double"&gt;257.407443&lt;/D&gt;&lt;D xsi:type="xsd:double"&gt;259.739552&lt;/D&gt;&lt;D xsi:type="xsd:double"&gt;260.171437&lt;/D&gt;&lt;D xsi:type="xsd:double"&gt;263.986209&lt;/D&gt;&lt;D xsi:type="xsd:double"&gt;263.297675&lt;/D&gt;&lt;D xsi:type="xsd:double"&gt;264.100841&lt;/D&gt;&lt;D xsi:type="xsd:double"&gt;264.127588&lt;/D&gt;&lt;D xsi:type="xsd:double"&gt;257.551373&lt;/D&gt;&lt;D xsi:type="xsd:double"&gt;257.748374&lt;/D&gt;&lt;D xsi:type="xsd:double"&gt;255.695137&lt;/D&gt;&lt;D xsi:type="xsd:double"&gt;254.724329&lt;/D&gt;&lt;D xsi:type="xsd:double"&gt;254.285361&lt;/D&gt;&lt;D xsi:type="xsd:double"&gt;251.989708&lt;/D&gt;&lt;D xsi:type="xsd:double"&gt;255.5988&lt;/D&gt;&lt;D xsi:type="xsd:double"&gt;257.43383&lt;/D&gt;&lt;D xsi:type="xsd:double"&gt;255.236197&lt;/D&gt;&lt;D xsi:type="xsd:double"&gt;256.344684&lt;/D&gt;&lt;D xsi:type="xsd:double"&gt;255.457978&lt;/D&gt;&lt;D xsi:type="xsd:double"&gt;253.152081&lt;/D&gt;&lt;D xsi:type="xsd:double"&gt;256.889155&lt;/D&gt;&lt;D xsi:type="xsd:double"&gt;257.261949&lt;/D&gt;&lt;D xsi:type="xsd:double"&gt;258.82581&lt;/D&gt;&lt;D xsi:type="xsd:double"&gt;256.395828&lt;/D&gt;&lt;D xsi:type="xsd:double"&gt;252.254206&lt;/D&gt;&lt;D xsi:type="xsd:double"&gt;254.242958&lt;/D&gt;&lt;D xsi:type="xsd:double"&gt;253.730129&lt;/D&gt;&lt;D xsi:type="xsd:double"&gt;253.87546&lt;/D&gt;&lt;D xsi:type="xsd:double"&gt;253.502265&lt;/D&gt;&lt;D xsi:type="xsd:double"&gt;250.819029&lt;/D&gt;&lt;D xsi:type="xsd:double"&gt;246.794781&lt;/D&gt;&lt;D xsi:type="xsd:double"&gt;247.854551&lt;/D&gt;&lt;D xsi:type="xsd:double"&gt;246.520683&lt;/D&gt;&lt;D xsi:type="xsd:double"&gt;247.160351&lt;/D&gt;&lt;D xsi:type="xsd:double"&gt;246.334844&lt;/D&gt;&lt;D xsi:type="xsd:double"&gt;246.148413&lt;/D&gt;&lt;D xsi:type="xsd:double"&gt;245.463305&lt;/D&gt;&lt;D xsi:type="xsd:double"&gt;242.68518&lt;/D&gt;&lt;D xsi:type="xsd:double"&gt;243.571796&lt;/D&gt;&lt;D xsi:type="xsd:double"&gt;242.201083&lt;/D&gt;&lt;D xsi:type="xsd:double"&gt;242.404662&lt;/D&gt;&lt;D xsi:type="xsd:double"&gt;239.803645&lt;/D&gt;&lt;D xsi:type="xsd:double"&gt;240.016686&lt;/D&gt;&lt;D xsi:type="xsd:double"&gt;241.021975&lt;/D&gt;&lt;D xsi:type="xsd:double"&gt;241.178059&lt;/D&gt;&lt;D xsi:type="xsd:double"&gt;239.841815&lt;/D&gt;&lt;D xsi:type="xsd:double"&gt;235.860541&lt;/D&gt;&lt;D xsi:type="xsd:double"&gt;235.776748&lt;/D&gt;&lt;D xsi:type="xsd:double"&gt;233.810312&lt;/D&gt;&lt;D xsi:type="xsd:double"&gt;233.454376&lt;/D&gt;&lt;D xsi:type="xsd:double"&gt;233.788139&lt;/D&gt;&lt;D xsi:type="xsd:double"&gt;231.722999&lt;/D&gt;&lt;D xsi:type="xsd:double"&gt;230.608328&lt;/D&gt;&lt;D xsi:type="xsd:double"&gt;224.795246&lt;/D&gt;&lt;D xsi:type="xsd:double"&gt;225.837749&lt;/D&gt;&lt;D xsi:type="xsd:double"&gt;225.057571&lt;/D&gt;&lt;D xsi:type="xsd:double"&gt;223.827325&lt;/D&gt;&lt;D xsi:type="xsd:double"&gt;221.283449&lt;/D&gt;&lt;D xsi:type="xsd:double"&gt;224.04404&lt;/D&gt;&lt;D xsi:type="xsd:double"&gt;226.720618&lt;/D&gt;&lt;D xsi:type="xsd:double"&gt;226.305617&lt;/D&gt;&lt;D xsi:type="xsd:double"&gt;230.123495&lt;/D&gt;&lt;D xsi:type="xsd:double"&gt;231.235704&lt;/D&gt;&lt;D xsi:type="xsd:double"&gt;231.227528&lt;/D&gt;&lt;D xsi:type="xsd:double"&gt;228.91273&lt;/D&gt;&lt;D xsi:type="xsd:double"&gt;227.859133&lt;/D&gt;&lt;D xsi:type="xsd:double"&gt;227.743045&lt;/D&gt;&lt;D xsi:type="xsd:double"&gt;229.288523&lt;/D&gt;&lt;D xsi:type="xsd:double"&gt;235.546787&lt;/D&gt;&lt;D xsi:type="xsd:double"&gt;239.205531&lt;/D&gt;&lt;D xsi:type="xsd:double"&gt;238.032456&lt;/D&gt;&lt;D xsi:type="xsd:double"&gt;237.702497&lt;/D&gt;&lt;D xsi:type="xsd:double"&gt;237.324037&lt;/D&gt;&lt;D xsi:type="xsd:double"&gt;238.497746&lt;/D&gt;&lt;D xsi:type="xsd:double"&gt;237.573525&lt;/D&gt;&lt;D xsi:type="xsd:double"&gt;231.665097&lt;/D&gt;&lt;D xsi:type="xsd:double"&gt;232.927057&lt;/D&gt;&lt;D xsi:type="xsd:double"&gt;232.344885&lt;/D&gt;&lt;D xsi:type="xsd:double"&gt;231.613126&lt;/D&gt;&lt;D xsi:type="xsd:double"&gt;230.716282&lt;/D&gt;&lt;D xsi:type="xsd:double"&gt;228.609197&lt;/D&gt;&lt;D xsi:type="xsd:double"&gt;227.275458&lt;/D&gt;&lt;D xsi:type="xsd:double"&gt;223.766398&lt;/D&gt;&lt;D xsi:type="xsd:double"&gt;222.598894&lt;/D&gt;&lt;D xsi:type="xsd:double"&gt;222.765259&lt;/D&gt;&lt;D xsi:type="xsd:double"&gt;224.147926&lt;/D&gt;&lt;D xsi:type="xsd:double"&gt;226.928996&lt;/D&gt;&lt;D xsi:type="xsd:double"&gt;227.334865&lt;/D&gt;&lt;D xsi:type="xsd:double"&gt;225.826725&lt;/D&gt;&lt;D xsi:type="xsd:double"&gt;222.712712&lt;/D&gt;&lt;D xsi:type="xsd:double"&gt;222.795099&lt;/D&gt;&lt;D xsi:type="xsd:double"&gt;221.321355&lt;/D&gt;&lt;D xsi:type="xsd:double"&gt;218.236784&lt;/D&gt;&lt;D xsi:type="xsd:double"&gt;217.00626&lt;/D&gt;&lt;D xsi:type="xsd:double"&gt;212.267955&lt;/D&gt;&lt;D xsi:type="xsd:double"&gt;211.15854&lt;/D&gt;&lt;D xsi:type="xsd:double"&gt;212.760274&lt;/D&gt;&lt;D xsi:type="xsd:double"&gt;213.628693&lt;/D&gt;&lt;D xsi:type="xsd:double"&gt;220.549619&lt;/D&gt;&lt;D xsi:type="xsd:double"&gt;219.012689&lt;/D&gt;&lt;D xsi:type="xsd:double"&gt;220.621777&lt;/D&gt;&lt;D xsi:type="xsd:double"&gt;222.33778&lt;/D&gt;&lt;D xsi:type="xsd:double"&gt;225.140423&lt;/D&gt;&lt;D xsi:type="xsd:double"&gt;227.669529&lt;/D&gt;&lt;D xsi:type="xsd:double"&gt;224.018497&lt;/D&gt;&lt;D xsi:type="xsd:double"&gt;223.121333&lt;/D&gt;&lt;D xsi:type="xsd:double"&gt;222.603686&lt;/D&gt;&lt;D xsi:type="xsd:double"&gt;221.310616&lt;/D&gt;&lt;D xsi:type="xsd:double"&gt;219.575509&lt;/D&gt;&lt;D xsi:type="xsd:double"&gt;215.317424&lt;/D&gt;&lt;D xsi:type="xsd:double"&gt;213.927237&lt;/D&gt;&lt;D xsi:type="xsd:double"&gt;210.39258&lt;/D&gt;&lt;D xsi:type="xsd:double"&gt;207.732792&lt;/D&gt;&lt;D xsi:type="xsd:double"&gt;208.058256&lt;/D&gt;&lt;D xsi:type="xsd:double"&gt;212.923422&lt;/D&gt;&lt;D xsi:type="xsd:double"&gt;217.162468&lt;/D&gt;&lt;D xsi:type="xsd:double"&gt;213.439371&lt;/D&gt;&lt;D xsi:type="xsd:double"&gt;214.667512&lt;/D&gt;&lt;D xsi:type="xsd:double"&gt;215.537375&lt;/D&gt;&lt;D xsi:type="xsd:double"&gt;214.109614&lt;/D&gt;&lt;D xsi:type="xsd:double"&gt;208.694278&lt;/D&gt;&lt;D xsi:type="xsd:double"&gt;204.819426&lt;/D&gt;&lt;D xsi:type="xsd:double"&gt;211.658415&lt;/D&gt;&lt;D xsi:type="xsd:double"&gt;212.216934&lt;/D&gt;&lt;D xsi:type="xsd:double"&gt;211.382675&lt;/D&gt;&lt;D xsi:type="xsd:double"&gt;216.095248&lt;/D&gt;&lt;D xsi:type="xsd:double"&gt;221.797697&lt;/D&gt;&lt;D xsi:type="xsd:double"&gt;220.553761&lt;/D&gt;&lt;D xsi:type="xsd:double"&gt;224.261595&lt;/D&gt;&lt;D xsi:type="xsd:double"&gt;230.629918&lt;/D&gt;&lt;D xsi:type="xsd:double"&gt;229.899064&lt;/D&gt;&lt;D xsi:type="xsd:double"&gt;227.681042&lt;/D&gt;&lt;D xsi:type="xsd:double"&gt;230.223344&lt;/D&gt;&lt;D xsi:type="xsd:double"&gt;218.813447&lt;/D&gt;&lt;D xsi:type="xsd:double"&gt;225.241605&lt;/D&gt;&lt;D xsi:type="xsd:double"&gt;230.640964&lt;/D&gt;&lt;D xsi:type="xsd:double"&gt;234.678684&lt;/D&gt;&lt;D xsi:type="xsd:double"&gt;240.734219&lt;/D&gt;&lt;D xsi:type="xsd:double"&gt;242.59322&lt;/D&gt;&lt;D xsi:type="xsd:double"&gt;242.124779&lt;/D&gt;&lt;D xsi:type="xsd:double"&gt;239.656084&lt;/D&gt;&lt;D xsi:type="xsd:double"&gt;244.221629&lt;/D&gt;&lt;D xsi:type="xsd:double"&gt;248.743841&lt;/D&gt;&lt;D xsi:type="xsd:double"&gt;246.293378&lt;/D&gt;&lt;D xsi:type="xsd:double"&gt;245.432212&lt;/D&gt;&lt;D xsi:type="xsd:double"&gt;248.290813&lt;/D&gt;&lt;D xsi:type="xsd:double"&gt;248.661111&lt;/D&gt;&lt;D xsi:type="xsd:double"&gt;246.340547&lt;/D&gt;&lt;D xsi:type="xsd:double"&gt;249.717583&lt;/D&gt;&lt;D xsi:type="xsd:double"&gt;253.617681&lt;/D&gt;&lt;D xsi:type="xsd:double"&gt;252.94562&lt;/D&gt;&lt;D xsi:type="xsd:double"&gt;250.225679&lt;/D&gt;&lt;D xsi:type="xsd:double"&gt;251.802355&lt;/D&gt;&lt;D xsi:type="xsd:double"&gt;250.389044&lt;/D&gt;&lt;D xsi:type="xsd:double"&gt;247.489925&lt;/D&gt;&lt;D xsi:type="xsd:double"&gt;249.0918&lt;/D&gt;&lt;D xsi:type="xsd:double"&gt;249.284793&lt;/D&gt;&lt;D xsi:type="xsd:double"&gt;249.197624&lt;/D&gt;&lt;D xsi:type="xsd:double"&gt;248.589847&lt;/D&gt;&lt;D xsi:type="xsd:double"&gt;245.419384&lt;/D&gt;&lt;D xsi:type="xsd:double"&gt;244.961521&lt;/D&gt;&lt;D xsi:type="xsd:double"&gt;244.537179&lt;/D&gt;&lt;D xsi:type="xsd:double"&gt;242.782532&lt;/D&gt;&lt;D xsi:type="xsd:double"&gt;242.224659&lt;/D&gt;&lt;D xsi:type="xsd:double"&gt;241.493006&lt;/D&gt;&lt;D xsi:type="xsd:double"&gt;243.882829&lt;/D&gt;&lt;D xsi:type="xsd:double"&gt;242.68315&lt;/D&gt;&lt;D xsi:type="xsd:double"&gt;243.245768&lt;/D&gt;&lt;D xsi:type="xsd:double"&gt;244.30899&lt;/D&gt;&lt;D xsi:type="xsd:double"&gt;246.198018&lt;/D&gt;&lt;D xsi:type="xsd:double"&gt;243.716641&lt;/D&gt;&lt;D xsi:type="xsd:double"&gt;241.046069&lt;/D&gt;&lt;D xsi:type="xsd:double"&gt;243.269254&lt;/D&gt;&lt;D xsi:type="xsd:double"&gt;241.64243&lt;/D&gt;&lt;D xsi:type="xsd:double"&gt;241.814922&lt;/D&gt;&lt;D xsi:type="xsd:double"&gt;240.32699&lt;/D&gt;&lt;D xsi:type="xsd:double"&gt;240.823783&lt;/D&gt;&lt;D xsi:type="xsd:double"&gt;238.88398&lt;/D&gt;&lt;D xsi:type="xsd:double"&gt;235.970436&lt;/D&gt;&lt;D xsi:type="xsd:double"&gt;237.404582&lt;/D&gt;&lt;D xsi:type="xsd:double"&gt;234.598052&lt;/D&gt;&lt;D xsi:type="xsd:double"&gt;231.665511&lt;/D&gt;&lt;D xsi:type="xsd:double"&gt;230.541887&lt;/D&gt;&lt;D xsi:type="xsd:double"&gt;227.156596&lt;/D&gt;&lt;D xsi:type="xsd:double"&gt;230.246755&lt;/D&gt;&lt;D xsi:type="xsd:double"&gt;230.789639&lt;/D&gt;&lt;D xsi:type="xsd:double"&gt;232.339852&lt;/D&gt;&lt;D xsi:type="xsd:double"&gt;229.919362&lt;/D&gt;&lt;D xsi:type="xsd:double"&gt;232.212912&lt;/D&gt;&lt;D xsi:type="xsd:double"&gt;231.838241&lt;/D&gt;&lt;D xsi:type="xsd:double"&gt;229.153942&lt;/D&gt;&lt;D xsi:type="xsd:double"&gt;226.124727&lt;/D&gt;&lt;D xsi:type="xsd:double"&gt;226.063906&lt;/D&gt;&lt;D xsi:type="xsd:double"&gt;225.056842&lt;/D&gt;&lt;D xsi:type="xsd:double"&gt;224.375126&lt;/D&gt;&lt;D xsi:type="xsd:double"&gt;223.037283&lt;/D&gt;&lt;D xsi:type="xsd:double"&gt;222.701881&lt;/D&gt;&lt;D xsi:type="xsd:double"&gt;228.115459&lt;/D&gt;&lt;D xsi:type="xsd:double"&gt;234.301981&lt;/D&gt;&lt;D xsi:type="xsd:double"&gt;234.583728&lt;/D&gt;&lt;D xsi:type="xsd:double"&gt;231.58677&lt;/D&gt;&lt;D xsi:type="xsd:double"&gt;230.924455&lt;/D&gt;&lt;D xsi:type="xsd:double"&gt;232.329863&lt;/D&gt;&lt;D xsi:type="xsd:double"&gt;233.339243&lt;/D&gt;&lt;D xsi:type="xsd:double"&gt;235.652275&lt;/D&gt;&lt;D xsi:type="xsd:double"&gt;237.797656&lt;/D&gt;&lt;D xsi:type="xsd:double"&gt;239.106952&lt;/D&gt;&lt;D xsi:type="xsd:double"&gt;241.479095&lt;/D&gt;&lt;D xsi:type="xsd:double"&gt;244.599204&lt;/D&gt;&lt;D xsi:type="xsd:double"&gt;249.489927&lt;/D&gt;&lt;D xsi:type="xsd:double"&gt;249.205181&lt;/D&gt;&lt;D xsi:type="xsd:double"&gt;251.24484&lt;/D&gt;&lt;D xsi:type="xsd:double"&gt;249.611949&lt;/D&gt;&lt;D xsi:type="xsd:double"&gt;250.921099&lt;/D&gt;&lt;D xsi:type="xsd:double"&gt;252.035992&lt;/D&gt;&lt;D xsi:type="xsd:double"&gt;248.894641&lt;/D&gt;&lt;D xsi:type="xsd:double"&gt;247.667931&lt;/D&gt;&lt;D xsi:type="xsd:double"&gt;248.932097&lt;/D&gt;&lt;D xsi:type="xsd:double"&gt;248.530966&lt;/D&gt;&lt;D xsi:type="xsd:double"&gt;247.40912&lt;/D&gt;&lt;D xsi:type="xsd:double"&gt;242.913652&lt;/D&gt;&lt;D xsi:type="xsd:double"&gt;241.523608&lt;/D&gt;&lt;D xsi:type="xsd:double"&gt;243.636768&lt;/D&gt;&lt;D xsi:type="xsd:double"&gt;242.902061&lt;/D&gt;&lt;D xsi:type="xsd:double"&gt;241.400072&lt;/D&gt;&lt;D xsi:type="xsd:double"&gt;239.980702&lt;/D&gt;&lt;D xsi:type="xsd:double"&gt;237.680162&lt;/D&gt;&lt;D xsi:type="xsd:double"&gt;236.797179&lt;/D&gt;&lt;D xsi:type="xsd:double"&gt;235.148977&lt;/D&gt;&lt;D xsi:type="xsd:double"&gt;236.836449&lt;/D&gt;&lt;D xsi:type="xsd:double"&gt;242.156949&lt;/D&gt;&lt;D xsi:type="xsd:double"&gt;240.046961&lt;/D&gt;&lt;D xsi:type="xsd:double"&gt;241.556118&lt;/D&gt;&lt;D xsi:type="xsd:double"&gt;239.561196&lt;/D&gt;&lt;D xsi:type="xsd:double"&gt;239.278801&lt;/D&gt;&lt;D xsi:type="xsd:double"&gt;238.572635&lt;/D&gt;&lt;D xsi:type="xsd:double"&gt;240.332491&lt;/D&gt;&lt;D xsi:type="xsd:double"&gt;243.491921&lt;/D&gt;&lt;D xsi:type="xsd:double"&gt;244.376928&lt;/D&gt;&lt;D xsi:type="xsd:double"&gt;245.950526&lt;/D&gt;&lt;D xsi:type="xsd:double"&gt;245.242228&lt;/D&gt;&lt;D xsi:type="xsd:double"&gt;244.273228&lt;/D&gt;&lt;D xsi:type="xsd:double"&gt;238.128394&lt;/D&gt;&lt;D xsi:type="xsd:double"&gt;236.69729&lt;/D&gt;&lt;D xsi:type="xsd:double"&gt;243.919785&lt;/D&gt;&lt;D xsi:type="xsd:double"&gt;241.087697&lt;/D&gt;&lt;D xsi:type="xsd:double"&gt;243.068685&lt;/D&gt;&lt;D xsi:type="xsd:double"&gt;238.38616&lt;/D&gt;&lt;D xsi:type="xsd:double"&gt;239.94148&lt;/D&gt;&lt;D xsi:type="xsd:double"&gt;244.416781&lt;/D&gt;&lt;D xsi:type="xsd:double"&gt;243.594733&lt;/D&gt;&lt;D xsi:type="xsd:double"&gt;245.70864&lt;/D&gt;&lt;D xsi:type="xsd:double"&gt;241.742735&lt;/D&gt;&lt;D xsi:type="xsd:double"&gt;240.749687&lt;/D&gt;&lt;D xsi:type="xsd:double"&gt;242.710816&lt;/D&gt;&lt;D xsi:type="xsd:double"&gt;241.411807&lt;/D&gt;&lt;D xsi:type="xsd:double"&gt;241.485684&lt;/D&gt;&lt;D xsi:type="xsd:double"&gt;235.968516&lt;/D&gt;&lt;D xsi:type="xsd:double"&gt;234.802785&lt;/D&gt;&lt;D xsi:type="xsd:double"&gt;233.689142&lt;/D&gt;&lt;D xsi:type="xsd:double"&gt;229.126622&lt;/D&gt;&lt;D xsi:type="xsd:double"&gt;231.684745&lt;/D&gt;&lt;D xsi:type="xsd:double"&gt;231.948341&lt;/D&gt;&lt;D xsi:type="xsd:double"&gt;234.416161&lt;/D&gt;&lt;D xsi:type="xsd:double"&gt;231.940983&lt;/D&gt;&lt;D xsi:type="xsd:double"&gt;237.237973&lt;/D&gt;&lt;D xsi:type="xsd:double"&gt;240.329659&lt;/D&gt;&lt;D xsi:type="xsd:double"&gt;242.638348&lt;/D&gt;&lt;D xsi:type="xsd:double"&gt;243.343393&lt;/D&gt;&lt;D xsi:type="xsd:double"&gt;245.502317&lt;/D&gt;&lt;D xsi:type="xsd:double"&gt;244.974063&lt;/D&gt;&lt;D xsi:type="xsd:double"&gt;245.568693&lt;/D&gt;&lt;D xsi:type="xsd:double"&gt;242.104378&lt;/D&gt;&lt;D xsi:type="xsd:double"&gt;244.5463&lt;/D&gt;&lt;D xsi:type="xsd:double"&gt;243.775036&lt;/D&gt;&lt;D xsi:type="xsd:double"&gt;239.183579&lt;/D&gt;&lt;D xsi:type="xsd:double"&gt;239.851162&lt;/D&gt;&lt;D xsi:type="xsd:double"&gt;238.465354&lt;/D&gt;&lt;D xsi:type="xsd:double"&gt;238.350877&lt;/D&gt;&lt;D xsi:type="xsd:double"&gt;234.494146&lt;/D&gt;&lt;D xsi:type="xsd:double"&gt;234.374869&lt;/D&gt;&lt;D xsi:type="xsd:double"&gt;228.66416&lt;/D&gt;&lt;D xsi:type="xsd:double"&gt;227.444128&lt;/D&gt;&lt;D xsi:type="xsd:double"&gt;231.342376&lt;/D&gt;&lt;D xsi:type="xsd:double"&gt;235.010392&lt;/D&gt;&lt;D xsi:type="xsd:double"&gt;233.979171&lt;/D&gt;&lt;D xsi:type="xsd:double"&gt;233.800958&lt;/D&gt;&lt;D xsi:type="xsd:double"&gt;233.134737&lt;/D&gt;&lt;D xsi:type="xsd:double"&gt;234.532922&lt;/D&gt;&lt;D xsi:type="xsd:double"&gt;238.143466&lt;/D&gt;&lt;D xsi:type="xsd:double"&gt;238.296075&lt;/D&gt;&lt;D xsi:type="xsd:double"&gt;234.870763&lt;/D&gt;&lt;D xsi:type="xsd:double"&gt;237.471225&lt;/D&gt;&lt;D xsi:type="xsd:double"&gt;238.816597&lt;/D&gt;&lt;D xsi:type="xsd:double"&gt;236.679526&lt;/D&gt;&lt;D xsi:type="xsd:double"&gt;232.400196&lt;/D&gt;&lt;D xsi:type="xsd:double"&gt;231.927005&lt;/D&gt;&lt;D xsi:type="xsd:double"&gt;233.773035&lt;/D&gt;&lt;D xsi:type="xsd:double"&gt;231.814362&lt;/D&gt;&lt;D xsi:type="xsd:double"&gt;230.458116&lt;/D&gt;&lt;D xsi:type="xsd:double"&gt;229.339599&lt;/D&gt;&lt;D xsi:type="xsd:double"&gt;222.066989&lt;/D&gt;&lt;D xsi:type="xsd:double"&gt;219.991871&lt;/D&gt;&lt;D xsi:type="xsd:double"&gt;219.198764&lt;/D&gt;&lt;D xsi:type="xsd:double"&gt;221.688569&lt;/D&gt;&lt;D xsi:type="xsd:double"&gt;224.004609&lt;/D&gt;&lt;D xsi:type="xsd:double"&gt;225.951683&lt;/D&gt;&lt;D xsi:type="xsd:double"&gt;222.639792&lt;/D&gt;&lt;D xsi:type="xsd:double"&gt;223.779882&lt;/D&gt;&lt;D xsi:type="xsd:double"&gt;225.392064&lt;/D&gt;&lt;D xsi:type="xsd:double"&gt;225.000967&lt;/D&gt;&lt;D xsi:type="xsd:double"&gt;221.770789&lt;/D&gt;&lt;D xsi:type="xsd:double"&gt;218.762606&lt;/D&gt;&lt;D xsi:type="xsd:double"&gt;215.760624&lt;/D&gt;&lt;D xsi:type="xsd:double"&gt;215.266073&lt;/D&gt;&lt;D xsi:type="xsd:double"&gt;213.174104&lt;/D&gt;&lt;D xsi:type="xsd:double"&gt;220.392952&lt;/D&gt;&lt;D xsi:type="xsd:double"&gt;221.363122&lt;/D&gt;&lt;D xsi:type="xsd:double"&gt;217.733515&lt;/D&gt;&lt;D xsi:type="xsd:double"&gt;216.914349&lt;/D&gt;&lt;D xsi:type="xsd:double"&gt;218.827241&lt;/D&gt;&lt;D xsi:type="xsd:double"&gt;219.142407&lt;/D&gt;&lt;D xsi:type="xsd:double"&gt;220.138967&lt;/D&gt;&lt;D xsi:type="xsd:double"&gt;219.94544&lt;/D&gt;&lt;D xsi:type="xsd:double"&gt;221.410815&lt;/D&gt;&lt;D xsi:type="xsd:double"&gt;221.696121&lt;/D&gt;&lt;D xsi:type="xsd:double"&gt;216.521188&lt;/D&gt;&lt;D xsi:type="xsd:double"&gt;214.197307&lt;/D&gt;&lt;D xsi:type="xsd:double"&gt;210.598969&lt;/D&gt;&lt;D xsi:type="xsd:double"&gt;212.0837&lt;/D&gt;&lt;D xsi:type="xsd:double"&gt;212.773632&lt;/D&gt;&lt;D xsi:type="xsd:double"&gt;211.132135&lt;/D&gt;&lt;D xsi:type="xsd:double"&gt;210.741084&lt;/D&gt;&lt;D xsi:type="xsd:double"&gt;207.360806&lt;/D&gt;&lt;D xsi:type="xsd:double"&gt;207.347169&lt;/D&gt;&lt;D xsi:type="xsd:double"&gt;204.927713&lt;/D&gt;&lt;D xsi:type="xsd:double"&gt;201.180847&lt;/D&gt;&lt;D xsi:type="xsd:double"&gt;200.029026&lt;/D&gt;&lt;D xsi:type="xsd:double"&gt;198.346095&lt;/D&gt;&lt;D xsi:type="xsd:double"&gt;192.833435&lt;/D&gt;&lt;D xsi:type="xsd:double"&gt;189.296098&lt;/D&gt;&lt;D xsi:type="xsd:double"&gt;189.215236&lt;/D&gt;&lt;D xsi:type="xsd:double"&gt;190.601947&lt;/D&gt;&lt;D xsi:type="xsd:double"&gt;189.280173&lt;/D&gt;&lt;D xsi:type="xsd:double"&gt;192.440232&lt;/D&gt;&lt;D xsi:type="xsd:double"&gt;193.07248&lt;/D&gt;&lt;D xsi:type="xsd:double"&gt;196.277006&lt;/D&gt;&lt;D xsi:type="xsd:double"&gt;200.313534&lt;/D&gt;&lt;D xsi:type="xsd:double"&gt;197.509677&lt;/D&gt;&lt;D xsi:type="xsd:double"&gt;198.62125&lt;/D&gt;&lt;D xsi:type="xsd:double"&gt;197.541742&lt;/D&gt;&lt;D xsi:type="xsd:double"&gt;194.797413&lt;/D&gt;&lt;D xsi:type="xsd:double"&gt;195.351234&lt;/D&gt;&lt;D xsi:type="xsd:double"&gt;191.355542&lt;/D&gt;&lt;D xsi:type="xsd:double"&gt;192.644411&lt;/D&gt;&lt;D xsi:type="xsd:double"&gt;196.967422&lt;/D&gt;&lt;D xsi:type="xsd:double"&gt;195.084697&lt;/D&gt;&lt;D xsi:type="xsd:double"&gt;194.636199&lt;/D&gt;&lt;D xsi:type="xsd:double"&gt;197.668865&lt;/D&gt;&lt;D xsi:type="xsd:double"&gt;198.696534&lt;/D&gt;&lt;D xsi:type="xsd:double"&gt;204.374454&lt;/D&gt;&lt;D xsi:type="xsd:double"&gt;205.340275&lt;/D&gt;&lt;D xsi:type="xsd:double"&gt;203.250132&lt;/D&gt;&lt;D xsi:type="xsd:double"&gt;200.245219&lt;/D&gt;&lt;D xsi:type="xsd:double"&gt;198.583885&lt;/D&gt;&lt;D xsi:type="xsd:double"&gt;201.424364&lt;/D&gt;&lt;D xsi:type="xsd:double"&gt;201.944189&lt;/D&gt;&lt;D xsi:type="xsd:double"&gt;202.821893&lt;/D&gt;&lt;D xsi:type="xsd:double"&gt;206.65133&lt;/D&gt;&lt;D xsi:type="xsd:double"&gt;205.563307&lt;/D&gt;&lt;D xsi:type="xsd:double"&gt;200.105516&lt;/D&gt;&lt;D xsi:type="xsd:double"&gt;196.723446&lt;/D&gt;&lt;D xsi:type="xsd:double"&gt;197.602002&lt;/D&gt;&lt;D xsi:type="xsd:double"&gt;196.059427&lt;/D&gt;&lt;D xsi:type="xsd:double"&gt;194.777824&lt;/D&gt;&lt;D xsi:type="xsd:double"&gt;193.140286&lt;/D&gt;&lt;D xsi:type="xsd:double"&gt;196.516183&lt;/D&gt;&lt;D xsi:type="xsd:double"&gt;193.459766&lt;/D&gt;&lt;D xsi:type="xsd:double"&gt;188.721112&lt;/D&gt;&lt;D xsi:type="xsd:double"&gt;187.075403&lt;/D&gt;&lt;D xsi:type="xsd:double"&gt;185.046673&lt;/D&gt;&lt;D xsi:type="xsd:double"&gt;186.664669&lt;/D&gt;&lt;D xsi:type="xsd:double"&gt;190.227047&lt;/D&gt;&lt;D xsi:type="xsd:double"&gt;190.793434&lt;/D&gt;&lt;D xsi:type="xsd:double"&gt;190.920562&lt;/D&gt;&lt;D xsi:type="xsd:double"&gt;187.67197&lt;/D&gt;&lt;D xsi:type="xsd:double"&gt;185.787327&lt;/D&gt;&lt;D xsi:type="xsd:double"&gt;183.891105&lt;/D&gt;&lt;D xsi:type="xsd:double"&gt;182.800909&lt;/D&gt;&lt;D xsi:type="xsd:double"&gt;177.519137&lt;/D&gt;&lt;D xsi:type="xsd:double"&gt;177.25139&lt;/D&gt;&lt;D xsi:type="xsd:double"&gt;174.032006&lt;/D&gt;&lt;D xsi:type="xsd:double"&gt;169.661624&lt;/D&gt;&lt;D xsi:type="xsd:double"&gt;172.999658&lt;/D&gt;&lt;D xsi:type="xsd:double"&gt;174.228223&lt;/D&gt;&lt;D xsi:type="xsd:double"&gt;170.405142&lt;/D&gt;&lt;D xsi:type="xsd:double"&gt;169.033727&lt;/D&gt;&lt;D xsi:type="xsd:double"&gt;167.537338&lt;/D&gt;&lt;D xsi:type="xsd:double"&gt;168.398297&lt;/D&gt;&lt;D xsi:type="xsd:double"&gt;173.102061&lt;/D&gt;&lt;D xsi:type="xsd:double"&gt;172.278196&lt;/D&gt;&lt;D xsi:type="xsd:double"&gt;170.397109&lt;/D&gt;&lt;D xsi:type="xsd:double"&gt;171.602124&lt;/D&gt;&lt;D xsi:type="xsd:double"&gt;170.053314&lt;/D&gt;&lt;D xsi:type="xsd:double"&gt;168.344411&lt;/D&gt;&lt;D xsi:type="xsd:double"&gt;163.970284&lt;/D&gt;&lt;D xsi:type="xsd:double"&gt;164.9497&lt;/D&gt;&lt;D xsi:type="xsd:double"&gt;167.058455&lt;/D&gt;&lt;D xsi:type="xsd:double"&gt;167.613853&lt;/D&gt;&lt;D xsi:type="xsd:double"&gt;168.107044&lt;/D&gt;&lt;D xsi:type="xsd:double"&gt;159.066725&lt;/D&gt;&lt;D xsi:type="xsd:double"&gt;156.656902&lt;/D&gt;&lt;D xsi:type="xsd:double"&gt;153.874299&lt;/D&gt;&lt;D xsi:type="xsd:d</t>
        </r>
      </text>
    </comment>
    <comment ref="A86" authorId="0" shapeId="0">
      <text>
        <r>
          <rPr>
            <b/>
            <sz val="9"/>
            <color indexed="81"/>
            <rFont val="Tahoma"/>
            <family val="2"/>
          </rPr>
          <t>ouble"&gt;161.087003&lt;/D&gt;&lt;D xsi:type="xsd:double"&gt;164.061828&lt;/D&gt;&lt;D xsi:type="xsd:double"&gt;162.661536&lt;/D&gt;&lt;D xsi:type="xsd:double"&gt;161.804921&lt;/D&gt;&lt;D xsi:type="xsd:double"&gt;160.980399&lt;/D&gt;&lt;D xsi:type="xsd:double"&gt;155.469058&lt;/D&gt;&lt;D xsi:type="xsd:double"&gt;157.391145&lt;/D&gt;&lt;D xsi:type="xsd:double"&gt;150.650619&lt;/D&gt;&lt;D xsi:type="xsd:double"&gt;149.860569&lt;/D&gt;&lt;D xsi:type="xsd:double"&gt;149.383882&lt;/D&gt;&lt;D xsi:type="xsd:double"&gt;145.483782&lt;/D&gt;&lt;D xsi:type="xsd:double"&gt;142.279459&lt;/D&gt;&lt;D xsi:type="xsd:double"&gt;142.180035&lt;/D&gt;&lt;D xsi:type="xsd:double"&gt;140.105074&lt;/D&gt;&lt;D xsi:type="xsd:double"&gt;134.521949&lt;/D&gt;&lt;D xsi:type="xsd:double"&gt;136.383362&lt;/D&gt;&lt;D xsi:type="xsd:double"&gt;137.472549&lt;/D&gt;&lt;D xsi:type="xsd:double"&gt;139.841122&lt;/D&gt;&lt;D xsi:type="xsd:double"&gt;136.208058&lt;/D&gt;&lt;D xsi:type="xsd:double"&gt;138.169198&lt;/D&gt;&lt;D xsi:type="xsd:double"&gt;145.566526&lt;/D&gt;&lt;D xsi:type="xsd:double"&gt;147.278391&lt;/D&gt;&lt;D xsi:type="xsd:double"&gt;145.35798&lt;/D&gt;&lt;D xsi:type="xsd:double"&gt;145.181962&lt;/D&gt;&lt;D xsi:type="xsd:double"&gt;147.082644&lt;/D&gt;&lt;D xsi:type="xsd:double"&gt;147.246007&lt;/D&gt;&lt;D xsi:type="xsd:double"&gt;152.34708&lt;/D&gt;&lt;D xsi:type="xsd:double"&gt;150.976541&lt;/D&gt;&lt;D xsi:type="xsd:double"&gt;152.749829&lt;/D&gt;&lt;D xsi:type="xsd:double"&gt;161.280926&lt;/D&gt;&lt;D xsi:type="xsd:double"&gt;159.557147&lt;/D&gt;&lt;D xsi:type="xsd:double"&gt;162.77765&lt;/D&gt;&lt;D xsi:type="xsd:double"&gt;164.624255&lt;/D&gt;&lt;D xsi:type="xsd:double"&gt;167.731361&lt;/D&gt;&lt;D xsi:type="xsd:double"&gt;165.599229&lt;/D&gt;&lt;D xsi:type="xsd:double"&gt;162.511246&lt;/D&gt;&lt;D xsi:type="xsd:double"&gt;163.104917&lt;/D&gt;&lt;D xsi:type="xsd:double"&gt;160.325226&lt;/D&gt;&lt;D xsi:type="xsd:double"&gt;157.206892&lt;/D&gt;&lt;D xsi:type="xsd:double"&gt;160.966056&lt;/D&gt;&lt;D xsi:type="xsd:double"&gt;164.117108&lt;/D&gt;&lt;D xsi:type="xsd:double"&gt;166.163999&lt;/D&gt;&lt;D xsi:type="xsd:double"&gt;162.24588&lt;/D&gt;&lt;D xsi:type="xsd:double"&gt;159.598441&lt;/D&gt;&lt;D xsi:type="xsd:double"&gt;154.643054&lt;/D&gt;&lt;D xsi:type="xsd:double"&gt;157.386876&lt;/D&gt;&lt;D xsi:type="xsd:double"&gt;157.822999&lt;/D&gt;&lt;D xsi:type="xsd:double"&gt;158.55644&lt;/D&gt;&lt;D xsi:type="xsd:double"&gt;166.053258&lt;/D&gt;&lt;D xsi:type="xsd:double"&gt;162.54475&lt;/D&gt;&lt;D xsi:type="xsd:double"&gt;166.53575&lt;/D&gt;&lt;D xsi:type="xsd:double"&gt;170.839978&lt;/D&gt;&lt;D xsi:type="xsd:double"&gt;175.49106&lt;/D&gt;&lt;D xsi:type="xsd:double"&gt;179.483995&lt;/D&gt;&lt;D xsi:type="xsd:double"&gt;181.836048&lt;/D&gt;&lt;D xsi:type="xsd:double"&gt;183.645227&lt;/D&gt;&lt;D xsi:type="xsd:double"&gt;182.999876&lt;/D&gt;&lt;D xsi:type="xsd:double"&gt;182.377843&lt;/D&gt;&lt;D xsi:type="xsd:double"&gt;181.061272&lt;/D&gt;&lt;D xsi:type="xsd:double"&gt;176.748837&lt;/D&gt;&lt;D xsi:type="xsd:double"&gt;177.414736&lt;/D&gt;&lt;D xsi:type="xsd:double"&gt;175.613979&lt;/D&gt;&lt;D xsi:type="xsd:double"&gt;172.288762&lt;/D&gt;&lt;D xsi:type="xsd:double"&gt;171.476821&lt;/D&gt;&lt;D xsi:type="xsd:double"&gt;172.425934&lt;/D&gt;&lt;D xsi:type="xsd:double"&gt;173.173773&lt;/D&gt;&lt;D xsi:type="xsd:double"&gt;175.839559&lt;/D&gt;&lt;D xsi:type="xsd:double"&gt;180.705925&lt;/D&gt;&lt;D xsi:type="xsd:double"&gt;180.212642&lt;/D&gt;&lt;D xsi:type="xsd:double"&gt;174.701228&lt;/D&gt;&lt;D xsi:type="xsd:double"&gt;173.186722&lt;/D&gt;&lt;D xsi:type="xsd:double"&gt;168.935306&lt;/D&gt;&lt;D xsi:type="xsd:double"&gt;173.152317&lt;/D&gt;&lt;D xsi:type="xsd:double"&gt;170.819544&lt;/D&gt;&lt;D xsi:type="xsd:double"&gt;167.633558&lt;/D&gt;&lt;D xsi:type="xsd:double"&gt;166.584188&lt;/D&gt;&lt;D xsi:type="xsd:double"&gt;155.120499&lt;/D&gt;&lt;D xsi:type="xsd:double"&gt;159.114741&lt;/D&gt;&lt;D xsi:type="xsd:double"&gt;159.953238&lt;/D&gt;&lt;D xsi:type="xsd:double"&gt;159.110988&lt;/D&gt;&lt;D xsi:type="xsd:double"&gt;159.751847&lt;/D&gt;&lt;D xsi:type="xsd:double"&gt;167.409707&lt;/D&gt;&lt;D xsi:type="xsd:double"&gt;162.970268&lt;/D&gt;&lt;D xsi:type="xsd:double"&gt;162.936309&lt;/D&gt;&lt;D xsi:type="xsd:double"&gt;158.695959&lt;/D&gt;&lt;D xsi:type="xsd:double"&gt;148.806092&lt;/D&gt;&lt;D xsi:type="xsd:double"&gt;148.865091&lt;/D&gt;&lt;D xsi:type="xsd:double"&gt;157.3045&lt;/D&gt;&lt;D xsi:type="xsd:double"&gt;162.007295&lt;/D&gt;&lt;D xsi:type="xsd:double"&gt;163.482995&lt;/D&gt;&lt;D xsi:type="xsd:double"&gt;166.945576&lt;/D&gt;&lt;D xsi:type="xsd:double"&gt;165.105482&lt;/D&gt;&lt;D xsi:type="xsd:double"&gt;167.508181&lt;/D&gt;&lt;D xsi:type="xsd:double"&gt;172.688567&lt;/D&gt;&lt;D xsi:type="xsd:double"&gt;181.789375&lt;/D&gt;&lt;D xsi:type="xsd:double"&gt;178.336311&lt;/D&gt;&lt;D xsi:type="xsd:double"&gt;177.668572&lt;/D&gt;&lt;D xsi:type="xsd:double"&gt;190.585559&lt;/D&gt;&lt;D xsi:type="xsd:double"&gt;190.049207&lt;/D&gt;&lt;D xsi:type="xsd:double"&gt;180.733947&lt;/D&gt;&lt;D xsi:type="xsd:double"&gt;178.168232&lt;/D&gt;&lt;D xsi:type="xsd:double"&gt;178.442886&lt;/D&gt;&lt;D xsi:type="xsd:double"&gt;170.667241&lt;/D&gt;&lt;D xsi:type="xsd:double"&gt;158.07236&lt;/D&gt;&lt;D xsi:type="xsd:double"&gt;152.43129&lt;/D&gt;&lt;D xsi:type="xsd:double"&gt;160.812798&lt;/D&gt;&lt;D xsi:type="xsd:double"&gt;170.399818&lt;/D&gt;&lt;D xsi:type="xsd:double"&gt;172.764058&lt;/D&gt;&lt;D xsi:type="xsd:double"&gt;185.543009&lt;/D&gt;&lt;D xsi:type="xsd:double"&gt;186.791385&lt;/D&gt;&lt;D xsi:type="xsd:double"&gt;180.504503&lt;/D&gt;&lt;D xsi:type="xsd:double"&gt;175.911836&lt;/D&gt;&lt;D xsi:type="xsd:double"&gt;188.74725&lt;/D&gt;&lt;D xsi:type="xsd:double"&gt;199.778479&lt;/D&gt;&lt;D xsi:type="xsd:double"&gt;188.494015&lt;/D&gt;&lt;D xsi:type="xsd:double"&gt;175.57129&lt;/D&gt;&lt;D xsi:type="xsd:double"&gt;190.36194&lt;/D&gt;&lt;D xsi:type="xsd:double"&gt;192.219615&lt;/D&gt;&lt;D xsi:type="xsd:double"&gt;204.705746&lt;/D&gt;&lt;D xsi:type="xsd:double"&gt;206.09175&lt;/D&gt;&lt;D xsi:type="xsd:double"&gt;223.747349&lt;/D&gt;&lt;D xsi:type="xsd:double"&gt;223.079282&lt;/D&gt;&lt;D xsi:type="xsd:double"&gt;230.272142&lt;/D&gt;&lt;D xsi:type="xsd:double"&gt;228.713342&lt;/D&gt;&lt;D xsi:type="xsd:double"&gt;231.674507&lt;/D&gt;&lt;D xsi:type="xsd:double"&gt;244.661596&lt;/D&gt;&lt;D xsi:type="xsd:double"&gt;249.318878&lt;/D&gt;&lt;D xsi:type="xsd:double"&gt;247.162535&lt;/D&gt;&lt;D xsi:type="xsd:double"&gt;248.527989&lt;/D&gt;&lt;D xsi:type="xsd:double"&gt;251.618039&lt;/D&gt;&lt;D xsi:type="xsd:double"&gt;250.166496&lt;/D&gt;&lt;D xsi:type="xsd:double"&gt;231.96408&lt;/D&gt;&lt;D xsi:type="xsd:double"&gt;231.992627&lt;/D&gt;&lt;D xsi:type="xsd:double"&gt;235.296024&lt;/D&gt;&lt;D xsi:type="xsd:double"&gt;243.646494&lt;/D&gt;&lt;D xsi:type="xsd:double"&gt;250.439411&lt;/D&gt;&lt;D xsi:type="xsd:double"&gt;243.908701&lt;/D&gt;&lt;D xsi:type="xsd:double"&gt;247.978683&lt;/D&gt;&lt;D xsi:type="xsd:double"&gt;250.036161&lt;/D&gt;&lt;D xsi:type="xsd:double"&gt;255.138535&lt;/D&gt;&lt;D xsi:type="xsd:double"&gt;248.356677&lt;/D&gt;&lt;D xsi:type="xsd:double"&gt;254.401527&lt;/D&gt;&lt;D xsi:type="xsd:double"&gt;260.818569&lt;/D&gt;&lt;D xsi:type="xsd:double"&gt;264.341602&lt;/D&gt;&lt;D xsi:type="xsd:double"&gt;269.888536&lt;/D&gt;&lt;D xsi:type="xsd:double"&gt;267.83893&lt;/D&gt;&lt;D xsi:type="xsd:double"&gt;265.320771&lt;/D&gt;&lt;D xsi:type="xsd:double"&gt;263.455665&lt;/D&gt;&lt;D xsi:type="xsd:double"&gt;265.633196&lt;/D&gt;&lt;D xsi:type="xsd:double"&gt;266.112568&lt;/D&gt;&lt;D xsi:type="xsd:double"&gt;265.281088&lt;/D&gt;&lt;D xsi:type="xsd:double"&gt;264.414799&lt;/D&gt;&lt;D xsi:type="xsd:double"&gt;262.135556&lt;/D&gt;&lt;D xsi:type="xsd:double"&gt;267.827417&lt;/D&gt;&lt;D xsi:type="xsd:double"&gt;267.744219&lt;/D&gt;&lt;D xsi:type="xsd:double"&gt;270.500563&lt;/D&gt;&lt;D xsi:type="xsd:double"&gt;269.351993&lt;/D&gt;&lt;D xsi:type="xsd:double"&gt;274.306353&lt;/D&gt;&lt;D xsi:type="xsd:double"&gt;276.298133&lt;/D&gt;&lt;D xsi:type="xsd:double"&gt;273.938131&lt;/D&gt;&lt;D xsi:type="xsd:double"&gt;277.826267&lt;/D&gt;&lt;D xsi:type="xsd:double"&gt;279.804708&lt;/D&gt;&lt;D xsi:type="xsd:double"&gt;277.294736&lt;/D&gt;&lt;D xsi:type="xsd:double"&gt;276.376401&lt;/D&gt;&lt;D xsi:type="xsd:double"&gt;279.622659&lt;/D&gt;&lt;D xsi:type="xsd:double"&gt;283.826929&lt;/D&gt;&lt;D xsi:type="xsd:double"&gt;283.492831&lt;/D&gt;&lt;D xsi:type="xsd:double"&gt;278.870828&lt;/D&gt;&lt;D xsi:type="xsd:double"&gt;281.535357&lt;/D&gt;&lt;D xsi:type="xsd:double"&gt;282.605002&lt;/D&gt;&lt;D xsi:type="xsd:double"&gt;285.630701&lt;/D&gt;&lt;D xsi:type="xsd:double"&gt;287.870138&lt;/D&gt;&lt;D xsi:type="xsd:double"&gt;285.313377&lt;/D&gt;&lt;D xsi:type="xsd:double"&gt;285.474549&lt;/D&gt;&lt;D xsi:type="xsd:double"&gt;282.495226&lt;/D&gt;&lt;D xsi:type="xsd:double"&gt;282.168683&lt;/D&gt;&lt;D xsi:type="xsd:double"&gt;276.516137&lt;/D&gt;&lt;D xsi:type="xsd:double"&gt;276.960838&lt;/D&gt;&lt;D xsi:type="xsd:double"&gt;281.799329&lt;/D&gt;&lt;D xsi:type="xsd:double"&gt;281.332588&lt;/D&gt;&lt;D xsi:type="xsd:double"&gt;283.406532&lt;/D&gt;&lt;D xsi:type="xsd:double"&gt;285.510302&lt;/D&gt;&lt;D xsi:type="xsd:double"&gt;281.491954&lt;/D&gt;&lt;D xsi:type="xsd:double"&gt;285.461399&lt;/D&gt;&lt;D xsi:type="xsd:double"&gt;285.966938&lt;/D&gt;&lt;D xsi:type="xsd:double"&gt;288.026332&lt;/D&gt;&lt;D xsi:type="xsd:double"&gt;290.094105&lt;/D&gt;&lt;D xsi:type="xsd:double"&gt;294.840429&lt;/D&gt;&lt;D xsi:type="xsd:double"&gt;293.520138&lt;/D&gt;&lt;D xsi:type="xsd:double"&gt;295.447174&lt;/D&gt;&lt;D xsi:type="xsd:double"&gt;297.500079&lt;/D&gt;&lt;D xsi:type="xsd:double"&gt;295.663851&lt;/D&gt;&lt;D xsi:type="xsd:double"&gt;296.392609&lt;/D&gt;&lt;D xsi:type="xsd:double"&gt;298.895082&lt;/D&gt;&lt;D xsi:type="xsd:double"&gt;302.032139&lt;/D&gt;&lt;D xsi:type="xsd:double"&gt;305.486906&lt;/D&gt;&lt;D xsi:type="xsd:double"&gt;307.426864&lt;/D&gt;&lt;D xsi:type="xsd:double"&gt;305.177132&lt;/D&gt;&lt;D xsi:type="xsd:double"&gt;302.211872&lt;/D&gt;&lt;D xsi:type="xsd:double"&gt;301.674598&lt;/D&gt;&lt;D xsi:type="xsd:double"&gt;304.602353&lt;/D&gt;&lt;D xsi:type="xsd:double"&gt;306.356404&lt;/D&gt;&lt;D xsi:type="xsd:double"&gt;313.581413&lt;/D&gt;&lt;D xsi:type="xsd:double"&gt;316.936743&lt;/D&gt;&lt;D xsi:type="xsd:double"&gt;317.222021&lt;/D&gt;&lt;D xsi:type="xsd:double"&gt;316.651817&lt;/D&gt;&lt;D xsi:type="xsd:double"&gt;318.929864&lt;/D&gt;&lt;D xsi:type="xsd:double"&gt;320.802742&lt;/D&gt;&lt;D xsi:type="xsd:double"&gt;321.755638&lt;/D&gt;&lt;D xsi:type="xsd:double"&gt;320.061538&lt;/D&gt;&lt;D xsi:type="xsd:double"&gt;319.302045&lt;/D&gt;&lt;D xsi:type="xsd:double"&gt;319.402215&lt;/D&gt;&lt;D xsi:type="xsd:double"&gt;323.123007&lt;/D&gt;&lt;D xsi:type="xsd:double"&gt;326.254892&lt;/D&gt;&lt;D xsi:type="xsd:double"&gt;326.953004&lt;/D&gt;&lt;D xsi:type="xsd:double"&gt;328.142524&lt;/D&gt;&lt;D xsi:type="xsd:double"&gt;331.010665&lt;/D&gt;&lt;D xsi:type="xsd:double"&gt;329.012022&lt;/D&gt;&lt;D xsi:type="xsd:double"&gt;325.221436&lt;/D&gt;&lt;D xsi:type="xsd:double"&gt;322.277104&lt;/D&gt;&lt;D xsi:type="xsd:double"&gt;321.536821&lt;/D&gt;&lt;D xsi:type="xsd:double"&gt;321.092771&lt;/D&gt;&lt;D xsi:type="xsd:double"&gt;319.127494&lt;/D&gt;&lt;D xsi:type="xsd:double"&gt;322.528557&lt;/D&gt;&lt;D xsi:type="xsd:double"&gt;322.598332&lt;/D&gt;&lt;D xsi:type="xsd:double"&gt;323.536504&lt;/D&gt;&lt;D xsi:type="xsd:double"&gt;322.589492&lt;/D&gt;&lt;D xsi:type="xsd:double"&gt;321.713656&lt;/D&gt;&lt;D xsi:type="xsd:double"&gt;317.123223&lt;/D&gt;&lt;D xsi:type="xsd:double"&gt;318.562962&lt;/D&gt;&lt;D xsi:type="xsd:double"&gt;317.492656&lt;/D&gt;&lt;D xsi:type="xsd:double"&gt;319.8357&lt;/D&gt;&lt;D xsi:type="xsd:double"&gt;318.173372&lt;/D&gt;&lt;D xsi:type="xsd:double"&gt;315.161365&lt;/D&gt;&lt;D xsi:type="xsd:double"&gt;317.96854&lt;/D&gt;&lt;D xsi:type="xsd:double"&gt;318.089318&lt;/D&gt;&lt;D xsi:type="xsd:double"&gt;318.984854&lt;/D&gt;&lt;D xsi:type="xsd:double"&gt;315.555957&lt;/D&gt;&lt;D xsi:type="xsd:double"&gt;314.181994&lt;/D&gt;&lt;D xsi:type="xsd:double"&gt;314.807686&lt;/D&gt;&lt;D xsi:type="xsd:double"&gt;308.047003&lt;/D&gt;&lt;D xsi:type="xsd:double"&gt;306.902456&lt;/D&gt;&lt;D xsi:type="xsd:double"&gt;310.242647&lt;/D&gt;&lt;D xsi:type="xsd:double"&gt;311.421625&lt;/D&gt;&lt;D xsi:type="xsd:double"&gt;311.233291&lt;/D&gt;&lt;D xsi:type="xsd:double"&gt;312.694454&lt;/D&gt;&lt;D xsi:type="xsd:double"&gt;315.802593&lt;/D&gt;&lt;D xsi:type="xsd:double"&gt;313.422639&lt;/D&gt;&lt;D xsi:type="xsd:double"&gt;311.306607&lt;/D&gt;&lt;D xsi:type="xsd:double"&gt;310.026326&lt;/D&gt;&lt;D xsi:type="xsd:double"&gt;304.10474&lt;/D&gt;&lt;D xsi:type="xsd:double"&gt;301.54508&lt;/D&gt;&lt;D xsi:type="xsd:double"&gt;302.683023&lt;/D&gt;&lt;D xsi:type="xsd:double"&gt;303.191645&lt;/D&gt;&lt;D xsi:type="xsd:double"&gt;301.718428&lt;/D&gt;&lt;D xsi:type="xsd:double"&gt;300.295655&lt;/D&gt;&lt;D xsi:type="xsd:double"&gt;289.289808&lt;/D&gt;&lt;D xsi:type="xsd:double"&gt;287.260513&lt;/D&gt;&lt;D xsi:type="xsd:double"&gt;291.936742&lt;/D&gt;&lt;D xsi:type="xsd:double"&gt;294.364278&lt;/D&gt;&lt;D xsi:type="xsd:double"&gt;287.292914&lt;/D&gt;&lt;D xsi:type="xsd:double"&gt;297.125351&lt;/D&gt;&lt;D xsi:type="xsd:double"&gt;299.701452&lt;/D&gt;&lt;D xsi:type="xsd:double"&gt;303.283133&lt;/D&gt;&lt;D xsi:type="xsd:double"&gt;297.60551&lt;/D&gt;&lt;D xsi:type="xsd:double"&gt;294.388165&lt;/D&gt;&lt;D xsi:type="xsd:double"&gt;298.778422&lt;/D&gt;&lt;D xsi:type="xsd:double"&gt;304.283478&lt;/D&gt;&lt;D xsi:type="xsd:double"&gt;304.242693&lt;/D&gt;&lt;D xsi:type="xsd:double"&gt;301.283767&lt;/D&gt;&lt;D xsi:type="xsd:double"&gt;303.791831&lt;/D&gt;&lt;D xsi:type="xsd:double"&gt;309.508552&lt;/D&gt;&lt;D xsi:type="xsd:double"&gt;314.360625&lt;/D&gt;&lt;D xsi:type="xsd:double"&gt;316.414785&lt;/D&gt;&lt;D xsi:type="xsd:double"&gt;311.685953&lt;/D&gt;&lt;D xsi:type="xsd:double"&gt;307.669817&lt;/D&gt;&lt;D xsi:type="xsd:double"&gt;302.87768&lt;/D&gt;&lt;D xsi:type="xsd:double"&gt;304.288628&lt;/D&gt;&lt;D xsi:type="xsd:double"&gt;299.354304&lt;/D&gt;&lt;D xsi:type="xsd:double"&gt;305.206423&lt;/D&gt;&lt;D xsi:type="xsd:double"&gt;299.532501&lt;/D&gt;&lt;D xsi:type="xsd:double"&gt;301.849442&lt;/D&gt;&lt;D xsi:type="xsd:double"&gt;297.407032&lt;/D&gt;&lt;D xsi:type="xsd:double"&gt;297.554901&lt;/D&gt;&lt;D xsi:type="xsd:double"&gt;290.555667&lt;/D&gt;&lt;D xsi:type="xsd:double"&gt;292.522832&lt;/D&gt;&lt;D xsi:type="xsd:double"&gt;292.37491&lt;/D&gt;&lt;D xsi:type="xsd:double"&gt;297.266122&lt;/D&gt;&lt;D xsi:type="xsd:double"&gt;300.304658&lt;/D&gt;&lt;D xsi:type="xsd:double"&gt;309.364455&lt;/D&gt;&lt;D xsi:type="xsd:double"&gt;306.857926&lt;/D&gt;&lt;D xsi:type="xsd:double"&gt;301.340805&lt;/D&gt;&lt;D xsi:type="xsd:double"&gt;299.769232&lt;/D&gt;&lt;D xsi:type="xsd:double"&gt;302.049976&lt;/D&gt;&lt;D xsi:type="xsd:double"&gt;297.829229&lt;/D&gt;&lt;D xsi:type="xsd:double"&gt;301.520664&lt;/D&gt;&lt;D xsi:type="xsd:double"&gt;296.926983&lt;/D&gt;&lt;D xsi:type="xsd:double"&gt;284.11474&lt;/D&gt;&lt;D xsi:type="xsd:double"&gt;286.079286&lt;/D&gt;&lt;D xsi:type="xsd:double"&gt;303.540008&lt;/D&gt;&lt;D xsi:type="xsd:double"&gt;306.012823&lt;/D&gt;&lt;D xsi:type="xsd:double"&gt;306.533334&lt;/D&gt;&lt;D xsi:type="xsd:double"&gt;315.637709&lt;/D&gt;&lt;D xsi:type="xsd:double"&gt;322.622299&lt;/D&gt;&lt;D xsi:type="xsd:double"&gt;320.3076&lt;/D&gt;&lt;D xsi:type="xsd:double"&gt;322.009339&lt;/D&gt;&lt;D xsi:type="xsd:double"&gt;324.023164&lt;/D&gt;&lt;D xsi:type="xsd:double"&gt;325.728003&lt;/D&gt;&lt;D xsi:type="xsd:double"&gt;324.059375&lt;/D&gt;&lt;D xsi:type="xsd:double"&gt;327.562815&lt;/D&gt;&lt;D xsi:type="xsd:double"&gt;332.436021&lt;/D&gt;&lt;D xsi:type="xsd:double"&gt;333.315692&lt;/D&gt;&lt;D xsi:type="xsd:double"&gt;333.921289&lt;/D&gt;&lt;D xsi:type="xsd:double"&gt;334.303929&lt;/D&gt;&lt;D xsi:type="xsd:double"&gt;333.209485&lt;/D&gt;&lt;D xsi:type="xsd:double"&gt;332.078379&lt;/D&gt;&lt;D xsi:type="xsd:double"&gt;329.165796&lt;/D&gt;&lt;D xsi:type="xsd:double"&gt;327.122035&lt;/D&gt;&lt;D xsi:type="xsd:double"&gt;322.414843&lt;/D&gt;&lt;D xsi:type="xsd:double"&gt;322.331107&lt;/D&gt;&lt;D xsi:type="xsd:double"&gt;323.120197&lt;/D&gt;&lt;D xsi:type="xsd:double"&gt;322.943582&lt;/D&gt;&lt;D xsi:type="xsd:double"&gt;330.828787&lt;/D&gt;&lt;D xsi:type="xsd:double"&gt;334.584737&lt;/D&gt;&lt;D xsi:type="xsd:double"&gt;343.314859&lt;/D&gt;&lt;D xsi:type="xsd:double"&gt;344.074767&lt;/D&gt;&lt;D xsi:type="xsd:double"&gt;344.58412&lt;/D&gt;&lt;D xsi:type="xsd:double"&gt;343.213277&lt;/D&gt;&lt;D xsi:type="xsd:double"&gt;340.836148&lt;/D&gt;&lt;D xsi:type="xsd:double"&gt;339.432894&lt;/D&gt;&lt;D xsi:type="xsd:double"&gt;336.463282&lt;/D&gt;&lt;D xsi:type="xsd:double"&gt;338.237685&lt;/D&gt;&lt;D xsi:type="xsd:double"&gt;339.047338&lt;/D&gt;&lt;D xsi:type="xsd:double"&gt;337.048569&lt;/D&gt;&lt;D xsi:type="xsd:double"&gt;333.023128&lt;/D&gt;&lt;D xsi:type="xsd:double"&gt;329.067451&lt;/D&gt;&lt;D xsi:type="xsd:double"&gt;330.393297&lt;/D&gt;&lt;D xsi:type="xsd:double"&gt;328.607383&lt;/D&gt;&lt;D xsi:type="xsd:double"&gt;324.674982&lt;/D&gt;&lt;D xsi:type="xsd:double"&gt;332.120703&lt;/D&gt;&lt;D xsi:type="xsd:double"&gt;328.153878&lt;/D&gt;&lt;D xsi:type="xsd:double"&gt;333.15123&lt;/D&gt;&lt;D xsi:type="xsd:double"&gt;336.686956&lt;/D&gt;&lt;D xsi:type="xsd:double"&gt;341.69239&lt;/D&gt;&lt;D xsi:type="xsd:double"&gt;335.991035&lt;/D&gt;&lt;D xsi:type="xsd:double"&gt;334.225733&lt;/D&gt;&lt;D xsi:type="xsd:double"&gt;341.02653&lt;/D&gt;&lt;D xsi:type="xsd:double"&gt;345.14782&lt;/D&gt;&lt;D xsi:type="xsd:double"&gt;348.984615&lt;/D&gt;&lt;D xsi:type="xsd:double"&gt;348.741111&lt;/D&gt;&lt;D xsi:type="xsd:double"&gt;345.382939&lt;/D&gt;&lt;D xsi:type="xsd:double"&gt;349.25595&lt;/D&gt;&lt;D xsi:type="xsd:double"&gt;352.304748&lt;/D&gt;&lt;D xsi:type="xsd:double"&gt;355.602253&lt;/D&gt;&lt;D xsi:type="xsd:double"&gt;352.356799&lt;/D&gt;&lt;D xsi:type="xsd:double"&gt;353.812919&lt;/D&gt;&lt;D xsi:type="xsd:double"&gt;349.049105&lt;/D&gt;&lt;D xsi:type="xsd:double"&gt;343.504145&lt;/D&gt;&lt;D xsi:type="xsd:double"&gt;339.823654&lt;/D&gt;&lt;D xsi:type="xsd:double"&gt;341.196322&lt;/D&gt;&lt;D xsi:type="xsd:double"&gt;335.569951&lt;/D&gt;&lt;D xsi:type="xsd:double"&gt;342.279366&lt;/D&gt;&lt;D xsi:type="xsd:double"&gt;345.701415&lt;/D&gt;&lt;D xsi:type="xsd:double"&gt;344.710222&lt;/D&gt;&lt;D xsi:type="xsd:double"&gt;343.202388&lt;/D&gt;&lt;D xsi:type="xsd:double"&gt;347.725969&lt;/D&gt;&lt;D xsi:type="xsd:double"&gt;348.208713&lt;/D&gt;&lt;D xsi:type="xsd:double"&gt;350.097618&lt;/D&gt;&lt;D xsi:type="xsd:double"&gt;346.280104&lt;/D&gt;&lt;D xsi:type="xsd:double"&gt;344.477519&lt;/D&gt;&lt;D xsi:type="xsd:double"&gt;342.072793&lt;/D&gt;&lt;D xsi:type="xsd:double"&gt;343.797317&lt;/D&gt;&lt;D xsi:type="xsd:double"&gt;340.395962&lt;/D&gt;&lt;D xsi:type="xsd:double"&gt;341.235459&lt;/D&gt;&lt;D xsi:type="xsd:double"&gt;341.224552&lt;/D&gt;&lt;D xsi:type="xsd:double"&gt;339.502777&lt;/D&gt;&lt;D xsi:type="xsd:double"&gt;337.1522&lt;/D&gt;&lt;D xsi:type="xsd:double"&gt;335.592572&lt;/D&gt;&lt;D xsi:type="xsd:double"&gt;330.890409&lt;/D&gt;&lt;D xsi:type="xsd:double"&gt;329.428049&lt;/D&gt;&lt;D xsi:type="xsd:double"&gt;330.289289&lt;/D&gt;&lt;D xsi:type="xsd:double"&gt;329.113911&lt;/D&gt;&lt;D xsi:type="xsd:double"&gt;328.556499&lt;/D&gt;&lt;D xsi:type="xsd:double"&gt;326.462226&lt;/D&gt;&lt;D xsi:type="xsd:double"&gt;316.262876&lt;/D&gt;&lt;D xsi:type="xsd:double"&gt;314.585254&lt;/D&gt;&lt;D xsi:type="xsd:double"&gt;317.741298&lt;/D&gt;&lt;D xsi:type="xsd:double"&gt;318.251572&lt;/D&gt;&lt;D xsi:type="xsd:double"&gt;316.647421&lt;/D&gt;&lt;D xsi:type="xsd:double"&gt;315.223184&lt;/D&gt;&lt;D xsi:type="xsd:double"&gt;310.83035&lt;/D&gt;&lt;D xsi:type="xsd:double"&gt;313.996078&lt;/D&gt;&lt;D xsi:type="xsd:double"&gt;316.838522&lt;/D&gt;&lt;D xsi:type="xsd:double"&gt;315.028333&lt;/D&gt;&lt;D xsi:type="xsd:double"&gt;318.070794&lt;/D&gt;&lt;D xsi:type="xsd:double"&gt;316.809413&lt;/D&gt;&lt;D xsi:type="xsd:double"&gt;311.488188&lt;/D&gt;&lt;D xsi:type="xsd:double"&gt;308.777779&lt;/D&gt;&lt;D xsi:type="xsd:double"&gt;308.82267&lt;/D&gt;&lt;D xsi:type="xsd:double"&gt;312.565066&lt;/D&gt;&lt;D xsi:type="xsd:double"&gt;310.862185&lt;/D&gt;&lt;D xsi:type="xsd:double"&gt;309.326724&lt;/D&gt;&lt;D xsi:type="xsd:double"&gt;305.481775&lt;/D&gt;&lt;D xsi:type="xsd:double"&gt;301.055039&lt;/D&gt;&lt;D xsi:type="xsd:double"&gt;299.618739&lt;/D&gt;&lt;D xsi:type="xsd:double"&gt;294.871594&lt;/D&gt;&lt;D xsi:type="xsd:double"&gt;292.459809&lt;/D&gt;&lt;D xsi:type="xsd:double"&gt;302.64196&lt;/D&gt;&lt;D xsi:type="xsd:double"&gt;307.878753&lt;/D&gt;&lt;D xsi:type="xsd:double"&gt;311.485583&lt;/D&gt;&lt;D xsi:type="xsd:double"&gt;308.193464&lt;/D&gt;&lt;D xsi:type="xsd:double"&gt;317.526268&lt;/D&gt;&lt;D xsi:type="xsd:double"&gt;322.323822&lt;/D&gt;&lt;D xsi:type="xsd:double"&gt;316.044952&lt;/D&gt;&lt;D xsi:type="xsd:double"&gt;314.344672&lt;/D&gt;&lt;D xsi:type="xsd:double"&gt;316.929268&lt;/D&gt;&lt;D xsi:type="xsd:double"&gt;317.94575&lt;/D&gt;&lt;D xsi:type="xsd:double"&gt;316.025434&lt;/D&gt;&lt;D xsi:type="xsd:double"&gt;322.586068&lt;/D&gt;&lt;D xsi:type="xsd:double"&gt;318.122809&lt;/D&gt;&lt;D xsi:type="xsd:double"&gt;317.295359&lt;/D&gt;&lt;D xsi:type="xsd:double"&gt;322.945212&lt;/D&gt;&lt;D xsi:type="xsd:double"&gt;329.996355&lt;/D&gt;&lt;D xsi:type="xsd:double"&gt;334.005484&lt;/D&gt;&lt;D xsi:type="xsd:double"&gt;336.797742&lt;/D&gt;&lt;D xsi:type="xsd:double"&gt;336.173287&lt;/D&gt;&lt;D xsi:type="xsd:double"&gt;336.869755&lt;/D&gt;&lt;D xsi:type="xsd:double"&gt;333.866556&lt;/D&gt;&lt;D xsi:type="xsd:double"&gt;336.269567&lt;/D&gt;&lt;D xsi:type="xsd:double"&gt;337.067744&lt;/D&gt;&lt;D xsi:type="xsd:double"&gt;337.1628&lt;/D&gt;&lt;D xsi:type="xsd:double"&gt;334.415036&lt;/D&gt;&lt;D xsi:type="xsd:double"&gt;331.389896&lt;/D&gt;&lt;D xsi:type="xsd:double"&gt;332.154861&lt;/D&gt;&lt;D xsi:type="xsd:double"&gt;332.882279&lt;/D&gt;&lt;D xsi:type="xsd:double"&gt;330.935787&lt;/D&gt;&lt;D xsi:type="xsd:double"&gt;329.111445&lt;/D&gt;&lt;D xsi:type="xsd:double"&gt;328.900431&lt;/D&gt;&lt;D xsi:type="xsd:double"&gt;326.531259&lt;/D&gt;&lt;D xsi:type="xsd:double"&gt;323.879894&lt;/D&gt;&lt;D xsi:type="xsd:double"&gt;321.366442&lt;/D&gt;&lt;D xsi:type="xsd:double"&gt;318.041843&lt;/D&gt;&lt;D xsi:type="xsd:double"&gt;320.483441&lt;/D&gt;&lt;D xsi:type="xsd:double"&gt;321.814746&lt;/D&gt;&lt;D xsi:type="xsd:double"&gt;322.729041&lt;/D&gt;&lt;D xsi:type="xsd:double"&gt;323.694128&lt;/D&gt;&lt;D xsi:type="xsd:double"&gt;325.372026&lt;/D&gt;&lt;D xsi:type="xsd:double"&gt;324.634093&lt;/D&gt;&lt;D xsi:type="xsd:double"&gt;324.931264&lt;/D&gt;&lt;D xsi:type="xsd:double"&gt;323.951753&lt;/D&gt;&lt;D xsi:type="xsd:double"&gt;319.743071&lt;/D&gt;&lt;D xsi:type="xsd:double"&gt;315.516185&lt;/D&gt;&lt;D xsi:type="xsd:double"&gt;315.45334&lt;/D&gt;&lt;D xsi:type="xsd:double"&gt;317.147243&lt;/D&gt;&lt;D xsi:type="xsd:double"&gt;315.268319&lt;/D&gt;&lt;D xsi:type="xsd:double"&gt;318.329237&lt;/D&gt;&lt;D xsi:type="xsd:double"&gt;321.532383&lt;/D&gt;&lt;D xsi:type="xsd:double"&gt;325.260282&lt;/D&gt;&lt;D xsi:type="xsd:double"&gt;325.623162&lt;/D&gt;&lt;D xsi:type="xsd:double"&gt;324.423957&lt;/D&gt;&lt;D xsi:type="xsd:double"&gt;321.833081&lt;/D&gt;&lt;D xsi:type="xsd:double"&gt;318.489711&lt;/D&gt;&lt;D xsi:type="xsd:double"&gt;319.956747&lt;/D&gt;&lt;D xsi:type="xsd:double"&gt;318.351752&lt;/D&gt;&lt;D xsi:type="xsd:double"&gt;318.864219&lt;/D&gt;&lt;D xsi:type="xsd:double"&gt;322.03273&lt;/D&gt;&lt;D xsi:type="xsd:double"&gt;319.949912&lt;/D&gt;&lt;D xsi:type="xsd:double"&gt;319.172957&lt;/D&gt;&lt;D xsi:type="xsd:double"&gt;318.992796&lt;/D&gt;&lt;D xsi:type="xsd:double"&gt;317.489125&lt;/D&gt;&lt;D xsi:type="xsd:double"&gt;318.150761&lt;/D&gt;&lt;D xsi:type="xsd:double"&gt;318.444282&lt;/D&gt;&lt;D xsi:type="xsd:double"&gt;317.916621&lt;/D&gt;&lt;D xsi:type="xsd:double"&gt;317.265056&lt;/D&gt;&lt;D xsi:type="xsd:double"&gt;316.78576&lt;/D&gt;&lt;D xsi:type="xsd:double"&gt;319.379206&lt;/D&gt;&lt;D xsi:type="xsd:double"&gt;317.883861&lt;/D&gt;&lt;D xsi:type="xsd:double"&gt;320.937008&lt;/D&gt;&lt;D xsi:type="xsd:double"&gt;318.728836&lt;/D&gt;&lt;D xsi:type="xsd:double"&gt;316.342094&lt;/D&gt;&lt;D xsi:type="xsd:double"&gt;315.49607&lt;/D&gt;&lt;D xsi:type="xsd:double"&gt;313.658911&lt;/D&gt;&lt;D xsi:type="xsd:double"&gt;315.013324&lt;/D&gt;&lt;D xsi:type="xsd:double"&gt;315.259118&lt;/D&gt;&lt;D xsi:type="xsd:double"&gt;316.120844&lt;/D&gt;&lt;D xsi:type="xsd:double"&gt;316.619999&lt;/D&gt;&lt;D xsi:type="xsd:double"&gt;315.288819&lt;/D&gt;&lt;D xsi:type="xsd:double"&gt;316.270321&lt;/D&gt;&lt;D xsi:type="xsd:double"&gt;316.80131&lt;/D&gt;&lt;D xsi:type="xsd:double"&gt;313.853474&lt;/D&gt;&lt;D xsi:type="xsd:double"&gt;316.092879&lt;/D&gt;&lt;D xsi:type="xsd:double"&gt;315.839356&lt;/D&gt;&lt;D xsi:type="xsd:double"&gt;315.538254&lt;/D&gt;&lt;D xsi:type="xsd:double"&gt;311.670324&lt;/D&gt;&lt;D xsi:type="xsd:double"&gt;310.708116&lt;/D&gt;&lt;D xsi:type="xsd:double"&gt;310.634861&lt;/D&gt;&lt;D xsi:type="xsd:double"&gt;310.659214&lt;/D&gt;&lt;D xsi:type="xsd:double"&gt;308.141281&lt;/D&gt;&lt;D xsi:type="xsd:double"&gt;308.518125&lt;/D&gt;&lt;D xsi:type="xsd:double"&gt;307.728044&lt;/D&gt;&lt;D xsi:type="xsd:double"&gt;305.623257&lt;/D&gt;&lt;D xsi:type="xsd:double"&gt;302.771895&lt;/D&gt;&lt;D xsi:type="xsd:double"&gt;302.18139&lt;/D&gt;&lt;D xsi:type="xsd:double"&gt;302.330719&lt;/D&gt;&lt;D xsi:type="xsd:double"&gt;300.83105&lt;/D&gt;&lt;D xsi:type="xsd:double"&gt;301.965492&lt;/D&gt;&lt;D xsi:type="xsd:double"&gt;302.823972&lt;/D&gt;&lt;D xsi:type="xsd:double"&gt;303.516298&lt;/D&gt;&lt;D xsi:type="xsd:double"&gt;302.974557&lt;/D&gt;&lt;D xsi:type="xsd:double"&gt;298.167051&lt;/D&gt;&lt;D xsi:type="xsd:double"&gt;296.658235&lt;/D&gt;&lt;D xsi:type="xsd:double"&gt;294.531897&lt;/D&gt;&lt;D xsi:type="xsd:double"&gt;291.092863&lt;/D&gt;&lt;D xsi:type="xsd:double"&gt;290.785913&lt;/D&gt;&lt;D xsi:type="xsd:double"&gt;286.222103&lt;/D&gt;&lt;D xsi:type="xsd:double"&gt;292.822768&lt;/D&gt;&lt;D xsi:type="xsd:double"&gt;295.238352&lt;/D&gt;&lt;D xsi:type="xsd:double"&gt;293.905646&lt;/D&gt;&lt;D xsi:type="xsd:double"&gt;293.203015&lt;/D&gt;&lt;D xsi:type="xsd:double"&gt;289.767106&lt;/D&gt;&lt;D xsi:type="xsd:double"&gt;288.32331&lt;/D&gt;&lt;D xsi:type="xsd:double"&gt;284.286368&lt;/D&gt;&lt;D xsi:type="xsd:double"&gt;290.906818&lt;/D&gt;&lt;D xsi:type="xsd:double"&gt;292.128635&lt;/D&gt;&lt;D xsi:type="xsd:double"&gt;295.069378&lt;/D&gt;&lt;D xsi:type="xsd:double"&gt;301.311804&lt;/D&gt;&lt;D xsi:type="xsd:double"&gt;306.888344&lt;/D&gt;&lt;D xsi:type="xsd:double"&gt;305.651238&lt;/D&gt;&lt;D xsi:type="xsd:double"&gt;303.994688&lt;/D&gt;&lt;D xsi:type="xsd:double"&gt;302.982126&lt;/D&gt;&lt;D xsi:type="xsd:double"&gt;304.578939&lt;/D&gt;&lt;D xsi:type="xsd:double"&gt;304.189754&lt;/D&gt;&lt;D xsi:type="xsd:double"&gt;304.656979&lt;/D&gt;&lt;D xsi:type="xsd:double"&gt;302.958459&lt;/D&gt;&lt;D xsi:type="xsd:double"&gt;298.769655&lt;/D&gt;&lt;D xsi:type="xsd:double"&gt;296.844127&lt;/D&gt;&lt;D xsi:type="xsd:double"&gt;299.024608&lt;/D&gt;&lt;D xsi:type="xsd:double"&gt;298.261025&lt;/D&gt;&lt;D xsi:type="xsd:double"&gt;299.939569&lt;/D&gt;&lt;D xsi:type="xsd:double"&gt;298.824036&lt;/D&gt;&lt;D xsi:type="xsd:double"&gt;297.043766&lt;/D&gt;&lt;D xsi:type="xsd:double"&gt;297.828596&lt;/D&gt;&lt;D xsi:type="xsd:double"&gt;297.427277&lt;/D&gt;&lt;D xsi:type="xsd:double"&gt;293.620711&lt;/D&gt;&lt;D xsi:type="xsd:double"&gt;293.983611&lt;/D&gt;&lt;D xsi:type="xsd:double"&gt;292.571357&lt;/D&gt;&lt;D xsi:type="xsd:double"&gt;292.171023&lt;/D&gt;&lt;D xsi:type="xsd:double"&gt;295.066191&lt;/D&gt;&lt;D xsi:type="xsd:double"&gt;295.961959&lt;/D&gt;&lt;D xsi:type="xsd:double"&gt;294.470655&lt;/D&gt;&lt;D xsi:type="xsd:double"&gt;293.133625&lt;/D&gt;&lt;D xsi:type="xsd:double"&gt;292.671273&lt;/D&gt;&lt;D xsi:type="xsd:double"&gt;291.523111&lt;/D&gt;&lt;D xsi:type="xsd:double"&gt;291.498309&lt;/D&gt;&lt;D xsi:type="xsd:double"&gt;291.197474&lt;/D&gt;&lt;D xsi:type="xsd:double"&gt;290.086351&lt;/D&gt;&lt;D xsi:type="xsd:double"&gt;286.792061&lt;/D&gt;&lt;D xsi:type="xsd:double"&gt;284.789968&lt;/D&gt;&lt;D xsi:type="xsd:double"&gt;288.331417&lt;/D&gt;&lt;D xsi:type="xsd:double"&gt;288.406058&lt;/D&gt;&lt;D xsi:type="xsd:double"&gt;288.623317&lt;/D&gt;&lt;D xsi:type="xsd:double"&gt;292.520088&lt;/D&gt;&lt;D xsi:type="xsd:double"&gt;295.002169&lt;/D&gt;&lt;D xsi:type="xsd:double"&gt;292.743555&lt;/D&gt;&lt;D xsi:type="xsd:double"&gt;292.58054&lt;/D&gt;&lt;D xsi:type="xsd:double"&gt;291.879056&lt;/D&gt;&lt;D xsi:type="xsd:double"&gt;289.193143&lt;/D&gt;&lt;D xsi:type="xsd:double"&gt;289.536014&lt;/D&gt;&lt;D xsi:type="xsd:double"&gt;290.405618&lt;/D&gt;&lt;D xsi:type="xsd:double"&gt;290.918623&lt;/D&gt;&lt;D xsi:type="xsd:double"&gt;288.827093&lt;/D&gt;&lt;D xsi:type="xsd:double"&gt;289.987965&lt;/D&gt;&lt;D xsi:type="xsd:double"&gt;290.195842&lt;/D&gt;&lt;D xsi:type="xsd:double"&gt;290.163332&lt;/D&gt;&lt;D xsi:type="xsd:double"&gt;288.679835&lt;/D&gt;&lt;D xsi:type="xsd:double"&gt;287.812007&lt;/D&gt;&lt;D xsi:type="xsd:double"&gt;287.042038&lt;/D&gt;&lt;D xsi:type="xsd:double"&gt;287.875688&lt;/D&gt;&lt;D xsi:type="xsd:double"&gt;288.278294&lt;/D&gt;&lt;D xsi:type="xsd:double"&gt;287.467565&lt;/D&gt;&lt;D xsi:type="xsd:double"&gt;286.447746&lt;/D&gt;&lt;D xsi:type="xsd:double"&gt;285.107435&lt;/D&gt;&lt;D xsi:type="xsd:double"&gt;284.0185&lt;/D&gt;&lt;D xsi:type="xsd:double"&gt;284.096328&lt;/D&gt;&lt;D xsi:type="xsd:double"&gt;282.373855&lt;/D&gt;&lt;D xsi:type="xsd:double"&gt;278.480568&lt;/D&gt;&lt;D xsi:type="xsd:double"&gt;279.443084&lt;/D&gt;&lt;D xsi:type="xsd:double"&gt;281.127802&lt;/D&gt;&lt;D xsi:type="xsd:double"&gt;280.550752&lt;/D&gt;&lt;D xsi:type="xsd:double"&gt;277.53289&lt;/D&gt;&lt;D xsi:type="xsd:double"&gt;276.373394&lt;/D&gt;&lt;D xsi:type="xsd:double"&gt;277.674986&lt;/D&gt;&lt;D xsi:type="xsd:double"&gt;279.000495&lt;/D&gt;&lt;D xsi:type="xsd:double"&gt;278.989271&lt;/D&gt;&lt;D xsi:type="xsd:double"&gt;278.223268&lt;/D&gt;&lt;D xsi:type="xsd:double"&gt;277.259898&lt;/D&gt;&lt;D xsi:type="xsd:double"&gt;278.449629&lt;/D&gt;&lt;D xsi:type="xsd:double"&gt;277.764512&lt;/D&gt;&lt;D xsi:type="xsd:double"&gt;277.82215&lt;/D&gt;&lt;D xsi:type="xsd:double"&gt;279.389286&lt;/D&gt;&lt;D xsi:type="xsd:double"&gt;276.65316&lt;/D&gt;&lt;D xsi:type="xsd:double"&gt;274.674081&lt;/D&gt;&lt;D xsi:type="xsd:double"&gt;274.872076&lt;/D&gt;&lt;D xsi:type="xsd:double"&gt;275.64436&lt;/D&gt;&lt;D xsi:type="xsd:double"&gt;274.695129&lt;/D&gt;&lt;D xsi:type="xsd:double"&gt;273.607883&lt;/D&gt;&lt;D xsi:type="xsd:double"&gt;275.448058&lt;/D&gt;&lt;D xsi:type="xsd:double"&gt;275.234714&lt;/D&gt;&lt;D xsi:type="xsd:double"&gt;273.509438&lt;/D&gt;&lt;D xsi:type="xsd:double"&gt;272.066451&lt;/D&gt;&lt;D xsi:type="xsd:double"&gt;271.784782&lt;/D&gt;&lt;D xsi:type="xsd:double"&gt;271.754823&lt;/D&gt;&lt;D xsi:type="xsd:double"&gt;270.866789&lt;/D&gt;&lt;D xsi:type="xsd:double"&gt;269.530688&lt;/D&gt;&lt;D xsi:type="xsd:double"&gt;268.418053&lt;/D&gt;&lt;D xsi:type="xsd:double"&gt;270.127726&lt;/D&gt;&lt;D xsi:type="xsd:double"&gt;268.231253&lt;/D&gt;&lt;D xsi:type="xsd:double"&gt;267.089129&lt;/D&gt;&lt;D xsi:type="xsd:double"&gt;265.837383&lt;/D&gt;&lt;D xsi:type="xsd:double"&gt;266.073558&lt;/D&gt;&lt;D xsi:type="xsd:double"&gt;265.686916&lt;/D&gt;&lt;D xsi:type="xsd:double"&gt;265.491395&lt;/D&gt;&lt;D xsi:type="xsd:double"&gt;267.102137&lt;/D&gt;&lt;D xsi:type="xsd:double"&gt;264.172572&lt;/D&gt;&lt;D xsi:type="xsd:double"&gt;264.355208&lt;/D&gt;&lt;D xsi:type="xsd:double"&gt;265.779245&lt;/D&gt;&lt;D xsi:type="xsd:double"&gt;264.114567&lt;/D&gt;&lt;D xsi:type="xsd:double"&gt;264.459045&lt;/D&gt;&lt;D xsi:type="xsd:double"&gt;264.042512&lt;/D&gt;&lt;D xsi:type="xsd:double"&gt;260.800846&lt;/D&gt;&lt;D xsi:type="xsd:double"&gt;259.780039&lt;/D&gt;&lt;D xsi:type="xsd:double"&gt;260.92061&lt;/D&gt;&lt;D xsi:type="xsd:double"&gt;262.650256&lt;/D&gt;&lt;D xsi:type="xsd:double"&gt;261.350654&lt;/D&gt;&lt;D xsi:type="xsd:double"&gt;261.142791&lt;/D&gt;&lt;D xsi:type="xsd:double"&gt;261.565816&lt;/D&gt;&lt;D xsi:type="xsd:double"&gt;260.459739&lt;/D&gt;&lt;D xsi:type="xsd:double"&gt;261.422732&lt;/D&gt;&lt;D xsi:type="xsd:double"&gt;259.956732&lt;/D&gt;&lt;D xsi:type="xsd:double"&gt;259.08155&lt;/D&gt;&lt;D xsi:type="xsd:double"&gt;257.380088&lt;/D&gt;&lt;D xsi:type="xsd:double"&gt;260.392294&lt;/D&gt;&lt;D xsi:type="xsd:double"&gt;260.741984&lt;/D&gt;&lt;D xsi:type="xsd:double"&gt;264.428372&lt;/D&gt;&lt;D xsi:type="xsd:double"&gt;267.499753&lt;/D&gt;&lt;D xsi:type="xsd:double"&gt;265.560285&lt;/D&gt;&lt;D xsi:type="xsd:double"&gt;264.437696&lt;/D&gt;&lt;D xsi:type="xsd:double"&gt;264.575109&lt;/D&gt;&lt;D xsi:type="xsd:double"&gt;262.701303&lt;/D&gt;&lt;D xsi:type="xsd:double"&gt;261.908166&lt;/D&gt;&lt;D xsi:type="xsd:double"&gt;261.298968&lt;/D&gt;&lt;D xsi:type="xsd:double"&gt;262.232256&lt;/D&gt;&lt;D xsi:type="xsd:double"&gt;262.987426&lt;/D&gt;&lt;D xsi:type="xsd:double"&gt;264.123744&lt;/D&gt;&lt;D xsi:type="xsd:double"&gt;264.165099&lt;/D&gt;&lt;D xsi:type="xsd:double"&gt;263.727364&lt;/D&gt;&lt;D xsi:type="xsd:double"&gt;264.785028&lt;/D&gt;&lt;D xsi:type="xsd:double"&gt;264.014511&lt;/D&gt;&lt;D xsi:type="xsd:double"&gt;261.008091&lt;/D&gt;&lt;D xsi:type="xsd:double"&gt;258.715041&lt;/D&gt;&lt;D xsi:type="xsd:double"&gt;257.527902&lt;/D&gt;&lt;D xsi:type="xsd:double"&gt;257.830175&lt;/D&gt;&lt;D xsi:type="xsd:double"&gt;260.555515&lt;/D&gt;&lt;D xsi:type="xsd:double"&gt;258.310859&lt;/D&gt;&lt;D xsi:type="xsd:double"&gt;257.349868&lt;/D&gt;&lt;D xsi:type="xsd:double"&gt;260.619454&lt;/D&gt;&lt;D xsi:type="xsd:double"&gt;257.261303&lt;/D&gt;&lt;D xsi:type="xsd:double"&gt;258.746088&lt;/D&gt;&lt;D xsi:type="xsd:double"&gt;255.74233&lt;/D&gt;&lt;D xsi:type="xsd:double"&gt;257.860471&lt;/D&gt;&lt;D xsi:type="xsd:double"&gt;257.918125&lt;/D&gt;&lt;D xsi:type="xsd:double"&gt;255.793172&lt;/D&gt;&lt;D xsi:type="xsd:double"&gt;250.875827&lt;/D&gt;&lt;D xsi:type="xsd:double"&gt;250.704714&lt;/D&gt;&lt;D xsi:type="xsd:double"&gt;249.149713&lt;/D&gt;&lt;D xsi:type="xsd:double"&gt;247.348253&lt;/D&gt;&lt;D xsi:type="xsd:double"&gt;248.70324&lt;/D&gt;&lt;D xsi:type="xsd:double"&gt;245.080375&lt;/D&gt;&lt;D xsi:type="xsd:double"&gt;240.567652&lt;/D&gt;&lt;D xsi:type="xsd:double"&gt;242.576161&lt;/D&gt;&lt;D xsi:type="xsd:double"&gt;245.685874&lt;/D&gt;&lt;D xsi:type="xsd:double"&gt;250.130972&lt;/D&gt;&lt;D xsi:type="xsd:double"&gt;253.437354&lt;/D&gt;&lt;D xsi:type="xsd:double"&gt;255.084292&lt;/D&gt;&lt;D xsi:type="xsd:double"&gt;256.683299&lt;/D&gt;&lt;D xsi:type="xsd:double"&gt;256.451995&lt;/D&gt;&lt;D xsi:type="xsd:double"&gt;255.142922&lt;/D&gt;&lt;D xsi:type="xsd:double"&gt;253.4691&lt;/D&gt;&lt;D xsi:type="xsd:double"&gt;256.99248&lt;/D&gt;&lt;D xsi:type="xsd:double"&gt;255.563861&lt;/D&gt;&lt;D xsi:type="xsd:double"&gt;247.219015&lt;/D&gt;&lt;D xsi:type="xsd:double"&gt;242.63355&lt;/D&gt;&lt;D xsi:type="xsd:double"&gt;243.965535&lt;/D&gt;&lt;D xsi:type="xsd:double"&gt;243.985301&lt;/D&gt;&lt;D xsi:type="xsd:double"&gt;243.764058&lt;/D&gt;&lt;D xsi:type="xsd:double"&gt;244.59299&lt;/D&gt;&lt;D xsi:type="xsd:double"&gt;243.404335&lt;/D&gt;&lt;D xsi:type="xsd:double"&gt;242.114714&lt;/D&gt;&lt;D xsi:type="xsd:double"&gt;242.017824&lt;/D&gt;&lt;D xsi:type="xsd:double"&gt;243.215396&lt;/D&gt;&lt;D xsi:type="xsd:double"&gt;241.282324&lt;/D&gt;&lt;D xsi:type="xsd:double"&gt;236.489518&lt;/D&gt;&lt;D xsi:type="xsd:double"&gt;234.896954&lt;/D&gt;&lt;D xsi:type="xsd:double"&gt;242.540696&lt;/D&gt;&lt;D xsi:type="xsd:double"&gt;244.900108&lt;/D&gt;&lt;D xsi:type="xsd:double"&gt;241.018327&lt;/D&gt;&lt;D xsi:type="xsd:double"&gt;249.855965&lt;/D&gt;&lt;D xsi:type="xsd:double"&gt;251.876521&lt;/D&gt;&lt;D xsi:type="xsd:double"&gt;258.899526&lt;/D&gt;&lt;D xsi:type="xsd:double"&gt;260.795691&lt;/D&gt;&lt;D xsi:type="xsd:double"&gt;257.001327&lt;/D&gt;&lt;D xsi:type="xsd:double"&gt;256.450161&lt;/D&gt;&lt;D xsi:type="xsd:double"&gt;257.657842&lt;/D&gt;&lt;D xsi:type="xsd:double"&gt;258.969286&lt;/D&gt;&lt;D xsi:type="xsd:double"&gt;255.135116&lt;/D&gt;&lt;D xsi:type="xsd:double"&gt;253.132768&lt;/D&gt;&lt;D xsi:type="xsd:double"&gt;256.656046&lt;/D&gt;&lt;D xsi:type="xsd:double"&gt;253.062755&lt;/D&gt;&lt;D xsi:type="xsd:double"&gt;258.35241&lt;/D&gt;&lt;D xsi:type="xsd:double"&gt;260.487525&lt;/D&gt;&lt;D xsi:type="xsd:double"&gt;263.780798&lt;/D&gt;&lt;D xsi:type="xsd:double"&gt;268.237382&lt;/D&gt;&lt;D xsi:type="xsd:double"&gt;268.995158&lt;/D&gt;&lt;D xsi:type="xsd:double"&gt;274.244882&lt;/D&gt;&lt;D xsi:type="xsd:double"&gt;278.398376&lt;/D&gt;&lt;D xsi:type="xsd:double"&gt;279.588235&lt;/D&gt;&lt;D xsi:type="xsd:double"&gt;280.509385&lt;/D&gt;&lt;D xsi:type="xsd:double"&gt;279.217837&lt;/D&gt;&lt;D xsi:type="xsd:double"&gt;277.741588&lt;/D&gt;&lt;D xsi:type="xsd:double"&gt;274.647275&lt;/D&gt;&lt;D xsi:type="xsd:double"&gt;273.136509&lt;/D&gt;&lt;D xsi:type="xsd:double"&gt;274.735828&lt;/D&gt;&lt;D xsi:type="xsd:double"&gt;272.065843&lt;/D&gt;&lt;D xsi:type="xsd:double"&gt;270.364559&lt;/D&gt;&lt;D xsi:type="xsd:double"&gt;270.81097&lt;/D&gt;&lt;D xsi:type="xsd:double"&gt;270.203748&lt;/D&gt;&lt;D xsi:type="xsd:double"&gt;268.721764&lt;/D&gt;&lt;D xsi:type="xsd:double"&gt;268.226858&lt;/D&gt;&lt;D xsi:type="xsd:double"&gt;269.428548&lt;/D&gt;&lt;D xsi:type="xsd:double"&gt;267.047157&lt;/D&gt;&lt;D xsi:type="xsd:double"&gt;267.117697&lt;/D&gt;&lt;D xsi:type="xsd:double"&gt;263.92361&lt;/D&gt;&lt;D xsi:type="xsd:double"&gt;262.34441&lt;/D&gt;&lt;D xsi:type="xsd:double"&gt;259.659958&lt;/D&gt;&lt;D xsi:type="xsd:double"&gt;259.39351&lt;/D&gt;&lt;D xsi:type="xsd:double"&gt;261.031964&lt;/D&gt;&lt;D xsi:type="xsd:double"&gt;262.792898&lt;/D&gt;&lt;D xsi:type="xsd:double"&gt;262.752622&lt;/D&gt;&lt;D xsi:type="xsd:double"&gt;264.744658&lt;/D&gt;&lt;D xsi:type="xsd:double"&gt;263.311113&lt;/D&gt;&lt;D xsi:type="xsd:double"&gt;262.223958&lt;/D&gt;&lt;D xsi:type="xsd:double"&gt;260.837619&lt;/D&gt;&lt;D xsi:type="xsd:double"&gt;257.882251&lt;/D&gt;&lt;D xsi:type="xsd:double"&gt;259.521319&lt;/D&gt;&lt;D xsi:type="xsd:double"&gt;255.030897&lt;/D&gt;&lt;D xsi:type="xsd:double"&gt;255.564888&lt;/D&gt;&lt;D xsi:type="xsd:double"&gt;256.16956&lt;/D&gt;&lt;D xsi:type="xsd:double"&gt;256.277359&lt;/D&gt;&lt;D xsi:type="xsd:double"&gt;254.744507&lt;/D&gt;&lt;D xsi:type="xsd:double"&gt;256.549101&lt;/D&gt;&lt;D xsi:type="xsd:double"&gt;256.397197&lt;/D&gt;&lt;D xsi:type="xsd:double"&gt;258.004788&lt;/D&gt;&lt;D xsi:type="xsd:double"&gt;257.036545&lt;/D&gt;&lt;D xsi:type="xsd:double"&gt;255.903147&lt;/D&gt;&lt;D xsi:type="xsd:double"&gt;254.634741&lt;/D&gt;&lt;D xsi:type="xsd:double"&gt;253.491889&lt;/D&gt;&lt;D xsi:type="xsd:double"&gt;251.573963&lt;/D&gt;&lt;D xsi:type="xsd:double"&gt;248.569513&lt;/D&gt;&lt;D xsi:type="xsd:double"&gt;248.380204&lt;/D&gt;&lt;D xsi:type="xsd:double"&gt;246.103812&lt;/D&gt;&lt;D xsi:type="xsd:double"&gt;247.787137&lt;/D&gt;&lt;D xsi:type="xsd:double"&gt;251.711131&lt;/D&gt;&lt;D xsi:type="xsd:double"&gt;251.277201&lt;/D&gt;&lt;D xsi:type="xsd:double"&gt;252.078578&lt;/D&gt;&lt;D xsi:type="xsd:double"&gt;252.296207&lt;/D&gt;&lt;D xsi:type="xsd:double"&gt;251.591161&lt;/D&gt;&lt;D xsi:type="xsd:double"&gt;252.856487&lt;/D&gt;&lt;D xsi:type="xsd:double"&gt;251.531073&lt;/D&gt;&lt;D xsi:type="xsd:double"&gt;251.320491&lt;/D&gt;&lt;D xsi:type="xsd:double"&gt;249.279153&lt;/D&gt;&lt;D xsi:type="xsd:double"&gt;249.082527&lt;/D&gt;&lt;D xsi:type="xsd:double"&gt;247.915686&lt;/D&gt;&lt;D xsi:type="xsd:double"&gt;247.524768&lt;/D&gt;&lt;D xsi:type="xsd:double"&gt;246.454844&lt;/D&gt;&lt;D xsi:type="xsd:double"&gt;246.48012&lt;/D&gt;&lt;D xsi:type="xsd:double"&gt;246.035914&lt;/D&gt;&lt;D xsi:type="xsd:double"&gt;247.330695&lt;/D&gt;&lt;D xsi:type="xsd:double"&gt;248.646225&lt;/D&gt;&lt;D xsi:type="xsd:double"&gt;246.184051&lt;/D&gt;&lt;D xsi:type="xsd:double"&gt;248.844447&lt;/D&gt;&lt;D xsi:type="xsd:double"&gt;250.066409&lt;/D&gt;&lt;D xsi:type="xsd:double"&gt;249.169159&lt;/D&gt;&lt;D xsi:type="xsd:double"&gt;251.292098&lt;/D&gt;&lt;D xsi:type="xsd:double"&gt;252.938081&lt;/D&gt;&lt;D xsi:type="xsd:double"&gt;252.663664&lt;/D&gt;&lt;D xsi:type="xsd:double"&gt;251.169736&lt;/D&gt;&lt;D xsi:type="xsd:double"&gt;251.509932&lt;/D&gt;&lt;D xsi:type="xsd:double"&gt;249.388641&lt;/D&gt;&lt;D xsi:type="xsd:double"&gt;247.403409&lt;/D&gt;&lt;D xsi:type="xsd:double"&gt;245.875212&lt;/D&gt;&lt;D xsi:type="xsd:double"&gt;245.29291&lt;/D&gt;&lt;D xsi:type="xsd:double"&gt;244.211896&lt;/D&gt;&lt;D xsi:type="xsd:double"&gt;244.948432&lt;/D&gt;&lt;D xsi:type="xsd:double"&gt;241.74601&lt;/D&gt;&lt;D xsi:type="xsd:double"&gt;244.83194&lt;/D&gt;&lt;D xsi:type="xsd:double"&gt;248.027779&lt;/D&gt;&lt;D xsi:type="xsd:double"&gt;248.59843&lt;/D&gt;&lt;D xsi:type="xsd:double"&gt;248.282857&lt;/D&gt;&lt;D xsi:type="xsd:double"&gt;246.350407&lt;/D&gt;&lt;D xsi:type="xsd:double"&gt;248.217162&lt;/D&gt;&lt;D xsi:type="xsd:double"&gt;248.312444&lt;/D&gt;&lt;D xsi:type="xsd:double"&gt;245.894228&lt;/D&gt;&lt;D xsi:type="xsd:double"&gt;245.704769&lt;/D&gt;&lt;D xsi:type="xsd:double"&gt;241.339509&lt;/D&gt;&lt;D xsi:type="xsd:double"&gt;236.375877&lt;/D&gt;&lt;D xsi:type="xsd:double"&gt;238.323698&lt;/D&gt;&lt;D xsi:type="xsd:double"&gt;237.929467&lt;/D&gt;&lt;D xsi:type="xsd:double"&gt;237.06654&lt;/D&gt;&lt;D xsi:type="xsd:double"&gt;237.171856&lt;/D&gt;&lt;D xsi:type="xsd:double"&gt;236.802849&lt;/D&gt;&lt;D xsi:type="xsd:double"&gt;236.048104&lt;/D&gt;&lt;D xsi:type="xsd:double"&gt;235.342929&lt;/D&gt;&lt;D xsi:type="xsd:double"&gt;235.828102&lt;/D&gt;&lt;D xsi:type="xsd:double"&gt;235.664022&lt;/D&gt;&lt;D xsi:type="xsd:double"&gt;233.992186&lt;/D&gt;&lt;D xsi:type="xsd:double"&gt;235.858765&lt;/D&gt;&lt;D xsi:type="xsd:double"&gt;234.687768&lt;/D&gt;&lt;D xsi:type="xsd:double"&gt;234.341686&lt;/D&gt;&lt;D xsi:type="xsd:double"&gt;231.754354&lt;/D&gt;&lt;D xsi:type="xsd:double"&gt;231.08496&lt;/D&gt;&lt;D xsi:type="xsd:double"&gt;230.930517&lt;/D&gt;&lt;D xsi:type="xsd:double"&gt;231.256768&lt;/D&gt;&lt;D xsi:type="xsd:double"&gt;230.276645&lt;/D&gt;&lt;D xsi:type="xsd:double"&gt;229.530238&lt;/D&gt;&lt;D xsi:type="xsd:double"&gt;227.577657&lt;/D&gt;&lt;D xsi:type="xsd:double"&gt;225.689411&lt;/D&gt;&lt;D xsi:type="xsd:double"&gt;226.419355&lt;/D&gt;&lt;D xsi:type="xsd:double"&gt;226.84562&lt;/D&gt;&lt;D xsi:type="xsd:double"&gt;226.394585&lt;/D&gt;&lt;D xsi:type="xsd:double"&gt;226.869048&lt;/D&gt;&lt;D xsi:type="xsd:double"&gt;224.724205&lt;/D&gt;&lt;D xsi:type="xsd:double"&gt;225.308721&lt;/D&gt;&lt;D xsi:type="xsd:double"&gt;22</t>
        </r>
      </text>
    </comment>
    <comment ref="A87" authorId="0" shapeId="0">
      <text>
        <r>
          <rPr>
            <b/>
            <sz val="9"/>
            <color indexed="81"/>
            <rFont val="Tahoma"/>
            <family val="2"/>
          </rPr>
          <t>4.110665&lt;/D&gt;&lt;D xsi:type="xsd:double"&gt;222.96426&lt;/D&gt;&lt;D xsi:type="xsd:double"&gt;220.337532&lt;/D&gt;&lt;D xsi:type="xsd:double"&gt;220.676909&lt;/D&gt;&lt;D xsi:type="xsd:double"&gt;221.804971&lt;/D&gt;&lt;D xsi:type="xsd:double"&gt;222.550257&lt;/D&gt;&lt;D xsi:type="xsd:double"&gt;221.033275&lt;/D&gt;&lt;D xsi:type="xsd:double"&gt;221.272398&lt;/D&gt;&lt;D xsi:type="xsd:double"&gt;221.710134&lt;/D&gt;&lt;D xsi:type="xsd:double"&gt;221.832749&lt;/D&gt;&lt;D xsi:type="xsd:double"&gt;221.525272&lt;/D&gt;&lt;D xsi:type="xsd:double"&gt;223.574902&lt;/D&gt;&lt;D xsi:type="xsd:double"&gt;222.000502&lt;/D&gt;&lt;D xsi:type="xsd:double"&gt;220.167392&lt;/D&gt;&lt;D xsi:type="xsd:double"&gt;218.785734&lt;/D&gt;&lt;D xsi:type="xsd:double"&gt;216.073288&lt;/D&gt;&lt;D xsi:type="xsd:double"&gt;217.063406&lt;/D&gt;&lt;D xsi:type="xsd:double"&gt;217.71082&lt;/D&gt;&lt;D xsi:type="xsd:double"&gt;217.247317&lt;/D&gt;&lt;D xsi:type="xsd:double"&gt;215.37938&lt;/D&gt;&lt;D xsi:type="xsd:double"&gt;214.325994&lt;/D&gt;&lt;D xsi:type="xsd:double"&gt;214.517769&lt;/D&gt;&lt;D xsi:type="xsd:double"&gt;214.071187&lt;/D&gt;&lt;D xsi:type="xsd:double"&gt;216.437238&lt;/D&gt;&lt;D xsi:type="xsd:double"&gt;218.577346&lt;/D&gt;&lt;D xsi:type="xsd:double"&gt;219.127325&lt;/D&gt;&lt;D xsi:type="xsd:double"&gt;217.645567&lt;/D&gt;&lt;D xsi:type="xsd:double"&gt;221.06122&lt;/D&gt;&lt;D xsi:type="xsd:double"&gt;222.168709&lt;/D&gt;&lt;D xsi:type="xsd:double"&gt;221.408051&lt;/D&gt;&lt;D xsi:type="xsd:double"&gt;221.670648&lt;/D&gt;&lt;D xsi:type="xsd:double"&gt;222.302416&lt;/D&gt;&lt;D xsi:type="xsd:double"&gt;224.475075&lt;/D&gt;&lt;D xsi:type="xsd:double"&gt;227.06496&lt;/D&gt;&lt;D xsi:type="xsd:double"&gt;226.258727&lt;/D&gt;&lt;D xsi:type="xsd:double"&gt;227.191312&lt;/D&gt;&lt;D xsi:type="xsd:double"&gt;226.47268&lt;/D&gt;&lt;D xsi:type="xsd:double"&gt;225.340124&lt;/D&gt;&lt;D xsi:type="xsd:double"&gt;223.320122&lt;/D&gt;&lt;D xsi:type="xsd:double"&gt;224.491512&lt;/D&gt;&lt;D xsi:type="xsd:double"&gt;222.069861&lt;/D&gt;&lt;D xsi:type="xsd:double"&gt;222.839756&lt;/D&gt;&lt;D xsi:type="xsd:double"&gt;224.756819&lt;/D&gt;&lt;D xsi:type="xsd:double"&gt;224.970353&lt;/D&gt;&lt;D xsi:type="xsd:double"&gt;223.642635&lt;/D&gt;&lt;D xsi:type="xsd:double"&gt;223.711311&lt;/D&gt;&lt;D xsi:type="xsd:double"&gt;223.06728&lt;/D&gt;&lt;D xsi:type="xsd:double"&gt;223.556582&lt;/D&gt;&lt;D xsi:type="xsd:double"&gt;222.389949&lt;/D&gt;&lt;D xsi:type="xsd:double"&gt;223.646313&lt;/D&gt;&lt;D xsi:type="xsd:double"&gt;224.431807&lt;/D&gt;&lt;D xsi:type="xsd:double"&gt;222.570598&lt;/D&gt;&lt;D xsi:type="xsd:double"&gt;223.372197&lt;/D&gt;&lt;D xsi:type="xsd:double"&gt;223.240956&lt;/D&gt;&lt;D xsi:type="xsd:double"&gt;221.889336&lt;/D&gt;&lt;D xsi:type="xsd:double"&gt;220.624796&lt;/D&gt;&lt;D xsi:type="xsd:double"&gt;216.466408&lt;/D&gt;&lt;D xsi:type="xsd:double"&gt;213.817239&lt;/D&gt;&lt;D xsi:type="xsd:double"&gt;214.26392&lt;/D&gt;&lt;D xsi:type="xsd:double"&gt;215.702413&lt;/D&gt;&lt;D xsi:type="xsd:double"&gt;215.9103&lt;/D&gt;&lt;D xsi:type="xsd:double"&gt;216.361987&lt;/D&gt;&lt;D xsi:type="xsd:double"&gt;216.71502&lt;/D&gt;&lt;D xsi:type="xsd:double"&gt;217.969853&lt;/D&gt;&lt;D xsi:type="xsd:double"&gt;215.380392&lt;/D&gt;&lt;D xsi:type="xsd:double"&gt;214.67081&lt;/D&gt;&lt;D xsi:type="xsd:double"&gt;217.443598&lt;/D&gt;&lt;D xsi:type="xsd:double"&gt;218.503938&lt;/D&gt;&lt;D xsi:type="xsd:double"&gt;219.239201&lt;/D&gt;&lt;D xsi:type="xsd:double"&gt;220.086783&lt;/D&gt;&lt;D xsi:type="xsd:double"&gt;220.2489&lt;/D&gt;&lt;D xsi:type="xsd:double"&gt;218.902521&lt;/D&gt;&lt;D xsi:type="xsd:double"&gt;215.826405&lt;/D&gt;&lt;D xsi:type="xsd:double"&gt;215.049081&lt;/D&gt;&lt;D xsi:type="xsd:double"&gt;213.644715&lt;/D&gt;&lt;D xsi:type="xsd:double"&gt;215.505999&lt;/D&gt;&lt;D xsi:type="xsd:double"&gt;216.084119&lt;/D&gt;&lt;D xsi:type="xsd:double"&gt;214.803617&lt;/D&gt;&lt;D xsi:type="xsd:double"&gt;212.919281&lt;/D&gt;&lt;D xsi:type="xsd:double"&gt;211.65372&lt;/D&gt;&lt;D xsi:type="xsd:double"&gt;210.653121&lt;/D&gt;&lt;D xsi:type="xsd:double"&gt;209.315621&lt;/D&gt;&lt;D xsi:type="xsd:double"&gt;208.300222&lt;/D&gt;&lt;D xsi:type="xsd:double"&gt;209.256629&lt;/D&gt;&lt;D xsi:type="xsd:double"&gt;209.530754&lt;/D&gt;&lt;D xsi:type="xsd:double"&gt;209.497854&lt;/D&gt;&lt;D xsi:type="xsd:double"&gt;206.928044&lt;/D&gt;&lt;D xsi:type="xsd:double"&gt;206.808861&lt;/D&gt;&lt;D xsi:type="xsd:double"&gt;207.314588&lt;/D&gt;&lt;D xsi:type="xsd:double"&gt;207.135576&lt;/D&gt;&lt;D xsi:type="xsd:double"&gt;208.217964&lt;/D&gt;&lt;D xsi:type="xsd:double"&gt;207.167186&lt;/D&gt;&lt;D xsi:type="xsd:double"&gt;207.984052&lt;/D&gt;&lt;D xsi:type="xsd:double"&gt;206.295383&lt;/D&gt;&lt;D xsi:type="xsd:double"&gt;203.289317&lt;/D&gt;&lt;D xsi:type="xsd:double"&gt;201.757391&lt;/D&gt;&lt;D xsi:type="xsd:double"&gt;204.020368&lt;/D&gt;&lt;D xsi:type="xsd:double"&gt;202.953064&lt;/D&gt;&lt;D xsi:type="xsd:double"&gt;203.565551&lt;/D&gt;&lt;D xsi:type="xsd:double"&gt;204.327687&lt;/D&gt;&lt;D xsi:type="xsd:double"&gt;204.584883&lt;/D&gt;&lt;D xsi:type="xsd:double"&gt;204.378586&lt;/D&gt;&lt;D xsi:type="xsd:double"&gt;203.952653&lt;/D&gt;&lt;D xsi:type="xsd:double"&gt;204.80176&lt;/D&gt;&lt;D xsi:type="xsd:double"&gt;205.855584&lt;/D&gt;&lt;D xsi:type="xsd:double"&gt;206.35176&lt;/D&gt;&lt;D xsi:type="xsd:double"&gt;205.87517&lt;/D&gt;&lt;D xsi:type="xsd:double"&gt;205.188191&lt;/D&gt;&lt;D xsi:type="xsd:double"&gt;206.364112&lt;/D&gt;&lt;D xsi:type="xsd:double"&gt;203.927616&lt;/D&gt;&lt;D xsi:type="xsd:double"&gt;203.061774&lt;/D&gt;&lt;D xsi:type="xsd:double"&gt;202.210165&lt;/D&gt;&lt;D xsi:type="xsd:double"&gt;201.726895&lt;/D&gt;&lt;D xsi:type="xsd:double"&gt;202.458355&lt;/D&gt;&lt;D xsi:type="xsd:double"&gt;202.131397&lt;/D&gt;&lt;D xsi:type="xsd:double"&gt;204.263584&lt;/D&gt;&lt;D xsi:type="xsd:double"&gt;203.568409&lt;/D&gt;&lt;D xsi:type="xsd:double"&gt;202.534879&lt;/D&gt;&lt;D xsi:type="xsd:double"&gt;202.514574&lt;/D&gt;&lt;D xsi:type="xsd:double"&gt;202.32068&lt;/D&gt;&lt;D xsi:type="xsd:double"&gt;201.877754&lt;/D&gt;&lt;D xsi:type="xsd:double"&gt;201.05916&lt;/D&gt;&lt;D xsi:type="xsd:double"&gt;202.201624&lt;/D&gt;&lt;D xsi:type="xsd:double"&gt;201.348455&lt;/D&gt;&lt;D xsi:type="xsd:double"&gt;201.282986&lt;/D&gt;&lt;D xsi:type="xsd:double"&gt;201.857392&lt;/D&gt;&lt;D xsi:type="xsd:double"&gt;201.678106&lt;/D&gt;&lt;D xsi:type="xsd:double"&gt;200.277212&lt;/D&gt;&lt;D xsi:type="xsd:double"&gt;201.216488&lt;/D&gt;&lt;D xsi:type="xsd:double"&gt;199.845289&lt;/D&gt;&lt;D xsi:type="xsd:double"&gt;198.184114&lt;/D&gt;&lt;D xsi:type="xsd:double"&gt;198.262819&lt;/D&gt;&lt;D xsi:type="xsd:double"&gt;199.543827&lt;/D&gt;&lt;D xsi:type="xsd:double"&gt;200.893834&lt;/D&gt;&lt;D xsi:type="xsd:double"&gt;201.897178&lt;/D&gt;&lt;D xsi:type="xsd:double"&gt;203.229095&lt;/D&gt;&lt;D xsi:type="xsd:double"&gt;203.853747&lt;/D&gt;&lt;D xsi:type="xsd:double"&gt;204.706708&lt;/D&gt;&lt;D xsi:type="xsd:double"&gt;204.312758&lt;/D&gt;&lt;D xsi:type="xsd:double"&gt;203.542806&lt;/D&gt;&lt;D xsi:type="xsd:double"&gt;201.468532&lt;/D&gt;&lt;D xsi:type="xsd:double"&gt;200.669976&lt;/D&gt;&lt;D xsi:type="xsd:double"&gt;200.814086&lt;/D&gt;&lt;D xsi:type="xsd:double"&gt;200.204167&lt;/D&gt;&lt;D xsi:type="xsd:double"&gt;201.119753&lt;/D&gt;&lt;D xsi:type="xsd:double"&gt;203.022027&lt;/D&gt;&lt;D xsi:type="xsd:double"&gt;203.826712&lt;/D&gt;&lt;D xsi:type="xsd:double"&gt;203.980681&lt;/D&gt;&lt;D xsi:type="xsd:double"&gt;202.557526&lt;/D&gt;&lt;D xsi:type="xsd:double"&gt;202.476199&lt;/D&gt;&lt;D xsi:type="xsd:double"&gt;202.537104&lt;/D&gt;&lt;D xsi:type="xsd:double"&gt;200.303791&lt;/D&gt;&lt;D xsi:type="xsd:double"&gt;203.530661&lt;/D&gt;&lt;D xsi:type="xsd:double"&gt;205.224245&lt;/D&gt;&lt;D xsi:type="xsd:double"&gt;207.673894&lt;/D&gt;&lt;D xsi:type="xsd:double"&gt;206.791639&lt;/D&gt;&lt;D xsi:type="xsd:double"&gt;208.522964&lt;/D&gt;&lt;D xsi:type="xsd:double"&gt;207.903027&lt;/D&gt;&lt;D xsi:type="xsd:double"&gt;208.178814&lt;/D&gt;&lt;D xsi:type="xsd:double"&gt;207.035148&lt;/D&gt;&lt;D xsi:type="xsd:double"&gt;206.199545&lt;/D&gt;&lt;D xsi:type="xsd:double"&gt;204.816201&lt;/D&gt;&lt;D xsi:type="xsd:double"&gt;207.445228&lt;/D&gt;&lt;D xsi:type="xsd:double"&gt;206.854128&lt;/D&gt;&lt;D xsi:type="xsd:double"&gt;205.412976&lt;/D&gt;&lt;D xsi:type="xsd:double"&gt;205.300237&lt;/D&gt;&lt;D xsi:type="xsd:double"&gt;205.956053&lt;/D&gt;&lt;D xsi:type="xsd:double"&gt;206.7771&lt;/D&gt;&lt;D xsi:type="xsd:double"&gt;207.078082&lt;/D&gt;&lt;D xsi:type="xsd:double"&gt;210.873734&lt;/D&gt;&lt;D xsi:type="xsd:double"&gt;210.513022&lt;/D&gt;&lt;D xsi:type="xsd:double"&gt;212.152485&lt;/D&gt;&lt;D xsi:type="xsd:double"&gt;212.637883&lt;/D&gt;&lt;D xsi:type="xsd:double"&gt;213.49591&lt;/D&gt;&lt;D xsi:type="xsd:double"&gt;213.816478&lt;/D&gt;&lt;D xsi:type="xsd:double"&gt;213.618518&lt;/D&gt;&lt;D xsi:type="xsd:double"&gt;215.500819&lt;/D&gt;&lt;D xsi:type="xsd:double"&gt;214.437054&lt;/D&gt;&lt;D xsi:type="xsd:double"&gt;215.775877&lt;/D&gt;&lt;D xsi:type="xsd:double"&gt;216.109735&lt;/D&gt;&lt;D xsi:type="xsd:double"&gt;214.910502&lt;/D&gt;&lt;D xsi:type="xsd:double"&gt;215.470593&lt;/D&gt;&lt;D xsi:type="xsd:double"&gt;212.764755&lt;/D&gt;&lt;D xsi:type="xsd:double"&gt;212.42865&lt;/D&gt;&lt;D xsi:type="xsd:double"&gt;213.334614&lt;/D&gt;&lt;D xsi:type="xsd:double"&gt;213.455244&lt;/D&gt;&lt;D xsi:type="xsd:double"&gt;211.960114&lt;/D&gt;&lt;D xsi:type="xsd:double"&gt;209.818846&lt;/D&gt;&lt;D xsi:type="xsd:double"&gt;209.612706&lt;/D&gt;&lt;D xsi:type="xsd:double"&gt;211.50758&lt;/D&gt;&lt;D xsi:type="xsd:double"&gt;210.373945&lt;/D&gt;&lt;D xsi:type="xsd:double"&gt;209.877763&lt;/D&gt;&lt;D xsi:type="xsd:double"&gt;208.880446&lt;/D&gt;&lt;D xsi:type="xsd:double"&gt;209.812268&lt;/D&gt;&lt;D xsi:type="xsd:double"&gt;209.149956&lt;/D&gt;&lt;D xsi:type="xsd:double"&gt;207.240127&lt;/D&gt;&lt;D xsi:type="xsd:double"&gt;206.13909&lt;/D&gt;&lt;D xsi:type="xsd:double"&gt;204.64205&lt;/D&gt;&lt;D xsi:type="xsd:double"&gt;204.412761&lt;/D&gt;&lt;D xsi:type="xsd:double"&gt;205.372693&lt;/D&gt;&lt;D xsi:type="xsd:double"&gt;205.635115&lt;/D&gt;&lt;D xsi:type="xsd:double"&gt;204.165236&lt;/D&gt;&lt;D xsi:type="xsd:double"&gt;205.317596&lt;/D&gt;&lt;D xsi:type="xsd:double"&gt;204.320421&lt;/D&gt;&lt;D xsi:type="xsd:double"&gt;203.809025&lt;/D&gt;&lt;D xsi:type="xsd:double"&gt;202.201514&lt;/D&gt;&lt;D xsi:type="xsd:double"&gt;203.09831&lt;/D&gt;&lt;D xsi:type="xsd:double"&gt;203.067564&lt;/D&gt;&lt;D xsi:type="xsd:double"&gt;200.764107&lt;/D&gt;&lt;D xsi:type="xsd:double"&gt;201.376712&lt;/D&gt;&lt;D xsi:type="xsd:double"&gt;200.533095&lt;/D&gt;&lt;D xsi:type="xsd:double"&gt;200.131262&lt;/D&gt;&lt;D xsi:type="xsd:double"&gt;202.366143&lt;/D&gt;&lt;D xsi:type="xsd:double"&gt;202.044406&lt;/D&gt;&lt;D xsi:type="xsd:double"&gt;202.187487&lt;/D&gt;&lt;D xsi:type="xsd:double"&gt;202.542652&lt;/D&gt;&lt;D xsi:type="xsd:double"&gt;203.0957&lt;/D&gt;&lt;D xsi:type="xsd:double"&gt;202.318747&lt;/D&gt;&lt;D xsi:type="xsd:double"&gt;201.982786&lt;/D&gt;&lt;D xsi:type="xsd:double"&gt;201.247394&lt;/D&gt;&lt;D xsi:type="xsd:double"&gt;201.698622&lt;/D&gt;&lt;D xsi:type="xsd:double"&gt;202.731225&lt;/D&gt;&lt;D xsi:type="xsd:double"&gt;204.45428&lt;/D&gt;&lt;D xsi:type="xsd:double"&gt;206.702721&lt;/D&gt;&lt;D xsi:type="xsd:double"&gt;207.548799&lt;/D&gt;&lt;D xsi:type="xsd:double"&gt;207.356092&lt;/D&gt;&lt;D xsi:type="xsd:double"&gt;205.881952&lt;/D&gt;&lt;D xsi:type="xsd:double"&gt;206.44201&lt;/D&gt;&lt;D xsi:type="xsd:double"&gt;206.257035&lt;/D&gt;&lt;D xsi:type="xsd:double"&gt;204.188918&lt;/D&gt;&lt;D xsi:type="xsd:double"&gt;202.817196&lt;/D&gt;&lt;D xsi:type="xsd:double"&gt;201.689146&lt;/D&gt;&lt;D xsi:type="xsd:double"&gt;202.178075&lt;/D&gt;&lt;D xsi:type="xsd:double"&gt;199.75664&lt;/D&gt;&lt;D xsi:type="xsd:double"&gt;200.596084&lt;/D&gt;&lt;D xsi:type="xsd:double"&gt;201.509758&lt;/D&gt;&lt;D xsi:type="xsd:double"&gt;199.236831&lt;/D&gt;&lt;D xsi:type="xsd:double"&gt;198.761434&lt;/D&gt;&lt;D xsi:type="xsd:double"&gt;196.485259&lt;/D&gt;&lt;D xsi:type="xsd:double"&gt;196.877759&lt;/D&gt;&lt;D xsi:type="xsd:double"&gt;198.539528&lt;/D&gt;&lt;D xsi:type="xsd:double"&gt;201.390484&lt;/D&gt;&lt;D xsi:type="xsd:double"&gt;201.716197&lt;/D&gt;&lt;D xsi:type="xsd:double"&gt;202.070286&lt;/D&gt;&lt;D xsi:type="xsd:double"&gt;201.149589&lt;/D&gt;&lt;D xsi:type="xsd:double"&gt;200.27155&lt;/D&gt;&lt;D xsi:type="xsd:double"&gt;199.156091&lt;/D&gt;&lt;D xsi:type="xsd:double"&gt;199.968123&lt;/D&gt;&lt;D xsi:type="xsd:double"&gt;199.270406&lt;/D&gt;&lt;D xsi:type="xsd:double"&gt;197.342189&lt;/D&gt;&lt;D xsi:type="xsd:double"&gt;196.293777&lt;/D&gt;&lt;D xsi:type="xsd:double"&gt;195.605615&lt;/D&gt;&lt;D xsi:type="xsd:double"&gt;197.235815&lt;/D&gt;&lt;D xsi:type="xsd:double"&gt;197.011555&lt;/D&gt;&lt;D xsi:type="xsd:double"&gt;197.686481&lt;/D&gt;&lt;D xsi:type="xsd:double"&gt;195.563904&lt;/D&gt;&lt;D xsi:type="xsd:double"&gt;195.983453&lt;/D&gt;&lt;D xsi:type="xsd:double"&gt;195.190561&lt;/D&gt;&lt;D xsi:type="xsd:double"&gt;193.315297&lt;/D&gt;&lt;D xsi:type="xsd:double"&gt;192.561791&lt;/D&gt;&lt;D xsi:type="xsd:double"&gt;192.556757&lt;/D&gt;&lt;D xsi:type="xsd:double"&gt;193.054527&lt;/D&gt;&lt;D xsi:type="xsd:double"&gt;193.190341&lt;/D&gt;&lt;D xsi:type="xsd:double"&gt;191.583024&lt;/D&gt;&lt;D xsi:type="xsd:double"&gt;190.774939&lt;/D&gt;&lt;D xsi:type="xsd:double"&gt;188.854657&lt;/D&gt;&lt;D xsi:type="xsd:double"&gt;187.572629&lt;/D&gt;&lt;D xsi:type="xsd:double"&gt;186.58436&lt;/D&gt;&lt;D xsi:type="xsd:double"&gt;186.986395&lt;/D&gt;&lt;D xsi:type="xsd:double"&gt;185.738313&lt;/D&gt;&lt;D xsi:type="xsd:double"&gt;184.081943&lt;/D&gt;&lt;D xsi:type="xsd:double"&gt;183.614355&lt;/D&gt;&lt;D xsi:type="xsd:double"&gt;184.470649&lt;/D&gt;&lt;D xsi:type="xsd:double"&gt;184.115942&lt;/D&gt;&lt;D xsi:type="xsd:double"&gt;183.299813&lt;/D&gt;&lt;D xsi:type="xsd:double"&gt;184.06243&lt;/D&gt;&lt;D xsi:type="xsd:double"&gt;182.498646&lt;/D&gt;&lt;D xsi:type="xsd:double"&gt;182.759259&lt;/D&gt;&lt;D xsi:type="xsd:double"&gt;182.056088&lt;/D&gt;&lt;D xsi:type="xsd:double"&gt;181.969037&lt;/D&gt;&lt;D xsi:type="xsd:double"&gt;182.531746&lt;/D&gt;&lt;D xsi:type="xsd:double"&gt;185.066102&lt;/D&gt;&lt;D xsi:type="xsd:double"&gt;185.354589&lt;/D&gt;&lt;D xsi:type="xsd:double"&gt;184.166715&lt;/D&gt;&lt;D xsi:type="xsd:double"&gt;184.508403&lt;/D&gt;&lt;D xsi:type="xsd:double"&gt;184.334119&lt;/D&gt;&lt;D xsi:type="xsd:double"&gt;183.672239&lt;/D&gt;&lt;D xsi:type="xsd:double"&gt;182.833916&lt;/D&gt;&lt;D xsi:type="xsd:double"&gt;180.459503&lt;/D&gt;&lt;D xsi:type="xsd:double"&gt;179.289625&lt;/D&gt;&lt;D xsi:type="xsd:double"&gt;178.634299&lt;/D&gt;&lt;D xsi:type="xsd:double"&gt;177.975774&lt;/D&gt;&lt;D xsi:type="xsd:double"&gt;178.922353&lt;/D&gt;&lt;D xsi:type="xsd:double"&gt;179.473552&lt;/D&gt;&lt;D xsi:type="xsd:double"&gt;179.600536&lt;/D&gt;&lt;D xsi:type="xsd:double"&gt;180.683851&lt;/D&gt;&lt;D xsi:type="xsd:double"&gt;178.971239&lt;/D&gt;&lt;D xsi:type="xsd:double"&gt;179.209746&lt;/D&gt;&lt;D xsi:type="xsd:double"&gt;178.729662&lt;/D&gt;&lt;D xsi:type="xsd:double"&gt;178.064834&lt;/D&gt;&lt;D xsi:type="xsd:double"&gt;180.271041&lt;/D&gt;&lt;D xsi:type="xsd:double"&gt;179.742409&lt;/D&gt;&lt;D xsi:type="xsd:double"&gt;178.892135&lt;/D&gt;&lt;D xsi:type="xsd:double"&gt;177.207858&lt;/D&gt;&lt;D xsi:type="xsd:double"&gt;178.001927&lt;/D&gt;&lt;D xsi:type="xsd:double"&gt;177.63801&lt;/D&gt;&lt;D xsi:type="xsd:double"&gt;175.834787&lt;/D&gt;&lt;D xsi:type="xsd:double"&gt;176.908086&lt;/D&gt;&lt;D xsi:type="xsd:double"&gt;176.503575&lt;/D&gt;&lt;D xsi:type="xsd:double"&gt;175.117969&lt;/D&gt;&lt;D xsi:type="xsd:double"&gt;175.117046&lt;/D&gt;&lt;D xsi:type="xsd:double"&gt;175.474547&lt;/D&gt;&lt;D xsi:type="xsd:double"&gt;174.826993&lt;/D&gt;&lt;D xsi:type="xsd:double"&gt;173.772269&lt;/D&gt;&lt;D xsi:type="xsd:double"&gt;173.322664&lt;/D&gt;&lt;D xsi:type="xsd:double"&gt;174.111765&lt;/D&gt;&lt;D xsi:type="xsd:double"&gt;173.769294&lt;/D&gt;&lt;D xsi:type="xsd:double"&gt;174.12978&lt;/D&gt;&lt;D xsi:type="xsd:double"&gt;172.31028&lt;/D&gt;&lt;D xsi:type="xsd:double"&gt;172.221298&lt;/D&gt;&lt;D xsi:type="xsd:double"&gt;171.773277&lt;/D&gt;&lt;D xsi:type="xsd:double"&gt;171.151679&lt;/D&gt;&lt;D xsi:type="xsd:double"&gt;170.815308&lt;/D&gt;&lt;D xsi:type="xsd:double"&gt;171.036907&lt;/D&gt;&lt;D xsi:type="xsd:double"&gt;172.628501&lt;/D&gt;&lt;D xsi:type="xsd:double"&gt;171.519254&lt;/D&gt;&lt;D xsi:type="xsd:double"&gt;172.723634&lt;/D&gt;&lt;D xsi:type="xsd:double"&gt;173.17383&lt;/D&gt;&lt;D xsi:type="xsd:double"&gt;173.089423&lt;/D&gt;&lt;D xsi:type="xsd:double"&gt;174.699155&lt;/D&gt;&lt;D xsi:type="xsd:double"&gt;174.112411&lt;/D&gt;&lt;D xsi:type="xsd:double"&gt;174.20569&lt;/D&gt;&lt;D xsi:type="xsd:double"&gt;173.392069&lt;/D&gt;&lt;D xsi:type="xsd:double"&gt;172.154958&lt;/D&gt;&lt;D xsi:type="xsd:double"&gt;171.769048&lt;/D&gt;&lt;D xsi:type="xsd:double"&gt;172.314898&lt;/D&gt;&lt;D xsi:type="xsd:double"&gt;173.281017&lt;/D&gt;&lt;D xsi:type="xsd:double"&gt;175.194348&lt;/D&gt;&lt;D xsi:type="xsd:double"&gt;176.76694&lt;/D&gt;&lt;D xsi:type="xsd:double"&gt;177.230695&lt;/D&gt;&lt;D xsi:type="xsd:double"&gt;178.081652&lt;/D&gt;&lt;D xsi:type="xsd:double"&gt;178.433939&lt;/D&gt;&lt;D xsi:type="xsd:double"&gt;177.017172&lt;/D&gt;&lt;D xsi:type="xsd:double"&gt;178.503542&lt;/D&gt;&lt;D xsi:type="xsd:double"&gt;178.796467&lt;/D&gt;&lt;D xsi:type="xsd:double"&gt;179.533721&lt;/D&gt;&lt;D xsi:type="xsd:double"&gt;179.348298&lt;/D&gt;&lt;D xsi:type="xsd:double"&gt;178.901877&lt;/D&gt;&lt;D xsi:type="xsd:double"&gt;178.773273&lt;/D&gt;&lt;D xsi:type="xsd:double"&gt;177.946665&lt;/D&gt;&lt;D xsi:type="xsd:double"&gt;179.597498&lt;/D&gt;&lt;D xsi:type="xsd:double"&gt;179.70147&lt;/D&gt;&lt;D xsi:type="xsd:double"&gt;179.635057&lt;/D&gt;&lt;D xsi:type="xsd:double"&gt;179.799965&lt;/D&gt;&lt;D xsi:type="xsd:double"&gt;181.204347&lt;/D&gt;&lt;D xsi:type="xsd:double"&gt;179.797103&lt;/D&gt;&lt;D xsi:type="xsd:double"&gt;180.240937&lt;/D&gt;&lt;D xsi:type="xsd:double"&gt;177.593211&lt;/D&gt;&lt;D xsi:type="xsd:double"&gt;177.064685&lt;/D&gt;&lt;D xsi:type="xsd:double"&gt;178.447974&lt;/D&gt;&lt;D xsi:type="xsd:double"&gt;178.115889&lt;/D&gt;&lt;D xsi:type="xsd:double"&gt;177.488069&lt;/D&gt;&lt;D xsi:type="xsd:double"&gt;176.802216&lt;/D&gt;&lt;D xsi:type="xsd:double"&gt;175.733002&lt;/D&gt;&lt;D xsi:type="xsd:double"&gt;174.812533&lt;/D&gt;&lt;D xsi:type="xsd:double"&gt;177.92338&lt;/D&gt;&lt;D xsi:type="xsd:double"&gt;177.591624&lt;/D&gt;&lt;D xsi:type="xsd:double"&gt;179.591718&lt;/D&gt;&lt;D xsi:type="xsd:double"&gt;179.498362&lt;/D&gt;&lt;D xsi:type="xsd:double"&gt;175.936599&lt;/D&gt;&lt;D xsi:type="xsd:double"&gt;174.968447&lt;/D&gt;&lt;D xsi:type="xsd:double"&gt;176.235002&lt;/D&gt;&lt;D xsi:type="xsd:double"&gt;175.814335&lt;/D&gt;&lt;D xsi:type="xsd:double"&gt;176.080394&lt;/D&gt;&lt;D xsi:type="xsd:double"&gt;176.594894&lt;/D&gt;&lt;D xsi:type="xsd:double"&gt;173.689703&lt;/D&gt;&lt;D xsi:type="xsd:double"&gt;172.148754&lt;/D&gt;&lt;D xsi:type="xsd:double"&gt;171.736771&lt;/D&gt;&lt;D xsi:type="xsd:double"&gt;171.499242&lt;/D&gt;&lt;D xsi:type="xsd:double"&gt;169.441407&lt;/D&gt;&lt;D xsi:type="xsd:double"&gt;171.648217&lt;/D&gt;&lt;D xsi:type="xsd:double"&gt;167.070799&lt;/D&gt;&lt;D xsi:type="xsd:double"&gt;165.780206&lt;/D&gt;&lt;D xsi:type="xsd:double"&gt;167.621116&lt;/D&gt;&lt;D xsi:type="xsd:double"&gt;168.522943&lt;/D&gt;&lt;D xsi:type="xsd:double"&gt;169.495787&lt;/D&gt;&lt;D xsi:type="xsd:double"&gt;168.372397&lt;/D&gt;&lt;D xsi:type="xsd:double"&gt;167.374517&lt;/D&gt;&lt;D xsi:type="xsd:double"&gt;174.051915&lt;/D&gt;&lt;D xsi:type="xsd:double"&gt;177.241172&lt;/D&gt;&lt;D xsi:type="xsd:double"&gt;180.381062&lt;/D&gt;&lt;D xsi:type="xsd:double"&gt;179.174647&lt;/D&gt;&lt;D xsi:type="xsd:double"&gt;176.737226&lt;/D&gt;&lt;D xsi:type="xsd:double"&gt;176.498238&lt;/D&gt;&lt;D xsi:type="xsd:double"&gt;178.1489&lt;/D&gt;&lt;D xsi:type="xsd:double"&gt;179.012934&lt;/D&gt;&lt;D xsi:type="xsd:double"&gt;181.959733&lt;/D&gt;&lt;D xsi:type="xsd:double"&gt;182.3484&lt;/D&gt;&lt;D xsi:type="xsd:double"&gt;181.722426&lt;/D&gt;&lt;D xsi:type="xsd:double"&gt;180.915393&lt;/D&gt;&lt;D xsi:type="xsd:double"&gt;180.588031&lt;/D&gt;&lt;D xsi:type="xsd:double"&gt;182.76636&lt;/D&gt;&lt;D xsi:type="xsd:double"&gt;182.427597&lt;/D&gt;&lt;D xsi:type="xsd:double"&gt;182.668817&lt;/D&gt;&lt;D xsi:type="xsd:double"&gt;180.949687&lt;/D&gt;&lt;D xsi:type="xsd:double"&gt;181.816032&lt;/D&gt;&lt;D xsi:type="xsd:double"&gt;184.662206&lt;/D&gt;&lt;D xsi:type="xsd:double"&gt;185.78429&lt;/D&gt;&lt;D xsi:type="xsd:double"&gt;185.941843&lt;/D&gt;&lt;D xsi:type="xsd:double"&gt;186.223327&lt;/D&gt;&lt;D xsi:type="xsd:double"&gt;185.120568&lt;/D&gt;&lt;D xsi:type="xsd:double"&gt;184.973879&lt;/D&gt;&lt;D xsi:type="xsd:double"&gt;185.102721&lt;/D&gt;&lt;D xsi:type="xsd:double"&gt;185.016856&lt;/D&gt;&lt;D xsi:type="xsd:double"&gt;182.82363&lt;/D&gt;&lt;D xsi:type="xsd:double"&gt;181.382574&lt;/D&gt;&lt;D xsi:type="xsd:double"&gt;180.924721&lt;/D&gt;&lt;D xsi:type="xsd:double"&gt;178.851781&lt;/D&gt;&lt;D xsi:type="xsd:double"&gt;178.474991&lt;/D&gt;&lt;D xsi:type="xsd:double"&gt;176.915362&lt;/D&gt;&lt;D xsi:type="xsd:double"&gt;177.412236&lt;/D&gt;&lt;D xsi:type="xsd:double"&gt;177.775297&lt;/D&gt;&lt;D xsi:type="xsd:double"&gt;180.24814&lt;/D&gt;&lt;D xsi:type="xsd:double"&gt;180.300395&lt;/D&gt;&lt;D xsi:type="xsd:double"&gt;179.410726&lt;/D&gt;&lt;D xsi:type="xsd:double"&gt;178.087887&lt;/D&gt;&lt;D xsi:type="xsd:double"&gt;175.914931&lt;/D&gt;&lt;D xsi:type="xsd:double"&gt;177.229835&lt;/D&gt;&lt;D xsi:type="xsd:double"&gt;178.078602&lt;/D&gt;&lt;D xsi:type="xsd:double"&gt;181.516779&lt;/D&gt;&lt;D xsi:type="xsd:double"&gt;184.484419&lt;/D&gt;&lt;D xsi:type="xsd:double"&gt;184.835916&lt;/D&gt;&lt;D xsi:type="xsd:double"&gt;185.477677&lt;/D&gt;&lt;D xsi:type="xsd:double"&gt;183.017096&lt;/D&gt;&lt;D xsi:type="xsd:double"&gt;181.913619&lt;/D&gt;&lt;D xsi:type="xsd:double"&gt;184.316472&lt;/D&gt;&lt;D xsi:type="xsd:double"&gt;185.146696&lt;/D&gt;&lt;D xsi:type="xsd:double"&gt;182.473337&lt;/D&gt;&lt;D xsi:type="xsd:double"&gt;181.368256&lt;/D&gt;&lt;D xsi:type="xsd:double"&gt;182.075473&lt;/D&gt;&lt;D xsi:type="xsd:double"&gt;182.947033&lt;/D&gt;&lt;D xsi:type="xsd:double"&gt;183.68997&lt;/D&gt;&lt;D xsi:type="xsd:double"&gt;183.324784&lt;/D&gt;&lt;D xsi:type="xsd:double"&gt;185.828233&lt;/D&gt;&lt;D xsi:type="xsd:double"&gt;186.145052&lt;/D&gt;&lt;D xsi:type="xsd:double"&gt;186.447437&lt;/D&gt;&lt;D xsi:type="xsd:double"&gt;184.274905&lt;/D&gt;&lt;D xsi:type="xsd:double"&gt;184.330539&lt;/D&gt;&lt;D xsi:type="xsd:double"&gt;182.535453&lt;/D&gt;&lt;D xsi:type="xsd:double"&gt;182.306289&lt;/D&gt;&lt;D xsi:type="xsd:double"&gt;181.999642&lt;/D&gt;&lt;D xsi:type="xsd:double"&gt;180.5502&lt;/D&gt;&lt;D xsi:type="xsd:double"&gt;178.415464&lt;/D&gt;&lt;D xsi:type="xsd:double"&gt;177.741735&lt;/D&gt;&lt;D xsi:type="xsd:double"&gt;179.329056&lt;/D&gt;&lt;D xsi:type="xsd:double"&gt;178.660607&lt;/D&gt;&lt;D xsi:type="xsd:double"&gt;178.18927&lt;/D&gt;&lt;D xsi:type="xsd:double"&gt;178.339759&lt;/D&gt;&lt;D xsi:type="xsd:double"&gt;182.189497&lt;/D&gt;&lt;D xsi:type="xsd:double"&gt;182.401221&lt;/D&gt;&lt;D xsi:type="xsd:double"&gt;181.73848&lt;/D&gt;&lt;D xsi:type="xsd:double"&gt;183.359479&lt;/D&gt;&lt;D xsi:type="xsd:double"&gt;183.529755&lt;/D&gt;&lt;D xsi:type="xsd:double"&gt;182.4715&lt;/D&gt;&lt;D xsi:type="xsd:double"&gt;181.530136&lt;/D&gt;&lt;D xsi:type="xsd:double"&gt;179.223354&lt;/D&gt;&lt;D xsi:type="xsd:double"&gt;179.629776&lt;/D&gt;&lt;D xsi:type="xsd:double"&gt;181.091674&lt;/D&gt;&lt;D xsi:type="xsd:double"&gt;181.102089&lt;/D&gt;&lt;D xsi:type="xsd:double"&gt;181.141274&lt;/D&gt;&lt;D xsi:type="xsd:double"&gt;181.704826&lt;/D&gt;&lt;D xsi:type="xsd:double"&gt;180.645763&lt;/D&gt;&lt;D xsi:type="xsd:double"&gt;179.065657&lt;/D&gt;&lt;D xsi:type="xsd:double"&gt;180.277197&lt;/D&gt;&lt;D xsi:type="xsd:double"&gt;179.709769&lt;/D&gt;&lt;D xsi:type="xsd:double"&gt;176.944774&lt;/D&gt;&lt;D xsi:type="xsd:double"&gt;175.508924&lt;/D&gt;&lt;D xsi:type="xsd:double"&gt;174.468949&lt;/D&gt;&lt;D xsi:type="xsd:double"&gt;172.870374&lt;/D&gt;&lt;D xsi:type="xsd:double"&gt;171.775377&lt;/D&gt;&lt;D xsi:type="xsd:double"&gt;171.488071&lt;/D&gt;&lt;D xsi:type="xsd:double"&gt;170.825411&lt;/D&gt;&lt;D xsi:type="xsd:double"&gt;170.223812&lt;/D&gt;&lt;D xsi:type="xsd:double"&gt;169.490479&lt;/D&gt;&lt;D xsi:type="xsd:double"&gt;168.880016&lt;/D&gt;&lt;D xsi:type="xsd:double"&gt;167.883401&lt;/D&gt;&lt;D xsi:type="xsd:double"&gt;167.918293&lt;/D&gt;&lt;D xsi:type="xsd:double"&gt;168.882169&lt;/D&gt;&lt;D xsi:type="xsd:double"&gt;167.493374&lt;/D&gt;&lt;D xsi:type="xsd:double"&gt;165.929792&lt;/D&gt;&lt;D xsi:type="xsd:double"&gt;165.802458&lt;/D&gt;&lt;D xsi:type="xsd:double"&gt;167.169809&lt;/D&gt;&lt;D xsi:type="xsd:double"&gt;166.454411&lt;/D&gt;&lt;D xsi:type="xsd:double"&gt;166.86369&lt;/D&gt;&lt;D xsi:type="xsd:double"&gt;166.972615&lt;/D&gt;&lt;D xsi:type="xsd:double"&gt;167.341431&lt;/D&gt;&lt;D xsi:type="xsd:double"&gt;166.514663&lt;/D&gt;&lt;D xsi:type="xsd:double"&gt;165.552387&lt;/D&gt;&lt;D xsi:type="xsd:double"&gt;163.151344&lt;/D&gt;&lt;D xsi:type="xsd:double"&gt;162.511723&lt;/D&gt;&lt;D xsi:type="xsd:double"&gt;160.950867&lt;/D&gt;&lt;D xsi:type="xsd:double"&gt;160.216303&lt;/D&gt;&lt;D xsi:type="xsd:double"&gt;159.937556&lt;/D&gt;&lt;D xsi:type="xsd:double"&gt;159.501705&lt;/D&gt;&lt;D xsi:type="xsd:double"&gt;159.214821&lt;/D&gt;&lt;D xsi:type="xsd:double"&gt;160.625899&lt;/D&gt;&lt;D xsi:type="xsd:double"&gt;159.436202&lt;/D&gt;&lt;D xsi:type="xsd:double"&gt;162.689872&lt;/D&gt;&lt;D xsi:type="xsd:double"&gt;162.214512&lt;/D&gt;&lt;D xsi:type="xsd:double"&gt;160.523229&lt;/D&gt;&lt;D xsi:type="xsd:double"&gt;159.183721&lt;/D&gt;&lt;D xsi:type="xsd:double"&gt;160.754751&lt;/D&gt;&lt;D xsi:type="xsd:double"&gt;161.295261&lt;/D&gt;&lt;D xsi:type="xsd:double"&gt;159.363327&lt;/D&gt;&lt;D xsi:type="xsd:double"&gt;160.46618&lt;/D&gt;&lt;D xsi:type="xsd:double"&gt;161.324766&lt;/D&gt;&lt;D xsi:type="xsd:double"&gt;160.100197&lt;/D&gt;&lt;D xsi:type="xsd:double"&gt;159.924759&lt;/D&gt;&lt;D xsi:type="xsd:double"&gt;161.240528&lt;/D&gt;&lt;D xsi:type="xsd:double"&gt;160.734983&lt;/D&gt;&lt;D xsi:type="xsd:double"&gt;159.758828&lt;/D&gt;&lt;D xsi:type="xsd:double"&gt;158.745556&lt;/D&gt;&lt;D xsi:type="xsd:double"&gt;157.807439&lt;/D&gt;&lt;D xsi:type="xsd:double"&gt;157.373528&lt;/D&gt;&lt;D xsi:type="xsd:double"&gt;160.516313&lt;/D&gt;&lt;D xsi:type="xsd:double"&gt;161.700501&lt;/D&gt;&lt;D xsi:type="xsd:double"&gt;161.355093&lt;/D&gt;&lt;D xsi:type="xsd:double"&gt;160.978055&lt;/D&gt;&lt;D xsi:type="xsd:double"&gt;161.771528&lt;/D&gt;&lt;D xsi:type="xsd:double"&gt;160.951779&lt;/D&gt;&lt;D xsi:type="xsd:double"&gt;160.804244&lt;/D&gt;&lt;D xsi:type="xsd:double"&gt;160.658229&lt;/D&gt;&lt;D xsi:type="xsd:double"&gt;160.020539&lt;/D&gt;&lt;D xsi:type="xsd:double"&gt;158.942451&lt;/D&gt;&lt;D xsi:type="xsd:double"&gt;157.377201&lt;/D&gt;&lt;D xsi:type="xsd:double"&gt;157.782529&lt;/D&gt;&lt;D xsi:type="xsd:double"&gt;156.939224&lt;/D&gt;&lt;D xsi:type="xsd:double"&gt;156.681895&lt;/D&gt;&lt;D xsi:type="xsd:double"&gt;154.535253&lt;/D&gt;&lt;D xsi:type="xsd:double"&gt;153.009447&lt;/D&gt;&lt;D xsi:type="xsd:double"&gt;150.305038&lt;/D&gt;&lt;D xsi:type="xsd:double"&gt;150.906005&lt;/D&gt;&lt;D xsi:type="xsd:double"&gt;151.032657&lt;/D&gt;&lt;D xsi:type="xsd:double"&gt;152.315396&lt;/D&gt;&lt;D xsi:type="xsd:double"&gt;153.641856&lt;/D&gt;&lt;D xsi:type="xsd:double"&gt;153.497088&lt;/D&gt;&lt;D xsi:type="xsd:double"&gt;153.548156&lt;/D&gt;&lt;D xsi:type="xsd:double"&gt;154.677158&lt;/D&gt;&lt;D xsi:type="xsd:double"&gt;154.674288&lt;/D&gt;&lt;D xsi:type="xsd:double"&gt;153.426411&lt;/D&gt;&lt;D xsi:type="xsd:double"&gt;152.322294&lt;/D&gt;&lt;D xsi:type="xsd:double"&gt;151.235361&lt;/D&gt;&lt;D xsi:type="xsd:double"&gt;151.102527&lt;/D&gt;&lt;D xsi:type="xsd:double"&gt;150.232591&lt;/D&gt;&lt;D xsi:type="xsd:double"&gt;150.724762&lt;/D&gt;&lt;D xsi:type="xsd:double"&gt;151.839534&lt;/D&gt;&lt;D xsi:type="xsd:double"&gt;151.654338&lt;/D&gt;&lt;D xsi:type="xsd:double"&gt;150.490943&lt;/D&gt;&lt;D xsi:type="xsd:double"&gt;149.823947&lt;/D&gt;&lt;D xsi:type="xsd:double"&gt;149.574726&lt;/D&gt;&lt;D xsi:type="xsd:double"&gt;148.032205&lt;/D&gt;&lt;D xsi:type="xsd:double"&gt;146.472884&lt;/D&gt;&lt;D xsi:type="xsd:double"&gt;145.837101&lt;/D&gt;&lt;D xsi:type="xsd:double"&gt;145.455653&lt;/D&gt;&lt;D xsi:type="xsd:double"&gt;144.786325&lt;/D&gt;&lt;D xsi:type="xsd:double"&gt;145.830167&lt;/D&gt;&lt;D xsi:type="xsd:double"&gt;146.393028&lt;/D&gt;&lt;D xsi:type="xsd:double"&gt;146.891422&lt;/D&gt;&lt;D xsi:type="xsd:double"&gt;146.761917&lt;/D&gt;&lt;D xsi:type="xsd:double"&gt;146.171147&lt;/D&gt;&lt;D xsi:type="xsd:double"&gt;146.107332&lt;/D&gt;&lt;D xsi:type="xsd:double"&gt;145.585723&lt;/D&gt;&lt;D xsi:type="xsd:double"&gt;145.440711&lt;/D&gt;&lt;D xsi:type="xsd:double"&gt;144.02875&lt;/D&gt;&lt;D xsi:type="xsd:double"&gt;143.210668&lt;/D&gt;&lt;D xsi:type="xsd:double"&gt;142.675949&lt;/D&gt;&lt;D xsi:type="xsd:double"&gt;141.622249&lt;/D&gt;&lt;D xsi:type="xsd:double"&gt;141.23873&lt;/D&gt;&lt;D xsi:type="xsd:double"&gt;140.519766&lt;/D&gt;&lt;D xsi:type="xsd:double"&gt;141.893489&lt;/D&gt;&lt;D xsi:type="xsd:double"&gt;141.566717&lt;/D&gt;&lt;D xsi:type="xsd:double"&gt;142.027729&lt;/D&gt;&lt;D xsi:type="xsd:double"&gt;142.599752&lt;/D&gt;&lt;D xsi:type="xsd:double"&gt;142.718766&lt;/D&gt;&lt;D xsi:type="xsd:double"&gt;144.155342&lt;/D&gt;&lt;D xsi:type="xsd:double"&gt;144.619252&lt;/D&gt;&lt;D xsi:type="xsd:double"&gt;143.498857&lt;/D&gt;&lt;D xsi:type="xsd:double"&gt;143.449117&lt;/D&gt;&lt;D xsi:type="xsd:double"&gt;141.353973&lt;/D&gt;&lt;D xsi:type="xsd:double"&gt;140.258338&lt;/D&gt;&lt;D xsi:type="xsd:double"&gt;139.8299&lt;/D&gt;&lt;D xsi:type="xsd:double"&gt;139.727405&lt;/D&gt;&lt;D xsi:type="xsd:double"&gt;139.46194&lt;/D&gt;&lt;D xsi:type="xsd:double"&gt;141.447437&lt;/D&gt;&lt;D xsi:type="xsd:double"&gt;142.410819&lt;/D&gt;&lt;D xsi:type="xsd:double"&gt;143.603521&lt;/D&gt;&lt;D xsi:type="xsd:double"&gt;141.716033&lt;/D&gt;&lt;D xsi:type="xsd:double"&gt;141.848845&lt;/D&gt;&lt;D xsi:type="xsd:double"&gt;142.899575&lt;/D&gt;&lt;D xsi:type="xsd:double"&gt;143.352212&lt;/D&gt;&lt;D xsi:type="xsd:double"&gt;143.675491&lt;/D&gt;&lt;D xsi:type="xsd:double"&gt;142.599914&lt;/D&gt;&lt;D xsi:type="xsd:double"&gt;141.338715&lt;/D&gt;&lt;D xsi:type="xsd:double"&gt;139.096107&lt;/D&gt;&lt;D xsi:type="xsd:double"&gt;139.079146&lt;/D&gt;&lt;D xsi:type="xsd:double"&gt;139.874211&lt;/D&gt;&lt;D xsi:type="xsd:double"&gt;139.439629&lt;/D&gt;&lt;D xsi:type="xsd:double"&gt;140.843887&lt;/D&gt;&lt;D xsi:type="xsd:double"&gt;139.885927&lt;/D&gt;&lt;D xsi:type="xsd:double"&gt;141.272668&lt;/D&gt;&lt;D xsi:type="xsd:double"&gt;143.514931&lt;/D&gt;&lt;D xsi:type="xsd:double"&gt;143.366183&lt;/D&gt;&lt;D xsi:type="xsd:double"&gt;144.833792&lt;/D&gt;&lt;D xsi:type="xsd:double"&gt;145.231495&lt;/D&gt;&lt;D xsi:type="xsd:double"&gt;143.827921&lt;/D&gt;&lt;D xsi:type="xsd:double"&gt;142.211386&lt;/D&gt;&lt;D xsi:type="xsd:double"&gt;142.763126&lt;/D&gt;&lt;D xsi:type="xsd:double"&gt;142.061012&lt;/D&gt;&lt;D xsi:type="xsd:double"&gt;139.940502&lt;/D&gt;&lt;D xsi:type="xsd:double"&gt;140.18956&lt;/D&gt;&lt;D xsi:type="xsd:double"&gt;140.612683&lt;/D&gt;&lt;D xsi:type="xsd:double"&gt;139.604686&lt;/D&gt;&lt;D xsi:type="xsd:double"&gt;138.204294&lt;/D&gt;&lt;D xsi:type="xsd:double"&gt;137.248564&lt;/D&gt;&lt;D xsi:type="xsd:double"&gt;137.972032&lt;/D&gt;&lt;D xsi:type="xsd:double"&gt;135.702282&lt;/D&gt;&lt;D xsi:type="xsd:double"&gt;136.267804&lt;/D&gt;&lt;D xsi:type="xsd:double"&gt;134.933199&lt;/D&gt;&lt;D xsi:type="xsd:double"&gt;134.059372&lt;/D&gt;&lt;D xsi:type="xsd:double"&gt;133.479535&lt;/D&gt;&lt;D xsi:type="xsd:double"&gt;132.667937&lt;/D&gt;&lt;D xsi:type="xsd:double"&gt;131.399489&lt;/D&gt;&lt;D xsi:type="xsd:double"&gt;132.006386&lt;/D&gt;&lt;D xsi:type="xsd:double"&gt;131.865093&lt;/D&gt;&lt;D xsi:type="xsd:double"&gt;133.990425&lt;/D&gt;&lt;D xsi:type="xsd:double"&gt;133.278495&lt;/D&gt;&lt;D xsi:type="xsd:double"&gt;132.829105&lt;/D&gt;&lt;D xsi:type="xsd:double"&gt;132.595067&lt;/D&gt;&lt;D xsi:type="xsd:double"&gt;132.594526&lt;/D&gt;&lt;D xsi:type="xsd:double"&gt;131.584697&lt;/D&gt;&lt;D xsi:type="xsd:double"&gt;130.470428&lt;/D&gt;&lt;D xsi:type="xsd:double"&gt;132.01293&lt;/D&gt;&lt;D xsi:type="xsd:double"&gt;132.526099&lt;/D&gt;&lt;D xsi:type="xsd:double"&gt;130.268742&lt;/D&gt;&lt;D xsi:type="xsd:double"&gt;128.999161&lt;/D&gt;&lt;D xsi:type="xsd:double"&gt;128.740146&lt;/D&gt;&lt;D xsi:type="xsd:double"&gt;128.133632&lt;/D&gt;&lt;D xsi:type="xsd:double"&gt;126.225893&lt;/D&gt;&lt;D xsi:type="xsd:double"&gt;125.972&lt;/D&gt;&lt;D xsi:type="xsd:double"&gt;124.511&lt;/D&gt;&lt;D xsi:type="xsd:double"&gt;126.146&lt;/D&gt;&lt;D xsi:type="xsd:double"&gt;126.868&lt;/D&gt;&lt;D xsi:type="xsd:double"&gt;125.928&lt;/D&gt;&lt;D xsi:type="xsd:double"&gt;124.915&lt;/D&gt;&lt;D xsi:type="xsd:double"&gt;125.244&lt;/D&gt;&lt;D xsi:type="xsd:double"&gt;124.245&lt;/D&gt;&lt;D xsi:type="xsd:double"&gt;124.448&lt;/D&gt;&lt;D xsi:type="xsd:double"&gt;122.524&lt;/D&gt;&lt;D xsi:type="xsd:double"&gt;121.677&lt;/D&gt;&lt;D xsi:type="xsd:double"&gt;121.98&lt;/D&gt;&lt;D xsi:type="xsd:double"&gt;122.51&lt;/D&gt;&lt;D xsi:type="xsd:double"&gt;122.823&lt;/D&gt;&lt;D xsi:type="xsd:double"&gt;123.963&lt;/D&gt;&lt;D xsi:type="xsd:double"&gt;121.278&lt;/D&gt;&lt;D xsi:type="xsd:double"&gt;120.485&lt;/D&gt;&lt;D xsi:type="xsd:double"&gt;120.227&lt;/D&gt;&lt;D xsi:type="xsd:double"&gt;118.397&lt;/D&gt;&lt;D xsi:type="xsd:double"&gt;117.415&lt;/D&gt;&lt;D xsi:type="xsd:double"&gt;119.744&lt;/D&gt;&lt;D xsi:type="xsd:double"&gt;120.106&lt;/D&gt;&lt;D xsi:type="xsd:double"&gt;121.066&lt;/D&gt;&lt;D xsi:type="xsd:double"&gt;120.764&lt;/D&gt;&lt;D xsi:type="xsd:double"&gt;120.232&lt;/D&gt;&lt;D xsi:type="xsd:double"&gt;122.019&lt;/D&gt;&lt;D xsi:type="xsd:double"&gt;120.31&lt;/D&gt;&lt;D xsi:type="xsd:double"&gt;119.834&lt;/D&gt;&lt;D xsi:type="xsd:double"&gt;119.084&lt;/D&gt;&lt;D xsi:type="xsd:double"&gt;118.582&lt;/D&gt;&lt;D xsi:type="xsd:double"&gt;117.145&lt;/D&gt;&lt;D xsi:type="xsd:double"&gt;114.59&lt;/D&gt;&lt;D xsi:type="xsd:double"&gt;111.965&lt;/D&gt;&lt;D xsi:type="xsd:double"&gt;114.312&lt;/D&gt;&lt;D xsi:type="xsd:double"&gt;114.97&lt;/D&gt;&lt;D xsi:type="xsd:double"&gt;117.018&lt;/D&gt;&lt;D xsi:type="xsd:double"&gt;118.602&lt;/D&gt;&lt;D xsi:type="xsd:double"&gt;119.612&lt;/D&gt;&lt;D xsi:type="xsd:double"&gt;120.078&lt;/D&gt;&lt;D xsi:type="xsd:double"&gt;121.457&lt;/D&gt;&lt;D xsi:type="xsd:double"&gt;120.321&lt;/D&gt;&lt;D xsi:type="xsd:double"&gt;118.998&lt;/D&gt;&lt;D xsi:type="xsd:double"&gt;118.859&lt;/D&gt;&lt;D xsi:type="xsd:double"&gt;119.108&lt;/D&gt;&lt;D xsi:type="xsd:double"&gt;122.138&lt;/D&gt;&lt;D xsi:type="xsd:double"&gt;122.955&lt;/D&gt;&lt;D xsi:type="xsd:double"&gt;122.658&lt;/D&gt;&lt;D xsi:type="xsd:double"&gt;122.629&lt;/D&gt;&lt;D xsi:type="xsd:double"&gt;124.01&lt;/D&gt;&lt;D xsi:type="xsd:double"&gt;121.958&lt;/D&gt;&lt;D xsi:type="xsd:double"&gt;120.951&lt;/D&gt;&lt;D xsi:type="xsd:double"&gt;120.986&lt;/D&gt;&lt;D xsi:type="xsd:double"&gt;121.756&lt;/D&gt;&lt;D xsi:type="xsd:double"&gt;120.522&lt;/D&gt;&lt;D xsi:type="xsd:double"&gt;121.499&lt;/D&gt;&lt;D xsi:type="xsd:double"&gt;122.484&lt;/D&gt;&lt;D xsi:type="xsd:double"&gt;124.511&lt;/D&gt;&lt;D xsi:type="xsd:double"&gt;123.467&lt;/D&gt;&lt;D xsi:type="xsd:double"&gt;124.748&lt;/D&gt;&lt;D xsi:type="xsd:double"&gt;123.075&lt;/D&gt;&lt;D xsi:type="xsd:double"&gt;123.3&lt;/D&gt;&lt;D xsi:type="xsd:double"&gt;122.429&lt;/D&gt;&lt;D xsi:type="xsd:double"&gt;122.278&lt;/D&gt;&lt;D xsi:type="xsd:double"&gt;122.384&lt;/D&gt;&lt;D xsi:type="xsd:double"&gt;125.785&lt;/D&gt;&lt;D xsi:type="xsd:double"&gt;126.523&lt;/D&gt;&lt;D xsi:type="xsd:double"&gt;126.023&lt;/D&gt;&lt;D xsi:type="xsd:double"&gt;127.58&lt;/D&gt;&lt;D xsi:type="xsd:double"&gt;129.682&lt;/D&gt;&lt;D xsi:type="xsd:double"&gt;131.008&lt;/D&gt;&lt;D xsi:type="xsd:double"&gt;131.223&lt;/D&gt;&lt;D xsi:type="xsd:double"&gt;132.071&lt;/D&gt;&lt;D xsi:type="xsd:double"&gt;131.052&lt;/D&gt;&lt;D xsi:type="xsd:double"&gt;130.599&lt;/D&gt;&lt;D xsi:type="xsd:double"&gt;129.863&lt;/D&gt;&lt;D xsi:type="xsd:double"&gt;128.59&lt;/D&gt;&lt;D xsi:type="xsd:double"&gt;130.497&lt;/D&gt;&lt;D xsi:type="xsd:double"&gt;132.052&lt;/D&gt;&lt;D xsi:type="xsd:double"&gt;130.269&lt;/D&gt;&lt;D xsi:type="xsd:double"&gt;129.137&lt;/D&gt;&lt;D xsi:type="xsd:double"&gt;127.644&lt;/D&gt;&lt;D xsi:type="xsd:double"&gt;126.812&lt;/D&gt;&lt;D xsi:type="xsd:double"&gt;125.766&lt;/D&gt;&lt;D xsi:type="xsd:double"&gt;127.674&lt;/D&gt;&lt;D xsi:type="xsd:double"&gt;127.242&lt;/D&gt;&lt;D xsi:type="xsd:double"&gt;126.775&lt;/D&gt;&lt;D xsi:type="xsd:double"&gt;126.473&lt;/D&gt;&lt;D xsi:type="xsd:double"&gt;125.558&lt;/D&gt;&lt;D xsi:type="xsd:double"&gt;125.602&lt;/D&gt;&lt;D xsi:type="xsd:double"&gt;127.927&lt;/D&gt;&lt;D xsi:type="xsd:double"&gt;128.044&lt;/D&gt;&lt;D xsi:type="xsd:double"&gt;126.402&lt;/D&gt;&lt;D xsi:type="xsd:double"&gt;127.008&lt;/D&gt;&lt;D xsi:type="xsd:double"&gt;127.388&lt;/D&gt;&lt;D xsi:type="xsd:double"&gt;126.762&lt;/D&gt;&lt;D xsi:type="xsd:double"&gt;126.484&lt;/D&gt;&lt;D xsi:type="xsd:double"&gt;128.314&lt;/D&gt;&lt;D xsi:type="xsd:double"&gt;128.003&lt;/D&gt;&lt;D xsi:type="xsd:double"&gt;129.24&lt;/D&gt;&lt;D xsi:type="xsd:double"&gt;130.257&lt;/D&gt;&lt;D xsi:type="xsd:double"&gt;131.796&lt;/D&gt;&lt;D xsi:type="xsd:double"&gt;132.003&lt;/D&gt;&lt;D xsi:type="xsd:double"&gt;130.418&lt;/D&gt;&lt;D xsi:type="xsd:double"&gt;128.78&lt;/D&gt;&lt;D xsi:type="xsd:double"&gt;130.605&lt;/D&gt;&lt;D xsi:type="xsd:double"&gt;131.192&lt;/D&gt;&lt;D xsi:type="xsd:double"&gt;130.778&lt;/D&gt;&lt;D xsi:type="xsd:double"&gt;127.771&lt;/D&gt;&lt;D xsi:type="xsd:double"&gt;128.281&lt;/D&gt;&lt;D xsi:type="xsd:double"&gt;128.779&lt;/D&gt;&lt;D xsi:type="xsd:double"&gt;128.406&lt;/D&gt;&lt;D xsi:type="xsd:double"&gt;126.891&lt;/D&gt;&lt;D xsi:type="xsd:double"&gt;125.966&lt;/D&gt;&lt;D xsi:type="xsd:double"&gt;127.003&lt;/D&gt;&lt;D xsi:type="xsd:double"&gt;126.06&lt;/D&gt;&lt;D xsi:type="xsd:double"&gt;127.662&lt;/D&gt;&lt;D xsi:type="xsd:double"&gt;128.51&lt;/D&gt;&lt;D xsi:type="xsd:double"&gt;129.091&lt;/D&gt;&lt;D xsi:type="xsd:double"&gt;129.987&lt;/D&gt;&lt;D xsi:type="xsd:double"&gt;128.743&lt;/D&gt;&lt;D xsi:type="xsd:double"&gt;125.765&lt;/D&gt;&lt;D xsi:type="xsd:double"&gt;126.103&lt;/D&gt;&lt;D xsi:type="xsd:double"&gt;124.502&lt;/D&gt;&lt;D xsi:type="xsd:double"&gt;122.709&lt;/D&gt;&lt;D xsi:type="xsd:double"&gt;125.986&lt;/D&gt;&lt;D xsi:type="xsd:double"&gt;124.402&lt;/D&gt;&lt;D xsi:type="xsd:double"&gt;124.154&lt;/D&gt;&lt;D xsi:type="xsd:double"&gt;122.581&lt;/D&gt;&lt;D xsi:type="xsd:double"&gt;124.324&lt;/D&gt;&lt;D xsi:type="xsd:double"&gt;125.671&lt;/D&gt;&lt;D xsi:type="xsd:double"&gt;125.492&lt;/D&gt;&lt;D xsi:type="xsd:double"&gt;125.482&lt;/D&gt;&lt;D xsi:type="xsd:double"&gt;123.384&lt;/D&gt;&lt;D xsi:type="xsd:double"&gt;124.33&lt;/D&gt;&lt;D xsi:type="xsd:double"&gt;119.091&lt;/D&gt;&lt;D xsi:type="xsd:double"&gt;119.579&lt;/D&gt;&lt;D xsi:type="xsd:double"&gt;115.576&lt;/D&gt;&lt;D xsi:type="xsd:double"&gt;114.479&lt;/D&gt;&lt;D xsi:type="xsd:double"&gt;115.123&lt;/D&gt;&lt;D xsi:type="xsd:double"&gt;116.423&lt;/D&gt;&lt;D xsi:type="xsd:double"&gt;118.78&lt;/D&gt;&lt;D xsi:type="xsd:double"&gt;120.482&lt;/D&gt;&lt;D xsi:type="xsd:double"&gt;121.672&lt;/D&gt;&lt;D xsi:type="xsd:double"&gt;120.074&lt;/D&gt;&lt;D xsi:type="xsd:double"&gt;119.775&lt;/D&gt;&lt;D xsi:type="xsd:double"&gt;122.611&lt;/D&gt;&lt;D xsi:type="xsd:double"&gt;122.247&lt;/D&gt;&lt;D xsi:type="xsd:double"&gt;118.623&lt;/D&gt;&lt;D xsi:type="xsd:double"&gt;118.086&lt;/D&gt;&lt;D xsi:type="xsd:double"&gt;119.779&lt;/D&gt;&lt;D xsi:type="xsd:double"&gt;122.747&lt;/D&gt;&lt;D xsi:type="xsd:double"&gt;123.57&lt;/D&gt;&lt;D xsi:type="xsd:double"&gt;124.166&lt;/D&gt;&lt;D xsi:type="xsd:double"&gt;126.689&lt;/D&gt;&lt;D xsi:type="xsd:double"&gt;126.838&lt;/D&gt;&lt;D xsi:type="xsd:double"&gt;127.953&lt;/D&gt;&lt;D xsi:type="xsd:double"&gt;130.07&lt;/D&gt;&lt;D xsi:type="xsd:double"&gt;132.508&lt;/D&gt;&lt;D xsi:type="xsd:double"&gt;130.978&lt;/D&gt;&lt;D xsi:type="xsd:double"&gt;129.43&lt;/D&gt;&lt;D xsi:type="xsd:double"&gt;130.254&lt;/D&gt;&lt;D xsi:type="xsd:double"&gt;128.755&lt;/D&gt;&lt;D xsi:type="xsd:double"&gt;129.007&lt;/D&gt;&lt;D xsi:type="xsd:double"&gt;129.687&lt;/D&gt;&lt;D xsi:type="xsd:double"&gt;134.224&lt;/D&gt;&lt;D xsi:type="xsd:double"&gt;133.687&lt;/D&gt;&lt;D xsi:type="xsd:double"&gt;135.312&lt;/D&gt;&lt;D xsi:type="xsd:double"&gt;138.995&lt;/D&gt;&lt;D xsi:type="xsd:double"&gt;137.103&lt;/D&gt;&lt;D xsi:type="xsd:double"&gt;137.232&lt;/D&gt;&lt;D xsi:type="xsd:double"&gt;138.419&lt;/D&gt;&lt;D xsi:type="xsd:double"&gt;137.126&lt;/D&gt;&lt;D xsi:type="xsd:double"&gt;135.724&lt;/D&gt;&lt;D xsi:type="xsd:double"&gt;136.949&lt;/D&gt;&lt;D xsi:type="xsd:double"&gt;135.878&lt;/D&gt;&lt;D xsi:type="xsd:double"&gt;135.109&lt;/D&gt;&lt;D xsi:type="xsd:double"&gt;132.946&lt;/D&gt;&lt;D xsi:type="xsd:double"&gt;133.625&lt;/D&gt;&lt;D xsi:type="xsd:double"&gt;132.908&lt;/D&gt;&lt;D xsi:type="xsd:double"&gt;134.64&lt;/D&gt;&lt;D xsi:type="xsd:double"&gt;132.42&lt;/D&gt;&lt;D xsi:type="xsd:double"&gt;129.479&lt;/D&gt;&lt;D xsi:type="xsd:double"&gt;128.51&lt;/D&gt;&lt;D xsi:type="xsd:double"&gt;128.111&lt;/D&gt;&lt;D xsi:type="xsd:double"&gt;131.053&lt;/D&gt;&lt;D xsi:type="xsd:double"&gt;131.096&lt;/D&gt;&lt;D xsi:type="xsd:double"&gt;134.552&lt;/D&gt;&lt;D xsi:type="xsd:double"&gt;134.958&lt;/D&gt;&lt;D xsi:type="xsd:double"&gt;133.623&lt;/D&gt;&lt;D xsi:type="xsd:double"&gt;129.702&lt;/D&gt;&lt;D xsi:type="xsd:double"&gt;131.48&lt;/D&gt;&lt;D xsi:type="xsd:double"&gt;128.522&lt;/D&gt;&lt;D xsi:type="xsd:double"&gt;130.163&lt;/D&gt;&lt;D xsi:type="xsd:double"&gt;133.105&lt;/D&gt;&lt;D xsi:type="xsd:double"&gt;138.546&lt;/D&gt;&lt;D xsi:type="xsd:double"&gt;142.882&lt;/D&gt;&lt;D xsi:type="xsd:double"&gt;141.001&lt;/D&gt;&lt;D xsi:type="xsd:double"&gt;138.642&lt;/D&gt;&lt;D xsi:type="xsd:double"&gt;138.966&lt;/D&gt;&lt;D xsi:type="xsd:double"&gt;142.651&lt;/D&gt;&lt;D xsi:type="xsd:double"&gt;142.189&lt;/D&gt;&lt;D xsi:type="xsd:double"&gt;146.111&lt;/D&gt;&lt;D xsi:type="xsd:double"&gt;150.164&lt;/D&gt;&lt;D xsi:type="xsd:double"&gt;149.899&lt;/D&gt;&lt;D xsi:type="xsd:double"&gt;148.762&lt;/D&gt;&lt;D xsi:type="xsd:double"&gt;143.754&lt;/D&gt;&lt;D xsi:type="xsd:double"&gt;146.264&lt;/D&gt;&lt;D xsi:type="xsd:double"&gt;149.389&lt;/D&gt;&lt;D xsi:type="xsd:double"&gt;149.237&lt;/D&gt;&lt;D xsi:type="xsd:double"&gt;144.859&lt;/D&gt;&lt;D xsi:type="xsd:double"&gt;143.811&lt;/D&gt;&lt;D xsi:type="xsd</t>
        </r>
      </text>
    </comment>
    <comment ref="A88" authorId="0" shapeId="0">
      <text>
        <r>
          <rPr>
            <b/>
            <sz val="9"/>
            <color indexed="81"/>
            <rFont val="Tahoma"/>
            <family val="2"/>
          </rPr>
          <t>:double"&gt;144.968&lt;/D&gt;&lt;D xsi:type="xsd:double"&gt;143.586&lt;/D&gt;&lt;D xsi:type="xsd:double"&gt;144.944&lt;/D&gt;&lt;D xsi:type="xsd:double"&gt;145.093&lt;/D&gt;&lt;D xsi:type="xsd:double"&gt;145.855&lt;/D&gt;&lt;D xsi:type="xsd:double"&gt;147.748&lt;/D&gt;&lt;D xsi:type="xsd:double"&gt;147.303&lt;/D&gt;&lt;D xsi:type="xsd:double"&gt;145.499&lt;/D&gt;&lt;D xsi:type="xsd:double"&gt;148.351&lt;/D&gt;&lt;D xsi:type="xsd:double"&gt;149.992&lt;/D&gt;&lt;D xsi:type="xsd:double"&gt;151.971&lt;/D&gt;&lt;D xsi:type="xsd:double"&gt;151.464&lt;/D&gt;&lt;D xsi:type="xsd:double"&gt;151.489&lt;/D&gt;&lt;D xsi:type="xsd:double"&gt;153.181&lt;/D&gt;&lt;D xsi:type="xsd:double"&gt;153.021&lt;/D&gt;&lt;D xsi:type="xsd:double"&gt;154.558&lt;/D&gt;&lt;D xsi:type="xsd:double"&gt;156.325&lt;/D&gt;&lt;D xsi:type="xsd:double"&gt;156.288&lt;/D&gt;&lt;D xsi:type="xsd:double"&gt;156.521&lt;/D&gt;&lt;D xsi:type="xsd:double"&gt;157.249&lt;/D&gt;&lt;D xsi:type="xsd:double"&gt;157.56&lt;/D&gt;&lt;D xsi:type="xsd:double"&gt;157.975&lt;/D&gt;&lt;D xsi:type="xsd:double"&gt;157.493&lt;/D&gt;&lt;D xsi:type="xsd:double"&gt;158.085&lt;/D&gt;&lt;D xsi:type="xsd:double"&gt;158.1&lt;/D&gt;&lt;D xsi:type="xsd:double"&gt;158.633&lt;/D&gt;&lt;D xsi:type="xsd:double"&gt;159.13&lt;/D&gt;&lt;D xsi:type="xsd:double"&gt;157.699&lt;/D&gt;&lt;D xsi:type="xsd:double"&gt;157.369&lt;/D&gt;&lt;D xsi:type="xsd:double"&gt;155.373&lt;/D&gt;&lt;D xsi:type="xsd:double"&gt;155.275&lt;/D&gt;&lt;D xsi:type="xsd:double"&gt;154.857&lt;/D&gt;&lt;D xsi:type="xsd:double"&gt;155.557&lt;/D&gt;&lt;D xsi:type="xsd:double"&gt;155.82&lt;/D&gt;&lt;D xsi:type="xsd:double"&gt;153.714&lt;/D&gt;&lt;D xsi:type="xsd:double"&gt;155.535&lt;/D&gt;&lt;D xsi:type="xsd:double"&gt;156.041&lt;/D&gt;&lt;D xsi:type="xsd:double"&gt;155.411&lt;/D&gt;&lt;D xsi:type="xsd:double"&gt;155.849&lt;/D&gt;&lt;D xsi:type="xsd:double"&gt;155.219&lt;/D&gt;&lt;D xsi:type="xsd:double"&gt;154.88&lt;/D&gt;&lt;D xsi:type="xsd:double"&gt;155.325&lt;/D&gt;&lt;D xsi:type="xsd:double"&gt;156.028&lt;/D&gt;&lt;D xsi:type="xsd:double"&gt;156.296&lt;/D&gt;&lt;D xsi:type="xsd:double"&gt;156.46&lt;/D&gt;&lt;D xsi:type="xsd:double"&gt;156.748&lt;/D&gt;&lt;D xsi:type="xsd:double"&gt;157.082&lt;/D&gt;&lt;D xsi:type="xsd:double"&gt;157.281&lt;/D&gt;&lt;D xsi:type="xsd:double"&gt;157.364&lt;/D&gt;&lt;D xsi:type="xsd:double"&gt;155.926&lt;/D&gt;&lt;D xsi:type="xsd:double"&gt;153.541&lt;/D&gt;&lt;D xsi:type="xsd:double"&gt;152.231&lt;/D&gt;&lt;D xsi:type="xsd:double"&gt;152.47&lt;/D&gt;&lt;D xsi:type="xsd:double"&gt;153.951&lt;/D&gt;&lt;D xsi:type="xsd:double"&gt;152.579&lt;/D&gt;&lt;D xsi:type="xsd:double"&gt;152.782&lt;/D&gt;&lt;D xsi:type="xsd:double"&gt;154.695&lt;/D&gt;&lt;D xsi:type="xsd:double"&gt;154.865&lt;/D&gt;&lt;D xsi:type="xsd:double"&gt;155.46&lt;/D&gt;&lt;D xsi:type="xsd:double"&gt;155.262&lt;/D&gt;&lt;D xsi:type="xsd:double"&gt;155.169&lt;/D&gt;&lt;D xsi:type="xsd:double"&gt;155.236&lt;/D&gt;&lt;D xsi:type="xsd:double"&gt;153.861&lt;/D&gt;&lt;D xsi:type="xsd:double"&gt;153.626&lt;/D&gt;&lt;D xsi:type="xsd:double"&gt;153.691&lt;/D&gt;&lt;D xsi:type="xsd:double"&gt;155.064&lt;/D&gt;&lt;D xsi:type="xsd:double"&gt;155.549&lt;/D&gt;&lt;D xsi:type="xsd:double"&gt;156.28&lt;/D&gt;&lt;D xsi:type="xsd:double"&gt;157.414&lt;/D&gt;&lt;D xsi:type="xsd:double"&gt;156.269&lt;/D&gt;&lt;D xsi:type="xsd:double"&gt;156.528&lt;/D&gt;&lt;D xsi:type="xsd:double"&gt;155.4&lt;/D&gt;&lt;D xsi:type="xsd:double"&gt;154.176&lt;/D&gt;&lt;D xsi:type="xsd:double"&gt;154.767&lt;/D&gt;&lt;D xsi:type="xsd:double"&gt;156.863&lt;/D&gt;&lt;D xsi:type="xsd:double"&gt;156.84&lt;/D&gt;&lt;D xsi:type="xsd:double"&gt;156.804&lt;/D&gt;&lt;D xsi:type="xsd:double"&gt;154.155&lt;/D&gt;&lt;D xsi:type="xsd:double"&gt;153.017&lt;/D&gt;&lt;D xsi:type="xsd:double"&gt;153.428&lt;/D&gt;&lt;D xsi:type="xsd:double"&gt;148.89&lt;/D&gt;&lt;D xsi:type="xsd:double"&gt;147.143&lt;/D&gt;&lt;D xsi:type="xsd:double"&gt;146.985&lt;/D&gt;&lt;D xsi:type="xsd:double"&gt;145.235&lt;/D&gt;&lt;D xsi:type="xsd:double"&gt;144.933&lt;/D&gt;&lt;D xsi:type="xsd:double"&gt;144.242&lt;/D&gt;&lt;D xsi:type="xsd:double"&gt;144.479&lt;/D&gt;&lt;D xsi:type="xsd:double"&gt;143.006&lt;/D&gt;&lt;D xsi:type="xsd:double"&gt;144.223&lt;/D&gt;&lt;D xsi:type="xsd:double"&gt;147.383&lt;/D&gt;&lt;D xsi:type="xsd:double"&gt;147.987&lt;/D&gt;&lt;D xsi:type="xsd:double"&gt;146.632&lt;/D&gt;&lt;D xsi:type="xsd:double"&gt;146.03&lt;/D&gt;&lt;D xsi:type="xsd:double"&gt;145.612&lt;/D&gt;&lt;D xsi:type="xsd:double"&gt;143.928&lt;/D&gt;&lt;D xsi:type="xsd:double"&gt;143.397&lt;/D&gt;&lt;D xsi:type="xsd:double"&gt;142.288&lt;/D&gt;&lt;D xsi:type="xsd:double"&gt;143.202&lt;/D&gt;&lt;D xsi:type="xsd:double"&gt;145.178&lt;/D&gt;&lt;D xsi:type="xsd:double"&gt;145.994&lt;/D&gt;&lt;D xsi:type="xsd:double"&gt;146.279&lt;/D&gt;&lt;D xsi:type="xsd:double"&gt;144.711&lt;/D&gt;&lt;D xsi:type="xsd:double"&gt;146.49&lt;/D&gt;&lt;D xsi:type="xsd:double"&gt;148.31&lt;/D&gt;&lt;D xsi:type="xsd:double"&gt;147.473&lt;/D&gt;&lt;D xsi:type="xsd:double"&gt;148.844&lt;/D&gt;&lt;D xsi:type="xsd:double"&gt;147.847&lt;/D&gt;&lt;D xsi:type="xsd:double"&gt;147.251&lt;/D&gt;&lt;D xsi:type="xsd:double"&gt;148.478&lt;/D&gt;&lt;D xsi:type="xsd:double"&gt;148.26&lt;/D&gt;&lt;D xsi:type="xsd:double"&gt;147.514&lt;/D&gt;&lt;D xsi:type="xsd:double"&gt;149.465&lt;/D&gt;&lt;D xsi:type="xsd:double"&gt;149.643&lt;/D&gt;&lt;D xsi:type="xsd:double"&gt;151.346&lt;/D&gt;&lt;D xsi:type="xsd:double"&gt;151.321&lt;/D&gt;&lt;D xsi:type="xsd:double"&gt;152.581&lt;/D&gt;&lt;D xsi:type="xsd:double"&gt;152.993&lt;/D&gt;&lt;D xsi:type="xsd:double"&gt;154.923&lt;/D&gt;&lt;D xsi:type="xsd:double"&gt;155.763&lt;/D&gt;&lt;D xsi:type="xsd:double"&gt;154.836&lt;/D&gt;&lt;D xsi:type="xsd:double"&gt;153.021&lt;/D&gt;&lt;D xsi:type="xsd:double"&gt;152.918&lt;/D&gt;&lt;D xsi:type="xsd:double"&gt;152.107&lt;/D&gt;&lt;D xsi:type="xsd:double"&gt;151.191&lt;/D&gt;&lt;D xsi:type="xsd:double"&gt;148.525&lt;/D&gt;&lt;D xsi:type="xsd:double"&gt;148.575&lt;/D&gt;&lt;D xsi:type="xsd:double"&gt;149.13&lt;/D&gt;&lt;D xsi:type="xsd:double"&gt;148.998&lt;/D&gt;&lt;D xsi:type="xsd:double"&gt;149.543&lt;/D&gt;&lt;D xsi:type="xsd:double"&gt;150.679&lt;/D&gt;&lt;D xsi:type="xsd:double"&gt;150.685&lt;/D&gt;&lt;D xsi:type="xsd:double"&gt;148.802&lt;/D&gt;&lt;D xsi:type="xsd:double"&gt;149.487&lt;/D&gt;&lt;D xsi:type="xsd:double"&gt;152.001&lt;/D&gt;&lt;D xsi:type="xsd:double"&gt;151.312&lt;/D&gt;&lt;D xsi:type="xsd:double"&gt;151.573&lt;/D&gt;&lt;D xsi:type="xsd:double"&gt;154.236&lt;/D&gt;&lt;D xsi:type="xsd:double"&gt;155.606&lt;/D&gt;&lt;D xsi:type="xsd:double"&gt;154.526&lt;/D&gt;&lt;D xsi:type="xsd:double"&gt;150.825&lt;/D&gt;&lt;D xsi:type="xsd:double"&gt;149.377&lt;/D&gt;&lt;D xsi:type="xsd:double"&gt;151.03&lt;/D&gt;&lt;D xsi:type="xsd:double"&gt;149.336&lt;/D&gt;&lt;D xsi:type="xsd:double"&gt;149.41&lt;/D&gt;&lt;D xsi:type="xsd:double"&gt;151.134&lt;/D&gt;&lt;D xsi:type="xsd:double"&gt;152.032&lt;/D&gt;&lt;D xsi:type="xsd:double"&gt;150.906&lt;/D&gt;&lt;D xsi:type="xsd:double"&gt;150.461&lt;/D&gt;&lt;D xsi:type="xsd:double"&gt;151.303&lt;/D&gt;&lt;D xsi:type="xsd:double"&gt;152.309&lt;/D&gt;&lt;D xsi:type="xsd:double"&gt;151.124&lt;/D&gt;&lt;D xsi:type="xsd:double"&gt;149.991&lt;/D&gt;&lt;D xsi:type="xsd:double"&gt;149.202&lt;/D&gt;&lt;D xsi:type="xsd:double"&gt;148.705&lt;/D&gt;&lt;D xsi:type="xsd:double"&gt;147.386&lt;/D&gt;&lt;D xsi:type="xsd:double"&gt;149.556&lt;/D&gt;&lt;D xsi:type="xsd:double"&gt;150.484&lt;/D&gt;&lt;D xsi:type="xsd:double"&gt;148.822&lt;/D&gt;&lt;D xsi:type="xsd:double"&gt;148.706&lt;/D&gt;&lt;D xsi:type="xsd:double"&gt;148.06&lt;/D&gt;&lt;D xsi:type="xsd:double"&gt;146.207&lt;/D&gt;&lt;D xsi:type="xsd:double"&gt;145.987&lt;/D&gt;&lt;D xsi:type="xsd:double"&gt;144.547&lt;/D&gt;&lt;D xsi:type="xsd:double"&gt;144.293&lt;/D&gt;&lt;D xsi:type="xsd:double"&gt;146.698&lt;/D&gt;&lt;D xsi:type="xsd:double"&gt;148.092&lt;/D&gt;&lt;D xsi:type="xsd:double"&gt;146.612&lt;/D&gt;&lt;D xsi:type="xsd:double"&gt;147.615&lt;/D&gt;&lt;D xsi:type="xsd:double"&gt;146.784&lt;/D&gt;&lt;D xsi:type="xsd:double"&gt;144.382&lt;/D&gt;&lt;D xsi:type="xsd:double"&gt;143.654&lt;/D&gt;&lt;D xsi:type="xsd:double"&gt;145.482&lt;/D&gt;&lt;D xsi:type="xsd:double"&gt;148.159&lt;/D&gt;&lt;D xsi:type="xsd:double"&gt;146.014&lt;/D&gt;&lt;D xsi:type="xsd:double"&gt;144.791&lt;/D&gt;&lt;D xsi:type="xsd:double"&gt;146.778&lt;/D&gt;&lt;D xsi:type="xsd:double"&gt;146.356&lt;/D&gt;&lt;D xsi:type="xsd:double"&gt;144.793&lt;/D&gt;&lt;D xsi:type="xsd:double"&gt;143.512&lt;/D&gt;&lt;D xsi:type="xsd:double"&gt;144.277&lt;/D&gt;&lt;D xsi:type="xsd:double"&gt;144.491&lt;/D&gt;&lt;D xsi:type="xsd:double"&gt;144.283&lt;/D&gt;&lt;D xsi:type="xsd:double"&gt;140.979&lt;/D&gt;&lt;D xsi:type="xsd:double"&gt;140.844&lt;/D&gt;&lt;D xsi:type="xsd:double"&gt;139.623&lt;/D&gt;&lt;D xsi:type="xsd:double"&gt;140.648&lt;/D&gt;&lt;D xsi:type="xsd:double"&gt;137.812&lt;/D&gt;&lt;D xsi:type="xsd:double"&gt;137.002&lt;/D&gt;&lt;D xsi:type="xsd:double"&gt;136.564&lt;/D&gt;&lt;D xsi:type="xsd:double"&gt;134.643&lt;/D&gt;&lt;D xsi:type="xsd:double"&gt;130.505&lt;/D&gt;&lt;D xsi:type="xsd:double"&gt;135.067&lt;/D&gt;&lt;D xsi:type="xsd:double"&gt;139.351&lt;/D&gt;&lt;D xsi:type="xsd:double"&gt;139.794&lt;/D&gt;&lt;D xsi:type="xsd:double"&gt;140.162&lt;/D&gt;&lt;D xsi:type="xsd:double"&gt;147.911&lt;/D&gt;&lt;D xsi:type="xsd:double"&gt;150.215&lt;/D&gt;&lt;D xsi:type="xsd:double"&gt;151.512&lt;/D&gt;&lt;D xsi:type="xsd:double"&gt;153.747&lt;/D&gt;&lt;D xsi:type="xsd:double"&gt;156.125&lt;/D&gt;&lt;D xsi:type="xsd:double"&gt;157.618&lt;/D&gt;&lt;D xsi:type="xsd:double"&gt;157.84&lt;/D&gt;&lt;D xsi:type="xsd:double"&gt;160.566&lt;/D&gt;&lt;D xsi:type="xsd:double"&gt;161.123&lt;/D&gt;&lt;D xsi:type="xsd:double"&gt;162.66&lt;/D&gt;&lt;D xsi:type="xsd:double"&gt;162.414&lt;/D&gt;&lt;D xsi:type="xsd:double"&gt;160.901&lt;/D&gt;&lt;D xsi:type="xsd:double"&gt;161.947&lt;/D&gt;&lt;D xsi:type="xsd:double"&gt;160.972&lt;/D&gt;&lt;D xsi:type="xsd:double"&gt;159.62&lt;/D&gt;&lt;D xsi:type="xsd:double"&gt;160.702&lt;/D&gt;&lt;D xsi:type="xsd:double"&gt;162.296&lt;/D&gt;&lt;D xsi:type="xsd:double"&gt;163.833&lt;/D&gt;&lt;D xsi:type="xsd:double"&gt;162.674&lt;/D&gt;&lt;D xsi:type="xsd:double"&gt;160.406&lt;/D&gt;&lt;D xsi:type="xsd:double"&gt;160.103&lt;/D&gt;&lt;D xsi:type="xsd:double"&gt;159.937&lt;/D&gt;&lt;D xsi:type="xsd:double"&gt;161.573&lt;/D&gt;&lt;D xsi:type="xsd:double"&gt;163.027&lt;/D&gt;&lt;D xsi:type="xsd:double"&gt;163.11&lt;/D&gt;&lt;D xsi:type="xsd:double"&gt;163.833&lt;/D&gt;&lt;D xsi:type="xsd:double"&gt;164.808&lt;/D&gt;&lt;D xsi:type="xsd:double"&gt;163.221&lt;/D&gt;&lt;D xsi:type="xsd:double"&gt;161.95&lt;/D&gt;&lt;D xsi:type="xsd:double"&gt;159.963&lt;/D&gt;&lt;D xsi:type="xsd:double"&gt;159.378&lt;/D&gt;&lt;D xsi:type="xsd:double"&gt;157.944&lt;/D&gt;&lt;D xsi:type="xsd:double"&gt;157.366&lt;/D&gt;&lt;D xsi:type="xsd:double"&gt;157.742&lt;/D&gt;&lt;D xsi:type="xsd:double"&gt;158.168&lt;/D&gt;&lt;D xsi:type="xsd:double"&gt;159.441&lt;/D&gt;&lt;D xsi:type="xsd:double"&gt;159.866&lt;/D&gt;&lt;D xsi:type="xsd:double"&gt;158.429&lt;/D&gt;&lt;D xsi:type="xsd:double"&gt;158.152&lt;/D&gt;&lt;D xsi:type="xsd:double"&gt;159.776&lt;/D&gt;&lt;D xsi:type="xsd:double"&gt;160.246&lt;/D&gt;&lt;D xsi:type="xsd:double"&gt;160.116&lt;/D&gt;&lt;D xsi:type="xsd:double"&gt;158.915&lt;/D&gt;&lt;D xsi:type="xsd:double"&gt;160.287&lt;/D&gt;&lt;D xsi:type="xsd:double"&gt;159.973&lt;/D&gt;&lt;D xsi:type="xsd:double"&gt;159.836&lt;/D&gt;&lt;D xsi:type="xsd:double"&gt;162.364&lt;/D&gt;&lt;D xsi:type="xsd:double"&gt;165.864&lt;/D&gt;&lt;D xsi:type="xsd:double"&gt;166.978&lt;/D&gt;&lt;D xsi:type="xsd:double"&gt;165.759&lt;/D&gt;&lt;D xsi:type="xsd:double"&gt;164.015&lt;/D&gt;&lt;D xsi:type="xsd:double"&gt;164.523&lt;/D&gt;&lt;D xsi:type="xsd:double"&gt;165.014&lt;/D&gt;&lt;D xsi:type="xsd:double"&gt;166.516&lt;/D&gt;&lt;D xsi:type="xsd:double"&gt;166.186&lt;/D&gt;&lt;D xsi:type="xsd:double"&gt;165.33&lt;/D&gt;&lt;D xsi:type="xsd:double"&gt;164.46&lt;/D&gt;&lt;D xsi:type="xsd:double"&gt;165.595&lt;/D&gt;&lt;D xsi:type="xsd:double"&gt;165.819&lt;/D&gt;&lt;D xsi:type="xsd:double"&gt;167.652&lt;/D&gt;&lt;D xsi:type="xsd:double"&gt;168.777&lt;/D&gt;&lt;D xsi:type="xsd:double"&gt;169.363&lt;/D&gt;&lt;D xsi:type="xsd:double"&gt;168.357&lt;/D&gt;&lt;D xsi:type="xsd:double"&gt;170.621&lt;/D&gt;&lt;D xsi:type="xsd:double"&gt;173.049&lt;/D&gt;&lt;D xsi:type="xsd:double"&gt;173.365&lt;/D&gt;&lt;D xsi:type="xsd:double"&gt;172.921&lt;/D&gt;&lt;D xsi:type="xsd:double"&gt;173.754&lt;/D&gt;&lt;D xsi:type="xsd:double"&gt;172.976&lt;/D&gt;&lt;D xsi:type="xsd:double"&gt;172.395&lt;/D&gt;&lt;D xsi:type="xsd:double"&gt;172.707&lt;/D&gt;&lt;D xsi:type="xsd:double"&gt;173.664&lt;/D&gt;&lt;D xsi:type="xsd:double"&gt;175.897&lt;/D&gt;&lt;D xsi:type="xsd:double"&gt;176.723&lt;/D&gt;&lt;D xsi:type="xsd:double"&gt;177.825&lt;/D&gt;&lt;D xsi:type="xsd:double"&gt;178.361&lt;/D&gt;&lt;D xsi:type="xsd:double"&gt;179.325&lt;/D&gt;&lt;D xsi:type="xsd:double"&gt;179.414&lt;/D&gt;&lt;D xsi:type="xsd:double"&gt;178.2&lt;/D&gt;&lt;D xsi:type="xsd:double"&gt;178.313&lt;/D&gt;&lt;D xsi:type="xsd:double"&gt;176.215&lt;/D&gt;&lt;D xsi:type="xsd:double"&gt;175.992&lt;/D&gt;&lt;D xsi:type="xsd:double"&gt;174.147&lt;/D&gt;&lt;D xsi:type="xsd:double"&gt;177.149&lt;/D&gt;&lt;D xsi:type="xsd:double"&gt;178.54&lt;/D&gt;&lt;D xsi:type="xsd:double"&gt;177.035&lt;/D&gt;&lt;D xsi:type="xsd:double"&gt;178.28&lt;/D&gt;&lt;D xsi:type="xsd:double"&gt;179.986&lt;/D&gt;&lt;D xsi:type="xsd:double"&gt;179.462&lt;/D&gt;&lt;D xsi:type="xsd:double"&gt;178.786&lt;/D&gt;&lt;D xsi:type="xsd:double"&gt;180.376&lt;/D&gt;&lt;D xsi:type="xsd:double"&gt;180.171&lt;/D&gt;&lt;D xsi:type="xsd:double"&gt;178.261&lt;/D&gt;&lt;D xsi:type="xsd:double"&gt;177.499&lt;/D&gt;&lt;D xsi:type="xsd:double"&gt;176.989&lt;/D&gt;&lt;D xsi:type="xsd:double"&gt;175.279&lt;/D&gt;&lt;D xsi:type="xsd:double"&gt;174.74&lt;/D&gt;&lt;D xsi:type="xsd:double"&gt;174.982&lt;/D&gt;&lt;D xsi:type="xsd:double"&gt;176.424&lt;/D&gt;&lt;D xsi:type="xsd:double"&gt;176.638&lt;/D&gt;&lt;D xsi:type="xsd:double"&gt;173.944&lt;/D&gt;&lt;D xsi:type="xsd:double"&gt;170.061&lt;/D&gt;&lt;D xsi:type="xsd:double"&gt;170.814&lt;/D&gt;&lt;D xsi:type="xsd:double"&gt;172.407&lt;/D&gt;&lt;D xsi:type="xsd:double"&gt;170.714&lt;/D&gt;&lt;D xsi:type="xsd:double"&gt;169.972&lt;/D&gt;&lt;D xsi:type="xsd:double"&gt;168.839&lt;/D&gt;&lt;D xsi:type="xsd:double"&gt;168.822&lt;/D&gt;&lt;D xsi:type="xsd:double"&gt;168.376&lt;/D&gt;&lt;D xsi:type="xsd:double"&gt;165.76&lt;/D&gt;&lt;D xsi:type="xsd:double"&gt;163.537&lt;/D&gt;&lt;D xsi:type="xsd:double"&gt;165.902&lt;/D&gt;&lt;D xsi:type="xsd:double"&gt;167.325&lt;/D&gt;&lt;D xsi:type="xsd:double"&gt;167.317&lt;/D&gt;&lt;D xsi:type="xsd:double"&gt;170.014&lt;/D&gt;&lt;D xsi:type="xsd:double"&gt;172.239&lt;/D&gt;&lt;D xsi:type="xsd:double"&gt;170.132&lt;/D&gt;&lt;D xsi:type="xsd:double"&gt;164.87&lt;/D&gt;&lt;D xsi:type="xsd:double"&gt;160.601&lt;/D&gt;&lt;D xsi:type="xsd:double"&gt;167.478&lt;/D&gt;&lt;D xsi:type="xsd:double"&gt;168.245&lt;/D&gt;&lt;D xsi:type="xsd:double"&gt;166.533&lt;/D&gt;&lt;D xsi:type="xsd:double"&gt;166.897&lt;/D&gt;&lt;D xsi:type="xsd:double"&gt;170.902&lt;/D&gt;&lt;D xsi:type="xsd:double"&gt;169.164&lt;/D&gt;&lt;D xsi:type="xsd:double"&gt;172.223&lt;/D&gt;&lt;D xsi:type="xsd:double"&gt;175.746&lt;/D&gt;&lt;D xsi:type="xsd:double"&gt;180.679&lt;/D&gt;&lt;D xsi:type="xsd:double"&gt;182.293&lt;/D&gt;&lt;D xsi:type="xsd:double"&gt;182.369&lt;/D&gt;&lt;D xsi:type="xsd:double"&gt;182.522&lt;/D&gt;&lt;D xsi:type="xsd:double"&gt;179.894&lt;/D&gt;&lt;D xsi:type="xsd:double"&gt;179.19&lt;/D&gt;&lt;D xsi:type="xsd:double"&gt;180.206&lt;/D&gt;&lt;D xsi:type="xsd:double"&gt;180.639&lt;/D&gt;&lt;D xsi:type="xsd:double"&gt;181.445&lt;/D&gt;&lt;D xsi:type="xsd:double"&gt;180.509&lt;/D&gt;&lt;D xsi:type="xsd:double"&gt;179.109&lt;/D&gt;&lt;D xsi:type="xsd:double"&gt;180.618&lt;/D&gt;&lt;D xsi:type="xsd:double"&gt;181.694&lt;/D&gt;&lt;D xsi:type="xsd:double"&gt;183.551&lt;/D&gt;&lt;D xsi:type="xsd:double"&gt;185.891&lt;/D&gt;&lt;D xsi:type="xsd:double"&gt;187.881&lt;/D&gt;&lt;D xsi:type="xsd:double"&gt;187.768&lt;/D&gt;&lt;D xsi:type="xsd:double"&gt;189.473&lt;/D&gt;&lt;D xsi:type="xsd:double"&gt;190.377&lt;/D&gt;&lt;D xsi:type="xsd:double"&gt;188.747&lt;/D&gt;&lt;D xsi:type="xsd:double"&gt;189.776&lt;/D&gt;&lt;D xsi:type="xsd:double"&gt;191.721&lt;/D&gt;&lt;D xsi:type="xsd:double"&gt;193.671&lt;/D&gt;&lt;D xsi:type="xsd:double"&gt;194.17&lt;/D&gt;&lt;D xsi:type="xsd:double"&gt;194.54&lt;/D&gt;&lt;D xsi:type="xsd:double"&gt;196.72&lt;/D&gt;&lt;D xsi:type="xsd:double"&gt;196.338&lt;/D&gt;&lt;D xsi:type="xsd:double"&gt;194.753&lt;/D&gt;&lt;D xsi:type="xsd:double"&gt;193.863&lt;/D&gt;&lt;D xsi:type="xsd:double"&gt;193.703&lt;/D&gt;&lt;D xsi:type="xsd:double"&gt;194&lt;/D&gt;&lt;D xsi:type="xsd:double"&gt;193.719&lt;/D&gt;&lt;D xsi:type="xsd:double"&gt;195.074&lt;/D&gt;&lt;D xsi:type="xsd:double"&gt;194.769&lt;/D&gt;&lt;D xsi:type="xsd:double"&gt;194.589&lt;/D&gt;&lt;D xsi:type="xsd:double"&gt;194.874&lt;/D&gt;&lt;D xsi:type="xsd:double"&gt;192.885&lt;/D&gt;&lt;D xsi:type="xsd:double"&gt;190.801&lt;/D&gt;&lt;D xsi:type="xsd:double"&gt;191.859&lt;/D&gt;&lt;D xsi:type="xsd:double"&gt;191.054&lt;/D&gt;&lt;D xsi:type="xsd:double"&gt;189.635&lt;/D&gt;&lt;D xsi:type="xsd:double"&gt;190.844&lt;/D&gt;&lt;D xsi:type="xsd:double"&gt;193.54&lt;/D&gt;&lt;D xsi:type="xsd:double"&gt;194.456&lt;/D&gt;&lt;D xsi:type="xsd:double"&gt;194.112&lt;/D&gt;&lt;D xsi:type="xsd:double"&gt;191.453&lt;/D&gt;&lt;D xsi:type="xsd:double"&gt;192.623&lt;/D&gt;&lt;D xsi:type="xsd:double"&gt;193.525&lt;/D&gt;&lt;D xsi:type="xsd:double"&gt;191.839&lt;/D&gt;&lt;D xsi:type="xsd:double"&gt;191.507&lt;/D&gt;&lt;D xsi:type="xsd:double"&gt;189.623&lt;/D&gt;&lt;D xsi:type="xsd:double"&gt;188.277&lt;/D&gt;&lt;D xsi:type="xsd:double"&gt;186.825&lt;/D&gt;&lt;D xsi:type="xsd:double"&gt;188.166&lt;/D&gt;&lt;D xsi:type="xsd:double"&gt;190.912&lt;/D&gt;&lt;D xsi:type="xsd:double"&gt;191.231&lt;/D&gt;&lt;D xsi:type="xsd:double"&gt;190.947&lt;/D&gt;&lt;D xsi:type="xsd:double"&gt;193.161&lt;/D&gt;&lt;D xsi:type="xsd:double"&gt;194.062&lt;/D&gt;&lt;D xsi:type="xsd:double"&gt;195.126&lt;/D&gt;&lt;D xsi:type="xsd:double"&gt;196.018&lt;/D&gt;&lt;D xsi:type="xsd:double"&gt;193.592&lt;/D&gt;&lt;D xsi:type="xsd:double"&gt;192.819&lt;/D&gt;&lt;D xsi:type="xsd:double"&gt;193.408&lt;/D&gt;&lt;D xsi:type="xsd:double"&gt;193.065&lt;/D&gt;&lt;D xsi:type="xsd:double"&gt;190.257&lt;/D&gt;&lt;D xsi:type="xsd:double"&gt;189.908&lt;/D&gt;&lt;D xsi:type="xsd:double"&gt;187.376&lt;/D&gt;&lt;D xsi:type="xsd:double"&gt;188.373&lt;/D&gt;&lt;D xsi:type="xsd:double"&gt;189.386&lt;/D&gt;&lt;D xsi:type="xsd:double"&gt;190.748&lt;/D&gt;&lt;D xsi:type="xsd:double"&gt;187.735&lt;/D&gt;&lt;D xsi:type="xsd:double"&gt;185.93&lt;/D&gt;&lt;D xsi:type="xsd:double"&gt;189.549&lt;/D&gt;&lt;D xsi:type="xsd:double"&gt;189.846&lt;/D&gt;&lt;D xsi:type="xsd:double"&gt;192.866&lt;/D&gt;&lt;D xsi:type="xsd:double"&gt;193.707&lt;/D&gt;&lt;D xsi:type="xsd:double"&gt;196.335&lt;/D&gt;&lt;D xsi:type="xsd:double"&gt;195.621&lt;/D&gt;&lt;D xsi:type="xsd:double"&gt;192.935&lt;/D&gt;&lt;D xsi:type="xsd:double"&gt;196.389&lt;/D&gt;&lt;D xsi:type="xsd:double"&gt;198.14&lt;/D&gt;&lt;D xsi:type="xsd:double"&gt;199.922&lt;/D&gt;&lt;D xsi:type="xsd:double"&gt;201.155&lt;/D&gt;&lt;D xsi:type="xsd:double"&gt;201.402&lt;/D&gt;&lt;D xsi:type="xsd:double"&gt;200.92&lt;/D&gt;&lt;D xsi:type="xsd:double"&gt;199.68&lt;/D&gt;&lt;D xsi:type="xsd:double"&gt;199.295&lt;/D&gt;&lt;D xsi:type="xsd:double"&gt;196.417&lt;/D&gt;&lt;D xsi:type="xsd:double"&gt;194.557&lt;/D&gt;&lt;D xsi:type="xsd:double"&gt;194.642&lt;/D&gt;&lt;D xsi:type="xsd:double"&gt;191.988&lt;/D&gt;&lt;D xsi:type="xsd:double"&gt;193.1&lt;/D&gt;&lt;D xsi:type="xsd:double"&gt;196.487&lt;/D&gt;&lt;D xsi:type="xsd:double"&gt;194.025&lt;/D&gt;&lt;D xsi:type="xsd:double"&gt;193.587&lt;/D&gt;&lt;D xsi:type="xsd:double"&gt;191.607&lt;/D&gt;&lt;D xsi:type="xsd:double"&gt;189.566&lt;/D&gt;&lt;D xsi:type="xsd:double"&gt;192.245&lt;/D&gt;&lt;D xsi:type="xsd:double"&gt;194.483&lt;/D&gt;&lt;D xsi:type="xsd:double"&gt;194.722&lt;/D&gt;&lt;D xsi:type="xsd:double"&gt;194.445&lt;/D&gt;&lt;D xsi:type="xsd:double"&gt;195.989&lt;/D&gt;&lt;D xsi:type="xsd:double"&gt;199.2&lt;/D&gt;&lt;D xsi:type="xsd:double"&gt;199.38&lt;/D&gt;&lt;D xsi:type="xsd:double"&gt;202.416&lt;/D&gt;&lt;D xsi:type="xsd:double"&gt;203.763&lt;/D&gt;&lt;D xsi:type="xsd:double"&gt;203.262&lt;/D&gt;&lt;D xsi:type="xsd:double"&gt;204.289&lt;/D&gt;&lt;D xsi:type="xsd:double"&gt;203.908&lt;/D&gt;&lt;D xsi:type="xsd:double"&gt;203.099&lt;/D&gt;&lt;D xsi:type="xsd:double"&gt;202.315&lt;/D&gt;&lt;D xsi:type="xsd:double"&gt;202.101&lt;/D&gt;&lt;D xsi:type="xsd:double"&gt;202.629&lt;/D&gt;&lt;D xsi:type="xsd:double"&gt;203.343&lt;/D&gt;&lt;D xsi:type="xsd:double"&gt;201.858&lt;/D&gt;&lt;D xsi:type="xsd:double"&gt;200.549&lt;/D&gt;&lt;D xsi:type="xsd:double"&gt;202.396&lt;/D&gt;&lt;D xsi:type="xsd:double"&gt;203.41&lt;/D&gt;&lt;D xsi:type="xsd:double"&gt;203.221&lt;/D&gt;&lt;D xsi:type="xsd:double"&gt;206.498&lt;/D&gt;&lt;D xsi:type="xsd:double"&gt;207.608&lt;/D&gt;&lt;D xsi:type="xsd:double"&gt;206.876&lt;/D&gt;&lt;D xsi:type="xsd:double"&gt;207.222&lt;/D&gt;&lt;D xsi:type="xsd:double"&gt;208.981&lt;/D&gt;&lt;D xsi:type="xsd:double"&gt;211.05&lt;/D&gt;&lt;D xsi:type="xsd:double"&gt;213.665&lt;/D&gt;&lt;D xsi:type="xsd:double"&gt;214.615&lt;/D&gt;&lt;D xsi:type="xsd:double"&gt;217.189&lt;/D&gt;&lt;D xsi:type="xsd:double"&gt;219.524&lt;/D&gt;&lt;D xsi:type="xsd:double"&gt;215.292&lt;/D&gt;&lt;D xsi:type="xsd:double"&gt;215.414&lt;/D&gt;&lt;D xsi:type="xsd:double"&gt;216.888&lt;/D&gt;&lt;D xsi:type="xsd:double"&gt;217.787&lt;/D&gt;&lt;D xsi:type="xsd:double"&gt;217.615&lt;/D&gt;&lt;D xsi:type="xsd:double"&gt;216.212&lt;/D&gt;&lt;D xsi:type="xsd:double"&gt;215.319&lt;/D&gt;&lt;D xsi:type="xsd:double"&gt;215.577&lt;/D&gt;&lt;D xsi:type="xsd:double"&gt;215.164&lt;/D&gt;&lt;D xsi:type="xsd:double"&gt;216.307&lt;/D&gt;&lt;D xsi:type="xsd:double"&gt;216.846&lt;/D&gt;&lt;D xsi:type="xsd:double"&gt;217.51&lt;/D&gt;&lt;D xsi:type="xsd:double"&gt;216.599&lt;/D&gt;&lt;D xsi:type="xsd:double"&gt;215.074&lt;/D&gt;&lt;D xsi:type="xsd:double"&gt;214.123&lt;/D&gt;&lt;D xsi:type="xsd:double"&gt;214.357&lt;/D&gt;&lt;D xsi:type="xsd:double"&gt;213.403&lt;/D&gt;&lt;D xsi:type="xsd:double"&gt;211.754&lt;/D&gt;&lt;D xsi:type="xsd:double"&gt;212.576&lt;/D&gt;&lt;D xsi:type="xsd:double"&gt;211.137&lt;/D&gt;&lt;D xsi:type="xsd:double"&gt;209.769&lt;/D&gt;&lt;D xsi:type="xsd:double"&gt;212.739&lt;/D&gt;&lt;D xsi:type="xsd:double"&gt;213.498&lt;/D&gt;&lt;D xsi:type="xsd:double"&gt;212.915&lt;/D&gt;&lt;D xsi:type="xsd:double"&gt;211.581&lt;/D&gt;&lt;D xsi:type="xsd:double"&gt;215.332&lt;/D&gt;&lt;D xsi:type="xsd:double"&gt;219&lt;/D&gt;&lt;D xsi:type="xsd:double"&gt;218.885&lt;/D&gt;&lt;D xsi:type="xsd:double"&gt;218.537&lt;/D&gt;&lt;D xsi:type="xsd:double"&gt;219.298&lt;/D&gt;&lt;D xsi:type="xsd:double"&gt;220.831&lt;/D&gt;&lt;D xsi:type="xsd:double"&gt;219.904&lt;/D&gt;&lt;D xsi:type="xsd:double"&gt;221.381&lt;/D&gt;&lt;D xsi:type="xsd:double"&gt;224.315&lt;/D&gt;&lt;D xsi:type="xsd:double"&gt;223.997&lt;/D&gt;&lt;D xsi:type="xsd:double"&gt;223.077&lt;/D&gt;&lt;D xsi:type="xsd:double"&gt;224.527&lt;/D&gt;&lt;D xsi:type="xsd:double"&gt;224.633&lt;/D&gt;&lt;D xsi:type="xsd:double"&gt;225.303&lt;/D&gt;&lt;D xsi:type="xsd:double"&gt;224.212&lt;/D&gt;&lt;D xsi:type="xsd:double"&gt;222.452&lt;/D&gt;&lt;D xsi:type="xsd:double"&gt;223.046&lt;/D&gt;&lt;D xsi:type="xsd:double"&gt;223.625&lt;/D&gt;&lt;D xsi:type="xsd:double"&gt;221.93&lt;/D&gt;&lt;D xsi:type="xsd:double"&gt;219.945&lt;/D&gt;&lt;D xsi:type="xsd:double"&gt;221.669&lt;/D&gt;&lt;D xsi:type="xsd:double"&gt;220.348&lt;/D&gt;&lt;D xsi:type="xsd:double"&gt;219.291&lt;/D&gt;&lt;D xsi:type="xsd:double"&gt;220.001&lt;/D&gt;&lt;D xsi:type="xsd:double"&gt;221.415&lt;/D&gt;&lt;D xsi:type="xsd:double"&gt;222.779&lt;/D&gt;&lt;D xsi:type="xsd:double"&gt;224.378&lt;/D&gt;&lt;D xsi:type="xsd:double"&gt;222.698&lt;/D&gt;&lt;D xsi:type="xsd:double"&gt;222.066&lt;/D&gt;&lt;D xsi:type="xsd:double"&gt;221.357&lt;/D&gt;&lt;D xsi:type="xsd:double"&gt;224.222&lt;/D&gt;&lt;D xsi:type="xsd:double"&gt;223.377&lt;/D&gt;&lt;D xsi:type="xsd:double"&gt;223.464&lt;/D&gt;&lt;D xsi:type="xsd:double"&gt;222.835&lt;/D&gt;&lt;D xsi:type="xsd:double"&gt;223.203&lt;/D&gt;&lt;D xsi:type="xsd:double"&gt;223.775&lt;/D&gt;&lt;D xsi:type="xsd:double"&gt;225.161&lt;/D&gt;&lt;D xsi:type="xsd:double"&gt;223.64&lt;/D&gt;&lt;D xsi:type="xsd:double"&gt;222.889&lt;/D&gt;&lt;D xsi:type="xsd:double"&gt;216.092&lt;/D&gt;&lt;D xsi:type="xsd:double"&gt;213.179&lt;/D&gt;&lt;D xsi:type="xsd:double"&gt;213.657&lt;/D&gt;&lt;D xsi:type="xsd:double"&gt;208.433&lt;/D&gt;&lt;D xsi:type="xsd:double"&gt;207.588&lt;/D&gt;&lt;D xsi:type="xsd:double"&gt;204.753&lt;/D&gt;&lt;D xsi:type="xsd:double"&gt;206.474&lt;/D&gt;&lt;D xsi:type="xsd:double"&gt;205.354&lt;/D&gt;&lt;D xsi:type="xsd:double"&gt;208.366&lt;/D&gt;&lt;D xsi:type="xsd:double"&gt;212.546&lt;/D&gt;&lt;D xsi:type="xsd:double"&gt;212.665&lt;/D&gt;&lt;D xsi:type="xsd:double"&gt;217.09&lt;/D&gt;&lt;D xsi:type="xsd:double"&gt;214.976&lt;/D&gt;&lt;D xsi:type="xsd:double"&gt;215.225&lt;/D&gt;&lt;D xsi:type="xsd:double"&gt;212.009&lt;/D&gt;&lt;D xsi:type="xsd:double"&gt;212.452&lt;/D&gt;&lt;D xsi:type="xsd:double"&gt;214.351&lt;/D&gt;&lt;D xsi:type="xsd:double"&gt;216.551&lt;/D&gt;&lt;D xsi:type="xsd:double"&gt;217.895&lt;/D&gt;&lt;D xsi:type="xsd:double"&gt;217.527&lt;/D&gt;&lt;D xsi:type="xsd:double"&gt;217.507&lt;/D&gt;&lt;D xsi:type="xsd:double"&gt;222.405&lt;/D&gt;&lt;D xsi:type="xsd:double"&gt;219.942&lt;/D&gt;&lt;D xsi:type="xsd:double"&gt;219.074&lt;/D&gt;&lt;D xsi:type="xsd:double"&gt;217.073&lt;/D&gt;&lt;D xsi:type="xsd:double"&gt;220.421&lt;/D&gt;&lt;D xsi:type="xsd:double"&gt;219.755&lt;/D&gt;&lt;D xsi:type="xsd:double"&gt;219.452&lt;/D&gt;&lt;D xsi:type="xsd:double"&gt;218.909&lt;/D&gt;&lt;D xsi:type="xsd:double"&gt;218.154&lt;/D&gt;&lt;D xsi:type="xsd:double"&gt;217.182&lt;/D&gt;&lt;D xsi:type="xsd:double"&gt;214.133&lt;/D&gt;&lt;D xsi:type="xsd:double"&gt;220.438&lt;/D&gt;&lt;D xsi:type="xsd:double"&gt;225.015&lt;/D&gt;&lt;D xsi:type="xsd:double"&gt;227.098&lt;/D&gt;&lt;D xsi:type="xsd:double"&gt;227.657&lt;/D&gt;&lt;D xsi:type="xsd:double"&gt;230.816&lt;/D&gt;&lt;D xsi:type="xsd:double"&gt;230.181&lt;/D&gt;&lt;D xsi:type="xsd:double"&gt;228.184&lt;/D&gt;&lt;D xsi:type="xsd:double"&gt;226.666&lt;/D&gt;&lt;D xsi:type="xsd:double"&gt;228.557&lt;/D&gt;&lt;D xsi:type="xsd:double"&gt;229.447&lt;/D&gt;&lt;D xsi:type="xsd:double"&gt;232.311&lt;/D&gt;&lt;D xsi:type="xsd:double"&gt;230.189&lt;/D&gt;&lt;D xsi:type="xsd:double"&gt;234.86&lt;/D&gt;&lt;D xsi:type="xsd:double"&gt;235.654&lt;/D&gt;&lt;D xsi:type="xsd:double"&gt;234.637&lt;/D&gt;&lt;D xsi:type="xsd:double"&gt;233.758&lt;/D&gt;&lt;D xsi:type="xsd:double"&gt;230.148&lt;/D&gt;&lt;D xsi:type="xsd:double"&gt;229.392&lt;/D&gt;&lt;D xsi:type="xsd:double"&gt;230.535&lt;/D&gt;&lt;D xsi:type="xsd:double"&gt;229.818&lt;/D&gt;&lt;D xsi:type="xsd:double"&gt;228.519&lt;/D&gt;&lt;D xsi:type="xsd:double"&gt;227.108&lt;/D&gt;&lt;D xsi:type="xsd:double"&gt;223.191&lt;/D&gt;&lt;D xsi:type="xsd:double"&gt;226.05&lt;/D&gt;&lt;D xsi:type="xsd:double"&gt;226.309&lt;/D&gt;&lt;D xsi:type="xsd:double"&gt;231.627&lt;/D&gt;&lt;D xsi:type="xsd:double"&gt;231.134&lt;/D&gt;&lt;D xsi:type="xsd:double"&gt;229.312&lt;/D&gt;&lt;D xsi:type="xsd:double"&gt;231.345&lt;/D&gt;&lt;D xsi:type="xsd:double"&gt;232.038&lt;/D&gt;&lt;D xsi:type="xsd:double"&gt;231.547&lt;/D&gt;&lt;D xsi:type="xsd:double"&gt;231.369&lt;/D&gt;&lt;D xsi:type="xsd:double"&gt;228.618&lt;/D&gt;&lt;D xsi:type="xsd:double"&gt;224.151&lt;/D&gt;&lt;D xsi:type="xsd:double"&gt;223.74&lt;/D&gt;&lt;D xsi:type="xsd:double"&gt;226.632&lt;/D&gt;&lt;D xsi:type="xsd:double"&gt;225.754&lt;/D&gt;&lt;D xsi:type="xsd:double"&gt;226.111&lt;/D&gt;&lt;D xsi:type="xsd:double"&gt;224.027&lt;/D&gt;&lt;D xsi:type="xsd:double"&gt;226.091&lt;/D&gt;&lt;D xsi:type="xsd:double"&gt;227.586&lt;/D&gt;&lt;D xsi:type="xsd:double"&gt;225.368&lt;/D&gt;&lt;D xsi:type="xsd:double"&gt;223.876&lt;/D&gt;&lt;D xsi:type="xsd:double"&gt;227.04&lt;/D&gt;&lt;D xsi:type="xsd:double"&gt;229.359&lt;/D&gt;&lt;D xsi:type="xsd:double"&gt;229.89&lt;/D&gt;&lt;D xsi:type="xsd:double"&gt;230.687&lt;/D&gt;&lt;D xsi:type="xsd:double"&gt;229.301&lt;/D&gt;&lt;D xsi:type="xsd:double"&gt;226.175&lt;/D&gt;&lt;D xsi:type="xsd:double"&gt;227.738&lt;/D&gt;&lt;D xsi:type="xsd:double"&gt;226.617&lt;/D&gt;&lt;D xsi:type="xsd:double"&gt;221.846&lt;/D&gt;&lt;D xsi:type="xsd:double"&gt;219.197&lt;/D&gt;&lt;D xsi:type="xsd:double"&gt;218.488&lt;/D&gt;&lt;/FQL&gt;&lt;FQL&gt;&lt;Q&gt;899901^JULIAN(FG_PRICE(2/27/2026,1/31/2000,,USD).DATES)&lt;/Q&gt;&lt;R&gt;6559&lt;/R&gt;&lt;C&gt;1&lt;/C&gt;&lt;D xsi:type="xsd:long"&gt;46080&lt;/D&gt;&lt;D xsi:type="xsd:long"&gt;46079&lt;/D&gt;&lt;D xsi:type="xsd:long"&gt;46078&lt;/D&gt;&lt;D xsi:type="xsd:long"&gt;46077&lt;/D&gt;&lt;D xsi:type="xsd:long"&gt;46076&lt;/D&gt;&lt;D xsi:type="xsd:long"&gt;46073&lt;/D&gt;&lt;D xsi:type="xsd:long"&gt;46072&lt;/D&gt;&lt;D xsi:type="xsd:long"&gt;46071&lt;/D&gt;&lt;D xsi:type="xsd:long"&gt;46070&lt;/D&gt;&lt;D xsi:type="xsd:long"&gt;46066&lt;/D&gt;&lt;D xsi:type="xsd:long"&gt;46065&lt;/D&gt;&lt;D xsi:type="xsd:long"&gt;46064&lt;/D&gt;&lt;D xsi:type="xsd:long"&gt;46063&lt;/D&gt;&lt;D xsi:type="xsd:long"&gt;46062&lt;/D&gt;&lt;D xsi:type="xsd:long"&gt;46059&lt;/D&gt;&lt;D xsi:type="xsd:long"&gt;46058&lt;/D&gt;&lt;D xsi:type="xsd:long"&gt;46057&lt;/D&gt;&lt;D xsi:type="xsd:long"&gt;46056&lt;/D&gt;&lt;D xsi:type="xsd:long"&gt;46055&lt;/D&gt;&lt;D xsi:type="xsd:long"&gt;46052&lt;/D&gt;&lt;D xsi:type="xsd:long"&gt;46051&lt;/D&gt;&lt;D xsi:type="xsd:long"&gt;46050&lt;/D&gt;&lt;D xsi:type="xsd:long"&gt;46049&lt;/D&gt;&lt;D xsi:type="xsd:long"&gt;46048&lt;/D&gt;&lt;D xsi:type="xsd:long"&gt;46045&lt;/D&gt;&lt;D xsi:type="xsd:long"&gt;46044&lt;/D&gt;&lt;D xsi:type="xsd:long"&gt;46043&lt;/D&gt;&lt;D xsi:type="xsd:long"&gt;46042&lt;/D&gt;&lt;D xsi:type="xsd:long"&gt;46038&lt;/D&gt;&lt;D xsi:type="xsd:long"&gt;46037&lt;/D&gt;&lt;D xsi:type="xsd:long"&gt;46036&lt;/D&gt;&lt;D xsi:type="xsd:long"&gt;46035&lt;/D&gt;&lt;D xsi:type="xsd:long"&gt;46034&lt;/D&gt;&lt;D xsi:type="xsd:long"&gt;46031&lt;/D&gt;&lt;D xsi:type="xsd:long"&gt;46030&lt;/D&gt;&lt;D xsi:type="xsd:long"&gt;46029&lt;/D&gt;&lt;D xsi:type="xsd:long"&gt;46028&lt;/D&gt;&lt;D xsi:type="xsd:long"&gt;46027&lt;/D&gt;&lt;D xsi:type="xsd:long"&gt;46024&lt;/D&gt;&lt;D xsi:type="xsd:long"&gt;46022&lt;/D&gt;&lt;D xsi:type="xsd:long"&gt;46021&lt;/D&gt;&lt;D xsi:type="xsd:long"&gt;46020&lt;/D&gt;&lt;D xsi:type="xsd:long"&gt;46017&lt;/D&gt;&lt;D xsi:type="xsd:long"&gt;46015&lt;/D&gt;&lt;D xsi:type="xsd:long"&gt;46014&lt;/D&gt;&lt;D xsi:type="xsd:long"&gt;46013&lt;/D&gt;&lt;D xsi:type="xsd:long"&gt;46010&lt;/D&gt;&lt;D xsi:type="xsd:long"&gt;46009&lt;/D&gt;&lt;D xsi:type="xsd:long"&gt;46008&lt;/D&gt;&lt;D xsi:type="xsd:long"&gt;46007&lt;/D&gt;&lt;D xsi:type="xsd:long"&gt;46006&lt;/D&gt;&lt;D xsi:type="xsd:long"&gt;46003&lt;/D&gt;&lt;D xsi:type="xsd:long"&gt;46002&lt;/D&gt;&lt;D xsi:type="xsd:long"&gt;46001&lt;/D&gt;&lt;D xsi:type="xsd:long"&gt;46000&lt;/D&gt;&lt;D xsi:type="xsd:long"&gt;45999&lt;/D&gt;&lt;D xsi:type="xsd:long"&gt;45996&lt;/D&gt;&lt;D xsi:type="xsd:long"&gt;45995&lt;/D&gt;&lt;D xsi:type="xsd:long"&gt;45994&lt;/D&gt;&lt;D xsi:type="xsd:long"&gt;45993&lt;/D&gt;&lt;D xsi:type="xsd:long"&gt;45992&lt;/D&gt;&lt;D xsi:type="xsd:long"&gt;45989&lt;/D&gt;&lt;D xsi:type="xsd:long"&gt;45987&lt;/D&gt;&lt;D xsi:type="xsd:long"&gt;45986&lt;/D&gt;&lt;D xsi:type="xsd:long"&gt;45985&lt;/D&gt;&lt;D xsi:type="xsd:long"&gt;45982&lt;/D&gt;&lt;D xsi:type="xsd:long"&gt;45981&lt;/D&gt;&lt;D xsi:type="xsd:long"&gt;45980&lt;/D&gt;&lt;D xsi:type="xsd:long"&gt;45979&lt;/D&gt;&lt;D xsi:type="xsd:long"&gt;45978&lt;/D&gt;&lt;D xsi:type="xsd:long"&gt;45975&lt;/D&gt;&lt;D xsi:type="xsd:long"&gt;45974&lt;/D&gt;&lt;D xsi:type="xsd:long"&gt;45973&lt;/D&gt;&lt;D xsi:type="xsd:long"&gt;45972&lt;/D&gt;&lt;D xsi:type="xsd:long"&gt;45971&lt;/D&gt;&lt;D xsi:type="xsd:long"&gt;45968&lt;/D&gt;&lt;D xsi:type="xsd:long"&gt;45967&lt;/D&gt;&lt;D xsi:type="xsd:long"&gt;45966&lt;/D&gt;&lt;D xsi:type="xsd:long"&gt;45965&lt;/D&gt;&lt;D xsi:type="xsd:long"&gt;45964&lt;/D&gt;&lt;D xsi:type="xsd:long"&gt;45961&lt;/D&gt;&lt;D xsi:type="xsd:long"&gt;45960&lt;/D&gt;&lt;D xsi:type="xsd:long"&gt;45959&lt;/D&gt;&lt;D xsi:type="xsd:long"&gt;45958&lt;/D&gt;&lt;D xsi:type="xsd:long"&gt;45957&lt;/D&gt;&lt;D xsi:type="xsd:long"&gt;45954&lt;/D&gt;&lt;D xsi:type="xsd:long"&gt;45953&lt;/D&gt;&lt;D xsi:type="xsd:long"&gt;45952&lt;/D&gt;&lt;D xsi:type="xsd:long"&gt;45951&lt;/D&gt;&lt;D xsi:type="xsd:long"&gt;45950&lt;/D&gt;&lt;D xsi:type="xsd:long"&gt;45947&lt;/D&gt;&lt;D xsi:type="xsd:long"&gt;45946&lt;/D&gt;&lt;D xsi:type="xsd:long"&gt;45945&lt;/D&gt;&lt;D xsi:type="xsd:long"&gt;45944&lt;/D&gt;&lt;D xsi:type="xsd:long"&gt;45943&lt;/D&gt;&lt;D xsi:type="xsd:long"&gt;45940&lt;/D&gt;&lt;D xsi:type="xsd:long"&gt;45939&lt;/D&gt;&lt;D xsi:type="xsd:long"&gt;45938&lt;/D&gt;&lt;D xsi:type="xsd:long"&gt;45937&lt;/D&gt;&lt;D xsi:type="xsd:long"&gt;45936&lt;/D&gt;&lt;D xsi:type="xsd:long"&gt;45933&lt;/D&gt;&lt;D xsi:type="xsd:long"&gt;45932&lt;/D&gt;&lt;D xsi:type="xsd:long"&gt;45931&lt;/D&gt;&lt;D xsi:type="xsd:long"&gt;45930&lt;/D&gt;&lt;D xsi:type="xsd:long"&gt;45929&lt;/D&gt;&lt;D xsi:type="xsd:long"&gt;45926&lt;/D&gt;&lt;D xsi:type="xsd:long"&gt;45925&lt;/D&gt;&lt;D xsi:type="xsd:long"&gt;45924&lt;/D&gt;&lt;D xsi:type="xsd:long"&gt;45923&lt;/D&gt;&lt;D xsi:type="xsd:long"&gt;45922&lt;/D&gt;&lt;D xsi:type="xsd:long"&gt;45919&lt;/D&gt;&lt;D xsi:type="xsd:long"&gt;45918&lt;/D&gt;&lt;D xsi:type="xsd:long"&gt;45917&lt;/D&gt;&lt;D xsi:type="xsd:long"&gt;45916&lt;/D&gt;&lt;D xsi:type="xsd:long"&gt;45915&lt;/D&gt;&lt;D xsi:type="xsd:long"&gt;45912&lt;/D&gt;&lt;D xsi:type="xsd:long"&gt;45911&lt;/D&gt;&lt;D xsi:type="xsd:long"&gt;45910&lt;/D&gt;&lt;D xsi:type="xsd:long"&gt;45909&lt;/D&gt;&lt;D xsi:type="xsd:long"&gt;45908&lt;/D&gt;&lt;D xsi:type="xsd:long"&gt;45905&lt;/D&gt;&lt;D xsi:type="xsd:long"&gt;45904&lt;/D&gt;&lt;D xsi:type="xsd:long"&gt;45903&lt;/D&gt;&lt;D xsi:type="xsd:long"&gt;45902&lt;/D&gt;&lt;D xsi:type="xsd:long"&gt;45898&lt;/D&gt;&lt;D xsi:type="xsd:long"&gt;45897&lt;/D&gt;&lt;D xsi:type="xsd:long"&gt;45896&lt;/D&gt;&lt;D xsi:type="xsd:long"&gt;45895&lt;/D&gt;&lt;D xsi:type="xsd:long"&gt;45894&lt;/D&gt;&lt;D xsi:type="xsd:long"&gt;45891&lt;/D&gt;&lt;D xsi:type="xsd:long"&gt;45890&lt;/D&gt;&lt;D xsi:type="xsd:long"&gt;45889&lt;/D&gt;&lt;D xsi:type="xsd:long"&gt;45888&lt;/D&gt;&lt;D xsi:type="xsd:long"&gt;45887&lt;/D&gt;&lt;D xsi:type="xsd:long"&gt;45884&lt;/D&gt;&lt;D xsi:type="xsd:long"&gt;45883&lt;/D&gt;&lt;D xsi:type="xsd:long"&gt;45882&lt;/D&gt;&lt;D xsi:type="xsd:long"&gt;45881&lt;/D&gt;&lt;D xsi:type="xsd:long"&gt;45880&lt;/D&gt;&lt;D xsi:type="xsd:long"&gt;45877&lt;/D&gt;&lt;D xsi:type="xsd:long"&gt;45876&lt;/D&gt;&lt;D xsi:type="xsd:long"&gt;45875&lt;/D&gt;&lt;D xsi:type="xsd:long"&gt;45874&lt;/D&gt;&lt;D xsi:type="xsd:long"&gt;45873&lt;/D&gt;&lt;D xsi:type="xsd:long"&gt;45870&lt;/D&gt;&lt;D xsi:type="xsd:long"&gt;45869&lt;/D&gt;&lt;D xsi:type="xsd:long"&gt;45868&lt;/D&gt;&lt;D xsi:type="xsd:long"&gt;45867&lt;/D&gt;&lt;D xsi:type="xsd:long"&gt;45866&lt;/D&gt;&lt;D xsi:type="xsd:long"&gt;45863&lt;/D&gt;&lt;D xsi:type="xsd:long"&gt;45862&lt;/D&gt;&lt;D xsi:type="xsd:long"&gt;45861&lt;/D&gt;&lt;D xsi:type="xsd:long"&gt;45860&lt;/D&gt;&lt;D xsi:type="xsd:long"&gt;45859&lt;/D&gt;&lt;D xsi:type="xsd:long"&gt;45856&lt;/D&gt;&lt;D xsi:type="xsd:long"&gt;45855&lt;/D&gt;&lt;D xsi:type="xsd:long"&gt;45854&lt;/D&gt;&lt;D xsi:type="xsd:long"&gt;45853&lt;/D&gt;&lt;D xsi:type="xsd:long"&gt;45852&lt;/D&gt;&lt;D xsi:type="xsd:long"&gt;45849&lt;/D&gt;&lt;D xsi:type="xsd:long"&gt;45848&lt;/D&gt;&lt;D xsi:type="xsd:long"&gt;45847&lt;/D&gt;&lt;D xsi:type="xsd:long"&gt;45846&lt;/D&gt;&lt;D xsi:type="xsd:long"&gt;45845&lt;/D&gt;&lt;D xsi:type="xsd:long"&gt;45841&lt;/D&gt;&lt;D xsi:type="xsd:long"&gt;45840&lt;/D&gt;&lt;D xsi:type="xsd:long"&gt;45839&lt;/D&gt;&lt;D xsi:type="xsd:long"&gt;45838&lt;/D&gt;&lt;D xsi:type="xsd:long"&gt;45835&lt;/D&gt;&lt;D xsi:type="xsd:long"&gt;45834&lt;/D&gt;&lt;D xsi:type="xsd:long"&gt;45833&lt;/D&gt;&lt;D xsi:type="xsd:long"&gt;45832&lt;/D&gt;&lt;D xsi:type="xsd:long"&gt;45831&lt;/D&gt;&lt;D xsi:type="xsd:long"&gt;45828&lt;/D&gt;&lt;D xsi:type="xsd:long"&gt;45826&lt;/D&gt;&lt;D xsi:type="xsd:long"&gt;45825&lt;/D&gt;&lt;D xsi:type="xsd:long"&gt;45824&lt;/D&gt;&lt;D xsi:type="xsd:long"&gt;45821&lt;/D&gt;&lt;D xsi:type="xsd:long"&gt;45820&lt;/D&gt;&lt;D xsi:type="xsd:long"&gt;45819&lt;/D&gt;&lt;D xsi:type="xsd:long"&gt;45818&lt;/D&gt;&lt;D xsi:type="xsd:long"&gt;45817&lt;/D&gt;&lt;D xsi:type="xsd:long"&gt;45814&lt;/D&gt;&lt;D xsi:type="xsd:long"&gt;45813&lt;/D&gt;&lt;D xsi:type="xsd:long"&gt;45812&lt;/D&gt;&lt;D xsi:type="xsd:long"&gt;45811&lt;/D&gt;&lt;D xsi:type="xsd:long"&gt;45810&lt;/D&gt;&lt;D xsi:type="xsd:long"&gt;45807&lt;/D&gt;&lt;D xsi:type="xsd:long"&gt;45806&lt;/D&gt;&lt;D xsi:type="xsd:long"&gt;45805&lt;/D&gt;&lt;D xsi:type="xsd:long"&gt;45804&lt;/D&gt;&lt;D xsi:type="xsd:long"&gt;45800&lt;/D&gt;&lt;D xsi:type="xsd:long"&gt;45799&lt;/D&gt;&lt;D xsi:type="xsd:long"&gt;45798&lt;/D&gt;&lt;D xsi:type="xsd:long"&gt;45797&lt;/D&gt;&lt;D xsi:type="xsd:long"&gt;45796&lt;/D&gt;&lt;D xsi:type="xsd:long"&gt;45793&lt;/D&gt;&lt;D xsi:type="xsd:long"&gt;45792&lt;/D&gt;&lt;D xsi:type="xsd:long"&gt;45791&lt;/D&gt;&lt;D xsi:type="xsd:long"&gt;45790&lt;/D&gt;&lt;D xsi:type="xsd:long"&gt;45789&lt;/D&gt;&lt;D xsi:type="xsd:long"&gt;45786&lt;/D&gt;&lt;D xsi:type="xsd:long"&gt;45785&lt;/D&gt;&lt;D xsi:type="xsd:long"&gt;45784&lt;/D&gt;&lt;D xsi:type="xsd:long"&gt;45783&lt;/D&gt;&lt;D xsi:type="xsd:long"&gt;45782&lt;/D&gt;&lt;D xsi:type="xsd:long"&gt;45779&lt;/D&gt;&lt;D xsi:type="xsd:long"&gt;45778&lt;/D&gt;&lt;D xsi:type="xsd:long"&gt;45777&lt;/D&gt;&lt;D xsi:type="xsd:long"&gt;45776&lt;/D&gt;&lt;D xsi:type="xsd:long"&gt;45775&lt;/D&gt;&lt;D xsi:type="xsd:long"&gt;45772&lt;/D&gt;&lt;D xsi:type="xsd:long"&gt;45771&lt;/D&gt;&lt;D xsi:type="xsd:long"&gt;45770&lt;/D&gt;&lt;D xsi:type="xsd:long"&gt;45769&lt;/D&gt;&lt;D xsi:type="xsd:long"&gt;45768&lt;/D&gt;&lt;D xsi:type="xsd:long"&gt;45764&lt;/D&gt;&lt;D xsi:type="xsd:long"&gt;45763&lt;/D&gt;&lt;D xsi:type="xsd:long"&gt;45762&lt;/D&gt;&lt;D xsi:type="xsd:long"&gt;45761&lt;/D&gt;&lt;D xsi:type="xsd:long"&gt;45758&lt;/D&gt;&lt;D xsi:type="xsd:long"&gt;45757&lt;/D&gt;&lt;D xsi:type="xsd:long"&gt;45756&lt;/D&gt;&lt;D xsi:type="xsd:long"&gt;45755&lt;/D&gt;&lt;D xsi:type="xsd:long"&gt;45754&lt;/D&gt;&lt;D xsi:type="xsd:long"&gt;45751&lt;/D&gt;&lt;D xsi:type="xsd:long"&gt;45750&lt;/D&gt;&lt;D xsi:type="xsd:long"&gt;45749&lt;/D&gt;&lt;D xsi:type="xsd:long"&gt;45748&lt;/D&gt;&lt;D xsi:type="xsd:long"&gt;45747&lt;/D&gt;&lt;D xsi:type="xsd:long"&gt;45744&lt;/D&gt;&lt;D xsi:type="xsd:long"&gt;45743&lt;/D&gt;&lt;D xsi:type="xsd:long"&gt;45742&lt;/D&gt;&lt;D xsi:type="xsd:long"&gt;45741&lt;/D&gt;&lt;D xsi:type="xsd:long"&gt;45740&lt;/D&gt;&lt;D xsi:type="xsd:long"&gt;45737&lt;/D&gt;&lt;D xsi:type="xsd:long"&gt;45736&lt;/D&gt;&lt;D xsi:type="xsd:long"&gt;45735&lt;/D&gt;&lt;D xsi:type="xsd:long"&gt;45734&lt;/D&gt;&lt;D xsi:type="xsd:long"&gt;45733&lt;/D&gt;&lt;D xsi:type="xsd:long"&gt;45730&lt;/D&gt;&lt;D xsi:type="xsd:long"&gt;45729&lt;/D&gt;&lt;D xsi:type="xsd:long"&gt;45728&lt;/D&gt;&lt;D xsi:type="xsd:long"&gt;45727&lt;/D&gt;&lt;D xsi:type="xsd:long"&gt;45726&lt;/D&gt;&lt;D xsi:type="xsd:long"&gt;45723&lt;/D&gt;&lt;D xsi:type="xsd:long"&gt;45722&lt;/D&gt;&lt;D xsi:type="xsd:long"&gt;45721&lt;/D&gt;&lt;D xsi:type="xsd:long"&gt;45720&lt;/D&gt;&lt;D xsi:type="xsd:long"&gt;45719&lt;/D&gt;&lt;D xsi:type="xsd:long"&gt;45716&lt;/D&gt;&lt;D xsi:type="xsd:long"&gt;45715&lt;/D&gt;&lt;D xsi:type="xsd:long"&gt;45714&lt;/D&gt;&lt;D xsi:type="xsd:long"&gt;45713&lt;/D&gt;&lt;D xsi:type="xsd:long"&gt;45712&lt;/D&gt;&lt;D xsi:type="xsd:long"&gt;45709&lt;/D&gt;&lt;D xsi:type="xsd:long"&gt;45708&lt;/D&gt;&lt;D xsi:type="xsd:long"&gt;45707&lt;/D&gt;&lt;D xsi:type="xsd:long"&gt;45706&lt;/D&gt;&lt;D xsi:type="xsd:long"&gt;45702&lt;/D&gt;&lt;D xsi:type="xsd:long"&gt;45701&lt;/D&gt;&lt;D xsi:type="xsd:long"&gt;45700&lt;/D&gt;&lt;D xsi:type="xsd:long"&gt;45699&lt;/D&gt;&lt;D xsi:type="xsd:long"&gt;45698&lt;/D&gt;&lt;D xsi:type="xsd:long"&gt;45695&lt;/D&gt;&lt;D xsi:type="xsd:long"&gt;45694&lt;/D&gt;&lt;D xsi:type="xsd:long"&gt;45693&lt;/D&gt;&lt;D xsi:type="xsd:long"&gt;45692&lt;/D&gt;&lt;D xsi:type="xsd:long"&gt;45691&lt;/D&gt;&lt;D xsi:type="xsd:long"&gt;45688&lt;/D&gt;&lt;D xsi:type="xsd:long"&gt;45687&lt;/D&gt;&lt;D xsi:type="xsd:long"&gt;45686&lt;/D&gt;&lt;D xsi:type="xsd:long"&gt;45685&lt;/D&gt;&lt;D xsi:type="xsd:long"&gt;45684&lt;/D&gt;&lt;D xsi:type="xsd:long"&gt;45681&lt;/D&gt;&lt;D xsi:type="xsd:long"&gt;45680&lt;/D&gt;&lt;D xsi:type="xsd:long"&gt;45679&lt;/D&gt;&lt;D xsi:type="xsd:long"&gt;45678&lt;/D&gt;&lt;D xsi:type="xsd:long"&gt;45674&lt;/D&gt;&lt;D xsi:type="xsd:long"&gt;45673&lt;/D&gt;&lt;D xsi:type="xsd:long"&gt;45672&lt;/D&gt;&lt;D xsi:type="xsd:long"&gt;45671&lt;/D&gt;&lt;D xsi:type="xsd:long"&gt;45670&lt;/D&gt;&lt;D xsi:type="xsd:long"&gt;45667&lt;/D&gt;&lt;D xsi:type="xsd:long"&gt;45665&lt;/D&gt;&lt;D xsi:type="xsd:long"&gt;45664&lt;/D&gt;&lt;D xsi:type="xsd:long"&gt;45663&lt;/D&gt;&lt;D xsi:type="xsd:long"&gt;45660&lt;/D&gt;&lt;D xsi:type="xsd:long"&gt;45659&lt;/D&gt;&lt;D xsi:type="xsd:long"&gt;45657&lt;/D&gt;&lt;D xsi:type="xsd:long"&gt;45656&lt;/D&gt;&lt;D xsi:type="xsd:long"&gt;45653&lt;/D&gt;&lt;D xsi:type="xsd:long"&gt;45652&lt;/D&gt;&lt;D xsi:type="xsd:long"&gt;45650&lt;/D&gt;&lt;D xsi:type="xsd:long"&gt;45649&lt;/D&gt;&lt;D xsi:type="xsd:long"&gt;45646&lt;/D&gt;&lt;D xsi:type="xsd:long"&gt;45645&lt;/D&gt;&lt;D xsi:type="xsd:long"&gt;45644&lt;/D&gt;&lt;D xsi:type="xsd:long"&gt;45643&lt;/D&gt;&lt;D xsi:type="xsd:long"&gt;45642&lt;/D&gt;&lt;D xsi:type="xsd:long"&gt;45639&lt;/D&gt;&lt;D xsi:type="xsd:long"&gt;45638&lt;/D&gt;&lt;D xsi:type="xsd:long"&gt;45637&lt;/D&gt;&lt;D xsi:type="xsd:long"&gt;45636&lt;/D&gt;&lt;D xsi:type="xsd:long"&gt;45635&lt;/D&gt;&lt;D xsi:type="xsd:long"&gt;45632&lt;/D&gt;&lt;D xsi:type="xsd:long"&gt;45631&lt;/D&gt;&lt;D xsi:type="xsd:long"&gt;45630&lt;/D&gt;&lt;D xsi:type="xsd:long"&gt;45629&lt;/D&gt;&lt;D xsi:type="xsd:long"&gt;45628&lt;/D&gt;&lt;D xsi:type="xsd:long"&gt;45625&lt;/D&gt;&lt;D xsi:type="xsd:long"&gt;45623&lt;/D&gt;&lt;D xsi:type="xsd:long"&gt;45622&lt;/D&gt;&lt;D xsi:type="xsd:long"&gt;45621&lt;/D&gt;&lt;D xsi:type="xsd:long"&gt;45618&lt;/D&gt;&lt;D xsi:type="xsd:long"&gt;45617&lt;/D&gt;&lt;D xsi:type="xsd:long"&gt;45616&lt;/D&gt;&lt;D xsi:type="xsd:long"&gt;45615&lt;/D&gt;&lt;D xsi:type="xsd:long"&gt;45614&lt;/D&gt;&lt;D xsi:type="xsd:long"&gt;45611&lt;/D&gt;&lt;D xsi:type="xsd:long"&gt;45610&lt;/D&gt;&lt;D xsi:type="xsd:long"&gt;45609&lt;/D&gt;&lt;D xsi:type="xsd:long"&gt;45608&lt;/D&gt;&lt;D xsi:type="xsd:long"&gt;45607&lt;/D&gt;&lt;D xsi:type="xsd:long"&gt;45604&lt;/D&gt;&lt;D xsi:type="xsd:long"&gt;45603&lt;/D&gt;&lt;D xsi:type="xsd:long"&gt;45602&lt;/D&gt;&lt;D xsi:type="xsd:long"&gt;45601&lt;/D&gt;&lt;D xsi:type="xsd:long"&gt;45600&lt;/D&gt;&lt;D xsi:type="xsd:long"&gt;45597&lt;/D&gt;&lt;D xsi:type="xsd:long"&gt;45596&lt;/D&gt;&lt;D xsi:type="xsd:long"&gt;45595&lt;/D&gt;&lt;D xsi:type="xsd:long"&gt;45594&lt;/D&gt;&lt;D xsi:type="xsd:long"&gt;45593&lt;/D&gt;&lt;D xsi:type="xsd:long"&gt;45590&lt;/D&gt;&lt;D xsi:type="xsd:long"&gt;45589&lt;/D&gt;&lt;D xsi:type="xsd:long"&gt;45588&lt;/D&gt;&lt;D xsi:type="xsd:long"&gt;45587&lt;/D&gt;&lt;D xsi:type="xsd:long"&gt;45586&lt;/D&gt;&lt;D xsi:type="xsd:long"&gt;45583&lt;/D&gt;&lt;D xsi:type="xsd:long"&gt;45582&lt;/D&gt;&lt;D xsi:type="xsd:long"&gt;45581&lt;/D&gt;&lt;D xsi:type="xsd:long"&gt;45580&lt;/D&gt;&lt;D xsi:type="xsd:long"&gt;45579&lt;/D&gt;&lt;D xsi:type="xsd:long"&gt;45576&lt;/D&gt;&lt;D xsi:type="xsd:long"&gt;45575&lt;/D&gt;&lt;D xsi:type="xs</t>
        </r>
      </text>
    </comment>
    <comment ref="A89" authorId="0" shapeId="0">
      <text>
        <r>
          <rPr>
            <b/>
            <sz val="9"/>
            <color indexed="81"/>
            <rFont val="Tahoma"/>
            <family val="2"/>
          </rPr>
          <t>d:long"&gt;45574&lt;/D&gt;&lt;D xsi:type="xsd:long"&gt;45573&lt;/D&gt;&lt;D xsi:type="xsd:long"&gt;45572&lt;/D&gt;&lt;D xsi:type="xsd:long"&gt;45569&lt;/D&gt;&lt;D xsi:type="xsd:long"&gt;45568&lt;/D&gt;&lt;D xsi:type="xsd:long"&gt;45567&lt;/D&gt;&lt;D xsi:type="xsd:long"&gt;45566&lt;/D&gt;&lt;D xsi:type="xsd:long"&gt;45565&lt;/D&gt;&lt;D xsi:type="xsd:long"&gt;45562&lt;/D&gt;&lt;D xsi:type="xsd:long"&gt;45561&lt;/D&gt;&lt;D xsi:type="xsd:long"&gt;45560&lt;/D&gt;&lt;D xsi:type="xsd:long"&gt;45559&lt;/D&gt;&lt;D xsi:type="xsd:long"&gt;45558&lt;/D&gt;&lt;D xsi:type="xsd:long"&gt;45555&lt;/D&gt;&lt;D xsi:type="xsd:long"&gt;45554&lt;/D&gt;&lt;D xsi:type="xsd:long"&gt;45553&lt;/D&gt;&lt;D xsi:type="xsd:long"&gt;45552&lt;/D&gt;&lt;D xsi:type="xsd:long"&gt;45551&lt;/D&gt;&lt;D xsi:type="xsd:long"&gt;45548&lt;/D&gt;&lt;D xsi:type="xsd:long"&gt;45547&lt;/D&gt;&lt;D xsi:type="xsd:long"&gt;45546&lt;/D&gt;&lt;D xsi:type="xsd:long"&gt;45545&lt;/D&gt;&lt;D xsi:type="xsd:long"&gt;45544&lt;/D&gt;&lt;D xsi:type="xsd:long"&gt;45541&lt;/D&gt;&lt;D xsi:type="xsd:long"&gt;45540&lt;/D&gt;&lt;D xsi:type="xsd:long"&gt;45539&lt;/D&gt;&lt;D xsi:type="xsd:long"&gt;45538&lt;/D&gt;&lt;D xsi:type="xsd:long"&gt;45534&lt;/D&gt;&lt;D xsi:type="xsd:long"&gt;45533&lt;/D&gt;&lt;D xsi:type="xsd:long"&gt;45532&lt;/D&gt;&lt;D xsi:type="xsd:long"&gt;45531&lt;/D&gt;&lt;D xsi:type="xsd:long"&gt;45530&lt;/D&gt;&lt;D xsi:type="xsd:long"&gt;45527&lt;/D&gt;&lt;D xsi:type="xsd:long"&gt;45526&lt;/D&gt;&lt;D xsi:type="xsd:long"&gt;45525&lt;/D&gt;&lt;D xsi:type="xsd:long"&gt;45524&lt;/D&gt;&lt;D xsi:type="xsd:long"&gt;45523&lt;/D&gt;&lt;D xsi:type="xsd:long"&gt;45520&lt;/D&gt;&lt;D xsi:type="xsd:long"&gt;45519&lt;/D&gt;&lt;D xsi:type="xsd:long"&gt;45518&lt;/D&gt;&lt;D xsi:type="xsd:long"&gt;45517&lt;/D&gt;&lt;D xsi:type="xsd:long"&gt;45516&lt;/D&gt;&lt;D xsi:type="xsd:long"&gt;45513&lt;/D&gt;&lt;D xsi:type="xsd:long"&gt;45512&lt;/D&gt;&lt;D xsi:type="xsd:long"&gt;45511&lt;/D&gt;&lt;D xsi:type="xsd:long"&gt;45510&lt;/D&gt;&lt;D xsi:type="xsd:long"&gt;45509&lt;/D&gt;&lt;D xsi:type="xsd:long"&gt;45506&lt;/D&gt;&lt;D xsi:type="xsd:long"&gt;45505&lt;/D&gt;&lt;D xsi:type="xsd:long"&gt;45504&lt;/D&gt;&lt;D xsi:type="xsd:long"&gt;45503&lt;/D&gt;&lt;D xsi:type="xsd:long"&gt;45502&lt;/D&gt;&lt;D xsi:type="xsd:long"&gt;45499&lt;/D&gt;&lt;D xsi:type="xsd:long"&gt;45498&lt;/D&gt;&lt;D xsi:type="xsd:long"&gt;45497&lt;/D&gt;&lt;D xsi:type="xsd:long"&gt;45496&lt;/D&gt;&lt;D xsi:type="xsd:long"&gt;45495&lt;/D&gt;&lt;D xsi:type="xsd:long"&gt;45492&lt;/D&gt;&lt;D xsi:type="xsd:long"&gt;45491&lt;/D&gt;&lt;D xsi:type="xsd:long"&gt;45490&lt;/D&gt;&lt;D xsi:type="xsd:long"&gt;45489&lt;/D&gt;&lt;D xsi:type="xsd:long"&gt;45488&lt;/D&gt;&lt;D xsi:type="xsd:long"&gt;45485&lt;/D&gt;&lt;D xsi:type="xsd:long"&gt;45484&lt;/D&gt;&lt;D xsi:type="xsd:long"&gt;45483&lt;/D&gt;&lt;D xsi:type="xsd:long"&gt;45482&lt;/D&gt;&lt;D xsi:type="xsd:long"&gt;45481&lt;/D&gt;&lt;D xsi:type="xsd:long"&gt;45478&lt;/D&gt;&lt;D xsi:type="xsd:long"&gt;45476&lt;/D&gt;&lt;D xsi:type="xsd:long"&gt;45475&lt;/D&gt;&lt;D xsi:type="xsd:long"&gt;45474&lt;/D&gt;&lt;D xsi:type="xsd:long"&gt;45471&lt;/D&gt;&lt;D xsi:type="xsd:long"&gt;45470&lt;/D&gt;&lt;D xsi:type="xsd:long"&gt;45469&lt;/D&gt;&lt;D xsi:type="xsd:long"&gt;45468&lt;/D&gt;&lt;D xsi:type="xsd:long"&gt;45467&lt;/D&gt;&lt;D xsi:type="xsd:long"&gt;45464&lt;/D&gt;&lt;D xsi:type="xsd:long"&gt;45463&lt;/D&gt;&lt;D xsi:type="xsd:long"&gt;45461&lt;/D&gt;&lt;D xsi:type="xsd:long"&gt;45460&lt;/D&gt;&lt;D xsi:type="xsd:long"&gt;45457&lt;/D&gt;&lt;D xsi:type="xsd:long"&gt;45456&lt;/D&gt;&lt;D xsi:type="xsd:long"&gt;45455&lt;/D&gt;&lt;D xsi:type="xsd:long"&gt;45454&lt;/D&gt;&lt;D xsi:type="xsd:long"&gt;45453&lt;/D&gt;&lt;D xsi:type="xsd:long"&gt;45450&lt;/D&gt;&lt;D xsi:type="xsd:long"&gt;45449&lt;/D&gt;&lt;D xsi:type="xsd:long"&gt;45448&lt;/D&gt;&lt;D xsi:type="xsd:long"&gt;45447&lt;/D&gt;&lt;D xsi:type="xsd:long"&gt;45446&lt;/D&gt;&lt;D xsi:type="xsd:long"&gt;45443&lt;/D&gt;&lt;D xsi:type="xsd:long"&gt;45442&lt;/D&gt;&lt;D xsi:type="xsd:long"&gt;45441&lt;/D&gt;&lt;D xsi:type="xsd:long"&gt;45440&lt;/D&gt;&lt;D xsi:type="xsd:long"&gt;45436&lt;/D&gt;&lt;D xsi:type="xsd:long"&gt;45435&lt;/D&gt;&lt;D xsi:type="xsd:long"&gt;45434&lt;/D&gt;&lt;D xsi:type="xsd:long"&gt;45433&lt;/D&gt;&lt;D xsi:type="xsd:long"&gt;45432&lt;/D&gt;&lt;D xsi:type="xsd:long"&gt;45429&lt;/D&gt;&lt;D xsi:type="xsd:long"&gt;45428&lt;/D&gt;&lt;D xsi:type="xsd:long"&gt;45427&lt;/D&gt;&lt;D xsi:type="xsd:long"&gt;45426&lt;/D&gt;&lt;D xsi:type="xsd:long"&gt;45425&lt;/D&gt;&lt;D xsi:type="xsd:long"&gt;45422&lt;/D&gt;&lt;D xsi:type="xsd:long"&gt;45421&lt;/D&gt;&lt;D xsi:type="xsd:long"&gt;45420&lt;/D&gt;&lt;D xsi:type="xsd:long"&gt;45419&lt;/D&gt;&lt;D xsi:type="xsd:long"&gt;45418&lt;/D&gt;&lt;D xsi:type="xsd:long"&gt;45415&lt;/D&gt;&lt;D xsi:type="xsd:long"&gt;45414&lt;/D&gt;&lt;D xsi:type="xsd:long"&gt;45413&lt;/D&gt;&lt;D xsi:type="xsd:long"&gt;45412&lt;/D&gt;&lt;D xsi:type="xsd:long"&gt;45411&lt;/D&gt;&lt;D xsi:type="xsd:long"&gt;45408&lt;/D&gt;&lt;D xsi:type="xsd:long"&gt;45407&lt;/D&gt;&lt;D xsi:type="xsd:long"&gt;45406&lt;/D&gt;&lt;D xsi:type="xsd:long"&gt;45405&lt;/D&gt;&lt;D xsi:type="xsd:long"&gt;45404&lt;/D&gt;&lt;D xsi:type="xsd:long"&gt;45401&lt;/D&gt;&lt;D xsi:type="xsd:long"&gt;45400&lt;/D&gt;&lt;D xsi:type="xsd:long"&gt;45399&lt;/D&gt;&lt;D xsi:type="xsd:long"&gt;45398&lt;/D&gt;&lt;D xsi:type="xsd:long"&gt;45397&lt;/D&gt;&lt;D xsi:type="xsd:long"&gt;45394&lt;/D&gt;&lt;D xsi:type="xsd:long"&gt;45393&lt;/D&gt;&lt;D xsi:type="xsd:long"&gt;45392&lt;/D&gt;&lt;D xsi:type="xsd:long"&gt;45391&lt;/D&gt;&lt;D xsi:type="xsd:long"&gt;45390&lt;/D&gt;&lt;D xsi:type="xsd:long"&gt;45387&lt;/D&gt;&lt;D xsi:type="xsd:long"&gt;45386&lt;/D&gt;&lt;D xsi:type="xsd:long"&gt;45385&lt;/D&gt;&lt;D xsi:type="xsd:long"&gt;45384&lt;/D&gt;&lt;D xsi:type="xsd:long"&gt;45383&lt;/D&gt;&lt;D xsi:type="xsd:long"&gt;45379&lt;/D&gt;&lt;D xsi:type="xsd:long"&gt;45378&lt;/D&gt;&lt;D xsi:type="xsd:long"&gt;45377&lt;/D&gt;&lt;D xsi:type="xsd:long"&gt;45376&lt;/D&gt;&lt;D xsi:type="xsd:long"&gt;45373&lt;/D&gt;&lt;D xsi:type="xsd:long"&gt;45372&lt;/D&gt;&lt;D xsi:type="xsd:long"&gt;45371&lt;/D&gt;&lt;D xsi:type="xsd:long"&gt;45370&lt;/D&gt;&lt;D xsi:type="xsd:long"&gt;45369&lt;/D&gt;&lt;D xsi:type="xsd:long"&gt;45366&lt;/D&gt;&lt;D xsi:type="xsd:long"&gt;45365&lt;/D&gt;&lt;D xsi:type="xsd:long"&gt;45364&lt;/D&gt;&lt;D xsi:type="xsd:long"&gt;45363&lt;/D&gt;&lt;D xsi:type="xsd:long"&gt;45362&lt;/D&gt;&lt;D xsi:type="xsd:long"&gt;45359&lt;/D&gt;&lt;D xsi:type="xsd:long"&gt;45358&lt;/D&gt;&lt;D xsi:type="xsd:long"&gt;45357&lt;/D&gt;&lt;D xsi:type="xsd:long"&gt;45356&lt;/D&gt;&lt;D xsi:type="xsd:long"&gt;45355&lt;/D&gt;&lt;D xsi:type="xsd:long"&gt;45352&lt;/D&gt;&lt;D xsi:type="xsd:long"&gt;45351&lt;/D&gt;&lt;D xsi:type="xsd:long"&gt;45350&lt;/D&gt;&lt;D xsi:type="xsd:long"&gt;45349&lt;/D&gt;&lt;D xsi:type="xsd:long"&gt;45348&lt;/D&gt;&lt;D xsi:type="xsd:long"&gt;45345&lt;/D&gt;&lt;D xsi:type="xsd:long"&gt;45344&lt;/D&gt;&lt;D xsi:type="xsd:long"&gt;45343&lt;/D&gt;&lt;D xsi:type="xsd:long"&gt;45342&lt;/D&gt;&lt;D xsi:type="xsd:long"&gt;45338&lt;/D&gt;&lt;D xsi:type="xsd:long"&gt;45337&lt;/D&gt;&lt;D xsi:type="xsd:long"&gt;45336&lt;/D&gt;&lt;D xsi:type="xsd:long"&gt;45335&lt;/D&gt;&lt;D xsi:type="xsd:long"&gt;45334&lt;/D&gt;&lt;D xsi:type="xsd:long"&gt;45331&lt;/D&gt;&lt;D xsi:type="xsd:long"&gt;45330&lt;/D&gt;&lt;D xsi:type="xsd:long"&gt;45329&lt;/D&gt;&lt;D xsi:type="xsd:long"&gt;45328&lt;/D&gt;&lt;D xsi:type="xsd:long"&gt;45327&lt;/D&gt;&lt;D xsi:type="xsd:long"&gt;45324&lt;/D&gt;&lt;D xsi:type="xsd:long"&gt;45323&lt;/D&gt;&lt;D xsi:type="xsd:long"&gt;45322&lt;/D&gt;&lt;D xsi:type="xsd:long"&gt;45321&lt;/D&gt;&lt;D xsi:type="xsd:long"&gt;45320&lt;/D&gt;&lt;D xsi:type="xsd:long"&gt;45317&lt;/D&gt;&lt;D xsi:type="xsd:long"&gt;45316&lt;/D&gt;&lt;D xsi:type="xsd:long"&gt;45315&lt;/D&gt;&lt;D xsi:type="xsd:long"&gt;45314&lt;/D&gt;&lt;D xsi:type="xsd:long"&gt;45313&lt;/D&gt;&lt;D xsi:type="xsd:long"&gt;45310&lt;/D&gt;&lt;D xsi:type="xsd:long"&gt;45309&lt;/D&gt;&lt;D xsi:type="xsd:long"&gt;45308&lt;/D&gt;&lt;D xsi:type="xsd:long"&gt;45307&lt;/D&gt;&lt;D xsi:type="xsd:long"&gt;45303&lt;/D&gt;&lt;D xsi:type="xsd:long"&gt;45302&lt;/D&gt;&lt;D xsi:type="xsd:long"&gt;45301&lt;/D&gt;&lt;D xsi:type="xsd:long"&gt;45300&lt;/D&gt;&lt;D xsi:type="xsd:long"&gt;45299&lt;/D&gt;&lt;D xsi:type="xsd:long"&gt;45296&lt;/D&gt;&lt;D xsi:type="xsd:long"&gt;45295&lt;/D&gt;&lt;D xsi:type="xsd:long"&gt;45294&lt;/D&gt;&lt;D xsi:type="xsd:long"&gt;45293&lt;/D&gt;&lt;D xsi:type="xsd:long"&gt;45289&lt;/D&gt;&lt;D xsi:type="xsd:long"&gt;45288&lt;/D&gt;&lt;D xsi:type="xsd:long"&gt;45287&lt;/D&gt;&lt;D xsi:type="xsd:long"&gt;45286&lt;/D&gt;&lt;D xsi:type="xsd:long"&gt;45282&lt;/D&gt;&lt;D xsi:type="xsd:long"&gt;45281&lt;/D&gt;&lt;D xsi:type="xsd:long"&gt;45280&lt;/D&gt;&lt;D xsi:type="xsd:long"&gt;45279&lt;/D&gt;&lt;D xsi:type="xsd:long"&gt;45278&lt;/D&gt;&lt;D xsi:type="xsd:long"&gt;45275&lt;/D&gt;&lt;D xsi:type="xsd:long"&gt;45274&lt;/D&gt;&lt;D xsi:type="xsd:long"&gt;45273&lt;/D&gt;&lt;D xsi:type="xsd:long"&gt;45272&lt;/D&gt;&lt;D xsi:type="xsd:long"&gt;45271&lt;/D&gt;&lt;D xsi:type="xsd:long"&gt;45268&lt;/D&gt;&lt;D xsi:type="xsd:long"&gt;45267&lt;/D&gt;&lt;D xsi:type="xsd:long"&gt;45266&lt;/D&gt;&lt;D xsi:type="xsd:long"&gt;45265&lt;/D&gt;&lt;D xsi:type="xsd:long"&gt;45264&lt;/D&gt;&lt;D xsi:type="xsd:long"&gt;45261&lt;/D&gt;&lt;D xsi:type="xsd:long"&gt;45260&lt;/D&gt;&lt;D xsi:type="xsd:long"&gt;45259&lt;/D&gt;&lt;D xsi:type="xsd:long"&gt;45258&lt;/D&gt;&lt;D xsi:type="xsd:long"&gt;45257&lt;/D&gt;&lt;D xsi:type="xsd:long"&gt;45254&lt;/D&gt;&lt;D xsi:type="xsd:long"&gt;45252&lt;/D&gt;&lt;D xsi:type="xsd:long"&gt;45251&lt;/D&gt;&lt;D xsi:type="xsd:long"&gt;45250&lt;/D&gt;&lt;D xsi:type="xsd:long"&gt;45247&lt;/D&gt;&lt;D xsi:type="xsd:long"&gt;45246&lt;/D&gt;&lt;D xsi:type="xsd:long"&gt;45245&lt;/D&gt;&lt;D xsi:type="xsd:long"&gt;45244&lt;/D&gt;&lt;D xsi:type="xsd:long"&gt;45243&lt;/D&gt;&lt;D xsi:type="xsd:long"&gt;45240&lt;/D&gt;&lt;D xsi:type="xsd:long"&gt;45239&lt;/D&gt;&lt;D xsi:type="xsd:long"&gt;45238&lt;/D&gt;&lt;D xsi:type="xsd:long"&gt;45237&lt;/D&gt;&lt;D xsi:type="xsd:long"&gt;45236&lt;/D&gt;&lt;D xsi:type="xsd:long"&gt;45233&lt;/D&gt;&lt;D xsi:type="xsd:long"&gt;45232&lt;/D&gt;&lt;D xsi:type="xsd:long"&gt;45231&lt;/D&gt;&lt;D xsi:type="xsd:long"&gt;45230&lt;/D&gt;&lt;D xsi:type="xsd:long"&gt;45229&lt;/D&gt;&lt;D xsi:type="xsd:long"&gt;45226&lt;/D&gt;&lt;D xsi:type="xsd:long"&gt;45225&lt;/D&gt;&lt;D xsi:type="xsd:long"&gt;45224&lt;/D&gt;&lt;D xsi:type="xsd:long"&gt;45223&lt;/D&gt;&lt;D xsi:type="xsd:long"&gt;45222&lt;/D&gt;&lt;D xsi:type="xsd:long"&gt;45219&lt;/D&gt;&lt;D xsi:type="xsd:long"&gt;45218&lt;/D&gt;&lt;D xsi:type="xsd:long"&gt;45217&lt;/D&gt;&lt;D xsi:type="xsd:long"&gt;45216&lt;/D&gt;&lt;D xsi:type="xsd:long"&gt;45215&lt;/D&gt;&lt;D xsi:type="xsd:long"&gt;45212&lt;/D&gt;&lt;D xsi:type="xsd:long"&gt;45211&lt;/D&gt;&lt;D xsi:type="xsd:long"&gt;45210&lt;/D&gt;&lt;D xsi:type="xsd:long"&gt;45209&lt;/D&gt;&lt;D xsi:type="xsd:long"&gt;45208&lt;/D&gt;&lt;D xsi:type="xsd:long"&gt;45205&lt;/D&gt;&lt;D xsi:type="xsd:long"&gt;45204&lt;/D&gt;&lt;D xsi:type="xsd:long"&gt;45203&lt;/D&gt;&lt;D xsi:type="xsd:long"&gt;45202&lt;/D&gt;&lt;D xsi:type="xsd:long"&gt;45201&lt;/D&gt;&lt;D xsi:type="xsd:long"&gt;45198&lt;/D&gt;&lt;D xsi:type="xsd:long"&gt;45197&lt;/D&gt;&lt;D xsi:type="xsd:long"&gt;45196&lt;/D&gt;&lt;D xsi:type="xsd:long"&gt;45195&lt;/D&gt;&lt;D xsi:type="xsd:long"&gt;45194&lt;/D&gt;&lt;D xsi:type="xsd:long"&gt;45191&lt;/D&gt;&lt;D xsi:type="xsd:long"&gt;45190&lt;/D&gt;&lt;D xsi:type="xsd:long"&gt;45189&lt;/D&gt;&lt;D xsi:type="xsd:long"&gt;45188&lt;/D&gt;&lt;D xsi:type="xsd:long"&gt;45187&lt;/D&gt;&lt;D xsi:type="xsd:long"&gt;45184&lt;/D&gt;&lt;D xsi:type="xsd:long"&gt;45183&lt;/D&gt;&lt;D xsi:type="xsd:long"&gt;45182&lt;/D&gt;&lt;D xsi:type="xsd:long"&gt;45181&lt;/D&gt;&lt;D xsi:type="xsd:long"&gt;45180&lt;/D&gt;&lt;D xsi:type="xsd:long"&gt;45177&lt;/D&gt;&lt;D xsi:type="xsd:long"&gt;45176&lt;/D&gt;&lt;D xsi:type="xsd:long"&gt;45175&lt;/D&gt;&lt;D xsi:type="xsd:long"&gt;45174&lt;/D&gt;&lt;D xsi:type="xsd:long"&gt;45170&lt;/D&gt;&lt;D xsi:type="xsd:long"&gt;45169&lt;/D&gt;&lt;D xsi:type="xsd:long"&gt;45168&lt;/D&gt;&lt;D xsi:type="xsd:long"&gt;45167&lt;/D&gt;&lt;D xsi:type="xsd:long"&gt;45166&lt;/D&gt;&lt;D xsi:type="xsd:long"&gt;45163&lt;/D&gt;&lt;D xsi:type="xsd:long"&gt;45162&lt;/D&gt;&lt;D xsi:type="xsd:long"&gt;45161&lt;/D&gt;&lt;D xsi:type="xsd:long"&gt;45160&lt;/D&gt;&lt;D xsi:type="xsd:long"&gt;45159&lt;/D&gt;&lt;D xsi:type="xsd:long"&gt;45156&lt;/D&gt;&lt;D xsi:type="xsd:long"&gt;45155&lt;/D&gt;&lt;D xsi:type="xsd:long"&gt;45154&lt;/D&gt;&lt;D xsi:type="xsd:long"&gt;45153&lt;/D&gt;&lt;D xsi:type="xsd:long"&gt;45152&lt;/D&gt;&lt;D xsi:type="xsd:long"&gt;45149&lt;/D&gt;&lt;D xsi:type="xsd:long"&gt;45148&lt;/D&gt;&lt;D xsi:type="xsd:long"&gt;45147&lt;/D&gt;&lt;D xsi:type="xsd:long"&gt;45146&lt;/D&gt;&lt;D xsi:type="xsd:long"&gt;45145&lt;/D&gt;&lt;D xsi:type="xsd:long"&gt;45142&lt;/D&gt;&lt;D xsi:type="xsd:long"&gt;45141&lt;/D&gt;&lt;D xsi:type="xsd:long"&gt;45140&lt;/D&gt;&lt;D xsi:type="xsd:long"&gt;45139&lt;/D&gt;&lt;D xsi:type="xsd:long"&gt;45138&lt;/D&gt;&lt;D xsi:type="xsd:long"&gt;45135&lt;/D&gt;&lt;D xsi:type="xsd:long"&gt;45134&lt;/D&gt;&lt;D xsi:type="xsd:long"&gt;45133&lt;/D&gt;&lt;D xsi:type="xsd:long"&gt;45132&lt;/D&gt;&lt;D xsi:type="xsd:long"&gt;45131&lt;/D&gt;&lt;D xsi:type="xsd:long"&gt;45128&lt;/D&gt;&lt;D xsi:type="xsd:long"&gt;45127&lt;/D&gt;&lt;D xsi:type="xsd:long"&gt;45126&lt;/D&gt;&lt;D xsi:type="xsd:long"&gt;45125&lt;/D&gt;&lt;D xsi:type="xsd:long"&gt;45124&lt;/D&gt;&lt;D xsi:type="xsd:long"&gt;45121&lt;/D&gt;&lt;D xsi:type="xsd:long"&gt;45120&lt;/D&gt;&lt;D xsi:type="xsd:long"&gt;45119&lt;/D&gt;&lt;D xsi:type="xsd:long"&gt;45118&lt;/D&gt;&lt;D xsi:type="xsd:long"&gt;45117&lt;/D&gt;&lt;D xsi:type="xsd:long"&gt;45114&lt;/D&gt;&lt;D xsi:type="xsd:long"&gt;45113&lt;/D&gt;&lt;D xsi:type="xsd:long"&gt;45112&lt;/D&gt;&lt;D xsi:type="xsd:long"&gt;45110&lt;/D&gt;&lt;D xsi:type="xsd:long"&gt;45107&lt;/D&gt;&lt;D xsi:type="xsd:long"&gt;45106&lt;/D&gt;&lt;D xsi:type="xsd:long"&gt;45105&lt;/D&gt;&lt;D xsi:type="xsd:long"&gt;45104&lt;/D&gt;&lt;D xsi:type="xsd:long"&gt;45103&lt;/D&gt;&lt;D xsi:type="xsd:long"&gt;45100&lt;/D&gt;&lt;D xsi:type="xsd:long"&gt;45099&lt;/D&gt;&lt;D xsi:type="xsd:long"&gt;45098&lt;/D&gt;&lt;D xsi:type="xsd:long"&gt;45097&lt;/D&gt;&lt;D xsi:type="xsd:long"&gt;45093&lt;/D&gt;&lt;D xsi:type="xsd:long"&gt;45092&lt;/D&gt;&lt;D xsi:type="xsd:long"&gt;45091&lt;/D&gt;&lt;D xsi:type="xsd:long"&gt;45090&lt;/D&gt;&lt;D xsi:type="xsd:long"&gt;45089&lt;/D&gt;&lt;D xsi:type="xsd:long"&gt;45086&lt;/D&gt;&lt;D xsi:type="xsd:long"&gt;45085&lt;/D&gt;&lt;D xsi:type="xsd:long"&gt;45084&lt;/D&gt;&lt;D xsi:type="xsd:long"&gt;45083&lt;/D&gt;&lt;D xsi:type="xsd:long"&gt;45082&lt;/D&gt;&lt;D xsi:type="xsd:long"&gt;45079&lt;/D&gt;&lt;D xsi:type="xsd:long"&gt;45078&lt;/D&gt;&lt;D xsi:type="xsd:long"&gt;45077&lt;/D&gt;&lt;D xsi:type="xsd:long"&gt;45076&lt;/D&gt;&lt;D xsi:type="xsd:long"&gt;45072&lt;/D&gt;&lt;D xsi:type="xsd:long"&gt;45071&lt;/D&gt;&lt;D xsi:type="xsd:long"&gt;45070&lt;/D&gt;&lt;D xsi:type="xsd:long"&gt;45069&lt;/D&gt;&lt;D xsi:type="xsd:long"&gt;45068&lt;/D&gt;&lt;D xsi:type="xsd:long"&gt;45065&lt;/D&gt;&lt;D xsi:type="xsd:long"&gt;45064&lt;/D&gt;&lt;D xsi:type="xsd:long"&gt;45063&lt;/D&gt;&lt;D xsi:type="xsd:long"&gt;45062&lt;/D&gt;&lt;D xsi:type="xsd:long"&gt;45061&lt;/D&gt;&lt;D xsi:type="xsd:long"&gt;45058&lt;/D&gt;&lt;D xsi:type="xsd:long"&gt;45057&lt;/D&gt;&lt;D xsi:type="xsd:long"&gt;45056&lt;/D&gt;&lt;D xsi:type="xsd:long"&gt;45055&lt;/D&gt;&lt;D xsi:type="xsd:long"&gt;45054&lt;/D&gt;&lt;D xsi:type="xsd:long"&gt;45051&lt;/D&gt;&lt;D xsi:type="xsd:long"&gt;45050&lt;/D&gt;&lt;D xsi:type="xsd:long"&gt;45049&lt;/D&gt;&lt;D xsi:type="xsd:long"&gt;45048&lt;/D&gt;&lt;D xsi:type="xsd:long"&gt;45047&lt;/D&gt;&lt;D xsi:type="xsd:long"&gt;45044&lt;/D&gt;&lt;D xsi:type="xsd:long"&gt;45043&lt;/D&gt;&lt;D xsi:type="xsd:long"&gt;45042&lt;/D&gt;&lt;D xsi:type="xsd:long"&gt;45041&lt;/D&gt;&lt;D xsi:type="xsd:long"&gt;45040&lt;/D&gt;&lt;D xsi:type="xsd:long"&gt;45037&lt;/D&gt;&lt;D xsi:type="xsd:long"&gt;45036&lt;/D&gt;&lt;D xsi:type="xsd:long"&gt;45035&lt;/D&gt;&lt;D xsi:type="xsd:long"&gt;45034&lt;/D&gt;&lt;D xsi:type="xsd:long"&gt;45033&lt;/D&gt;&lt;D xsi:type="xsd:long"&gt;45030&lt;/D&gt;&lt;D xsi:type="xsd:long"&gt;45029&lt;/D&gt;&lt;D xsi:type="xsd:long"&gt;45028&lt;/D&gt;&lt;D xsi:type="xsd:long"&gt;45027&lt;/D&gt;&lt;D xsi:type="xsd:long"&gt;45026&lt;/D&gt;&lt;D xsi:type="xsd:long"&gt;45022&lt;/D&gt;&lt;D xsi:type="xsd:long"&gt;45021&lt;/D&gt;&lt;D xsi:type="xsd:long"&gt;45020&lt;/D&gt;&lt;D xsi:type="xsd:long"&gt;45019&lt;/D&gt;&lt;D xsi:type="xsd:long"&gt;45016&lt;/D&gt;&lt;D xsi:type="xsd:long"&gt;45015&lt;/D&gt;&lt;D xsi:type="xsd:long"&gt;45014&lt;/D&gt;&lt;D xsi:type="xsd:long"&gt;45013&lt;/D&gt;&lt;D xsi:type="xsd:long"&gt;45012&lt;/D&gt;&lt;D xsi:type="xsd:long"&gt;45009&lt;/D&gt;&lt;D xsi:type="xsd:long"&gt;45008&lt;/D&gt;&lt;D xsi:type="xsd:long"&gt;45007&lt;/D&gt;&lt;D xsi:type="xsd:long"&gt;45006&lt;/D&gt;&lt;D xsi:type="xsd:long"&gt;45005&lt;/D&gt;&lt;D xsi:type="xsd:long"&gt;45002&lt;/D&gt;&lt;D xsi:type="xsd:long"&gt;45001&lt;/D&gt;&lt;D xsi:type="xsd:long"&gt;45000&lt;/D&gt;&lt;D xsi:type="xsd:long"&gt;44999&lt;/D&gt;&lt;D xsi:type="xsd:long"&gt;44998&lt;/D&gt;&lt;D xsi:type="xsd:long"&gt;44995&lt;/D&gt;&lt;D xsi:type="xsd:long"&gt;44994&lt;/D&gt;&lt;D xsi:type="xsd:long"&gt;44993&lt;/D&gt;&lt;D xsi:type="xsd:long"&gt;44992&lt;/D&gt;&lt;D xsi:type="xsd:long"&gt;44991&lt;/D&gt;&lt;D xsi:type="xsd:long"&gt;44988&lt;/D&gt;&lt;D xsi:type="xsd:long"&gt;44987&lt;/D&gt;&lt;D xsi:type="xsd:long"&gt;44986&lt;/D&gt;&lt;D xsi:type="xsd:long"&gt;44985&lt;/D&gt;&lt;D xsi:type="xsd:long"&gt;44984&lt;/D&gt;&lt;D xsi:type="xsd:long"&gt;44981&lt;/D&gt;&lt;D xsi:type="xsd:long"&gt;44980&lt;/D&gt;&lt;D xsi:type="xsd:long"&gt;44979&lt;/D&gt;&lt;D xsi:type="xsd:long"&gt;44978&lt;/D&gt;&lt;D xsi:type="xsd:long"&gt;44974&lt;/D&gt;&lt;D xsi:type="xsd:long"&gt;44973&lt;/D&gt;&lt;D xsi:type="xsd:long"&gt;44972&lt;/D&gt;&lt;D xsi:type="xsd:long"&gt;44971&lt;/D&gt;&lt;D xsi:type="xsd:long"&gt;44970&lt;/D&gt;&lt;D xsi:type="xsd:long"&gt;44967&lt;/D&gt;&lt;D xsi:type="xsd:long"&gt;44966&lt;/D&gt;&lt;D xsi:type="xsd:long"&gt;44965&lt;/D&gt;&lt;D xsi:type="xsd:long"&gt;44964&lt;/D&gt;&lt;D xsi:type="xsd:long"&gt;44963&lt;/D&gt;&lt;D xsi:type="xsd:long"&gt;44960&lt;/D&gt;&lt;D xsi:type="xsd:long"&gt;44959&lt;/D&gt;&lt;D xsi:type="xsd:long"&gt;44958&lt;/D&gt;&lt;D xsi:type="xsd:long"&gt;44957&lt;/D&gt;&lt;D xsi:type="xsd:long"&gt;44956&lt;/D&gt;&lt;D xsi:type="xsd:long"&gt;44953&lt;/D&gt;&lt;D xsi:type="xsd:long"&gt;44952&lt;/D&gt;&lt;D xsi:type="xsd:long"&gt;44951&lt;/D&gt;&lt;D xsi:type="xsd:long"&gt;44950&lt;/D&gt;&lt;D xsi:type="xsd:long"&gt;44949&lt;/D&gt;&lt;D xsi:type="xsd:long"&gt;44946&lt;/D&gt;&lt;D xsi:type="xsd:long"&gt;44945&lt;/D&gt;&lt;D xsi:type="xsd:long"&gt;44944&lt;/D&gt;&lt;D xsi:type="xsd:long"&gt;44943&lt;/D&gt;&lt;D xsi:type="xsd:long"&gt;44939&lt;/D&gt;&lt;D xsi:type="xsd:long"&gt;44938&lt;/D&gt;&lt;D xsi:type="xsd:long"&gt;44937&lt;/D&gt;&lt;D xsi:type="xsd:long"&gt;44936&lt;/D&gt;&lt;D xsi:type="xsd:long"&gt;44935&lt;/D&gt;&lt;D xsi:type="xsd:long"&gt;44932&lt;/D&gt;&lt;D xsi:type="xsd:long"&gt;44931&lt;/D&gt;&lt;D xsi:type="xsd:long"&gt;44930&lt;/D&gt;&lt;D xsi:type="xsd:long"&gt;44929&lt;/D&gt;&lt;D xsi:type="xsd:long"&gt;44925&lt;/D&gt;&lt;D xsi:type="xsd:long"&gt;44924&lt;/D&gt;&lt;D xsi:type="xsd:long"&gt;44923&lt;/D&gt;&lt;D xsi:type="xsd:long"&gt;44922&lt;/D&gt;&lt;D xsi:type="xsd:long"&gt;44918&lt;/D&gt;&lt;D xsi:type="xsd:long"&gt;44917&lt;/D&gt;&lt;D xsi:type="xsd:long"&gt;44916&lt;/D&gt;&lt;D xsi:type="xsd:long"&gt;44915&lt;/D&gt;&lt;D xsi:type="xsd:long"&gt;44914&lt;/D&gt;&lt;D xsi:type="xsd:long"&gt;44911&lt;/D&gt;&lt;D xsi:type="xsd:long"&gt;44910&lt;/D&gt;&lt;D xsi:type="xsd:long"&gt;44909&lt;/D&gt;&lt;D xsi:type="xsd:long"&gt;44908&lt;/D&gt;&lt;D xsi:type="xsd:long"&gt;44907&lt;/D&gt;&lt;D xsi:type="xsd:long"&gt;44904&lt;/D&gt;&lt;D xsi:type="xsd:long"&gt;44903&lt;/D&gt;&lt;D xsi:type="xsd:long"&gt;44902&lt;/D&gt;&lt;D xsi:type="xsd:long"&gt;44901&lt;/D&gt;&lt;D xsi:type="xsd:long"&gt;44900&lt;/D&gt;&lt;D xsi:type="xsd:long"&gt;44897&lt;/D&gt;&lt;D xsi:type="xsd:long"&gt;44896&lt;/D&gt;&lt;D xsi:type="xsd:long"&gt;44895&lt;/D&gt;&lt;D xsi:type="xsd:long"&gt;44894&lt;/D&gt;&lt;D xsi:type="xsd:long"&gt;44893&lt;/D&gt;&lt;D xsi:type="xsd:long"&gt;44890&lt;/D&gt;&lt;D xsi:type="xsd:long"&gt;44888&lt;/D&gt;&lt;D xsi:type="xsd:long"&gt;44887&lt;/D&gt;&lt;D xsi:type="xsd:long"&gt;44886&lt;/D&gt;&lt;D xsi:type="xsd:long"&gt;44883&lt;/D&gt;&lt;D xsi:type="xsd:long"&gt;44882&lt;/D&gt;&lt;D xsi:type="xsd:long"&gt;44881&lt;/D&gt;&lt;D xsi:type="xsd:long"&gt;44880&lt;/D&gt;&lt;D xsi:type="xsd:long"&gt;44879&lt;/D&gt;&lt;D xsi:type="xsd:long"&gt;44876&lt;/D&gt;&lt;D xsi:type="xsd:long"&gt;44875&lt;/D&gt;&lt;D xsi:type="xsd:long"&gt;44874&lt;/D&gt;&lt;D xsi:type="xsd:long"&gt;44873&lt;/D&gt;&lt;D xsi:type="xsd:long"&gt;44872&lt;/D&gt;&lt;D xsi:type="xsd:long"&gt;44869&lt;/D&gt;&lt;D xsi:type="xsd:long"&gt;44868&lt;/D&gt;&lt;D xsi:type="xsd:long"&gt;44867&lt;/D&gt;&lt;D xsi:type="xsd:long"&gt;44866&lt;/D&gt;&lt;D xsi:type="xsd:long"&gt;44865&lt;/D&gt;&lt;D xsi:type="xsd:long"&gt;44862&lt;/D&gt;&lt;D xsi:type="xsd:long"&gt;44861&lt;/D&gt;&lt;D xsi:type="xsd:long"&gt;44860&lt;/D&gt;&lt;D xsi:type="xsd:long"&gt;44859&lt;/D&gt;&lt;D xsi:type="xsd:long"&gt;44858&lt;/D&gt;&lt;D xsi:type="xsd:long"&gt;44855&lt;/D&gt;&lt;D xsi:type="xsd:long"&gt;44854&lt;/D&gt;&lt;D xsi:type="xsd:long"&gt;44853&lt;/D&gt;&lt;D xsi:type="xsd:long"&gt;44852&lt;/D&gt;&lt;D xsi:type="xsd:long"&gt;44851&lt;/D&gt;&lt;D xsi:type="xsd:long"&gt;44848&lt;/D&gt;&lt;D xsi:type="xsd:long"&gt;44847&lt;/D&gt;&lt;D xsi:type="xsd:long"&gt;44846&lt;/D&gt;&lt;D xsi:type="xsd:long"&gt;44845&lt;/D&gt;&lt;D xsi:type="xsd:long"&gt;44844&lt;/D&gt;&lt;D xsi:type="xsd:long"&gt;44841&lt;/D&gt;&lt;D xsi:type="xsd:long"&gt;44840&lt;/D&gt;&lt;D xsi:type="xsd:long"&gt;44839&lt;/D&gt;&lt;D xsi:type="xsd:long"&gt;44838&lt;/D&gt;&lt;D xsi:type="xsd:long"&gt;44837&lt;/D&gt;&lt;D xsi:type="xsd:long"&gt;44834&lt;/D&gt;&lt;D xsi:type="xsd:long"&gt;44833&lt;/D&gt;&lt;D xsi:type="xsd:long"&gt;44832&lt;/D&gt;&lt;D xsi:type="xsd:long"&gt;44831&lt;/D&gt;&lt;D xsi:type="xsd:long"&gt;44830&lt;/D&gt;&lt;D xsi:type="xsd:long"&gt;44827&lt;/D&gt;&lt;D xsi:type="xsd:long"&gt;44826&lt;/D&gt;&lt;D xsi:type="xsd:long"&gt;44825&lt;/D&gt;&lt;D xsi:type="xsd:long"&gt;44824&lt;/D&gt;&lt;D xsi:type="xsd:long"&gt;44823&lt;/D&gt;&lt;D xsi:type="xsd:long"&gt;44820&lt;/D&gt;&lt;D xsi:type="xsd:long"&gt;44819&lt;/D&gt;&lt;D xsi:type="xsd:long"&gt;44818&lt;/D&gt;&lt;D xsi:type="xsd:long"&gt;44817&lt;/D&gt;&lt;D xsi:type="xsd:long"&gt;44816&lt;/D&gt;&lt;D xsi:type="xsd:long"&gt;44813&lt;/D&gt;&lt;D xsi:type="xsd:long"&gt;44812&lt;/D&gt;&lt;D xsi:type="xsd:long"&gt;44811&lt;/D&gt;&lt;D xsi:type="xsd:long"&gt;44810&lt;/D&gt;&lt;D xsi:type="xsd:long"&gt;44806&lt;/D&gt;&lt;D xsi:type="xsd:long"&gt;44805&lt;/D&gt;&lt;D xsi:type="xsd:long"&gt;44804&lt;/D&gt;&lt;D xsi:type="xsd:long"&gt;44803&lt;/D&gt;&lt;D xsi:type="xsd:long"&gt;44802&lt;/D&gt;&lt;D xsi:type="xsd:long"&gt;44799&lt;/D&gt;&lt;D xsi:type="xsd:long"&gt;44798&lt;/D&gt;&lt;D xsi:type="xsd:long"&gt;44797&lt;/D&gt;&lt;D xsi:type="xsd:long"&gt;44796&lt;/D&gt;&lt;D xsi:type="xsd:long"&gt;44795&lt;/D&gt;&lt;D xsi:type="xsd:long"&gt;44792&lt;/D&gt;&lt;D xsi:type="xsd:long"&gt;44791&lt;/D&gt;&lt;D xsi:type="xsd:long"&gt;44790&lt;/D&gt;&lt;D xsi:type="xsd:long"&gt;44789&lt;/D&gt;&lt;D xsi:type="xsd:long"&gt;44788&lt;/D&gt;&lt;D xsi:type="xsd:long"&gt;44785&lt;/D&gt;&lt;D xsi:type="xsd:long"&gt;44784&lt;/D&gt;&lt;D xsi:type="xsd:long"&gt;44783&lt;/D&gt;&lt;D xsi:type="xsd:long"&gt;44782&lt;/D&gt;&lt;D xsi:type="xsd:long"&gt;44781&lt;/D&gt;&lt;D xsi:type="xsd:long"&gt;44778&lt;/D&gt;&lt;D xsi:type="xsd:long"&gt;44777&lt;/D&gt;&lt;D xsi:type="xsd:long"&gt;44776&lt;/D&gt;&lt;D xsi:type="xsd:long"&gt;44775&lt;/D&gt;&lt;D xsi:type="xsd:long"&gt;44774&lt;/D&gt;&lt;D xsi:type="xsd:long"&gt;44771&lt;/D&gt;&lt;D xsi:type="xsd:long"&gt;44770&lt;/D&gt;&lt;D xsi:type="xsd:long"&gt;44769&lt;/D&gt;&lt;D xsi:type="xsd:long"&gt;44768&lt;/D&gt;&lt;D xsi:type="xsd:long"&gt;44767&lt;/D&gt;&lt;D xsi:type="xsd:long"&gt;44764&lt;/D&gt;&lt;D xsi:type="xsd:long"&gt;44763&lt;/D&gt;&lt;D xsi:type="xsd:long"&gt;44762&lt;/D&gt;&lt;D xsi:type="xsd:long"&gt;44761&lt;/D&gt;&lt;D xsi:type="xsd:long"&gt;44760&lt;/D&gt;&lt;D xsi:type="xsd:long"&gt;44757&lt;/D&gt;&lt;D xsi:type="xsd:long"&gt;44756&lt;/D&gt;&lt;D xsi:type="xsd:long"&gt;44755&lt;/D&gt;&lt;D xsi:type="xsd:long"&gt;44754&lt;/D&gt;&lt;D xsi:type="xsd:long"&gt;44753&lt;/D&gt;&lt;D xsi:type="xsd:long"&gt;44750&lt;/D&gt;&lt;D xsi:type="xsd:long"&gt;44749&lt;/D&gt;&lt;D xsi:type="xsd:long"&gt;44748&lt;/D&gt;&lt;D xsi:type="xsd:long"&gt;44747&lt;/D&gt;&lt;D xsi:type="xsd:long"&gt;44743&lt;/D&gt;&lt;D xsi:type="xsd:long"&gt;44742&lt;/D&gt;&lt;D xsi:type="xsd:long"&gt;44741&lt;/D&gt;&lt;D xsi:type="xsd:long"&gt;44740&lt;/D&gt;&lt;D xsi:type="xsd:long"&gt;44739&lt;/D&gt;&lt;D xsi:type="xsd:long"&gt;44736&lt;/D&gt;&lt;D xsi:type="xsd:long"&gt;44735&lt;/D&gt;&lt;D xsi:type="xsd:long"&gt;44734&lt;/D&gt;&lt;D xsi:type="xsd:long"&gt;44733&lt;/D&gt;&lt;D xsi:type="xsd:long"&gt;44729&lt;/D&gt;&lt;D xsi:type="xsd:long"&gt;44728&lt;/D&gt;&lt;D xsi:type="xsd:long"&gt;44727&lt;/D&gt;&lt;D xsi:type="xsd:long"&gt;44726&lt;/D&gt;&lt;D xsi:type="xsd:long"&gt;44725&lt;/D&gt;&lt;D xsi:type="xsd:long"&gt;44722&lt;/D&gt;&lt;D xsi:type="xsd:long"&gt;44721&lt;/D&gt;&lt;D xsi:type="xsd:long"&gt;44720&lt;/D&gt;&lt;D xsi:type="xsd:long"&gt;44719&lt;/D&gt;&lt;D xsi:type="xsd:long"&gt;44718&lt;/D&gt;&lt;D xsi:type="xsd:long"&gt;44715&lt;/D&gt;&lt;D xsi:type="xsd:long"&gt;44714&lt;/D&gt;&lt;D xsi:type="xsd:long"&gt;44713&lt;/D&gt;&lt;D xsi:type="xsd:long"&gt;44712&lt;/D&gt;&lt;D xsi:type="xsd:long"&gt;44708&lt;/D&gt;&lt;D xsi:type="xsd:long"&gt;44707&lt;/D&gt;&lt;D xsi:type="xsd:long"&gt;44706&lt;/D&gt;&lt;D xsi:type="xsd:long"&gt;44705&lt;/D&gt;&lt;D xsi:type="xsd:long"&gt;44704&lt;/D&gt;&lt;D xsi:type="xsd:long"&gt;44701&lt;/D&gt;&lt;D xsi:type="xsd:long"&gt;44700&lt;/D&gt;&lt;D xsi:type="xsd:long"&gt;44699&lt;/D&gt;&lt;D xsi:type="xsd:long"&gt;44698&lt;/D&gt;&lt;D xsi:type="xsd:long"&gt;44697&lt;/D&gt;&lt;D xsi:type="xsd:long"&gt;44694&lt;/D&gt;&lt;D xsi:type="xsd:long"&gt;44693&lt;/D&gt;&lt;D xsi:type="xsd:long"&gt;44692&lt;/D&gt;&lt;D xsi:type="xsd:long"&gt;44691&lt;/D&gt;&lt;D xsi:type="xsd:long"&gt;44690&lt;/D&gt;&lt;D xsi:type="xsd:long"&gt;44687&lt;/D&gt;&lt;D xsi:type="xsd:long"&gt;44686&lt;/D&gt;&lt;D xsi:type="xsd:long"&gt;44685&lt;/D&gt;&lt;D xsi:type="xsd:long"&gt;44684&lt;/D&gt;&lt;D xsi:type="xsd:long"&gt;44683&lt;/D&gt;&lt;D xsi:type="xsd:long"&gt;44680&lt;/D&gt;&lt;D xsi:type="xsd:long"&gt;44679&lt;/D&gt;&lt;D xsi:type="xsd:long"&gt;44678&lt;/D&gt;&lt;D xsi:type="xsd:long"&gt;44677&lt;/D&gt;&lt;D xsi:type="xsd:long"&gt;44676&lt;/D&gt;&lt;D xsi:type="xsd:long"&gt;44673&lt;/D&gt;&lt;D xsi:type="xsd:long"&gt;44672&lt;/D&gt;&lt;D xsi:type="xsd:long"&gt;44671&lt;/D&gt;&lt;D xsi:type="xsd:long"&gt;44670&lt;/D&gt;&lt;D xsi:type="xsd:long"&gt;44669&lt;/D&gt;&lt;D xsi:type="xsd:long"&gt;44665&lt;/D&gt;&lt;D xsi:type="xsd:long"&gt;44664&lt;/D&gt;&lt;D xsi:type="xsd:long"&gt;44663&lt;/D&gt;&lt;D xsi:type="xsd:long"&gt;44662&lt;/D&gt;&lt;D xsi:type="xsd:long"&gt;44659&lt;/D&gt;&lt;D xsi:type="xsd:long"&gt;44658&lt;/D&gt;&lt;D xsi:type="xsd:long"&gt;44657&lt;/D&gt;&lt;D xsi:type="xsd:long"&gt;44656&lt;/D&gt;&lt;D xsi:type="xsd:long"&gt;44655&lt;/D&gt;&lt;D xsi:type="xsd:long"&gt;44652&lt;/D&gt;&lt;D xsi:type="xsd:long"&gt;44651&lt;/D&gt;&lt;D xsi:type="xsd:long"&gt;44650&lt;/D&gt;&lt;D xsi:type="xsd:long"&gt;44649&lt;/D&gt;&lt;D xsi:type="xsd:long"&gt;44648&lt;/D&gt;&lt;D xsi:type="xsd:long"&gt;44645&lt;/D&gt;&lt;D xsi:type="xsd:long"&gt;44644&lt;/D&gt;&lt;D xsi:type="xsd:long"&gt;44643&lt;/D&gt;&lt;D xsi:type="xsd:long"&gt;44642&lt;/D&gt;&lt;D xsi:type="xsd:long"&gt;44641&lt;/D&gt;&lt;D xsi:type="xsd:long"&gt;44638&lt;/D&gt;&lt;D xsi:type="xsd:long"&gt;44637&lt;/D&gt;&lt;D xsi:type="xsd:long"&gt;44636&lt;/D&gt;&lt;D xsi:type="xsd:long"&gt;44635&lt;/D&gt;&lt;D xsi:type="xsd:long"&gt;44634&lt;/D&gt;&lt;D xsi:type="xsd:long"&gt;44631&lt;/D&gt;&lt;D xsi:type="xsd:long"&gt;44630&lt;/D&gt;&lt;D xsi:type="xsd:long"&gt;44629&lt;/D&gt;&lt;D xsi:type="xsd:long"&gt;44628&lt;/D&gt;&lt;D xsi:type="xsd:long"&gt;44627&lt;/D&gt;&lt;D xsi:type="xsd:long"&gt;44624&lt;/D&gt;&lt;D xsi:type="xsd:long"&gt;44623&lt;/D&gt;&lt;D xsi:type="xsd:long"&gt;44622&lt;/D&gt;&lt;D xsi:type="xsd:long"&gt;44621&lt;/D&gt;&lt;D xsi:type="xsd:long"&gt;44620&lt;/D&gt;&lt;D xsi:type="xsd:long"&gt;44617&lt;/D&gt;&lt;D xsi:type="xsd:long"&gt;44616&lt;/D&gt;&lt;D xsi:type="xsd:long"&gt;44615&lt;/D&gt;&lt;D xsi:type="xsd:long"&gt;44614&lt;/D&gt;&lt;D xsi:type="xsd:long"&gt;44610&lt;/D&gt;&lt;D xsi:type="xsd:long"&gt;44609&lt;/D&gt;&lt;D xsi:type="xsd:long"&gt;44608&lt;/D&gt;&lt;D xsi:type="xsd:long"&gt;44607&lt;/D&gt;&lt;D xsi:type="xsd:long"&gt;44606&lt;/D&gt;&lt;D xsi:type="xsd:long"&gt;44603&lt;/D&gt;&lt;D xsi:type="xsd:long"&gt;44602&lt;/D&gt;&lt;D xsi:type="xsd:long"&gt;44601&lt;/D&gt;&lt;D xsi:type="xsd:long"&gt;44600&lt;/D&gt;&lt;D xsi:type="xsd:long"&gt;44599&lt;/D&gt;&lt;D xsi:type="xsd:long"&gt;44596&lt;/D&gt;&lt;D xsi:type="xsd:long"&gt;44595&lt;/D&gt;&lt;D xsi:type="xsd:long"&gt;44594&lt;/D&gt;&lt;D xsi:type="xsd:long"&gt;44593&lt;/D&gt;&lt;D xsi:type="xsd:long"&gt;44592&lt;/D&gt;&lt;D xsi:type="xsd:long"&gt;44589&lt;/D&gt;&lt;D xsi:type="xsd:long"&gt;44588&lt;/D&gt;&lt;D xsi:type="xsd:long"&gt;44587&lt;/D&gt;&lt;D xsi:type="xsd:long"&gt;44586&lt;/D&gt;&lt;D xsi:type="xsd:long"&gt;44585&lt;/D&gt;&lt;D xsi:type="xsd:long"&gt;44582&lt;/D&gt;&lt;D xsi:type="xsd:long"&gt;44581&lt;/D&gt;&lt;D xsi:type="xsd:long"&gt;44580&lt;/D&gt;&lt;D xsi:type="xsd:long"&gt;44579&lt;/D&gt;&lt;D xsi:type="xsd:long"&gt;44575&lt;/D&gt;&lt;D xsi:type="xsd:long"&gt;44574&lt;/D&gt;&lt;D xsi:type="xsd:long"&gt;44573&lt;/D&gt;&lt;D xsi:type="xsd:long"&gt;44572&lt;/D&gt;&lt;D xsi:type="xsd:long"&gt;44571&lt;/D&gt;&lt;D xsi:type="xsd:long"&gt;44568&lt;/D&gt;&lt;D xsi:type="xsd:long"&gt;44567&lt;/D&gt;&lt;D xsi:type="xsd:long"&gt;44566&lt;/D&gt;&lt;D xsi:type="xsd:long"&gt;44565&lt;/D&gt;&lt;D xsi:type="xsd:long"&gt;44564&lt;/D&gt;&lt;D xsi:type="xsd:long"&gt;44561&lt;/D&gt;&lt;D xsi:type="xsd:long"&gt;44560&lt;/D&gt;&lt;D xsi:type="xsd:long"&gt;44559&lt;/D&gt;&lt;D xsi:type="xsd:long"&gt;44558&lt;/D&gt;&lt;D xsi:type="xsd:long"&gt;44557&lt;/D&gt;&lt;D xsi:type="xsd:long"&gt;44553&lt;/D&gt;&lt;D xsi:type="xsd:long"&gt;44552&lt;/D&gt;&lt;D xsi:type="xsd:long"&gt;44551&lt;/D&gt;&lt;D xsi:type="xsd:long"&gt;44550&lt;/D&gt;&lt;D xsi:type="xsd:long"&gt;44547&lt;/D&gt;&lt;D xsi:type="xsd:long"&gt;44546&lt;/D&gt;&lt;D xsi:type="xsd:long"&gt;44545&lt;/D&gt;&lt;D xsi:type="xsd:long"&gt;44544&lt;/D&gt;&lt;D xsi:type="xsd:long"&gt;44543&lt;/D&gt;&lt;D xsi:type="xsd:long"&gt;44540&lt;/D&gt;&lt;D xsi:type="xsd:long"&gt;44539&lt;/D&gt;&lt;D xsi:type="xsd:long"&gt;44538&lt;/D&gt;&lt;D xsi:type="xsd:long"&gt;44537&lt;/D&gt;&lt;D xsi:type="xsd:long"&gt;44536&lt;/D&gt;&lt;D xsi:type="xsd:long"&gt;44533&lt;/D&gt;&lt;D xsi:type="xsd:long"&gt;44532&lt;/D&gt;&lt;D xsi:type="xsd:long"&gt;44531&lt;/D&gt;&lt;D xsi:type="xsd:long"&gt;44530&lt;/D&gt;&lt;D xsi:type="xsd:long"&gt;44529&lt;/D&gt;&lt;D xsi:type="xsd:long"&gt;44526&lt;/D&gt;&lt;D xsi:type="xsd:long"&gt;44524&lt;/D&gt;&lt;D xsi:type="xsd:long"&gt;44523&lt;/D&gt;&lt;D xsi:type="xsd:long"&gt;44522&lt;/D&gt;&lt;D xsi:type="xsd:long"&gt;44519&lt;/D&gt;&lt;D xsi:type="xsd:long"&gt;44518&lt;/D&gt;&lt;D xsi:type="xsd:long"&gt;44517&lt;/D&gt;&lt;D xsi:type="xsd:long"&gt;44516&lt;/D&gt;&lt;D xsi:type="xsd:long"&gt;44515&lt;/D&gt;&lt;D xsi:type="xsd:long"&gt;44512&lt;/D&gt;&lt;D xsi:type="xsd:long"&gt;44511&lt;/D&gt;&lt;D xsi:type="xsd:long"&gt;44510&lt;/D&gt;&lt;D xsi:type="xsd:long"&gt;44509&lt;/D&gt;&lt;D xsi:type="xsd:long"&gt;44508&lt;/D&gt;&lt;D xsi:type="xsd:long"&gt;44505&lt;/D&gt;&lt;D xsi:type="xsd:long"&gt;44504&lt;/D&gt;&lt;D xsi:type="xsd:long"&gt;44503&lt;/D&gt;&lt;D xsi:type="xsd:long"&gt;44502&lt;/D&gt;&lt;D xsi:type="xsd:long"&gt;44501&lt;/D&gt;&lt;D xsi:type="xsd:long"&gt;44498&lt;/D&gt;&lt;D xsi:type="xsd:long"&gt;44497&lt;/D&gt;&lt;D xsi:type="xsd:long"&gt;44496&lt;/D&gt;&lt;D xsi:type="xsd:long"&gt;44495&lt;/D&gt;&lt;D xsi:type="xsd:long"&gt;44494&lt;/D&gt;&lt;D xsi:type="xsd:long"&gt;44491&lt;/D&gt;&lt;D xsi:type="xsd:long"&gt;44490&lt;/D&gt;&lt;D xsi:type="xsd:long"&gt;44489&lt;/D&gt;&lt;D xsi:type="xsd:long"&gt;44488&lt;/D&gt;&lt;D xsi:type="xsd:long"&gt;44487&lt;/D&gt;&lt;D xsi:type="xsd:long"&gt;44484&lt;/D&gt;&lt;D xsi:type="xsd:long"&gt;44483&lt;/D&gt;&lt;D xsi:type="xsd:long"&gt;44482&lt;/D&gt;&lt;D xsi:type="xsd:long"&gt;44481&lt;/D&gt;&lt;D xsi:type="xsd:long"&gt;44480&lt;/D&gt;&lt;D xsi:type="xsd:long"&gt;44477&lt;/D&gt;&lt;D xsi:type="xsd:long"&gt;44476&lt;/D&gt;&lt;D xsi:type="xsd:long"&gt;44475&lt;/D&gt;&lt;D xsi:type="xsd:long"&gt;44474&lt;/D&gt;&lt;D xsi:type="xsd:long"&gt;44473&lt;/D&gt;&lt;D xsi:type="xsd:long"&gt;44470&lt;/D&gt;&lt;D xsi:type="xsd:long"&gt;44469&lt;/D&gt;&lt;D xsi:type="xsd:long"&gt;44468&lt;/D&gt;&lt;D xsi:type="xsd:long"&gt;44467&lt;/D&gt;&lt;D xsi:type="xsd:long"&gt;44466&lt;/D&gt;&lt;D xsi:type="xsd:long"&gt;44463&lt;/D&gt;&lt;D xsi:type="xsd:long"&gt;44462&lt;/D&gt;&lt;D xsi:type="xsd:long"&gt;44461&lt;/D&gt;&lt;D xsi:type="xsd:long"&gt;44460&lt;/D&gt;&lt;D xsi:type="xsd:long"&gt;44459&lt;/D&gt;&lt;D xsi:type="xsd:long"&gt;44456&lt;/D&gt;&lt;D xsi:type="xsd:long"&gt;44455&lt;/D&gt;&lt;D xsi:type="xsd:long"&gt;44454&lt;/D&gt;&lt;D xsi:type="xsd:long"&gt;44453&lt;/D&gt;&lt;D xsi:type="xsd:long"&gt;44452&lt;/D&gt;&lt;D xsi:type="xsd:long"&gt;44449&lt;/D&gt;&lt;D xsi:type="xsd:long"&gt;44448&lt;/D&gt;&lt;D xsi:type="xsd:long"&gt;44447&lt;/D&gt;&lt;D xsi:type="xsd:long"&gt;44446&lt;/D&gt;&lt;D xsi:type="xsd:long"&gt;44442&lt;/D&gt;&lt;D xsi:type="xsd:long"&gt;44441&lt;/D&gt;&lt;D xsi:type="xsd:long"&gt;44440&lt;/D&gt;&lt;D xsi:type="xsd:long"&gt;44439&lt;/D&gt;&lt;D xsi:type="xsd:long"&gt;44438&lt;/D&gt;&lt;D xsi:type="xsd:long"&gt;44435&lt;/D&gt;&lt;D xsi:type="xsd:long"&gt;44434&lt;/D&gt;&lt;D xsi:type="xsd:long"&gt;44433&lt;/D&gt;&lt;D xsi:type="xsd:long"&gt;44432&lt;/D&gt;&lt;D xsi:type="xsd:long"&gt;44431&lt;/D&gt;&lt;D xsi:type="xsd:long"&gt;44428&lt;/D&gt;&lt;D xsi:type="xsd:long"&gt;44427&lt;/D&gt;&lt;D xsi:type="xsd:long"&gt;44426&lt;/D&gt;&lt;D xsi:type="xsd:long"&gt;44425&lt;/D&gt;&lt;D xsi:type="xsd:long"&gt;44424&lt;/D&gt;&lt;D xsi:type="xsd:long"&gt;44421&lt;/D&gt;&lt;D xsi:type="xsd:long"&gt;44420&lt;/D&gt;&lt;D xsi:type="xsd:long"&gt;44419&lt;/D&gt;&lt;D xsi:type="xsd:long"&gt;44418&lt;/D&gt;&lt;D xsi:type="xsd:long"&gt;44417&lt;/D&gt;&lt;D xsi:type="xsd:long"&gt;44414&lt;/D&gt;&lt;D xsi:type="xsd:long"&gt;44413&lt;/D&gt;&lt;D xsi:type="xsd:long"&gt;44412&lt;/D&gt;&lt;D xsi:type="xsd:long"&gt;44411&lt;/D&gt;&lt;D xsi:type="xsd:long"&gt;44410&lt;/D&gt;&lt;D xsi:type="xsd:long"&gt;44407&lt;/D&gt;&lt;D xsi:type="xsd:long"&gt;44406&lt;/D&gt;&lt;D xsi:type="xsd:long"&gt;44405&lt;/D&gt;&lt;D xsi:type="xsd:long"&gt;44404&lt;/D&gt;&lt;D xsi:type="xsd:long"&gt;44403&lt;/D&gt;&lt;D xsi:type="xsd:long"&gt;44400&lt;/D&gt;&lt;D xsi:type="xsd:long"&gt;44399&lt;/D&gt;&lt;D xsi:type="xsd:long"&gt;44398&lt;/D&gt;&lt;D xsi:type="xsd:long"&gt;44397&lt;/D&gt;&lt;D xsi:type="xsd:long"&gt;44396&lt;/D&gt;&lt;D xsi:type="xsd:long"&gt;44393&lt;/D&gt;&lt;D xsi:type="xsd:long"&gt;44392&lt;/D&gt;&lt;D xsi:type="xsd:long"&gt;44391&lt;/D&gt;&lt;D xsi:type="xsd:long"&gt;44390&lt;/D&gt;&lt;D xsi:type="xsd:long"&gt;44389&lt;/D&gt;&lt;D xsi:type="xsd:long"&gt;44386&lt;/D&gt;&lt;D xsi:type="xsd:long"&gt;44385&lt;/D&gt;&lt;D xsi:type="xsd:long"&gt;44384&lt;/D&gt;&lt;D xsi:type="xsd:long"&gt;44383&lt;/D&gt;&lt;D xsi:type="xsd:long"&gt;44379&lt;/D&gt;&lt;D xsi:type="xsd:long"&gt;44378&lt;/D&gt;&lt;D xsi:type="xsd:long"&gt;44377&lt;/D&gt;&lt;D xsi:type="xsd:long"&gt;44376&lt;/D&gt;&lt;D xsi:type="xsd:long"&gt;44375&lt;/D&gt;&lt;D xsi:type="xsd:long"&gt;44372&lt;/D&gt;&lt;D xsi:type="xsd:long"&gt;44371&lt;/D&gt;&lt;D xsi:type="xsd:long"&gt;44370&lt;/D&gt;&lt;D xsi:type="xsd:long"&gt;44369&lt;/D&gt;&lt;D xsi:type="xsd:long"&gt;44368&lt;/D&gt;&lt;D xsi:type="xsd:long"&gt;44365&lt;/D&gt;&lt;D xsi:type="xsd:long"&gt;44364&lt;/D&gt;&lt;D xsi:type="xsd:long"&gt;44363&lt;/D&gt;&lt;D xsi:type="xsd:long"&gt;44362&lt;/D&gt;&lt;D xsi:type="xsd:long"&gt;44361&lt;/D&gt;&lt;D xsi:type="xsd:long"&gt;44358&lt;/D&gt;&lt;D xsi:type="xsd:long"&gt;44357&lt;/D&gt;&lt;D xsi:type="xsd:long"&gt;44356&lt;/D&gt;&lt;D xsi:type="xsd:long"&gt;44355&lt;/D&gt;&lt;D xsi:type="xsd:long"&gt;44354&lt;/D&gt;&lt;D xsi:type="xsd:long"&gt;44351&lt;/D&gt;&lt;D xsi:type="xsd:long"&gt;44350&lt;/D&gt;&lt;D xsi:type="xsd:long"&gt;44349&lt;/D&gt;&lt;D xsi:type="xsd:long"&gt;44348&lt;/D&gt;&lt;D xsi:type="xsd:long"&gt;44344&lt;/D&gt;&lt;D xsi:type="xsd:long"&gt;44343&lt;/D&gt;&lt;D xsi:type="xsd:long"&gt;44342&lt;/D&gt;&lt;D xsi:type="xsd:long"&gt;44341&lt;/D&gt;&lt;D xsi:type="xsd:long"&gt;44340&lt;/D&gt;&lt;D xsi:type="xsd:long"&gt;44337&lt;/D&gt;&lt;D xsi:type="xsd:long"&gt;44336&lt;/D&gt;&lt;D xsi:type="xsd:long"&gt;44335&lt;/D&gt;&lt;D xsi:type="xsd:long"&gt;44334&lt;/D&gt;&lt;D xsi:type="xsd:long"&gt;44333&lt;/D&gt;&lt;D xsi:type="xsd:long"&gt;44330&lt;/D&gt;&lt;D xsi:type="xsd:long"&gt;44329&lt;/D&gt;&lt;D xsi:type="xsd:long"&gt;44328&lt;/D&gt;&lt;D xsi:type="xsd:long"&gt;44327&lt;/D&gt;&lt;D xsi:type="xsd:long"&gt;44326&lt;/D&gt;&lt;D xsi:type="xsd:long"&gt;44323&lt;/D&gt;&lt;D xsi:type="xsd:long"&gt;44322&lt;/D&gt;&lt;D xsi:type="xsd:long"&gt;44321&lt;/D&gt;&lt;D xsi:type="xsd:long"&gt;44320&lt;/D&gt;&lt;D xsi:type="xsd:long"&gt;44319&lt;/D&gt;&lt;D xsi:type="xsd:long"&gt;44316&lt;/D&gt;&lt;D xsi:type="xsd:long"&gt;44315&lt;/D&gt;&lt;D xsi:type="xsd:long"&gt;44314&lt;/D&gt;&lt;D xsi:type="xsd:long"&gt;44313&lt;/D&gt;&lt;D xsi:type="xsd:long"&gt;44312&lt;/D&gt;&lt;D xsi:type="xsd:long"&gt;44309&lt;/D&gt;&lt;D xsi:type="xsd:long"&gt;44308&lt;/D&gt;&lt;D xsi:type="xsd:long"&gt;44307&lt;/D&gt;&lt;D xsi:type="xsd:long"&gt;44306&lt;/D&gt;&lt;D xsi:type="xsd:long"&gt;44305&lt;/D&gt;&lt;D xsi:type="xsd:long"&gt;44302&lt;/D&gt;&lt;D xsi:type="xsd:long"&gt;44301&lt;/D&gt;&lt;D xsi:type="xsd:long"&gt;44300&lt;/D&gt;&lt;D xsi:type="xsd:long"&gt;44299&lt;/D&gt;&lt;D xsi:type="xsd:long"&gt;44298&lt;/D&gt;&lt;D xsi:type="xsd:long"&gt;44295&lt;/D&gt;&lt;D xsi:type="xsd:long"&gt;44294&lt;/D&gt;&lt;D xsi:type="xsd:long"&gt;44293&lt;/D&gt;&lt;D xsi:type="xsd:long"&gt;44292&lt;/D&gt;&lt;D xsi:type="xsd:long"&gt;44291&lt;/D&gt;&lt;D xsi:type="xsd:long"&gt;44287&lt;/D&gt;&lt;D xsi:type="xsd:long"&gt;44286&lt;/D&gt;&lt;D xsi:type="xsd:long"&gt;44285&lt;/D&gt;&lt;D xsi:type="xsd:long"&gt;44284&lt;/D&gt;&lt;D xsi:type="xsd:long"&gt;44281&lt;/D&gt;&lt;D xsi:type="xsd:long"&gt;44280&lt;/D&gt;&lt;D xsi:type="xsd:long"&gt;44279&lt;/D&gt;&lt;D xsi:type="xsd:long"&gt;44278&lt;/D&gt;&lt;D xsi:type="xsd:long"&gt;44277&lt;/D&gt;&lt;D xsi:type="xsd:long"&gt;44274&lt;/D&gt;&lt;D xsi:type="xsd:long"&gt;44273&lt;/D&gt;&lt;D xsi:type="xsd:long"&gt;44272&lt;/D&gt;&lt;D xsi:type="xsd:long"&gt;44271&lt;/D&gt;&lt;D xsi:type="xsd:long"&gt;44270&lt;/D&gt;&lt;D xsi:type="xsd:long"&gt;44267&lt;/D&gt;&lt;D xsi:type="xsd:long"&gt;44266&lt;/D&gt;&lt;D xsi:type="xsd:long"&gt;44265&lt;/D&gt;&lt;D xsi:type="xsd:long"&gt;44264&lt;/D&gt;&lt;D xsi:type="xsd:long"&gt;44263&lt;/D&gt;&lt;D xsi:type="xsd:long"&gt;44260&lt;/D&gt;&lt;D xsi:type="xsd:long"&gt;44259&lt;/D&gt;&lt;D xsi:type="xsd:long"&gt;44258&lt;/D&gt;&lt;D xsi:type="xsd:long"&gt;44257&lt;/D&gt;&lt;D xsi:type="xsd:long"&gt;44256&lt;/D&gt;&lt;D xsi:type="xsd:long"&gt;44253&lt;/D&gt;&lt;D xsi:type="xsd:long"&gt;44252&lt;/D&gt;&lt;D xsi:type="xsd:long"&gt;44251&lt;/D&gt;&lt;D xsi:type="xsd:long"&gt;44250&lt;/D&gt;&lt;D xsi:type="xsd:long"&gt;44249&lt;/D&gt;&lt;D xsi:type="xsd:long"&gt;44246&lt;/D&gt;&lt;D xsi:type="xsd:long"&gt;44245&lt;/D&gt;&lt;D xsi:type="xsd:long"&gt;44244&lt;/D&gt;&lt;D xsi:type="xsd:long"&gt;44243&lt;/D&gt;&lt;D xsi:type="xsd:long"&gt;44239&lt;/D&gt;&lt;D xsi:type="xsd:long"&gt;44238&lt;/D&gt;&lt;D xsi:type="xsd:long"&gt;44237&lt;/D&gt;&lt;D xsi:type="xsd:long"&gt;44236&lt;/D&gt;&lt;D xsi:type="xsd:long"&gt;44235&lt;/D&gt;&lt;D xsi:type="xsd:long"&gt;44232&lt;/D&gt;&lt;D xsi:type="xsd:long"&gt;44231&lt;/D&gt;&lt;D xsi:type="xsd:long"&gt;44230&lt;/D&gt;&lt;D xsi:type="xsd:long"&gt;44229&lt;/D&gt;&lt;D xsi:type="xsd:long"&gt;44228&lt;/D&gt;&lt;D xsi:type="xsd:long"&gt;44225&lt;/D&gt;&lt;D xsi:type="xsd:long"&gt;44224&lt;/D&gt;&lt;D xsi:type="xsd:long"&gt;44223&lt;/D&gt;&lt;D xsi:type="xsd:long"&gt;44222&lt;/D&gt;&lt;D xsi:type="xsd:long"&gt;44221&lt;/D&gt;&lt;D xsi:type="xsd:long"&gt;44218&lt;/D&gt;&lt;D xsi:type="xsd:long"&gt;44217&lt;/D&gt;&lt;D xsi:type="xsd:long"&gt;44216&lt;/D&gt;&lt;D xsi:type="xsd:long"&gt;44215&lt;/D&gt;&lt;D xsi:type="xsd:long"&gt;44211&lt;/D&gt;&lt;D xsi:type="xsd:long"&gt;44210&lt;/D&gt;&lt;D xsi:type="xsd:long"&gt;44209&lt;/D&gt;&lt;D xsi:type="xsd:long"&gt;44208&lt;/D&gt;&lt;D xsi:type="xsd:long"&gt;44207&lt;/D&gt;&lt;D xsi:type="xsd:long"&gt;44204&lt;/D&gt;&lt;D xsi:type="xsd:long"&gt;44203&lt;/D&gt;&lt;D xsi:type="xsd:long"&gt;44202&lt;/D&gt;&lt;D xsi:type="xsd:long"&gt;44201&lt;/D&gt;&lt;D xsi:type="xsd:long"&gt;44200&lt;/D&gt;&lt;D xsi:type="xsd:long"&gt;44196&lt;/D&gt;&lt;D xsi:type="xsd:long"&gt;44195&lt;/D&gt;&lt;D xsi:type="xsd:long"&gt;44194&lt;/D&gt;&lt;D xsi:type="xsd:long"&gt;44193&lt;/D&gt;&lt;D xsi:type="xsd:long"&gt;44189&lt;/D&gt;&lt;D xsi:type="xsd:long"&gt;44188&lt;/D&gt;&lt;D xsi:type="xsd:long"&gt;44187&lt;/D&gt;&lt;D xsi:type="xsd:long"&gt;44186&lt;/D&gt;&lt;D xsi:type="xsd:long"&gt;44183&lt;/D&gt;&lt;D xsi:type="xsd:long"&gt;44182&lt;/D&gt;&lt;D xsi:type="xsd:long"&gt;44181&lt;/D&gt;&lt;D xsi:type="xsd:long"&gt;44180&lt;/D&gt;&lt;D xsi:type="xsd:long"&gt;44179&lt;/D&gt;&lt;D xsi:type="xsd:long"&gt;44176&lt;/D&gt;&lt;D xsi:type="xsd:long"&gt;44175&lt;/D&gt;&lt;D xsi:type="xsd:long"&gt;44174&lt;/D&gt;&lt;D xsi:type="xsd:long"&gt;44173&lt;/D&gt;&lt;D xsi:type="xsd:long"&gt;44172&lt;/D&gt;&lt;D xsi:type="xsd:long"&gt;44169&lt;/D&gt;&lt;D xsi:type="xsd:long"&gt;44168&lt;/D&gt;&lt;D xsi:type="xsd:long"&gt;44167&lt;/D&gt;&lt;D xsi:type="xsd:long"&gt;44166&lt;/D&gt;&lt;D xsi:type="xsd:long"&gt;44165&lt;/D&gt;&lt;D xsi:type="xsd:long"&gt;44162&lt;/D&gt;&lt;D xsi:type="xsd:long"&gt;44160&lt;/D&gt;&lt;D xsi:type="xsd:long"&gt;44159&lt;/D&gt;&lt;D xsi:type="xsd:long"&gt;44158&lt;/D&gt;&lt;D xsi:type="xsd:long"&gt;44155&lt;/D&gt;&lt;D xsi:type="xsd:long"&gt;44154&lt;/D&gt;&lt;D xsi:type="xsd:long"&gt;44153&lt;/D&gt;&lt;D xsi:type="xsd:long"&gt;44152&lt;/D&gt;&lt;D xsi:type="xsd:long"&gt;44151&lt;/D&gt;&lt;D xsi:type="xsd:long"&gt;44148&lt;/D&gt;&lt;D xsi:type="xsd:long"&gt;44147&lt;/D&gt;&lt;D xsi:type="xsd:long"&gt;44146&lt;/D&gt;&lt;D xsi:type="xsd:long"&gt;44145&lt;/D&gt;&lt;D xsi:type="xsd:long"&gt;44144&lt;/D&gt;&lt;D xsi:type="xsd:long"&gt;44141&lt;/D&gt;&lt;D xsi:type="xsd:long"&gt;44140&lt;/D&gt;&lt;D xsi:type="xsd:long"&gt;44139&lt;/D&gt;&lt;D xsi:type="xsd:long"&gt;44138&lt;/D&gt;&lt;D xsi:type="xsd:long"&gt;44137&lt;/D&gt;&lt;D xsi:type="xsd:long"&gt;44134&lt;/D&gt;&lt;D xsi:type="xsd:long"&gt;44133&lt;/D&gt;&lt;D xsi:type="xsd:long"&gt;44132&lt;/D&gt;&lt;D xsi:type="xsd:long"&gt;44131&lt;/D&gt;&lt;D xsi:type="xsd:long"&gt;44130&lt;/D&gt;&lt;D xsi:type="xsd:long"&gt;44127&lt;/D&gt;&lt;D xsi:type="xsd:long"&gt;44126&lt;/D&gt;&lt;D xsi:type="xsd:long"&gt;44125&lt;/D&gt;&lt;D xsi:type="xsd:long"&gt;44124&lt;/D&gt;&lt;D xsi:type="xsd:long"&gt;44123&lt;/D&gt;&lt;D xsi:type="xsd:long"&gt;44120&lt;/D&gt;&lt;D xsi:type="xsd:long"&gt;44119&lt;/D&gt;&lt;D xsi:type="xsd:long"&gt;44118&lt;/D&gt;&lt;D xsi:type="xsd:long"&gt;44117&lt;/D&gt;&lt;D xsi:type="xsd:long"&gt;44116&lt;/D&gt;&lt;D xsi:type="xsd:long"&gt;44113&lt;/D&gt;&lt;D xsi:type="xsd:long"&gt;44112&lt;/D&gt;&lt;D xsi:type="xsd:long"&gt;44111&lt;/D&gt;&lt;D xsi:type="xsd:long"&gt;44110&lt;/D&gt;&lt;D xsi:type="xsd:long"&gt;44109&lt;/D&gt;&lt;D xsi:type="xsd:long"&gt;44106&lt;/D&gt;&lt;D xsi:type="xsd:long"&gt;44105&lt;/D&gt;&lt;D xsi:type="xsd:long"&gt;44104&lt;/D&gt;&lt;D xsi:type="xsd:long"&gt;44103&lt;/D&gt;&lt;D xsi:type="xsd:long"&gt;44102&lt;/D&gt;&lt;D xsi:type="xsd:long"&gt;44099&lt;/D&gt;&lt;D xsi:type="xsd:long"&gt;44098&lt;/D&gt;&lt;D xsi:type="xsd:long"&gt;44097&lt;/D&gt;&lt;D xsi:type="xsd:long"&gt;44096&lt;/D&gt;&lt;D xsi:type="xsd:long"&gt;44095&lt;/D&gt;&lt;D xsi:type="xsd:long"&gt;44092&lt;/D&gt;&lt;D xsi:type="xsd:long"&gt;44091&lt;/D&gt;&lt;D xsi:type="xsd:long"&gt;44090&lt;/D&gt;&lt;D xsi:type="xsd:long"&gt;44089&lt;/D&gt;&lt;D xsi:type="</t>
        </r>
      </text>
    </comment>
    <comment ref="A90" authorId="0" shapeId="0">
      <text>
        <r>
          <rPr>
            <b/>
            <sz val="9"/>
            <color indexed="81"/>
            <rFont val="Tahoma"/>
            <family val="2"/>
          </rPr>
          <t>xsd:long"&gt;44088&lt;/D&gt;&lt;D xsi:type="xsd:long"&gt;44085&lt;/D&gt;&lt;D xsi:type="xsd:long"&gt;44084&lt;/D&gt;&lt;D xsi:type="xsd:long"&gt;44083&lt;/D&gt;&lt;D xsi:type="xsd:long"&gt;44082&lt;/D&gt;&lt;D xsi:type="xsd:long"&gt;44078&lt;/D&gt;&lt;D xsi:type="xsd:long"&gt;44077&lt;/D&gt;&lt;D xsi:type="xsd:long"&gt;44076&lt;/D&gt;&lt;D xsi:type="xsd:long"&gt;44075&lt;/D&gt;&lt;D xsi:type="xsd:long"&gt;44074&lt;/D&gt;&lt;D xsi:type="xsd:long"&gt;44071&lt;/D&gt;&lt;D xsi:type="xsd:long"&gt;44070&lt;/D&gt;&lt;D xsi:type="xsd:long"&gt;44069&lt;/D&gt;&lt;D xsi:type="xsd:long"&gt;44068&lt;/D&gt;&lt;D xsi:type="xsd:long"&gt;44067&lt;/D&gt;&lt;D xsi:type="xsd:long"&gt;44064&lt;/D&gt;&lt;D xsi:type="xsd:long"&gt;44063&lt;/D&gt;&lt;D xsi:type="xsd:long"&gt;44062&lt;/D&gt;&lt;D xsi:type="xsd:long"&gt;44061&lt;/D&gt;&lt;D xsi:type="xsd:long"&gt;44060&lt;/D&gt;&lt;D xsi:type="xsd:long"&gt;44057&lt;/D&gt;&lt;D xsi:type="xsd:long"&gt;44056&lt;/D&gt;&lt;D xsi:type="xsd:long"&gt;44055&lt;/D&gt;&lt;D xsi:type="xsd:long"&gt;44054&lt;/D&gt;&lt;D xsi:type="xsd:long"&gt;44053&lt;/D&gt;&lt;D xsi:type="xsd:long"&gt;44050&lt;/D&gt;&lt;D xsi:type="xsd:long"&gt;44049&lt;/D&gt;&lt;D xsi:type="xsd:long"&gt;44048&lt;/D&gt;&lt;D xsi:type="xsd:long"&gt;44047&lt;/D&gt;&lt;D xsi:type="xsd:long"&gt;44046&lt;/D&gt;&lt;D xsi:type="xsd:long"&gt;44043&lt;/D&gt;&lt;D xsi:type="xsd:long"&gt;44042&lt;/D&gt;&lt;D xsi:type="xsd:long"&gt;44041&lt;/D&gt;&lt;D xsi:type="xsd:long"&gt;44040&lt;/D&gt;&lt;D xsi:type="xsd:long"&gt;44039&lt;/D&gt;&lt;D xsi:type="xsd:long"&gt;44036&lt;/D&gt;&lt;D xsi:type="xsd:long"&gt;44035&lt;/D&gt;&lt;D xsi:type="xsd:long"&gt;44034&lt;/D&gt;&lt;D xsi:type="xsd:long"&gt;44033&lt;/D&gt;&lt;D xsi:type="xsd:long"&gt;44032&lt;/D&gt;&lt;D xsi:type="xsd:long"&gt;44029&lt;/D&gt;&lt;D xsi:type="xsd:long"&gt;44028&lt;/D&gt;&lt;D xsi:type="xsd:long"&gt;44027&lt;/D&gt;&lt;D xsi:type="xsd:long"&gt;44026&lt;/D&gt;&lt;D xsi:type="xsd:long"&gt;44025&lt;/D&gt;&lt;D xsi:type="xsd:long"&gt;44022&lt;/D&gt;&lt;D xsi:type="xsd:long"&gt;44021&lt;/D&gt;&lt;D xsi:type="xsd:long"&gt;44020&lt;/D&gt;&lt;D xsi:type="xsd:long"&gt;44019&lt;/D&gt;&lt;D xsi:type="xsd:long"&gt;44018&lt;/D&gt;&lt;D xsi:type="xsd:long"&gt;44014&lt;/D&gt;&lt;D xsi:type="xsd:long"&gt;44013&lt;/D&gt;&lt;D xsi:type="xsd:long"&gt;44012&lt;/D&gt;&lt;D xsi:type="xsd:long"&gt;44011&lt;/D&gt;&lt;D xsi:type="xsd:long"&gt;44008&lt;/D&gt;&lt;D xsi:type="xsd:long"&gt;44007&lt;/D&gt;&lt;D xsi:type="xsd:long"&gt;44006&lt;/D&gt;&lt;D xsi:type="xsd:long"&gt;44005&lt;/D&gt;&lt;D xsi:type="xsd:long"&gt;44004&lt;/D&gt;&lt;D xsi:type="xsd:long"&gt;44001&lt;/D&gt;&lt;D xsi:type="xsd:long"&gt;44000&lt;/D&gt;&lt;D xsi:type="xsd:long"&gt;43999&lt;/D&gt;&lt;D xsi:type="xsd:long"&gt;43998&lt;/D&gt;&lt;D xsi:type="xsd:long"&gt;43997&lt;/D&gt;&lt;D xsi:type="xsd:long"&gt;43994&lt;/D&gt;&lt;D xsi:type="xsd:long"&gt;43993&lt;/D&gt;&lt;D xsi:type="xsd:long"&gt;43992&lt;/D&gt;&lt;D xsi:type="xsd:long"&gt;43991&lt;/D&gt;&lt;D xsi:type="xsd:long"&gt;43990&lt;/D&gt;&lt;D xsi:type="xsd:long"&gt;43987&lt;/D&gt;&lt;D xsi:type="xsd:long"&gt;43986&lt;/D&gt;&lt;D xsi:type="xsd:long"&gt;43985&lt;/D&gt;&lt;D xsi:type="xsd:long"&gt;43984&lt;/D&gt;&lt;D xsi:type="xsd:long"&gt;43983&lt;/D&gt;&lt;D xsi:type="xsd:long"&gt;43980&lt;/D&gt;&lt;D xsi:type="xsd:long"&gt;43979&lt;/D&gt;&lt;D xsi:type="xsd:long"&gt;43978&lt;/D&gt;&lt;D xsi:type="xsd:long"&gt;43977&lt;/D&gt;&lt;D xsi:type="xsd:long"&gt;43973&lt;/D&gt;&lt;D xsi:type="xsd:long"&gt;43972&lt;/D&gt;&lt;D xsi:type="xsd:long"&gt;43971&lt;/D&gt;&lt;D xsi:type="xsd:long"&gt;43970&lt;/D&gt;&lt;D xsi:type="xsd:long"&gt;43969&lt;/D&gt;&lt;D xsi:type="xsd:long"&gt;43966&lt;/D&gt;&lt;D xsi:type="xsd:long"&gt;43965&lt;/D&gt;&lt;D xsi:type="xsd:long"&gt;43964&lt;/D&gt;&lt;D xsi:type="xsd:long"&gt;43963&lt;/D&gt;&lt;D xsi:type="xsd:long"&gt;43962&lt;/D&gt;&lt;D xsi:type="xsd:long"&gt;43959&lt;/D&gt;&lt;D xsi:type="xsd:long"&gt;43958&lt;/D&gt;&lt;D xsi:type="xsd:long"&gt;43957&lt;/D&gt;&lt;D xsi:type="xsd:long"&gt;43956&lt;/D&gt;&lt;D xsi:type="xsd:long"&gt;43955&lt;/D&gt;&lt;D xsi:type="xsd:long"&gt;43952&lt;/D&gt;&lt;D xsi:type="xsd:long"&gt;43951&lt;/D&gt;&lt;D xsi:type="xsd:long"&gt;43950&lt;/D&gt;&lt;D xsi:type="xsd:long"&gt;43949&lt;/D&gt;&lt;D xsi:type="xsd:long"&gt;43948&lt;/D&gt;&lt;D xsi:type="xsd:long"&gt;43945&lt;/D&gt;&lt;D xsi:type="xsd:long"&gt;43944&lt;/D&gt;&lt;D xsi:type="xsd:long"&gt;43943&lt;/D&gt;&lt;D xsi:type="xsd:long"&gt;43942&lt;/D&gt;&lt;D xsi:type="xsd:long"&gt;43941&lt;/D&gt;&lt;D xsi:type="xsd:long"&gt;43938&lt;/D&gt;&lt;D xsi:type="xsd:long"&gt;43937&lt;/D&gt;&lt;D xsi:type="xsd:long"&gt;43936&lt;/D&gt;&lt;D xsi:type="xsd:long"&gt;43935&lt;/D&gt;&lt;D xsi:type="xsd:long"&gt;43934&lt;/D&gt;&lt;D xsi:type="xsd:long"&gt;43930&lt;/D&gt;&lt;D xsi:type="xsd:long"&gt;43929&lt;/D&gt;&lt;D xsi:type="xsd:long"&gt;43928&lt;/D&gt;&lt;D xsi:type="xsd:long"&gt;43927&lt;/D&gt;&lt;D xsi:type="xsd:long"&gt;43924&lt;/D&gt;&lt;D xsi:type="xsd:long"&gt;43923&lt;/D&gt;&lt;D xsi:type="xsd:long"&gt;43922&lt;/D&gt;&lt;D xsi:type="xsd:long"&gt;43921&lt;/D&gt;&lt;D xsi:type="xsd:long"&gt;43920&lt;/D&gt;&lt;D xsi:type="xsd:long"&gt;43917&lt;/D&gt;&lt;D xsi:type="xsd:long"&gt;43916&lt;/D&gt;&lt;D xsi:type="xsd:long"&gt;43915&lt;/D&gt;&lt;D xsi:type="xsd:long"&gt;43914&lt;/D&gt;&lt;D xsi:type="xsd:long"&gt;43913&lt;/D&gt;&lt;D xsi:type="xsd:long"&gt;43910&lt;/D&gt;&lt;D xsi:type="xsd:long"&gt;43909&lt;/D&gt;&lt;D xsi:type="xsd:long"&gt;43908&lt;/D&gt;&lt;D xsi:type="xsd:long"&gt;43907&lt;/D&gt;&lt;D xsi:type="xsd:long"&gt;43906&lt;/D&gt;&lt;D xsi:type="xsd:long"&gt;43903&lt;/D&gt;&lt;D xsi:type="xsd:long"&gt;43902&lt;/D&gt;&lt;D xsi:type="xsd:long"&gt;43901&lt;/D&gt;&lt;D xsi:type="xsd:long"&gt;43900&lt;/D&gt;&lt;D xsi:type="xsd:long"&gt;43899&lt;/D&gt;&lt;D xsi:type="xsd:long"&gt;43896&lt;/D&gt;&lt;D xsi:type="xsd:long"&gt;43895&lt;/D&gt;&lt;D xsi:type="xsd:long"&gt;43894&lt;/D&gt;&lt;D xsi:type="xsd:long"&gt;43893&lt;/D&gt;&lt;D xsi:type="xsd:long"&gt;43892&lt;/D&gt;&lt;D xsi:type="xsd:long"&gt;43889&lt;/D&gt;&lt;D xsi:type="xsd:long"&gt;43888&lt;/D&gt;&lt;D xsi:type="xsd:long"&gt;43887&lt;/D&gt;&lt;D xsi:type="xsd:long"&gt;43886&lt;/D&gt;&lt;D xsi:type="xsd:long"&gt;43885&lt;/D&gt;&lt;D xsi:type="xsd:long"&gt;43882&lt;/D&gt;&lt;D xsi:type="xsd:long"&gt;43881&lt;/D&gt;&lt;D xsi:type="xsd:long"&gt;43880&lt;/D&gt;&lt;D xsi:type="xsd:long"&gt;43879&lt;/D&gt;&lt;D xsi:type="xsd:long"&gt;43875&lt;/D&gt;&lt;D xsi:type="xsd:long"&gt;43874&lt;/D&gt;&lt;D xsi:type="xsd:long"&gt;43873&lt;/D&gt;&lt;D xsi:type="xsd:long"&gt;43872&lt;/D&gt;&lt;D xsi:type="xsd:long"&gt;43871&lt;/D&gt;&lt;D xsi:type="xsd:long"&gt;43868&lt;/D&gt;&lt;D xsi:type="xsd:long"&gt;43867&lt;/D&gt;&lt;D xsi:type="xsd:long"&gt;43866&lt;/D&gt;&lt;D xsi:type="xsd:long"&gt;43865&lt;/D&gt;&lt;D xsi:type="xsd:long"&gt;43864&lt;/D&gt;&lt;D xsi:type="xsd:long"&gt;43861&lt;/D&gt;&lt;D xsi:type="xsd:long"&gt;43860&lt;/D&gt;&lt;D xsi:type="xsd:long"&gt;43859&lt;/D&gt;&lt;D xsi:type="xsd:long"&gt;43858&lt;/D&gt;&lt;D xsi:type="xsd:long"&gt;43857&lt;/D&gt;&lt;D xsi:type="xsd:long"&gt;43854&lt;/D&gt;&lt;D xsi:type="xsd:long"&gt;43853&lt;/D&gt;&lt;D xsi:type="xsd:long"&gt;43852&lt;/D&gt;&lt;D xsi:type="xsd:long"&gt;43851&lt;/D&gt;&lt;D xsi:type="xsd:long"&gt;43847&lt;/D&gt;&lt;D xsi:type="xsd:long"&gt;43846&lt;/D&gt;&lt;D xsi:type="xsd:long"&gt;43845&lt;/D&gt;&lt;D xsi:type="xsd:long"&gt;43844&lt;/D&gt;&lt;D xsi:type="xsd:long"&gt;43843&lt;/D&gt;&lt;D xsi:type="xsd:long"&gt;43840&lt;/D&gt;&lt;D xsi:type="xsd:long"&gt;43839&lt;/D&gt;&lt;D xsi:type="xsd:long"&gt;43838&lt;/D&gt;&lt;D xsi:type="xsd:long"&gt;43837&lt;/D&gt;&lt;D xsi:type="xsd:long"&gt;43836&lt;/D&gt;&lt;D xsi:type="xsd:long"&gt;43833&lt;/D&gt;&lt;D xsi:type="xsd:long"&gt;43832&lt;/D&gt;&lt;D xsi:type="xsd:long"&gt;43830&lt;/D&gt;&lt;D xsi:type="xsd:long"&gt;43829&lt;/D&gt;&lt;D xsi:type="xsd:long"&gt;43826&lt;/D&gt;&lt;D xsi:type="xsd:long"&gt;43825&lt;/D&gt;&lt;D xsi:type="xsd:long"&gt;43823&lt;/D&gt;&lt;D xsi:type="xsd:long"&gt;43822&lt;/D&gt;&lt;D xsi:type="xsd:long"&gt;43819&lt;/D&gt;&lt;D xsi:type="xsd:long"&gt;43818&lt;/D&gt;&lt;D xsi:type="xsd:long"&gt;43817&lt;/D&gt;&lt;D xsi:type="xsd:long"&gt;43816&lt;/D&gt;&lt;D xsi:type="xsd:long"&gt;43815&lt;/D&gt;&lt;D xsi:type="xsd:long"&gt;43812&lt;/D&gt;&lt;D xsi:type="xsd:long"&gt;43811&lt;/D&gt;&lt;D xsi:type="xsd:long"&gt;43810&lt;/D&gt;&lt;D xsi:type="xsd:long"&gt;43809&lt;/D&gt;&lt;D xsi:type="xsd:long"&gt;43808&lt;/D&gt;&lt;D xsi:type="xsd:long"&gt;43805&lt;/D&gt;&lt;D xsi:type="xsd:long"&gt;43804&lt;/D&gt;&lt;D xsi:type="xsd:long"&gt;43803&lt;/D&gt;&lt;D xsi:type="xsd:long"&gt;43802&lt;/D&gt;&lt;D xsi:type="xsd:long"&gt;43801&lt;/D&gt;&lt;D xsi:type="xsd:long"&gt;43798&lt;/D&gt;&lt;D xsi:type="xsd:long"&gt;43796&lt;/D&gt;&lt;D xsi:type="xsd:long"&gt;43795&lt;/D&gt;&lt;D xsi:type="xsd:long"&gt;43794&lt;/D&gt;&lt;D xsi:type="xsd:long"&gt;43791&lt;/D&gt;&lt;D xsi:type="xsd:long"&gt;43790&lt;/D&gt;&lt;D xsi:type="xsd:long"&gt;43789&lt;/D&gt;&lt;D xsi:type="xsd:long"&gt;43788&lt;/D&gt;&lt;D xsi:type="xsd:long"&gt;43787&lt;/D&gt;&lt;D xsi:type="xsd:long"&gt;43784&lt;/D&gt;&lt;D xsi:type="xsd:long"&gt;43783&lt;/D&gt;&lt;D xsi:type="xsd:long"&gt;43782&lt;/D&gt;&lt;D xsi:type="xsd:long"&gt;43781&lt;/D&gt;&lt;D xsi:type="xsd:long"&gt;43780&lt;/D&gt;&lt;D xsi:type="xsd:long"&gt;43777&lt;/D&gt;&lt;D xsi:type="xsd:long"&gt;43776&lt;/D&gt;&lt;D xsi:type="xsd:long"&gt;43775&lt;/D&gt;&lt;D xsi:type="xsd:long"&gt;43774&lt;/D&gt;&lt;D xsi:type="xsd:long"&gt;43773&lt;/D&gt;&lt;D xsi:type="xsd:long"&gt;43770&lt;/D&gt;&lt;D xsi:type="xsd:long"&gt;43769&lt;/D&gt;&lt;D xsi:type="xsd:long"&gt;43768&lt;/D&gt;&lt;D xsi:type="xsd:long"&gt;43767&lt;/D&gt;&lt;D xsi:type="xsd:long"&gt;43766&lt;/D&gt;&lt;D xsi:type="xsd:long"&gt;43763&lt;/D&gt;&lt;D xsi:type="xsd:long"&gt;43762&lt;/D&gt;&lt;D xsi:type="xsd:long"&gt;43761&lt;/D&gt;&lt;D xsi:type="xsd:long"&gt;43760&lt;/D&gt;&lt;D xsi:type="xsd:long"&gt;43759&lt;/D&gt;&lt;D xsi:type="xsd:long"&gt;43756&lt;/D&gt;&lt;D xsi:type="xsd:long"&gt;43755&lt;/D&gt;&lt;D xsi:type="xsd:long"&gt;43754&lt;/D&gt;&lt;D xsi:type="xsd:long"&gt;43753&lt;/D&gt;&lt;D xsi:type="xsd:long"&gt;43752&lt;/D&gt;&lt;D xsi:type="xsd:long"&gt;43749&lt;/D&gt;&lt;D xsi:type="xsd:long"&gt;43748&lt;/D&gt;&lt;D xsi:type="xsd:long"&gt;43747&lt;/D&gt;&lt;D xsi:type="xsd:long"&gt;43746&lt;/D&gt;&lt;D xsi:type="xsd:long"&gt;43745&lt;/D&gt;&lt;D xsi:type="xsd:long"&gt;43742&lt;/D&gt;&lt;D xsi:type="xsd:long"&gt;43741&lt;/D&gt;&lt;D xsi:type="xsd:long"&gt;43740&lt;/D&gt;&lt;D xsi:type="xsd:long"&gt;43739&lt;/D&gt;&lt;D xsi:type="xsd:long"&gt;43738&lt;/D&gt;&lt;D xsi:type="xsd:long"&gt;43735&lt;/D&gt;&lt;D xsi:type="xsd:long"&gt;43734&lt;/D&gt;&lt;D xsi:type="xsd:long"&gt;43733&lt;/D&gt;&lt;D xsi:type="xsd:long"&gt;43732&lt;/D&gt;&lt;D xsi:type="xsd:long"&gt;43731&lt;/D&gt;&lt;D xsi:type="xsd:long"&gt;43728&lt;/D&gt;&lt;D xsi:type="xsd:long"&gt;43727&lt;/D&gt;&lt;D xsi:type="xsd:long"&gt;43726&lt;/D&gt;&lt;D xsi:type="xsd:long"&gt;43725&lt;/D&gt;&lt;D xsi:type="xsd:long"&gt;43724&lt;/D&gt;&lt;D xsi:type="xsd:long"&gt;43721&lt;/D&gt;&lt;D xsi:type="xsd:long"&gt;43720&lt;/D&gt;&lt;D xsi:type="xsd:long"&gt;43719&lt;/D&gt;&lt;D xsi:type="xsd:long"&gt;43718&lt;/D&gt;&lt;D xsi:type="xsd:long"&gt;43717&lt;/D&gt;&lt;D xsi:type="xsd:long"&gt;43714&lt;/D&gt;&lt;D xsi:type="xsd:long"&gt;43713&lt;/D&gt;&lt;D xsi:type="xsd:long"&gt;43712&lt;/D&gt;&lt;D xsi:type="xsd:long"&gt;43711&lt;/D&gt;&lt;D xsi:type="xsd:long"&gt;43707&lt;/D&gt;&lt;D xsi:type="xsd:long"&gt;43706&lt;/D&gt;&lt;D xsi:type="xsd:long"&gt;43705&lt;/D&gt;&lt;D xsi:type="xsd:long"&gt;43704&lt;/D&gt;&lt;D xsi:type="xsd:long"&gt;43703&lt;/D&gt;&lt;D xsi:type="xsd:long"&gt;43700&lt;/D&gt;&lt;D xsi:type="xsd:long"&gt;43699&lt;/D&gt;&lt;D xsi:type="xsd:long"&gt;43698&lt;/D&gt;&lt;D xsi:type="xsd:long"&gt;43697&lt;/D&gt;&lt;D xsi:type="xsd:long"&gt;43696&lt;/D&gt;&lt;D xsi:type="xsd:long"&gt;43693&lt;/D&gt;&lt;D xsi:type="xsd:long"&gt;43692&lt;/D&gt;&lt;D xsi:type="xsd:long"&gt;43691&lt;/D&gt;&lt;D xsi:type="xsd:long"&gt;43690&lt;/D&gt;&lt;D xsi:type="xsd:long"&gt;43689&lt;/D&gt;&lt;D xsi:type="xsd:long"&gt;43686&lt;/D&gt;&lt;D xsi:type="xsd:long"&gt;43685&lt;/D&gt;&lt;D xsi:type="xsd:long"&gt;43684&lt;/D&gt;&lt;D xsi:type="xsd:long"&gt;43683&lt;/D&gt;&lt;D xsi:type="xsd:long"&gt;43682&lt;/D&gt;&lt;D xsi:type="xsd:long"&gt;43679&lt;/D&gt;&lt;D xsi:type="xsd:long"&gt;43678&lt;/D&gt;&lt;D xsi:type="xsd:long"&gt;43677&lt;/D&gt;&lt;D xsi:type="xsd:long"&gt;43676&lt;/D&gt;&lt;D xsi:type="xsd:long"&gt;43675&lt;/D&gt;&lt;D xsi:type="xsd:long"&gt;43672&lt;/D&gt;&lt;D xsi:type="xsd:long"&gt;43671&lt;/D&gt;&lt;D xsi:type="xsd:long"&gt;43670&lt;/D&gt;&lt;D xsi:type="xsd:long"&gt;43669&lt;/D&gt;&lt;D xsi:type="xsd:long"&gt;43668&lt;/D&gt;&lt;D xsi:type="xsd:long"&gt;43665&lt;/D&gt;&lt;D xsi:type="xsd:long"&gt;43664&lt;/D&gt;&lt;D xsi:type="xsd:long"&gt;43663&lt;/D&gt;&lt;D xsi:type="xsd:long"&gt;43662&lt;/D&gt;&lt;D xsi:type="xsd:long"&gt;43661&lt;/D&gt;&lt;D xsi:type="xsd:long"&gt;43658&lt;/D&gt;&lt;D xsi:type="xsd:long"&gt;43657&lt;/D&gt;&lt;D xsi:type="xsd:long"&gt;43656&lt;/D&gt;&lt;D xsi:type="xsd:long"&gt;43655&lt;/D&gt;&lt;D xsi:type="xsd:long"&gt;43654&lt;/D&gt;&lt;D xsi:type="xsd:long"&gt;43651&lt;/D&gt;&lt;D xsi:type="xsd:long"&gt;43649&lt;/D&gt;&lt;D xsi:type="xsd:long"&gt;43648&lt;/D&gt;&lt;D xsi:type="xsd:long"&gt;43647&lt;/D&gt;&lt;D xsi:type="xsd:long"&gt;43644&lt;/D&gt;&lt;D xsi:type="xsd:long"&gt;43643&lt;/D&gt;&lt;D xsi:type="xsd:long"&gt;43642&lt;/D&gt;&lt;D xsi:type="xsd:long"&gt;43641&lt;/D&gt;&lt;D xsi:type="xsd:long"&gt;43640&lt;/D&gt;&lt;D xsi:type="xsd:long"&gt;43637&lt;/D&gt;&lt;D xsi:type="xsd:long"&gt;43636&lt;/D&gt;&lt;D xsi:type="xsd:long"&gt;43635&lt;/D&gt;&lt;D xsi:type="xsd:long"&gt;43634&lt;/D&gt;&lt;D xsi:type="xsd:long"&gt;43633&lt;/D&gt;&lt;D xsi:type="xsd:long"&gt;43630&lt;/D&gt;&lt;D xsi:type="xsd:long"&gt;43629&lt;/D&gt;&lt;D xsi:type="xsd:long"&gt;43628&lt;/D&gt;&lt;D xsi:type="xsd:long"&gt;43627&lt;/D&gt;&lt;D xsi:type="xsd:long"&gt;43626&lt;/D&gt;&lt;D xsi:type="xsd:long"&gt;43623&lt;/D&gt;&lt;D xsi:type="xsd:long"&gt;43622&lt;/D&gt;&lt;D xsi:type="xsd:long"&gt;43621&lt;/D&gt;&lt;D xsi:type="xsd:long"&gt;43620&lt;/D&gt;&lt;D xsi:type="xsd:long"&gt;43619&lt;/D&gt;&lt;D xsi:type="xsd:long"&gt;43616&lt;/D&gt;&lt;D xsi:type="xsd:long"&gt;43615&lt;/D&gt;&lt;D xsi:type="xsd:long"&gt;43614&lt;/D&gt;&lt;D xsi:type="xsd:long"&gt;43613&lt;/D&gt;&lt;D xsi:type="xsd:long"&gt;43609&lt;/D&gt;&lt;D xsi:type="xsd:long"&gt;43608&lt;/D&gt;&lt;D xsi:type="xsd:long"&gt;43607&lt;/D&gt;&lt;D xsi:type="xsd:long"&gt;43606&lt;/D&gt;&lt;D xsi:type="xsd:long"&gt;43605&lt;/D&gt;&lt;D xsi:type="xsd:long"&gt;43602&lt;/D&gt;&lt;D xsi:type="xsd:long"&gt;43601&lt;/D&gt;&lt;D xsi:type="xsd:long"&gt;43600&lt;/D&gt;&lt;D xsi:type="xsd:long"&gt;43599&lt;/D&gt;&lt;D xsi:type="xsd:long"&gt;43598&lt;/D&gt;&lt;D xsi:type="xsd:long"&gt;43595&lt;/D&gt;&lt;D xsi:type="xsd:long"&gt;43594&lt;/D&gt;&lt;D xsi:type="xsd:long"&gt;43593&lt;/D&gt;&lt;D xsi:type="xsd:long"&gt;43592&lt;/D&gt;&lt;D xsi:type="xsd:long"&gt;43591&lt;/D&gt;&lt;D xsi:type="xsd:long"&gt;43588&lt;/D&gt;&lt;D xsi:type="xsd:long"&gt;43587&lt;/D&gt;&lt;D xsi:type="xsd:long"&gt;43586&lt;/D&gt;&lt;D xsi:type="xsd:long"&gt;43585&lt;/D&gt;&lt;D xsi:type="xsd:long"&gt;43584&lt;/D&gt;&lt;D xsi:type="xsd:long"&gt;43581&lt;/D&gt;&lt;D xsi:type="xsd:long"&gt;43580&lt;/D&gt;&lt;D xsi:type="xsd:long"&gt;43579&lt;/D&gt;&lt;D xsi:type="xsd:long"&gt;43578&lt;/D&gt;&lt;D xsi:type="xsd:long"&gt;43577&lt;/D&gt;&lt;D xsi:type="xsd:long"&gt;43573&lt;/D&gt;&lt;D xsi:type="xsd:long"&gt;43572&lt;/D&gt;&lt;D xsi:type="xsd:long"&gt;43571&lt;/D&gt;&lt;D xsi:type="xsd:long"&gt;43570&lt;/D&gt;&lt;D xsi:type="xsd:long"&gt;43567&lt;/D&gt;&lt;D xsi:type="xsd:long"&gt;43566&lt;/D&gt;&lt;D xsi:type="xsd:long"&gt;43565&lt;/D&gt;&lt;D xsi:type="xsd:long"&gt;43564&lt;/D&gt;&lt;D xsi:type="xsd:long"&gt;43563&lt;/D&gt;&lt;D xsi:type="xsd:long"&gt;43560&lt;/D&gt;&lt;D xsi:type="xsd:long"&gt;43559&lt;/D&gt;&lt;D xsi:type="xsd:long"&gt;43558&lt;/D&gt;&lt;D xsi:type="xsd:long"&gt;43557&lt;/D&gt;&lt;D xsi:type="xsd:long"&gt;43556&lt;/D&gt;&lt;D xsi:type="xsd:long"&gt;43553&lt;/D&gt;&lt;D xsi:type="xsd:long"&gt;43552&lt;/D&gt;&lt;D xsi:type="xsd:long"&gt;43551&lt;/D&gt;&lt;D xsi:type="xsd:long"&gt;43550&lt;/D&gt;&lt;D xsi:type="xsd:long"&gt;43549&lt;/D&gt;&lt;D xsi:type="xsd:long"&gt;43546&lt;/D&gt;&lt;D xsi:type="xsd:long"&gt;43545&lt;/D&gt;&lt;D xsi:type="xsd:long"&gt;43544&lt;/D&gt;&lt;D xsi:type="xsd:long"&gt;43543&lt;/D&gt;&lt;D xsi:type="xsd:long"&gt;43542&lt;/D&gt;&lt;D xsi:type="xsd:long"&gt;43539&lt;/D&gt;&lt;D xsi:type="xsd:long"&gt;43538&lt;/D&gt;&lt;D xsi:type="xsd:long"&gt;43537&lt;/D&gt;&lt;D xsi:type="xsd:long"&gt;43536&lt;/D&gt;&lt;D xsi:type="xsd:long"&gt;43535&lt;/D&gt;&lt;D xsi:type="xsd:long"&gt;43532&lt;/D&gt;&lt;D xsi:type="xsd:long"&gt;43531&lt;/D&gt;&lt;D xsi:type="xsd:long"&gt;43530&lt;/D&gt;&lt;D xsi:type="xsd:long"&gt;43529&lt;/D&gt;&lt;D xsi:type="xsd:long"&gt;43528&lt;/D&gt;&lt;D xsi:type="xsd:long"&gt;43525&lt;/D&gt;&lt;D xsi:type="xsd:long"&gt;43524&lt;/D&gt;&lt;D xsi:type="xsd:long"&gt;43523&lt;/D&gt;&lt;D xsi:type="xsd:long"&gt;43522&lt;/D&gt;&lt;D xsi:type="xsd:long"&gt;43521&lt;/D&gt;&lt;D xsi:type="xsd:long"&gt;43518&lt;/D&gt;&lt;D xsi:type="xsd:long"&gt;43517&lt;/D&gt;&lt;D xsi:type="xsd:long"&gt;43516&lt;/D&gt;&lt;D xsi:type="xsd:long"&gt;43515&lt;/D&gt;&lt;D xsi:type="xsd:long"&gt;43511&lt;/D&gt;&lt;D xsi:type="xsd:long"&gt;43510&lt;/D&gt;&lt;D xsi:type="xsd:long"&gt;43509&lt;/D&gt;&lt;D xsi:type="xsd:long"&gt;43508&lt;/D&gt;&lt;D xsi:type="xsd:long"&gt;43507&lt;/D&gt;&lt;D xsi:type="xsd:long"&gt;43504&lt;/D&gt;&lt;D xsi:type="xsd:long"&gt;43503&lt;/D&gt;&lt;D xsi:type="xsd:long"&gt;43502&lt;/D&gt;&lt;D xsi:type="xsd:long"&gt;43501&lt;/D&gt;&lt;D xsi:type="xsd:long"&gt;43500&lt;/D&gt;&lt;D xsi:type="xsd:long"&gt;43497&lt;/D&gt;&lt;D xsi:type="xsd:long"&gt;43496&lt;/D&gt;&lt;D xsi:type="xsd:long"&gt;43495&lt;/D&gt;&lt;D xsi:type="xsd:long"&gt;43494&lt;/D&gt;&lt;D xsi:type="xsd:long"&gt;43493&lt;/D&gt;&lt;D xsi:type="xsd:long"&gt;43490&lt;/D&gt;&lt;D xsi:type="xsd:long"&gt;43489&lt;/D&gt;&lt;D xsi:type="xsd:long"&gt;43488&lt;/D&gt;&lt;D xsi:type="xsd:long"&gt;43487&lt;/D&gt;&lt;D xsi:type="xsd:long"&gt;43483&lt;/D&gt;&lt;D xsi:type="xsd:long"&gt;43482&lt;/D&gt;&lt;D xsi:type="xsd:long"&gt;43481&lt;/D&gt;&lt;D xsi:type="xsd:long"&gt;43480&lt;/D&gt;&lt;D xsi:type="xsd:long"&gt;43479&lt;/D&gt;&lt;D xsi:type="xsd:long"&gt;43476&lt;/D&gt;&lt;D xsi:type="xsd:long"&gt;43475&lt;/D&gt;&lt;D xsi:type="xsd:long"&gt;43474&lt;/D&gt;&lt;D xsi:type="xsd:long"&gt;43473&lt;/D&gt;&lt;D xsi:type="xsd:long"&gt;43472&lt;/D&gt;&lt;D xsi:type="xsd:long"&gt;43469&lt;/D&gt;&lt;D xsi:type="xsd:long"&gt;43468&lt;/D&gt;&lt;D xsi:type="xsd:long"&gt;43467&lt;/D&gt;&lt;D xsi:type="xsd:long"&gt;43465&lt;/D&gt;&lt;D xsi:type="xsd:long"&gt;43462&lt;/D&gt;&lt;D xsi:type="xsd:long"&gt;43461&lt;/D&gt;&lt;D xsi:type="xsd:long"&gt;43460&lt;/D&gt;&lt;D xsi:type="xsd:long"&gt;43458&lt;/D&gt;&lt;D xsi:type="xsd:long"&gt;43455&lt;/D&gt;&lt;D xsi:type="xsd:long"&gt;43454&lt;/D&gt;&lt;D xsi:type="xsd:long"&gt;43453&lt;/D&gt;&lt;D xsi:type="xsd:long"&gt;43452&lt;/D&gt;&lt;D xsi:type="xsd:long"&gt;43451&lt;/D&gt;&lt;D xsi:type="xsd:long"&gt;43448&lt;/D&gt;&lt;D xsi:type="xsd:long"&gt;43447&lt;/D&gt;&lt;D xsi:type="xsd:long"&gt;43446&lt;/D&gt;&lt;D xsi:type="xsd:long"&gt;43445&lt;/D&gt;&lt;D xsi:type="xsd:long"&gt;43444&lt;/D&gt;&lt;D xsi:type="xsd:long"&gt;43441&lt;/D&gt;&lt;D xsi:type="xsd:long"&gt;43440&lt;/D&gt;&lt;D xsi:type="xsd:long"&gt;43438&lt;/D&gt;&lt;D xsi:type="xsd:long"&gt;43437&lt;/D&gt;&lt;D xsi:type="xsd:long"&gt;43434&lt;/D&gt;&lt;D xsi:type="xsd:long"&gt;43433&lt;/D&gt;&lt;D xsi:type="xsd:long"&gt;43432&lt;/D&gt;&lt;D xsi:type="xsd:long"&gt;43431&lt;/D&gt;&lt;D xsi:type="xsd:long"&gt;43430&lt;/D&gt;&lt;D xsi:type="xsd:long"&gt;43427&lt;/D&gt;&lt;D xsi:type="xsd:long"&gt;43425&lt;/D&gt;&lt;D xsi:type="xsd:long"&gt;43424&lt;/D&gt;&lt;D xsi:type="xsd:long"&gt;43423&lt;/D&gt;&lt;D xsi:type="xsd:long"&gt;43420&lt;/D&gt;&lt;D xsi:type="xsd:long"&gt;43419&lt;/D&gt;&lt;D xsi:type="xsd:long"&gt;43418&lt;/D&gt;&lt;D xsi:type="xsd:long"&gt;43417&lt;/D&gt;&lt;D xsi:type="xsd:long"&gt;43416&lt;/D&gt;&lt;D xsi:type="xsd:long"&gt;43413&lt;/D&gt;&lt;D xsi:type="xsd:long"&gt;43412&lt;/D&gt;&lt;D xsi:type="xsd:long"&gt;43411&lt;/D&gt;&lt;D xsi:type="xsd:long"&gt;43410&lt;/D&gt;&lt;D xsi:type="xsd:long"&gt;43409&lt;/D&gt;&lt;D xsi:type="xsd:long"&gt;43406&lt;/D&gt;&lt;D xsi:type="xsd:long"&gt;43405&lt;/D&gt;&lt;D xsi:type="xsd:long"&gt;43404&lt;/D&gt;&lt;D xsi:type="xsd:long"&gt;43403&lt;/D&gt;&lt;D xsi:type="xsd:long"&gt;43402&lt;/D&gt;&lt;D xsi:type="xsd:long"&gt;43399&lt;/D&gt;&lt;D xsi:type="xsd:long"&gt;43398&lt;/D&gt;&lt;D xsi:type="xsd:long"&gt;43397&lt;/D&gt;&lt;D xsi:type="xsd:long"&gt;43396&lt;/D&gt;&lt;D xsi:type="xsd:long"&gt;43395&lt;/D&gt;&lt;D xsi:type="xsd:long"&gt;43392&lt;/D&gt;&lt;D xsi:type="xsd:long"&gt;43391&lt;/D&gt;&lt;D xsi:type="xsd:long"&gt;43390&lt;/D&gt;&lt;D xsi:type="xsd:long"&gt;43389&lt;/D&gt;&lt;D xsi:type="xsd:long"&gt;43388&lt;/D&gt;&lt;D xsi:type="xsd:long"&gt;43385&lt;/D&gt;&lt;D xsi:type="xsd:long"&gt;43384&lt;/D&gt;&lt;D xsi:type="xsd:long"&gt;43383&lt;/D&gt;&lt;D xsi:type="xsd:long"&gt;43382&lt;/D&gt;&lt;D xsi:type="xsd:long"&gt;43381&lt;/D&gt;&lt;D xsi:type="xsd:long"&gt;43378&lt;/D&gt;&lt;D xsi:type="xsd:long"&gt;43377&lt;/D&gt;&lt;D xsi:type="xsd:long"&gt;43376&lt;/D&gt;&lt;D xsi:type="xsd:long"&gt;43375&lt;/D&gt;&lt;D xsi:type="xsd:long"&gt;43374&lt;/D&gt;&lt;D xsi:type="xsd:long"&gt;43371&lt;/D&gt;&lt;D xsi:type="xsd:long"&gt;43370&lt;/D&gt;&lt;D xsi:type="xsd:long"&gt;43369&lt;/D&gt;&lt;D xsi:type="xsd:long"&gt;43368&lt;/D&gt;&lt;D xsi:type="xsd:long"&gt;43367&lt;/D&gt;&lt;D xsi:type="xsd:long"&gt;43364&lt;/D&gt;&lt;D xsi:type="xsd:long"&gt;43363&lt;/D&gt;&lt;D xsi:type="xsd:long"&gt;43362&lt;/D&gt;&lt;D xsi:type="xsd:long"&gt;43361&lt;/D&gt;&lt;D xsi:type="xsd:long"&gt;43360&lt;/D&gt;&lt;D xsi:type="xsd:long"&gt;43357&lt;/D&gt;&lt;D xsi:type="xsd:long"&gt;43356&lt;/D&gt;&lt;D xsi:type="xsd:long"&gt;43355&lt;/D&gt;&lt;D xsi:type="xsd:long"&gt;43354&lt;/D&gt;&lt;D xsi:type="xsd:long"&gt;43353&lt;/D&gt;&lt;D xsi:type="xsd:long"&gt;43350&lt;/D&gt;&lt;D xsi:type="xsd:long"&gt;43349&lt;/D&gt;&lt;D xsi:type="xsd:long"&gt;43348&lt;/D&gt;&lt;D xsi:type="xsd:long"&gt;43347&lt;/D&gt;&lt;D xsi:type="xsd:long"&gt;43343&lt;/D&gt;&lt;D xsi:type="xsd:long"&gt;43342&lt;/D&gt;&lt;D xsi:type="xsd:long"&gt;43341&lt;/D&gt;&lt;D xsi:type="xsd:long"&gt;43340&lt;/D&gt;&lt;D xsi:type="xsd:long"&gt;43339&lt;/D&gt;&lt;D xsi:type="xsd:long"&gt;43336&lt;/D&gt;&lt;D xsi:type="xsd:long"&gt;43335&lt;/D&gt;&lt;D xsi:type="xsd:long"&gt;43334&lt;/D&gt;&lt;D xsi:type="xsd:long"&gt;43333&lt;/D&gt;&lt;D xsi:type="xsd:long"&gt;43332&lt;/D&gt;&lt;D xsi:type="xsd:long"&gt;43329&lt;/D&gt;&lt;D xsi:type="xsd:long"&gt;43328&lt;/D&gt;&lt;D xsi:type="xsd:long"&gt;43327&lt;/D&gt;&lt;D xsi:type="xsd:long"&gt;43326&lt;/D&gt;&lt;D xsi:type="xsd:long"&gt;43325&lt;/D&gt;&lt;D xsi:type="xsd:long"&gt;43322&lt;/D&gt;&lt;D xsi:type="xsd:long"&gt;43321&lt;/D&gt;&lt;D xsi:type="xsd:long"&gt;43320&lt;/D&gt;&lt;D xsi:type="xsd:long"&gt;43319&lt;/D&gt;&lt;D xsi:type="xsd:long"&gt;43318&lt;/D&gt;&lt;D xsi:type="xsd:long"&gt;43315&lt;/D&gt;&lt;D xsi:type="xsd:long"&gt;43314&lt;/D&gt;&lt;D xsi:type="xsd:long"&gt;43313&lt;/D&gt;&lt;D xsi:type="xsd:long"&gt;43312&lt;/D&gt;&lt;D xsi:type="xsd:long"&gt;43311&lt;/D&gt;&lt;D xsi:type="xsd:long"&gt;43308&lt;/D&gt;&lt;D xsi:type="xsd:long"&gt;43307&lt;/D&gt;&lt;D xsi:type="xsd:long"&gt;43306&lt;/D&gt;&lt;D xsi:type="xsd:long"&gt;43305&lt;/D&gt;&lt;D xsi:type="xsd:long"&gt;43304&lt;/D&gt;&lt;D xsi:type="xsd:long"&gt;43301&lt;/D&gt;&lt;D xsi:type="xsd:long"&gt;43300&lt;/D&gt;&lt;D xsi:type="xsd:long"&gt;43299&lt;/D&gt;&lt;D xsi:type="xsd:long"&gt;43298&lt;/D&gt;&lt;D xsi:type="xsd:long"&gt;43297&lt;/D&gt;&lt;D xsi:type="xsd:long"&gt;43294&lt;/D&gt;&lt;D xsi:type="xsd:long"&gt;43293&lt;/D&gt;&lt;D xsi:type="xsd:long"&gt;43292&lt;/D&gt;&lt;D xsi:type="xsd:long"&gt;43291&lt;/D&gt;&lt;D xsi:type="xsd:long"&gt;43290&lt;/D&gt;&lt;D xsi:type="xsd:long"&gt;43287&lt;/D&gt;&lt;D xsi:type="xsd:long"&gt;43286&lt;/D&gt;&lt;D xsi:type="xsd:long"&gt;43284&lt;/D&gt;&lt;D xsi:type="xsd:long"&gt;43283&lt;/D&gt;&lt;D xsi:type="xsd:long"&gt;43280&lt;/D&gt;&lt;D xsi:type="xsd:long"&gt;43279&lt;/D&gt;&lt;D xsi:type="xsd:long"&gt;43278&lt;/D&gt;&lt;D xsi:type="xsd:long"&gt;43277&lt;/D&gt;&lt;D xsi:type="xsd:long"&gt;43276&lt;/D&gt;&lt;D xsi:type="xsd:long"&gt;43273&lt;/D&gt;&lt;D xsi:type="xsd:long"&gt;43272&lt;/D&gt;&lt;D xsi:type="xsd:long"&gt;43271&lt;/D&gt;&lt;D xsi:type="xsd:long"&gt;43270&lt;/D&gt;&lt;D xsi:type="xsd:long"&gt;43269&lt;/D&gt;&lt;D xsi:type="xsd:long"&gt;43266&lt;/D&gt;&lt;D xsi:type="xsd:long"&gt;43265&lt;/D&gt;&lt;D xsi:type="xsd:long"&gt;43264&lt;/D&gt;&lt;D xsi:type="xsd:long"&gt;43263&lt;/D&gt;&lt;D xsi:type="xsd:long"&gt;43262&lt;/D&gt;&lt;D xsi:type="xsd:long"&gt;43259&lt;/D&gt;&lt;D xsi:type="xsd:long"&gt;43258&lt;/D&gt;&lt;D xsi:type="xsd:long"&gt;43257&lt;/D&gt;&lt;D xsi:type="xsd:long"&gt;43256&lt;/D&gt;&lt;D xsi:type="xsd:long"&gt;43255&lt;/D&gt;&lt;D xsi:type="xsd:long"&gt;43252&lt;/D&gt;&lt;D xsi:type="xsd:long"&gt;43251&lt;/D&gt;&lt;D xsi:type="xsd:long"&gt;43250&lt;/D&gt;&lt;D xsi:type="xsd:long"&gt;43249&lt;/D&gt;&lt;D xsi:type="xsd:long"&gt;43245&lt;/D&gt;&lt;D xsi:type="xsd:long"&gt;43244&lt;/D&gt;&lt;D xsi:type="xsd:long"&gt;43243&lt;/D&gt;&lt;D xsi:type="xsd:long"&gt;43242&lt;/D&gt;&lt;D xsi:type="xsd:long"&gt;43241&lt;/D&gt;&lt;D xsi:type="xsd:long"&gt;43238&lt;/D&gt;&lt;D xsi:type="xsd:long"&gt;43237&lt;/D&gt;&lt;D xsi:type="xsd:long"&gt;43236&lt;/D&gt;&lt;D xsi:type="xsd:long"&gt;43235&lt;/D&gt;&lt;D xsi:type="xsd:long"&gt;43234&lt;/D&gt;&lt;D xsi:type="xsd:long"&gt;43231&lt;/D&gt;&lt;D xsi:type="xsd:long"&gt;43230&lt;/D&gt;&lt;D xsi:type="xsd:long"&gt;43229&lt;/D&gt;&lt;D xsi:type="xsd:long"&gt;43228&lt;/D&gt;&lt;D xsi:type="xsd:long"&gt;43227&lt;/D&gt;&lt;D xsi:type="xsd:long"&gt;43224&lt;/D&gt;&lt;D xsi:type="xsd:long"&gt;43223&lt;/D&gt;&lt;D xsi:type="xsd:long"&gt;43222&lt;/D&gt;&lt;D xsi:type="xsd:long"&gt;43221&lt;/D&gt;&lt;D xsi:type="xsd:long"&gt;43220&lt;/D&gt;&lt;D xsi:type="xsd:long"&gt;43217&lt;/D&gt;&lt;D xsi:type="xsd:long"&gt;43216&lt;/D&gt;&lt;D xsi:type="xsd:long"&gt;43215&lt;/D&gt;&lt;D xsi:type="xsd:long"&gt;43214&lt;/D&gt;&lt;D xsi:type="xsd:long"&gt;43213&lt;/D&gt;&lt;D xsi:type="xsd:long"&gt;43210&lt;/D&gt;&lt;D xsi:type="xsd:long"&gt;43209&lt;/D&gt;&lt;D xsi:type="xsd:long"&gt;43208&lt;/D&gt;&lt;D xsi:type="xsd:long"&gt;43207&lt;/D&gt;&lt;D xsi:type="xsd:long"&gt;43206&lt;/D&gt;&lt;D xsi:type="xsd:long"&gt;43203&lt;/D&gt;&lt;D xsi:type="xsd:long"&gt;43202&lt;/D&gt;&lt;D xsi:type="xsd:long"&gt;43201&lt;/D&gt;&lt;D xsi:type="xsd:long"&gt;43200&lt;/D&gt;&lt;D xsi:type="xsd:long"&gt;43199&lt;/D&gt;&lt;D xsi:type="xsd:long"&gt;43196&lt;/D&gt;&lt;D xsi:type="xsd:long"&gt;43195&lt;/D&gt;&lt;D xsi:type="xsd:long"&gt;43194&lt;/D&gt;&lt;D xsi:type="xsd:long"&gt;43193&lt;/D&gt;&lt;D xsi:type="xsd:long"&gt;43192&lt;/D&gt;&lt;D xsi:type="xsd:long"&gt;43188&lt;/D&gt;&lt;D xsi:type="xsd:long"&gt;43187&lt;/D&gt;&lt;D xsi:type="xsd:long"&gt;43186&lt;/D&gt;&lt;D xsi:type="xsd:long"&gt;43185&lt;/D&gt;&lt;D xsi:type="xsd:long"&gt;43182&lt;/D&gt;&lt;D xsi:type="xsd:long"&gt;43181&lt;/D&gt;&lt;D xsi:type="xsd:long"&gt;43180&lt;/D&gt;&lt;D xsi:type="xsd:long"&gt;43179&lt;/D&gt;&lt;D xsi:type="xsd:long"&gt;43178&lt;/D&gt;&lt;D xsi:type="xsd:long"&gt;43175&lt;/D&gt;&lt;D xsi:type="xsd:long"&gt;43174&lt;/D&gt;&lt;D xsi:type="xsd:long"&gt;43173&lt;/D&gt;&lt;D xsi:type="xsd:long"&gt;43172&lt;/D&gt;&lt;D xsi:type="xsd:long"&gt;43171&lt;/D&gt;&lt;D xsi:type="xsd:long"&gt;43168&lt;/D&gt;&lt;D xsi:type="xsd:long"&gt;43167&lt;/D&gt;&lt;D xsi:type="xsd:long"&gt;43166&lt;/D&gt;&lt;D xsi:type="xsd:long"&gt;43165&lt;/D&gt;&lt;D xsi:type="xsd:long"&gt;43164&lt;/D&gt;&lt;D xsi:type="xsd:long"&gt;43161&lt;/D&gt;&lt;D xsi:type="xsd:long"&gt;43160&lt;/D&gt;&lt;D xsi:type="xsd:long"&gt;43159&lt;/D&gt;&lt;D xsi:type="xsd:long"&gt;43158&lt;/D&gt;&lt;D xsi:type="xsd:long"&gt;43157&lt;/D&gt;&lt;D xsi:type="xsd:long"&gt;43154&lt;/D&gt;&lt;D xsi:type="xsd:long"&gt;43153&lt;/D&gt;&lt;D xsi:type="xsd:long"&gt;43152&lt;/D&gt;&lt;D xsi:type="xsd:long"&gt;43151&lt;/D&gt;&lt;D xsi:type="xsd:long"&gt;43147&lt;/D&gt;&lt;D xsi:type="xsd:long"&gt;43146&lt;/D&gt;&lt;D xsi:type="xsd:long"&gt;43145&lt;/D&gt;&lt;D xsi:type="xsd:long"&gt;43144&lt;/D&gt;&lt;D xsi:type="xsd:long"&gt;43143&lt;/D&gt;&lt;D xsi:type="xsd:long"&gt;43140&lt;/D&gt;&lt;D xsi:type="xsd:long"&gt;43139&lt;/D&gt;&lt;D xsi:type="xsd:long"&gt;43138&lt;/D&gt;&lt;D xsi:type="xsd:long"&gt;43137&lt;/D&gt;&lt;D xsi:type="xsd:long"&gt;43136&lt;/D&gt;&lt;D xsi:type="xsd:long"&gt;43133&lt;/D&gt;&lt;D xsi:type="xsd:long"&gt;43132&lt;/D&gt;&lt;D xsi:type="xsd:long"&gt;43131&lt;/D&gt;&lt;D xsi:type="xsd:long"&gt;43130&lt;/D&gt;&lt;D xsi:type="xsd:long"&gt;43129&lt;/D&gt;&lt;D xsi:type="xsd:long"&gt;43126&lt;/D&gt;&lt;D xsi:type="xsd:long"&gt;43125&lt;/D&gt;&lt;D xsi:type="xsd:long"&gt;43124&lt;/D&gt;&lt;D xsi:type="xsd:long"&gt;43123&lt;/D&gt;&lt;D xsi:type="xsd:long"&gt;43122&lt;/D&gt;&lt;D xsi:type="xsd:long"&gt;43119&lt;/D&gt;&lt;D xsi:type="xsd:long"&gt;43118&lt;/D&gt;&lt;D xsi:type="xsd:long"&gt;43117&lt;/D&gt;&lt;D xsi:type="xsd:long"&gt;43116&lt;/D&gt;&lt;D xsi:type="xsd:long"&gt;43112&lt;/D&gt;&lt;D xsi:type="xsd:long"&gt;43111&lt;/D&gt;&lt;D xsi:type="xsd:long"&gt;43110&lt;/D&gt;&lt;D xsi:type="xsd:long"&gt;43109&lt;/D&gt;&lt;D xsi:type="xsd:long"&gt;43108&lt;/D&gt;&lt;D xsi:type="xsd:long"&gt;43105&lt;/D&gt;&lt;D xsi:type="xsd:long"&gt;43104&lt;/D&gt;&lt;D xsi:type="xsd:long"&gt;43103&lt;/D&gt;&lt;D xsi:type="xsd:long"&gt;43102&lt;/D&gt;&lt;D xsi:type="xsd:long"&gt;43098&lt;/D&gt;&lt;D xsi:type="xsd:long"&gt;43097&lt;/D&gt;&lt;D xsi:type="xsd:long"&gt;43096&lt;/D&gt;&lt;D xsi:type="xsd:long"&gt;43095&lt;/D&gt;&lt;D xsi:type="xsd:long"&gt;43091&lt;/D&gt;&lt;D xsi:type="xsd:long"&gt;43090&lt;/D&gt;&lt;D xsi:type="xsd:long"&gt;43089&lt;/D&gt;&lt;D xsi:type="xsd:long"&gt;43088&lt;/D&gt;&lt;D xsi:type="xsd:long"&gt;43087&lt;/D&gt;&lt;D xsi:type="xsd:long"&gt;43084&lt;/D&gt;&lt;D xsi:type="xsd:long"&gt;43083&lt;/D&gt;&lt;D xsi:type="xsd:long"&gt;43082&lt;/D&gt;&lt;D xsi:type="xsd:long"&gt;43081&lt;/D&gt;&lt;D xsi:type="xsd:long"&gt;43080&lt;/D&gt;&lt;D xsi:type="xsd:long"&gt;43077&lt;/D&gt;&lt;D xsi:type="xsd:long"&gt;43076&lt;/D&gt;&lt;D xsi:type="xsd:long"&gt;43075&lt;/D&gt;&lt;D xsi:type="xsd:long"&gt;43074&lt;/D&gt;&lt;D xsi:type="xsd:long"&gt;43073&lt;/D&gt;&lt;D xsi:type="xsd:long"&gt;43070&lt;/D&gt;&lt;D xsi:type="xsd:long"&gt;43069&lt;/D&gt;&lt;D xsi:type="xsd:long"&gt;43068&lt;/D&gt;&lt;D xsi:type="xsd:long"&gt;43067&lt;/D&gt;&lt;D xsi:type="xsd:long"&gt;43066&lt;/D&gt;&lt;D xsi:type="xsd:long"&gt;43063&lt;/D&gt;&lt;D xsi:type="xsd:long"&gt;43061&lt;/D&gt;&lt;D xsi:type="xsd:long"&gt;43060&lt;/D&gt;&lt;D xsi:type="xsd:long"&gt;43059&lt;/D&gt;&lt;D xsi:type="xsd:long"&gt;43056&lt;/D&gt;&lt;D xsi:type="xsd:long"&gt;43055&lt;/D&gt;&lt;D xsi:type="xsd:long"&gt;43054&lt;/D&gt;&lt;D xsi:type="xsd:long"&gt;43053&lt;/D&gt;&lt;D xsi:type="xsd:long"&gt;43052&lt;/D&gt;&lt;D xsi:type="xsd:long"&gt;43049&lt;/D&gt;&lt;D xsi:type="xsd:long"&gt;43048&lt;/D&gt;&lt;D xsi:type="xsd:long"&gt;43047&lt;/D&gt;&lt;D xsi:type="xsd:long"&gt;43046&lt;/D&gt;&lt;D xsi:type="xsd:long"&gt;43045&lt;/D&gt;&lt;D xsi:type="xsd:long"&gt;43042&lt;/D&gt;&lt;D xsi:type="xsd:long"&gt;43041&lt;/D&gt;&lt;D xsi:type="xsd:long"&gt;43040&lt;/D&gt;&lt;D xsi:type="xsd:long"&gt;43039&lt;/D&gt;&lt;D xsi:type="xsd:long"&gt;43038&lt;/D&gt;&lt;D xsi:type="xsd:long"&gt;43035&lt;/D&gt;&lt;D xsi:type="xsd:long"&gt;43034&lt;/D&gt;&lt;D xsi:type="xsd:long"&gt;43033&lt;/D&gt;&lt;D xsi:type="xsd:long"&gt;43032&lt;/D&gt;&lt;D xsi:type="xsd:long"&gt;43031&lt;/D&gt;&lt;D xsi:type="xsd:long"&gt;43028&lt;/D&gt;&lt;D xsi:type="xsd:long"&gt;43027&lt;/D&gt;&lt;D xsi:type="xsd:long"&gt;43026&lt;/D&gt;&lt;D xsi:type="xsd:long"&gt;43025&lt;/D&gt;&lt;D xsi:type="xsd:long"&gt;43024&lt;/D&gt;&lt;D xsi:type="xsd:long"&gt;43021&lt;/D&gt;&lt;D xsi:type="xsd:long"&gt;43020&lt;/D&gt;&lt;D xsi:type="xsd:long"&gt;43019&lt;/D&gt;&lt;D xsi:type="xsd:long"&gt;43018&lt;/D&gt;&lt;D xsi:type="xsd:long"&gt;43017&lt;/D&gt;&lt;D xsi:type="xsd:long"&gt;43014&lt;/D&gt;&lt;D xsi:type="xsd:long"&gt;43013&lt;/D&gt;&lt;D xsi:type="xsd:long"&gt;43012&lt;/D&gt;&lt;D xsi:type="xsd:long"&gt;43011&lt;/D&gt;&lt;D xsi:type="xsd:long"&gt;43010&lt;/D&gt;&lt;D xsi:type="xsd:long"&gt;43007&lt;/D&gt;&lt;D xsi:type="xsd:long"&gt;43006&lt;/D&gt;&lt;D xsi:type="xsd:long"&gt;43005&lt;/D&gt;&lt;D xsi:type="xsd:long"&gt;43004&lt;/D&gt;&lt;D xsi:type="xsd:long"&gt;43003&lt;/D&gt;&lt;D xsi:type="xsd:long"&gt;43000&lt;/D&gt;&lt;D xsi:type="xsd:long"&gt;42999&lt;/D&gt;&lt;D xsi:type="xsd:long"&gt;42998&lt;/D&gt;&lt;D xsi:type="xsd:long"&gt;42997&lt;/D&gt;&lt;D xsi:type="xsd:long"&gt;42996&lt;/D&gt;&lt;D xsi:type="xsd:long"&gt;42993&lt;/D&gt;&lt;D xsi:type="xsd:long"&gt;42992&lt;/D&gt;&lt;D xsi:type="xsd:long"&gt;42991&lt;/D&gt;&lt;D xsi:type="xsd:long"&gt;42990&lt;/D&gt;&lt;D xsi:type="xsd:long"&gt;42989&lt;/D&gt;&lt;D xsi:type="xsd:long"&gt;42986&lt;/D&gt;&lt;D xsi:type="xsd:long"&gt;42985&lt;/D&gt;&lt;D xsi:type="xsd:long"&gt;42984&lt;/D&gt;&lt;D xsi:type="xsd:long"&gt;42983&lt;/D&gt;&lt;D xsi:type="xsd:long"&gt;42979&lt;/D&gt;&lt;D xsi:type="xsd:long"&gt;42978&lt;/D&gt;&lt;D xsi:type="xsd:long"&gt;42977&lt;/D&gt;&lt;D xsi:type="xsd:long"&gt;42976&lt;/D&gt;&lt;D xsi:type="xsd:long"&gt;42975&lt;/D&gt;&lt;D xsi:type="xsd:long"&gt;42972&lt;/D&gt;&lt;D xsi:type="xsd:long"&gt;42971&lt;/D&gt;&lt;D xsi:type="xsd:long"&gt;42970&lt;/D&gt;&lt;D xsi:type="xsd:long"&gt;42969&lt;/D&gt;&lt;D xsi:type="xsd:long"&gt;42968&lt;/D&gt;&lt;D xsi:type="xsd:long"&gt;42965&lt;/D&gt;&lt;D xsi:type="xsd:long"&gt;42964&lt;/D&gt;&lt;D xsi:type="xsd:long"&gt;42963&lt;/D&gt;&lt;D xsi:type="xsd:long"&gt;42962&lt;/D&gt;&lt;D xsi:type="xsd:long"&gt;42961&lt;/D&gt;&lt;D xsi:type="xsd:long"&gt;42958&lt;/D&gt;&lt;D xsi:type="xsd:long"&gt;42957&lt;/D&gt;&lt;D xsi:type="xsd:long"&gt;42956&lt;/D&gt;&lt;D xsi:type="xsd:long"&gt;42955&lt;/D&gt;&lt;D xsi:type="xsd:long"&gt;42954&lt;/D&gt;&lt;D xsi:type="xsd:long"&gt;42951&lt;/D&gt;&lt;D xsi:type="xsd:long"&gt;42950&lt;/D&gt;&lt;D xsi:type="xsd:long"&gt;42949&lt;/D&gt;&lt;D xsi:type="xsd:long"&gt;42948&lt;/D&gt;&lt;D xsi:type="xsd:long"&gt;42947&lt;/D&gt;&lt;D xsi:type="xsd:long"&gt;42944&lt;/D&gt;&lt;D xsi:type="xsd:long"&gt;42943&lt;/D&gt;&lt;D xsi:type="xsd:long"&gt;42942&lt;/D&gt;&lt;D xsi:type="xsd:long"&gt;42941&lt;/D&gt;&lt;D xsi:type="xsd:long"&gt;42940&lt;/D&gt;&lt;D xsi:type="xsd:long"&gt;42937&lt;/D&gt;&lt;D xsi:type="xsd:long"&gt;42936&lt;/D&gt;&lt;D xsi:type="xsd:long"&gt;42935&lt;/D&gt;&lt;D xsi:type="xsd:long"&gt;42934&lt;/D&gt;&lt;D xsi:type="xsd:long"&gt;42933&lt;/D&gt;&lt;D xsi:type="xsd:long"&gt;42930&lt;/D&gt;&lt;D xsi:type="xsd:long"&gt;42929&lt;/D&gt;&lt;D xsi:type="xsd:long"&gt;42928&lt;/D&gt;&lt;D xsi:type="xsd:long"&gt;42927&lt;/D&gt;&lt;D xsi:type="xsd:long"&gt;42926&lt;/D&gt;&lt;D xsi:type="xsd:long"&gt;42923&lt;/D&gt;&lt;D xsi:type="xsd:long"&gt;42922&lt;/D&gt;&lt;D xsi:type="xsd:long"&gt;42921&lt;/D&gt;&lt;D xsi:type="xsd:long"&gt;42919&lt;/D&gt;&lt;D xsi:type="xsd:long"&gt;42916&lt;/D&gt;&lt;D xsi:type="xsd:long"&gt;42915&lt;/D&gt;&lt;D xsi:type="xsd:long"&gt;42914&lt;/D&gt;&lt;D xsi:type="xsd:long"&gt;42913&lt;/D&gt;&lt;D xsi:type="xsd:long"&gt;42912&lt;/D&gt;&lt;D xsi:type="xsd:long"&gt;42909&lt;/D&gt;&lt;D xsi:type="xsd:long"&gt;42908&lt;/D&gt;&lt;D xsi:type="xsd:long"&gt;42907&lt;/D&gt;&lt;D xsi:type="xsd:long"&gt;42906&lt;/D&gt;&lt;D xsi:type="xsd:long"&gt;42905&lt;/D&gt;&lt;D xsi:type="xsd:long"&gt;42902&lt;/D&gt;&lt;D xsi:type="xsd:long"&gt;42901&lt;/D&gt;&lt;D xsi:type="xsd:long"&gt;42900&lt;/D&gt;&lt;D xsi:type="xsd:long"&gt;42899&lt;/D&gt;&lt;D xsi:type="xsd:long"&gt;42898&lt;/D&gt;&lt;D xsi:type="xsd:long"&gt;42895&lt;/D&gt;&lt;D xsi:type="xsd:long"&gt;42894&lt;/D&gt;&lt;D xsi:type="xsd:long"&gt;42893&lt;/D&gt;&lt;D xsi:type="xsd:long"&gt;42892&lt;/D&gt;&lt;D xsi:type="xsd:long"&gt;42891&lt;/D&gt;&lt;D xsi:type="xsd:long"&gt;42888&lt;/D&gt;&lt;D xsi:type="xsd:long"&gt;42887&lt;/D&gt;&lt;D xsi:type="xsd:long"&gt;42886&lt;/D&gt;&lt;D xsi:type="xsd:long"&gt;42885&lt;/D&gt;&lt;D xsi:type="xsd:long"&gt;42881&lt;/D&gt;&lt;D xsi:type="xsd:long"&gt;42880&lt;/D&gt;&lt;D xsi:type="xsd:long"&gt;42879&lt;/D&gt;&lt;D xsi:type="xsd:long"&gt;42878&lt;/D&gt;&lt;D xsi:type="xsd:long"&gt;42877&lt;/D&gt;&lt;D xsi:type="xsd:long"&gt;42874&lt;/D&gt;&lt;D xsi:type="xsd:long"&gt;42873&lt;/D&gt;&lt;D xsi:type="xsd:long"&gt;42872&lt;/D&gt;&lt;D xsi:type="xsd:long"&gt;42871&lt;/D&gt;&lt;D xsi:type="xsd:long"&gt;42870&lt;/D&gt;&lt;D xsi:type="xsd:long"&gt;42867&lt;/D&gt;&lt;D xsi:type="xsd:long"&gt;42866&lt;/D&gt;&lt;D xsi:type="xsd:long"&gt;42865&lt;/D&gt;&lt;D xsi:type="xsd:long"&gt;42864&lt;/D&gt;&lt;D xsi:type="xsd:long"&gt;42863&lt;/D&gt;&lt;D xsi:type="xsd:long"&gt;42860&lt;/D&gt;&lt;D xsi:type="xsd:long"&gt;42859&lt;/D&gt;&lt;D xsi:type="xsd:long"&gt;42858&lt;/D&gt;&lt;D xsi:type="xsd:long"&gt;42857&lt;/D&gt;&lt;D xsi:type="xsd:long"&gt;42856&lt;/D&gt;&lt;D xsi:type="xsd:long"&gt;42853&lt;/D&gt;&lt;D xsi:type="xsd:long"&gt;42852&lt;/D&gt;&lt;D xsi:type="xsd:long"&gt;42851&lt;/D&gt;&lt;D xsi:type="xsd:long"&gt;42850&lt;/D&gt;&lt;D xsi:type="xsd:long"&gt;42849&lt;/D&gt;&lt;D xsi:type="xsd:long"&gt;42846&lt;/D&gt;&lt;D xsi:type="xsd:long"&gt;42845&lt;/D&gt;&lt;D xsi:type="xsd:long"&gt;42844&lt;/D&gt;&lt;D xsi:type="xsd:long"&gt;42843&lt;/D&gt;&lt;D xsi:type="xsd:long"&gt;42842&lt;/D&gt;&lt;D xsi:type="xsd:long"&gt;42838&lt;/D&gt;&lt;D xsi:type="xsd:long"&gt;42837&lt;/D&gt;&lt;D xsi:type="xsd:long"&gt;42836&lt;/D&gt;&lt;D xsi:type="xsd:long"&gt;42835&lt;/D&gt;&lt;D xsi:type="xsd:long"&gt;42832&lt;/D&gt;&lt;D xsi:type="xsd:long"&gt;42831&lt;/D&gt;&lt;D xsi:type="xsd:long"&gt;42830&lt;/D&gt;&lt;D xsi:type="xsd:long"&gt;42829&lt;/D&gt;&lt;D xsi:type="xsd:long"&gt;42828&lt;/D&gt;&lt;D xsi:type="xsd:long"&gt;42825&lt;/D&gt;&lt;D xsi:type="xsd:long"&gt;42824&lt;/D&gt;&lt;D xsi:type="xsd:long"&gt;42823&lt;/D&gt;&lt;D xsi:type="xsd:long"&gt;42822&lt;/D&gt;&lt;D xsi:type="xsd:long"&gt;42821&lt;/D&gt;&lt;D xsi:type="xsd:long"&gt;42818&lt;/D&gt;&lt;D xsi:type="xsd:long"&gt;42817&lt;/D&gt;&lt;D xsi:type="xsd:long"&gt;42816&lt;/D&gt;&lt;D xsi:type="xsd:long"&gt;42815&lt;/D&gt;&lt;D xsi:type="xsd:long"&gt;42814&lt;/D&gt;&lt;D xsi:type="xsd:long"&gt;42811&lt;/D&gt;&lt;D xsi:type="xsd:long"&gt;42810&lt;/D&gt;&lt;D xsi:type="xsd:long"&gt;42809&lt;/D&gt;&lt;D xsi:type="xsd:long"&gt;42808&lt;/D&gt;&lt;D xsi:type="xsd:long"&gt;42807&lt;/D&gt;&lt;D xsi:type="xsd:long"&gt;42804&lt;/D&gt;&lt;D xsi:type="xsd:long"&gt;42803&lt;/D&gt;&lt;D xsi:type="xsd:long"&gt;42802&lt;/D&gt;&lt;D xsi:type="xsd:long"&gt;42801&lt;/D&gt;&lt;D xsi:type="xsd:long"&gt;42800&lt;/D&gt;&lt;D xsi:type="xsd:long"&gt;42797&lt;/D&gt;&lt;D xsi:type="xsd:long"&gt;42796&lt;/D&gt;&lt;D xsi:type="xsd:long"&gt;42795&lt;/D&gt;&lt;D xsi:type="xsd:long"&gt;42794&lt;/D&gt;&lt;D xsi:type="xsd:long"&gt;42793&lt;/D&gt;&lt;D xsi:type="xsd:long"&gt;42790&lt;/D&gt;&lt;D xsi:type="xsd:long"&gt;42789&lt;/D&gt;&lt;D xsi:type="xsd:long"&gt;42788&lt;/D&gt;&lt;D xsi:type="xsd:long"&gt;42787&lt;/D&gt;&lt;D xsi:type="xsd:long"&gt;42783&lt;/D&gt;&lt;D xsi:type="xsd:long"&gt;42782&lt;/D&gt;&lt;D xsi:type="xsd:long"&gt;42781&lt;/D&gt;&lt;D xsi:type="xsd:long"&gt;42780&lt;/D&gt;&lt;D xsi:type="xsd:long"&gt;42779&lt;/D&gt;&lt;D xsi:type="xsd:long"&gt;42776&lt;/D&gt;&lt;D xsi:type="xsd:long"&gt;42775&lt;/D&gt;&lt;D xsi:type="xsd:long"&gt;42774&lt;/D&gt;&lt;D xsi:type="xsd:long"&gt;42773&lt;/D&gt;&lt;D xsi:type="xsd:long"&gt;42772&lt;/D&gt;&lt;D xsi:type="xsd:long"&gt;42769&lt;/D&gt;&lt;D xsi:type="xsd:long"&gt;42768&lt;/D&gt;&lt;D xsi:type="xsd:long"&gt;42767&lt;/D&gt;&lt;D xsi:type="xsd:long"&gt;42766&lt;/D&gt;&lt;D xsi:type="xsd:long"&gt;42765&lt;/D&gt;&lt;D xsi:type="xsd:long"&gt;42762&lt;/D&gt;&lt;D xsi:type="xsd:long"&gt;42761&lt;/D&gt;&lt;D xsi:type="xsd:long"&gt;42760&lt;/D&gt;&lt;D xsi:type="xsd:long"&gt;42759&lt;/D&gt;&lt;D xsi:type="xsd:long"&gt;42758&lt;/D&gt;&lt;D xsi:type="xsd:long"&gt;42755&lt;/D&gt;&lt;D xsi:type="xsd:long"&gt;42754&lt;/D&gt;&lt;D xsi:type="xsd:long"&gt;42753&lt;/D&gt;&lt;D xsi:type="xsd:long"&gt;42752&lt;/D&gt;&lt;D xsi:type="xsd:long"&gt;42748&lt;/D&gt;&lt;D xsi:type="xsd:long"&gt;42747&lt;/D&gt;&lt;D xsi:type="xsd:long"&gt;42746&lt;/D&gt;&lt;D xsi:type="xsd:long"&gt;42745&lt;/D&gt;&lt;D xsi:type="xsd:long"&gt;42744&lt;/D&gt;&lt;D xsi:type="xsd:long"&gt;42741&lt;/D&gt;&lt;D xsi:type="xsd:long"&gt;42740&lt;/D&gt;&lt;D xsi:type="xsd:long"&gt;42739&lt;/D&gt;&lt;D xsi:type="xsd:long"&gt;42738&lt;/D&gt;&lt;D xsi:type="xsd:long"&gt;42734&lt;/D&gt;&lt;D xsi:type="xsd:long"&gt;42733&lt;/D&gt;&lt;D xsi:type="xsd:long"&gt;42732&lt;/D&gt;&lt;D xsi:type="xsd:long"&gt;42731&lt;/D&gt;&lt;D xsi:type="xsd:long"&gt;42727&lt;/D&gt;&lt;D xsi:type="xsd:long"&gt;42726&lt;/D&gt;&lt;D xsi:type="xsd:long"&gt;42725&lt;/D&gt;&lt;D xsi:type="xsd:long"&gt;42724&lt;/D&gt;&lt;D xsi:type="xsd:long"&gt;42723&lt;/D&gt;&lt;D xsi:type="xsd:long"&gt;42720&lt;/D&gt;&lt;D xsi:type="xsd:long"&gt;42719&lt;/D&gt;&lt;D xsi:type="xsd:long"&gt;42718&lt;/D&gt;&lt;D xsi:type="xsd:long"&gt;42717&lt;/D&gt;&lt;D xsi:type="xsd:long"&gt;42716&lt;/D&gt;&lt;D xsi:type="xsd:long"&gt;42713&lt;/D&gt;&lt;D xsi:type="xsd:long"&gt;42712&lt;/D&gt;&lt;D xsi:type="xsd:long"&gt;42711&lt;/D&gt;&lt;D xsi:type="xsd:long"&gt;42710&lt;/D&gt;&lt;D xsi:type="xsd:long"&gt;42709&lt;/D&gt;&lt;D xsi:type="xsd:long"&gt;42706&lt;/D&gt;&lt;D xsi:type="xsd:long"&gt;42705&lt;/D&gt;&lt;D xsi:type="xsd:long"&gt;42704&lt;/D&gt;&lt;D xsi:type="xsd:long"&gt;42703&lt;/D&gt;&lt;D xsi:type="xsd:long"&gt;42702&lt;/D&gt;&lt;D xsi:type="xsd:long"&gt;42699&lt;/D&gt;&lt;D xsi:type="xsd:long"&gt;42697&lt;/D&gt;&lt;D xsi:type="xsd:long"&gt;42696&lt;/D&gt;&lt;D xsi:type="xsd:long"&gt;42695&lt;/D&gt;&lt;D xsi:type="xsd:long"&gt;42692&lt;/D&gt;&lt;D xsi:type="xsd:long"&gt;42691&lt;/D&gt;&lt;D xsi:type="xsd:long"&gt;42690&lt;/D&gt;&lt;D xsi:type="xsd:long"&gt;42689&lt;/D&gt;&lt;D xsi:type="xsd:long"&gt;42688&lt;/D&gt;&lt;D xsi:type="xsd:long"&gt;42685&lt;/D&gt;&lt;D xsi:type="xsd:long"&gt;42684&lt;/D&gt;&lt;D xsi:type="xsd:long"&gt;42683&lt;/D&gt;&lt;D xsi:type="xsd:long"&gt;42682&lt;/D&gt;&lt;D xsi:type="xsd:long"&gt;42681&lt;/D&gt;&lt;D xsi:type="xsd:long"&gt;42678&lt;/D&gt;&lt;D xsi:type="xsd:long"&gt;42677&lt;/D&gt;&lt;D xsi:type="xsd:long"&gt;42676&lt;/D&gt;&lt;D xsi:type="xsd:long"&gt;42675&lt;/D&gt;&lt;D xsi:type="xsd:long"&gt;42674&lt;/D&gt;&lt;D xsi:type="xsd:long"&gt;42671&lt;/D&gt;&lt;D xsi:type="xsd:long"&gt;42670&lt;/D&gt;&lt;D xsi:type="xsd:long"&gt;42669&lt;/D&gt;&lt;D xsi:type="xsd:long"&gt;42668&lt;/D&gt;&lt;D xsi:type="xsd:long"&gt;42667&lt;/D&gt;&lt;D xsi:type="xsd:long"&gt;42664&lt;/D&gt;&lt;D xsi:type="xsd:long"&gt;42663&lt;/D&gt;&lt;D xsi:type="xsd:long"&gt;42662&lt;/D&gt;&lt;D xsi:type="xsd:long"&gt;42661&lt;/D&gt;&lt;D xsi:type="xsd:long"&gt;42660&lt;/D&gt;&lt;D xsi:type="xsd:long"&gt;42657&lt;/D&gt;&lt;D xsi:type="xsd:long"&gt;42656&lt;/D&gt;&lt;D xsi:type="xsd:long"&gt;42655&lt;/D&gt;&lt;D xsi:type="xsd:long"&gt;42654&lt;/D&gt;&lt;D xsi:type="xsd:long"&gt;42653&lt;/D&gt;&lt;D xsi:type="xsd:long"&gt;42650&lt;/D&gt;&lt;D xsi:type="xsd:long"&gt;42649&lt;/D&gt;&lt;D xsi:type="xsd:long"&gt;42648&lt;/D&gt;&lt;D xsi:type="xsd:long"&gt;42647&lt;/D&gt;&lt;D xsi:type="xsd:long"&gt;42646&lt;/D&gt;&lt;D xsi:type="xsd:long"&gt;42643&lt;/D&gt;&lt;D xsi:type="xsd:long"&gt;42642&lt;/D&gt;&lt;D xsi:type="xsd:long"&gt;42641&lt;/D&gt;&lt;D xsi:type="xsd:long"&gt;42640&lt;/D&gt;&lt;D xsi:type="xsd:long"&gt;42639&lt;/D&gt;&lt;D xsi:type="xsd:long"&gt;42636&lt;/D&gt;&lt;D xsi:type="xsd:long"&gt;42635&lt;/D&gt;&lt;D xsi:type="xsd:long"&gt;42634&lt;/D&gt;&lt;D xsi:type="xsd:long"&gt;42633&lt;/D&gt;&lt;D xsi:type="xsd:long"&gt;42632&lt;/D&gt;&lt;D xsi:type="xsd:long"&gt;42629&lt;/D&gt;&lt;D xsi:type="xsd:long"&gt;42628&lt;/D&gt;&lt;D xsi:type="xsd:long"&gt;42627&lt;/D&gt;&lt;D xsi:type="xsd:long"&gt;42626&lt;/D&gt;&lt;D xsi:type="xsd:long"&gt;42625&lt;/D&gt;&lt;D xsi:type="xsd:long"&gt;42622&lt;/D&gt;&lt;D xsi:type="xsd:long"&gt;42621&lt;/D&gt;&lt;D xsi:type="xsd:long"&gt;42620&lt;/D&gt;&lt;D xsi:type="xsd:long"&gt;42619&lt;/D&gt;&lt;D xsi:type="xsd:long"&gt;42615&lt;/D&gt;&lt;D xsi:type="xsd:long"&gt;42614&lt;/D&gt;&lt;D xsi:type="xsd:long"&gt;42613&lt;/D&gt;&lt;D xsi:type="xsd:long"&gt;42612&lt;/D&gt;&lt;D xsi:type="xsd:long"&gt;42611&lt;/D&gt;&lt;D xsi:type="xsd:long"&gt;42608&lt;/D&gt;&lt;D xsi:type="xsd:long"&gt;42607&lt;/D&gt;&lt;D xsi:type="xsd:long"&gt;42606&lt;/D&gt;&lt;D xsi:type="xsd:long"&gt;42605&lt;/D&gt;&lt;D xsi:type="xsd:long"&gt;42604&lt;/D&gt;&lt;D xsi:type="xsd:long"&gt;42601&lt;/D&gt;&lt;D xsi:type</t>
        </r>
      </text>
    </comment>
    <comment ref="A91" authorId="0" shapeId="0">
      <text>
        <r>
          <rPr>
            <b/>
            <sz val="9"/>
            <color indexed="81"/>
            <rFont val="Tahoma"/>
            <family val="2"/>
          </rPr>
          <t>="xsd:long"&gt;42600&lt;/D&gt;&lt;D xsi:type="xsd:long"&gt;42599&lt;/D&gt;&lt;D xsi:type="xsd:long"&gt;42598&lt;/D&gt;&lt;D xsi:type="xsd:long"&gt;42597&lt;/D&gt;&lt;D xsi:type="xsd:long"&gt;42594&lt;/D&gt;&lt;D xsi:type="xsd:long"&gt;42593&lt;/D&gt;&lt;D xsi:type="xsd:long"&gt;42592&lt;/D&gt;&lt;D xsi:type="xsd:long"&gt;42591&lt;/D&gt;&lt;D xsi:type="xsd:long"&gt;42590&lt;/D&gt;&lt;D xsi:type="xsd:long"&gt;42587&lt;/D&gt;&lt;D xsi:type="xsd:long"&gt;42586&lt;/D&gt;&lt;D xsi:type="xsd:long"&gt;42585&lt;/D&gt;&lt;D xsi:type="xsd:long"&gt;42584&lt;/D&gt;&lt;D xsi:type="xsd:long"&gt;42583&lt;/D&gt;&lt;D xsi:type="xsd:long"&gt;42580&lt;/D&gt;&lt;D xsi:type="xsd:long"&gt;42579&lt;/D&gt;&lt;D xsi:type="xsd:long"&gt;42578&lt;/D&gt;&lt;D xsi:type="xsd:long"&gt;42577&lt;/D&gt;&lt;D xsi:type="xsd:long"&gt;42576&lt;/D&gt;&lt;D xsi:type="xsd:long"&gt;42573&lt;/D&gt;&lt;D xsi:type="xsd:long"&gt;42572&lt;/D&gt;&lt;D xsi:type="xsd:long"&gt;42571&lt;/D&gt;&lt;D xsi:type="xsd:long"&gt;42570&lt;/D&gt;&lt;D xsi:type="xsd:long"&gt;42569&lt;/D&gt;&lt;D xsi:type="xsd:long"&gt;42566&lt;/D&gt;&lt;D xsi:type="xsd:long"&gt;42565&lt;/D&gt;&lt;D xsi:type="xsd:long"&gt;42564&lt;/D&gt;&lt;D xsi:type="xsd:long"&gt;42563&lt;/D&gt;&lt;D xsi:type="xsd:long"&gt;42562&lt;/D&gt;&lt;D xsi:type="xsd:long"&gt;42559&lt;/D&gt;&lt;D xsi:type="xsd:long"&gt;42558&lt;/D&gt;&lt;D xsi:type="xsd:long"&gt;42557&lt;/D&gt;&lt;D xsi:type="xsd:long"&gt;42556&lt;/D&gt;&lt;D xsi:type="xsd:long"&gt;42552&lt;/D&gt;&lt;D xsi:type="xsd:long"&gt;42551&lt;/D&gt;&lt;D xsi:type="xsd:long"&gt;42550&lt;/D&gt;&lt;D xsi:type="xsd:long"&gt;42549&lt;/D&gt;&lt;D xsi:type="xsd:long"&gt;42548&lt;/D&gt;&lt;D xsi:type="xsd:long"&gt;42545&lt;/D&gt;&lt;D xsi:type="xsd:long"&gt;42544&lt;/D&gt;&lt;D xsi:type="xsd:long"&gt;42543&lt;/D&gt;&lt;D xsi:type="xsd:long"&gt;42542&lt;/D&gt;&lt;D xsi:type="xsd:long"&gt;42541&lt;/D&gt;&lt;D xsi:type="xsd:long"&gt;42538&lt;/D&gt;&lt;D xsi:type="xsd:long"&gt;42537&lt;/D&gt;&lt;D xsi:type="xsd:long"&gt;42536&lt;/D&gt;&lt;D xsi:type="xsd:long"&gt;42535&lt;/D&gt;&lt;D xsi:type="xsd:long"&gt;42534&lt;/D&gt;&lt;D xsi:type="xsd:long"&gt;42531&lt;/D&gt;&lt;D xsi:type="xsd:long"&gt;42530&lt;/D&gt;&lt;D xsi:type="xsd:long"&gt;42529&lt;/D&gt;&lt;D xsi:type="xsd:long"&gt;42528&lt;/D&gt;&lt;D xsi:type="xsd:long"&gt;42527&lt;/D&gt;&lt;D xsi:type="xsd:long"&gt;42524&lt;/D&gt;&lt;D xsi:type="xsd:long"&gt;42523&lt;/D&gt;&lt;D xsi:type="xsd:long"&gt;42522&lt;/D&gt;&lt;D xsi:type="xsd:long"&gt;42521&lt;/D&gt;&lt;D xsi:type="xsd:long"&gt;42517&lt;/D&gt;&lt;D xsi:type="xsd:long"&gt;42516&lt;/D&gt;&lt;D xsi:type="xsd:long"&gt;42515&lt;/D&gt;&lt;D xsi:type="xsd:long"&gt;42514&lt;/D&gt;&lt;D xsi:type="xsd:long"&gt;42513&lt;/D&gt;&lt;D xsi:type="xsd:long"&gt;42510&lt;/D&gt;&lt;D xsi:type="xsd:long"&gt;42509&lt;/D&gt;&lt;D xsi:type="xsd:long"&gt;42508&lt;/D&gt;&lt;D xsi:type="xsd:long"&gt;42507&lt;/D&gt;&lt;D xsi:type="xsd:long"&gt;42506&lt;/D&gt;&lt;D xsi:type="xsd:long"&gt;42503&lt;/D&gt;&lt;D xsi:type="xsd:long"&gt;42502&lt;/D&gt;&lt;D xsi:type="xsd:long"&gt;42501&lt;/D&gt;&lt;D xsi:type="xsd:long"&gt;42500&lt;/D&gt;&lt;D xsi:type="xsd:long"&gt;42499&lt;/D&gt;&lt;D xsi:type="xsd:long"&gt;42496&lt;/D&gt;&lt;D xsi:type="xsd:long"&gt;42495&lt;/D&gt;&lt;D xsi:type="xsd:long"&gt;42494&lt;/D&gt;&lt;D xsi:type="xsd:long"&gt;42493&lt;/D&gt;&lt;D xsi:type="xsd:long"&gt;42492&lt;/D&gt;&lt;D xsi:type="xsd:long"&gt;42489&lt;/D&gt;&lt;D xsi:type="xsd:long"&gt;42488&lt;/D&gt;&lt;D xsi:type="xsd:long"&gt;42487&lt;/D&gt;&lt;D xsi:type="xsd:long"&gt;42486&lt;/D&gt;&lt;D xsi:type="xsd:long"&gt;42485&lt;/D&gt;&lt;D xsi:type="xsd:long"&gt;42482&lt;/D&gt;&lt;D xsi:type="xsd:long"&gt;42481&lt;/D&gt;&lt;D xsi:type="xsd:long"&gt;42480&lt;/D&gt;&lt;D xsi:type="xsd:long"&gt;42479&lt;/D&gt;&lt;D xsi:type="xsd:long"&gt;42478&lt;/D&gt;&lt;D xsi:type="xsd:long"&gt;42475&lt;/D&gt;&lt;D xsi:type="xsd:long"&gt;42474&lt;/D&gt;&lt;D xsi:type="xsd:long"&gt;42473&lt;/D&gt;&lt;D xsi:type="xsd:long"&gt;42472&lt;/D&gt;&lt;D xsi:type="xsd:long"&gt;42471&lt;/D&gt;&lt;D xsi:type="xsd:long"&gt;42468&lt;/D&gt;&lt;D xsi:type="xsd:long"&gt;42467&lt;/D&gt;&lt;D xsi:type="xsd:long"&gt;42466&lt;/D&gt;&lt;D xsi:type="xsd:long"&gt;42465&lt;/D&gt;&lt;D xsi:type="xsd:long"&gt;42464&lt;/D&gt;&lt;D xsi:type="xsd:long"&gt;42461&lt;/D&gt;&lt;D xsi:type="xsd:long"&gt;42460&lt;/D&gt;&lt;D xsi:type="xsd:long"&gt;42459&lt;/D&gt;&lt;D xsi:type="xsd:long"&gt;42458&lt;/D&gt;&lt;D xsi:type="xsd:long"&gt;42457&lt;/D&gt;&lt;D xsi:type="xsd:long"&gt;42453&lt;/D&gt;&lt;D xsi:type="xsd:long"&gt;42452&lt;/D&gt;&lt;D xsi:type="xsd:long"&gt;42451&lt;/D&gt;&lt;D xsi:type="xsd:long"&gt;42450&lt;/D&gt;&lt;D xsi:type="xsd:long"&gt;42447&lt;/D&gt;&lt;D xsi:type="xsd:long"&gt;42446&lt;/D&gt;&lt;D xsi:type="xsd:long"&gt;42445&lt;/D&gt;&lt;D xsi:type="xsd:long"&gt;42444&lt;/D&gt;&lt;D xsi:type="xsd:long"&gt;42443&lt;/D&gt;&lt;D xsi:type="xsd:long"&gt;42440&lt;/D&gt;&lt;D xsi:type="xsd:long"&gt;42439&lt;/D&gt;&lt;D xsi:type="xsd:long"&gt;42438&lt;/D&gt;&lt;D xsi:type="xsd:long"&gt;42437&lt;/D&gt;&lt;D xsi:type="xsd:long"&gt;42436&lt;/D&gt;&lt;D xsi:type="xsd:long"&gt;42433&lt;/D&gt;&lt;D xsi:type="xsd:long"&gt;42432&lt;/D&gt;&lt;D xsi:type="xsd:long"&gt;42431&lt;/D&gt;&lt;D xsi:type="xsd:long"&gt;42430&lt;/D&gt;&lt;D xsi:type="xsd:long"&gt;42429&lt;/D&gt;&lt;D xsi:type="xsd:long"&gt;42426&lt;/D&gt;&lt;D xsi:type="xsd:long"&gt;42425&lt;/D&gt;&lt;D xsi:type="xsd:long"&gt;42424&lt;/D&gt;&lt;D xsi:type="xsd:long"&gt;42423&lt;/D&gt;&lt;D xsi:type="xsd:long"&gt;42422&lt;/D&gt;&lt;D xsi:type="xsd:long"&gt;42419&lt;/D&gt;&lt;D xsi:type="xsd:long"&gt;42418&lt;/D&gt;&lt;D xsi:type="xsd:long"&gt;42417&lt;/D&gt;&lt;D xsi:type="xsd:long"&gt;42416&lt;/D&gt;&lt;D xsi:type="xsd:long"&gt;42412&lt;/D&gt;&lt;D xsi:type="xsd:long"&gt;42411&lt;/D&gt;&lt;D xsi:type="xsd:long"&gt;42410&lt;/D&gt;&lt;D xsi:type="xsd:long"&gt;42409&lt;/D&gt;&lt;D xsi:type="xsd:long"&gt;42408&lt;/D&gt;&lt;D xsi:type="xsd:long"&gt;42405&lt;/D&gt;&lt;D xsi:type="xsd:long"&gt;42404&lt;/D&gt;&lt;D xsi:type="xsd:long"&gt;42403&lt;/D&gt;&lt;D xsi:type="xsd:long"&gt;42402&lt;/D&gt;&lt;D xsi:type="xsd:long"&gt;42401&lt;/D&gt;&lt;D xsi:type="xsd:long"&gt;42398&lt;/D&gt;&lt;D xsi:type="xsd:long"&gt;42397&lt;/D&gt;&lt;D xsi:type="xsd:long"&gt;42396&lt;/D&gt;&lt;D xsi:type="xsd:long"&gt;42395&lt;/D&gt;&lt;D xsi:type="xsd:long"&gt;42394&lt;/D&gt;&lt;D xsi:type="xsd:long"&gt;42391&lt;/D&gt;&lt;D xsi:type="xsd:long"&gt;42390&lt;/D&gt;&lt;D xsi:type="xsd:long"&gt;42389&lt;/D&gt;&lt;D xsi:type="xsd:long"&gt;42388&lt;/D&gt;&lt;D xsi:type="xsd:long"&gt;42384&lt;/D&gt;&lt;D xsi:type="xsd:long"&gt;42383&lt;/D&gt;&lt;D xsi:type="xsd:long"&gt;42382&lt;/D&gt;&lt;D xsi:type="xsd:long"&gt;42381&lt;/D&gt;&lt;D xsi:type="xsd:long"&gt;42380&lt;/D&gt;&lt;D xsi:type="xsd:long"&gt;42377&lt;/D&gt;&lt;D xsi:type="xsd:long"&gt;42376&lt;/D&gt;&lt;D xsi:type="xsd:long"&gt;42375&lt;/D&gt;&lt;D xsi:type="xsd:long"&gt;42374&lt;/D&gt;&lt;D xsi:type="xsd:long"&gt;42373&lt;/D&gt;&lt;D xsi:type="xsd:long"&gt;42369&lt;/D&gt;&lt;D xsi:type="xsd:long"&gt;42368&lt;/D&gt;&lt;D xsi:type="xsd:long"&gt;42367&lt;/D&gt;&lt;D xsi:type="xsd:long"&gt;42366&lt;/D&gt;&lt;D xsi:type="xsd:long"&gt;42362&lt;/D&gt;&lt;D xsi:type="xsd:long"&gt;42361&lt;/D&gt;&lt;D xsi:type="xsd:long"&gt;42360&lt;/D&gt;&lt;D xsi:type="xsd:long"&gt;42359&lt;/D&gt;&lt;D xsi:type="xsd:long"&gt;42356&lt;/D&gt;&lt;D xsi:type="xsd:long"&gt;42355&lt;/D&gt;&lt;D xsi:type="xsd:long"&gt;42354&lt;/D&gt;&lt;D xsi:type="xsd:long"&gt;42353&lt;/D&gt;&lt;D xsi:type="xsd:long"&gt;42352&lt;/D&gt;&lt;D xsi:type="xsd:long"&gt;42349&lt;/D&gt;&lt;D xsi:type="xsd:long"&gt;42348&lt;/D&gt;&lt;D xsi:type="xsd:long"&gt;42347&lt;/D&gt;&lt;D xsi:type="xsd:long"&gt;42346&lt;/D&gt;&lt;D xsi:type="xsd:long"&gt;42345&lt;/D&gt;&lt;D xsi:type="xsd:long"&gt;42342&lt;/D&gt;&lt;D xsi:type="xsd:long"&gt;42341&lt;/D&gt;&lt;D xsi:type="xsd:long"&gt;42340&lt;/D&gt;&lt;D xsi:type="xsd:long"&gt;42339&lt;/D&gt;&lt;D xsi:type="xsd:long"&gt;42338&lt;/D&gt;&lt;D xsi:type="xsd:long"&gt;42335&lt;/D&gt;&lt;D xsi:type="xsd:long"&gt;42333&lt;/D&gt;&lt;D xsi:type="xsd:long"&gt;42332&lt;/D&gt;&lt;D xsi:type="xsd:long"&gt;42331&lt;/D&gt;&lt;D xsi:type="xsd:long"&gt;42328&lt;/D&gt;&lt;D xsi:type="xsd:long"&gt;42327&lt;/D&gt;&lt;D xsi:type="xsd:long"&gt;42326&lt;/D&gt;&lt;D xsi:type="xsd:long"&gt;42325&lt;/D&gt;&lt;D xsi:type="xsd:long"&gt;42324&lt;/D&gt;&lt;D xsi:type="xsd:long"&gt;42321&lt;/D&gt;&lt;D xsi:type="xsd:long"&gt;42320&lt;/D&gt;&lt;D xsi:type="xsd:long"&gt;42319&lt;/D&gt;&lt;D xsi:type="xsd:long"&gt;42318&lt;/D&gt;&lt;D xsi:type="xsd:long"&gt;42317&lt;/D&gt;&lt;D xsi:type="xsd:long"&gt;42314&lt;/D&gt;&lt;D xsi:type="xsd:long"&gt;42313&lt;/D&gt;&lt;D xsi:type="xsd:long"&gt;42312&lt;/D&gt;&lt;D xsi:type="xsd:long"&gt;42311&lt;/D&gt;&lt;D xsi:type="xsd:long"&gt;42310&lt;/D&gt;&lt;D xsi:type="xsd:long"&gt;42307&lt;/D&gt;&lt;D xsi:type="xsd:long"&gt;42306&lt;/D&gt;&lt;D xsi:type="xsd:long"&gt;42305&lt;/D&gt;&lt;D xsi:type="xsd:long"&gt;42304&lt;/D&gt;&lt;D xsi:type="xsd:long"&gt;42303&lt;/D&gt;&lt;D xsi:type="xsd:long"&gt;42300&lt;/D&gt;&lt;D xsi:type="xsd:long"&gt;42299&lt;/D&gt;&lt;D xsi:type="xsd:long"&gt;42298&lt;/D&gt;&lt;D xsi:type="xsd:long"&gt;42297&lt;/D&gt;&lt;D xsi:type="xsd:long"&gt;42296&lt;/D&gt;&lt;D xsi:type="xsd:long"&gt;42293&lt;/D&gt;&lt;D xsi:type="xsd:long"&gt;42292&lt;/D&gt;&lt;D xsi:type="xsd:long"&gt;42291&lt;/D&gt;&lt;D xsi:type="xsd:long"&gt;42290&lt;/D&gt;&lt;D xsi:type="xsd:long"&gt;42289&lt;/D&gt;&lt;D xsi:type="xsd:long"&gt;42286&lt;/D&gt;&lt;D xsi:type="xsd:long"&gt;42285&lt;/D&gt;&lt;D xsi:type="xsd:long"&gt;42284&lt;/D&gt;&lt;D xsi:type="xsd:long"&gt;42283&lt;/D&gt;&lt;D xsi:type="xsd:long"&gt;42282&lt;/D&gt;&lt;D xsi:type="xsd:long"&gt;42279&lt;/D&gt;&lt;D xsi:type="xsd:long"&gt;42278&lt;/D&gt;&lt;D xsi:type="xsd:long"&gt;42277&lt;/D&gt;&lt;D xsi:type="xsd:long"&gt;42276&lt;/D&gt;&lt;D xsi:type="xsd:long"&gt;42275&lt;/D&gt;&lt;D xsi:type="xsd:long"&gt;42272&lt;/D&gt;&lt;D xsi:type="xsd:long"&gt;42271&lt;/D&gt;&lt;D xsi:type="xsd:long"&gt;42270&lt;/D&gt;&lt;D xsi:type="xsd:long"&gt;42269&lt;/D&gt;&lt;D xsi:type="xsd:long"&gt;42268&lt;/D&gt;&lt;D xsi:type="xsd:long"&gt;42265&lt;/D&gt;&lt;D xsi:type="xsd:long"&gt;42264&lt;/D&gt;&lt;D xsi:type="xsd:long"&gt;42263&lt;/D&gt;&lt;D xsi:type="xsd:long"&gt;42262&lt;/D&gt;&lt;D xsi:type="xsd:long"&gt;42261&lt;/D&gt;&lt;D xsi:type="xsd:long"&gt;42258&lt;/D&gt;&lt;D xsi:type="xsd:long"&gt;42257&lt;/D&gt;&lt;D xsi:type="xsd:long"&gt;42256&lt;/D&gt;&lt;D xsi:type="xsd:long"&gt;42255&lt;/D&gt;&lt;D xsi:type="xsd:long"&gt;42251&lt;/D&gt;&lt;D xsi:type="xsd:long"&gt;42250&lt;/D&gt;&lt;D xsi:type="xsd:long"&gt;42249&lt;/D&gt;&lt;D xsi:type="xsd:long"&gt;42248&lt;/D&gt;&lt;D xsi:type="xsd:long"&gt;42247&lt;/D&gt;&lt;D xsi:type="xsd:long"&gt;42244&lt;/D&gt;&lt;D xsi:type="xsd:long"&gt;42243&lt;/D&gt;&lt;D xsi:type="xsd:long"&gt;42242&lt;/D&gt;&lt;D xsi:type="xsd:long"&gt;42241&lt;/D&gt;&lt;D xsi:type="xsd:long"&gt;42240&lt;/D&gt;&lt;D xsi:type="xsd:long"&gt;42237&lt;/D&gt;&lt;D xsi:type="xsd:long"&gt;42236&lt;/D&gt;&lt;D xsi:type="xsd:long"&gt;42235&lt;/D&gt;&lt;D xsi:type="xsd:long"&gt;42234&lt;/D&gt;&lt;D xsi:type="xsd:long"&gt;42233&lt;/D&gt;&lt;D xsi:type="xsd:long"&gt;42230&lt;/D&gt;&lt;D xsi:type="xsd:long"&gt;42229&lt;/D&gt;&lt;D xsi:type="xsd:long"&gt;42228&lt;/D&gt;&lt;D xsi:type="xsd:long"&gt;42227&lt;/D&gt;&lt;D xsi:type="xsd:long"&gt;42226&lt;/D&gt;&lt;D xsi:type="xsd:long"&gt;42223&lt;/D&gt;&lt;D xsi:type="xsd:long"&gt;42222&lt;/D&gt;&lt;D xsi:type="xsd:long"&gt;42221&lt;/D&gt;&lt;D xsi:type="xsd:long"&gt;42220&lt;/D&gt;&lt;D xsi:type="xsd:long"&gt;42219&lt;/D&gt;&lt;D xsi:type="xsd:long"&gt;42216&lt;/D&gt;&lt;D xsi:type="xsd:long"&gt;42215&lt;/D&gt;&lt;D xsi:type="xsd:long"&gt;42214&lt;/D&gt;&lt;D xsi:type="xsd:long"&gt;42213&lt;/D&gt;&lt;D xsi:type="xsd:long"&gt;42212&lt;/D&gt;&lt;D xsi:type="xsd:long"&gt;42209&lt;/D&gt;&lt;D xsi:type="xsd:long"&gt;42208&lt;/D&gt;&lt;D xsi:type="xsd:long"&gt;42207&lt;/D&gt;&lt;D xsi:type="xsd:long"&gt;42206&lt;/D&gt;&lt;D xsi:type="xsd:long"&gt;42205&lt;/D&gt;&lt;D xsi:type="xsd:long"&gt;42202&lt;/D&gt;&lt;D xsi:type="xsd:long"&gt;42201&lt;/D&gt;&lt;D xsi:type="xsd:long"&gt;42200&lt;/D&gt;&lt;D xsi:type="xsd:long"&gt;42199&lt;/D&gt;&lt;D xsi:type="xsd:long"&gt;42198&lt;/D&gt;&lt;D xsi:type="xsd:long"&gt;42195&lt;/D&gt;&lt;D xsi:type="xsd:long"&gt;42194&lt;/D&gt;&lt;D xsi:type="xsd:long"&gt;42193&lt;/D&gt;&lt;D xsi:type="xsd:long"&gt;42192&lt;/D&gt;&lt;D xsi:type="xsd:long"&gt;42191&lt;/D&gt;&lt;D xsi:type="xsd:long"&gt;42187&lt;/D&gt;&lt;D xsi:type="xsd:long"&gt;42186&lt;/D&gt;&lt;D xsi:type="xsd:long"&gt;42185&lt;/D&gt;&lt;D xsi:type="xsd:long"&gt;42184&lt;/D&gt;&lt;D xsi:type="xsd:long"&gt;42181&lt;/D&gt;&lt;D xsi:type="xsd:long"&gt;42180&lt;/D&gt;&lt;D xsi:type="xsd:long"&gt;42179&lt;/D&gt;&lt;D xsi:type="xsd:long"&gt;42178&lt;/D&gt;&lt;D xsi:type="xsd:long"&gt;42177&lt;/D&gt;&lt;D xsi:type="xsd:long"&gt;42174&lt;/D&gt;&lt;D xsi:type="xsd:long"&gt;42173&lt;/D&gt;&lt;D xsi:type="xsd:long"&gt;42172&lt;/D&gt;&lt;D xsi:type="xsd:long"&gt;42171&lt;/D&gt;&lt;D xsi:type="xsd:long"&gt;42170&lt;/D&gt;&lt;D xsi:type="xsd:long"&gt;42167&lt;/D&gt;&lt;D xsi:type="xsd:long"&gt;42166&lt;/D&gt;&lt;D xsi:type="xsd:long"&gt;42165&lt;/D&gt;&lt;D xsi:type="xsd:long"&gt;42164&lt;/D&gt;&lt;D xsi:type="xsd:long"&gt;42163&lt;/D&gt;&lt;D xsi:type="xsd:long"&gt;42160&lt;/D&gt;&lt;D xsi:type="xsd:long"&gt;42159&lt;/D&gt;&lt;D xsi:type="xsd:long"&gt;42158&lt;/D&gt;&lt;D xsi:type="xsd:long"&gt;42157&lt;/D&gt;&lt;D xsi:type="xsd:long"&gt;42156&lt;/D&gt;&lt;D xsi:type="xsd:long"&gt;42153&lt;/D&gt;&lt;D xsi:type="xsd:long"&gt;42152&lt;/D&gt;&lt;D xsi:type="xsd:long"&gt;42151&lt;/D&gt;&lt;D xsi:type="xsd:long"&gt;42150&lt;/D&gt;&lt;D xsi:type="xsd:long"&gt;42146&lt;/D&gt;&lt;D xsi:type="xsd:long"&gt;42145&lt;/D&gt;&lt;D xsi:type="xsd:long"&gt;42144&lt;/D&gt;&lt;D xsi:type="xsd:long"&gt;42143&lt;/D&gt;&lt;D xsi:type="xsd:long"&gt;42142&lt;/D&gt;&lt;D xsi:type="xsd:long"&gt;42139&lt;/D&gt;&lt;D xsi:type="xsd:long"&gt;42138&lt;/D&gt;&lt;D xsi:type="xsd:long"&gt;42137&lt;/D&gt;&lt;D xsi:type="xsd:long"&gt;42136&lt;/D&gt;&lt;D xsi:type="xsd:long"&gt;42135&lt;/D&gt;&lt;D xsi:type="xsd:long"&gt;42132&lt;/D&gt;&lt;D xsi:type="xsd:long"&gt;42131&lt;/D&gt;&lt;D xsi:type="xsd:long"&gt;42130&lt;/D&gt;&lt;D xsi:type="xsd:long"&gt;42129&lt;/D&gt;&lt;D xsi:type="xsd:long"&gt;42128&lt;/D&gt;&lt;D xsi:type="xsd:long"&gt;42125&lt;/D&gt;&lt;D xsi:type="xsd:long"&gt;42124&lt;/D&gt;&lt;D xsi:type="xsd:long"&gt;42123&lt;/D&gt;&lt;D xsi:type="xsd:long"&gt;42122&lt;/D&gt;&lt;D xsi:type="xsd:long"&gt;42121&lt;/D&gt;&lt;D xsi:type="xsd:long"&gt;42118&lt;/D&gt;&lt;D xsi:type="xsd:long"&gt;42117&lt;/D&gt;&lt;D xsi:type="xsd:long"&gt;42116&lt;/D&gt;&lt;D xsi:type="xsd:long"&gt;42115&lt;/D&gt;&lt;D xsi:type="xsd:long"&gt;42114&lt;/D&gt;&lt;D xsi:type="xsd:long"&gt;42111&lt;/D&gt;&lt;D xsi:type="xsd:long"&gt;42110&lt;/D&gt;&lt;D xsi:type="xsd:long"&gt;42109&lt;/D&gt;&lt;D xsi:type="xsd:long"&gt;42108&lt;/D&gt;&lt;D xsi:type="xsd:long"&gt;42107&lt;/D&gt;&lt;D xsi:type="xsd:long"&gt;42104&lt;/D&gt;&lt;D xsi:type="xsd:long"&gt;42103&lt;/D&gt;&lt;D xsi:type="xsd:long"&gt;42102&lt;/D&gt;&lt;D xsi:type="xsd:long"&gt;42101&lt;/D&gt;&lt;D xsi:type="xsd:long"&gt;42100&lt;/D&gt;&lt;D xsi:type="xsd:long"&gt;42096&lt;/D&gt;&lt;D xsi:type="xsd:long"&gt;42095&lt;/D&gt;&lt;D xsi:type="xsd:long"&gt;42094&lt;/D&gt;&lt;D xsi:type="xsd:long"&gt;42093&lt;/D&gt;&lt;D xsi:type="xsd:long"&gt;42090&lt;/D&gt;&lt;D xsi:type="xsd:long"&gt;42089&lt;/D&gt;&lt;D xsi:type="xsd:long"&gt;42088&lt;/D&gt;&lt;D xsi:type="xsd:long"&gt;42087&lt;/D&gt;&lt;D xsi:type="xsd:long"&gt;42086&lt;/D&gt;&lt;D xsi:type="xsd:long"&gt;42083&lt;/D&gt;&lt;D xsi:type="xsd:long"&gt;42082&lt;/D&gt;&lt;D xsi:type="xsd:long"&gt;42081&lt;/D&gt;&lt;D xsi:type="xsd:long"&gt;42080&lt;/D&gt;&lt;D xsi:type="xsd:long"&gt;42079&lt;/D&gt;&lt;D xsi:type="xsd:long"&gt;42076&lt;/D&gt;&lt;D xsi:type="xsd:long"&gt;42075&lt;/D&gt;&lt;D xsi:type="xsd:long"&gt;42074&lt;/D&gt;&lt;D xsi:type="xsd:long"&gt;42073&lt;/D&gt;&lt;D xsi:type="xsd:long"&gt;42072&lt;/D&gt;&lt;D xsi:type="xsd:long"&gt;42069&lt;/D&gt;&lt;D xsi:type="xsd:long"&gt;42068&lt;/D&gt;&lt;D xsi:type="xsd:long"&gt;42067&lt;/D&gt;&lt;D xsi:type="xsd:long"&gt;42066&lt;/D&gt;&lt;D xsi:type="xsd:long"&gt;42065&lt;/D&gt;&lt;D xsi:type="xsd:long"&gt;42062&lt;/D&gt;&lt;D xsi:type="xsd:long"&gt;42061&lt;/D&gt;&lt;D xsi:type="xsd:long"&gt;42060&lt;/D&gt;&lt;D xsi:type="xsd:long"&gt;42059&lt;/D&gt;&lt;D xsi:type="xsd:long"&gt;42058&lt;/D&gt;&lt;D xsi:type="xsd:long"&gt;42055&lt;/D&gt;&lt;D xsi:type="xsd:long"&gt;42054&lt;/D&gt;&lt;D xsi:type="xsd:long"&gt;42053&lt;/D&gt;&lt;D xsi:type="xsd:long"&gt;42052&lt;/D&gt;&lt;D xsi:type="xsd:long"&gt;42048&lt;/D&gt;&lt;D xsi:type="xsd:long"&gt;42047&lt;/D&gt;&lt;D xsi:type="xsd:long"&gt;42046&lt;/D&gt;&lt;D xsi:type="xsd:long"&gt;42045&lt;/D&gt;&lt;D xsi:type="xsd:long"&gt;42044&lt;/D&gt;&lt;D xsi:type="xsd:long"&gt;42041&lt;/D&gt;&lt;D xsi:type="xsd:long"&gt;42040&lt;/D&gt;&lt;D xsi:type="xsd:long"&gt;42039&lt;/D&gt;&lt;D xsi:type="xsd:long"&gt;42038&lt;/D&gt;&lt;D xsi:type="xsd:long"&gt;42037&lt;/D&gt;&lt;D xsi:type="xsd:long"&gt;42034&lt;/D&gt;&lt;D xsi:type="xsd:long"&gt;42033&lt;/D&gt;&lt;D xsi:type="xsd:long"&gt;42032&lt;/D&gt;&lt;D xsi:type="xsd:long"&gt;42031&lt;/D&gt;&lt;D xsi:type="xsd:long"&gt;42030&lt;/D&gt;&lt;D xsi:type="xsd:long"&gt;42027&lt;/D&gt;&lt;D xsi:type="xsd:long"&gt;42026&lt;/D&gt;&lt;D xsi:type="xsd:long"&gt;42025&lt;/D&gt;&lt;D xsi:type="xsd:long"&gt;42024&lt;/D&gt;&lt;D xsi:type="xsd:long"&gt;42020&lt;/D&gt;&lt;D xsi:type="xsd:long"&gt;42019&lt;/D&gt;&lt;D xsi:type="xsd:long"&gt;42018&lt;/D&gt;&lt;D xsi:type="xsd:long"&gt;42017&lt;/D&gt;&lt;D xsi:type="xsd:long"&gt;42016&lt;/D&gt;&lt;D xsi:type="xsd:long"&gt;42013&lt;/D&gt;&lt;D xsi:type="xsd:long"&gt;42012&lt;/D&gt;&lt;D xsi:type="xsd:long"&gt;42011&lt;/D&gt;&lt;D xsi:type="xsd:long"&gt;42010&lt;/D&gt;&lt;D xsi:type="xsd:long"&gt;42009&lt;/D&gt;&lt;D xsi:type="xsd:long"&gt;42006&lt;/D&gt;&lt;D xsi:type="xsd:long"&gt;42004&lt;/D&gt;&lt;D xsi:type="xsd:long"&gt;42003&lt;/D&gt;&lt;D xsi:type="xsd:long"&gt;42002&lt;/D&gt;&lt;D xsi:type="xsd:long"&gt;41999&lt;/D&gt;&lt;D xsi:type="xsd:long"&gt;41997&lt;/D&gt;&lt;D xsi:type="xsd:long"&gt;41996&lt;/D&gt;&lt;D xsi:type="xsd:long"&gt;41995&lt;/D&gt;&lt;D xsi:type="xsd:long"&gt;41992&lt;/D&gt;&lt;D xsi:type="xsd:long"&gt;41991&lt;/D&gt;&lt;D xsi:type="xsd:long"&gt;41990&lt;/D&gt;&lt;D xsi:type="xsd:long"&gt;41989&lt;/D&gt;&lt;D xsi:type="xsd:long"&gt;41988&lt;/D&gt;&lt;D xsi:type="xsd:long"&gt;41985&lt;/D&gt;&lt;D xsi:type="xsd:long"&gt;41984&lt;/D&gt;&lt;D xsi:type="xsd:long"&gt;41983&lt;/D&gt;&lt;D xsi:type="xsd:long"&gt;41982&lt;/D&gt;&lt;D xsi:type="xsd:long"&gt;41981&lt;/D&gt;&lt;D xsi:type="xsd:long"&gt;41978&lt;/D&gt;&lt;D xsi:type="xsd:long"&gt;41977&lt;/D&gt;&lt;D xsi:type="xsd:long"&gt;41976&lt;/D&gt;&lt;D xsi:type="xsd:long"&gt;41975&lt;/D&gt;&lt;D xsi:type="xsd:long"&gt;41974&lt;/D&gt;&lt;D xsi:type="xsd:long"&gt;41971&lt;/D&gt;&lt;D xsi:type="xsd:long"&gt;41969&lt;/D&gt;&lt;D xsi:type="xsd:long"&gt;41968&lt;/D&gt;&lt;D xsi:type="xsd:long"&gt;41967&lt;/D&gt;&lt;D xsi:type="xsd:long"&gt;41964&lt;/D&gt;&lt;D xsi:type="xsd:long"&gt;41963&lt;/D&gt;&lt;D xsi:type="xsd:long"&gt;41962&lt;/D&gt;&lt;D xsi:type="xsd:long"&gt;41961&lt;/D&gt;&lt;D xsi:type="xsd:long"&gt;41960&lt;/D&gt;&lt;D xsi:type="xsd:long"&gt;41957&lt;/D&gt;&lt;D xsi:type="xsd:long"&gt;41956&lt;/D&gt;&lt;D xsi:type="xsd:long"&gt;41955&lt;/D&gt;&lt;D xsi:type="xsd:long"&gt;41954&lt;/D&gt;&lt;D xsi:type="xsd:long"&gt;41953&lt;/D&gt;&lt;D xsi:type="xsd:long"&gt;41950&lt;/D&gt;&lt;D xsi:type="xsd:long"&gt;41949&lt;/D&gt;&lt;D xsi:type="xsd:long"&gt;41948&lt;/D&gt;&lt;D xsi:type="xsd:long"&gt;41947&lt;/D&gt;&lt;D xsi:type="xsd:long"&gt;41946&lt;/D&gt;&lt;D xsi:type="xsd:long"&gt;41943&lt;/D&gt;&lt;D xsi:type="xsd:long"&gt;41942&lt;/D&gt;&lt;D xsi:type="xsd:long"&gt;41941&lt;/D&gt;&lt;D xsi:type="xsd:long"&gt;41940&lt;/D&gt;&lt;D xsi:type="xsd:long"&gt;41939&lt;/D&gt;&lt;D xsi:type="xsd:long"&gt;41936&lt;/D&gt;&lt;D xsi:type="xsd:long"&gt;41935&lt;/D&gt;&lt;D xsi:type="xsd:long"&gt;41934&lt;/D&gt;&lt;D xsi:type="xsd:long"&gt;41933&lt;/D&gt;&lt;D xsi:type="xsd:long"&gt;41932&lt;/D&gt;&lt;D xsi:type="xsd:long"&gt;41929&lt;/D&gt;&lt;D xsi:type="xsd:long"&gt;41928&lt;/D&gt;&lt;D xsi:type="xsd:long"&gt;41927&lt;/D&gt;&lt;D xsi:type="xsd:long"&gt;41926&lt;/D&gt;&lt;D xsi:type="xsd:long"&gt;41925&lt;/D&gt;&lt;D xsi:type="xsd:long"&gt;41922&lt;/D&gt;&lt;D xsi:type="xsd:long"&gt;41921&lt;/D&gt;&lt;D xsi:type="xsd:long"&gt;41920&lt;/D&gt;&lt;D xsi:type="xsd:long"&gt;41919&lt;/D&gt;&lt;D xsi:type="xsd:long"&gt;41918&lt;/D&gt;&lt;D xsi:type="xsd:long"&gt;41915&lt;/D&gt;&lt;D xsi:type="xsd:long"&gt;41914&lt;/D&gt;&lt;D xsi:type="xsd:long"&gt;41913&lt;/D&gt;&lt;D xsi:type="xsd:long"&gt;41912&lt;/D&gt;&lt;D xsi:type="xsd:long"&gt;41911&lt;/D&gt;&lt;D xsi:type="xsd:long"&gt;41908&lt;/D&gt;&lt;D xsi:type="xsd:long"&gt;41907&lt;/D&gt;&lt;D xsi:type="xsd:long"&gt;41906&lt;/D&gt;&lt;D xsi:type="xsd:long"&gt;41905&lt;/D&gt;&lt;D xsi:type="xsd:long"&gt;41904&lt;/D&gt;&lt;D xsi:type="xsd:long"&gt;41901&lt;/D&gt;&lt;D xsi:type="xsd:long"&gt;41900&lt;/D&gt;&lt;D xsi:type="xsd:long"&gt;41899&lt;/D&gt;&lt;D xsi:type="xsd:long"&gt;41898&lt;/D&gt;&lt;D xsi:type="xsd:long"&gt;41897&lt;/D&gt;&lt;D xsi:type="xsd:long"&gt;41894&lt;/D&gt;&lt;D xsi:type="xsd:long"&gt;41893&lt;/D&gt;&lt;D xsi:type="xsd:long"&gt;41892&lt;/D&gt;&lt;D xsi:type="xsd:long"&gt;41891&lt;/D&gt;&lt;D xsi:type="xsd:long"&gt;41890&lt;/D&gt;&lt;D xsi:type="xsd:long"&gt;41887&lt;/D&gt;&lt;D xsi:type="xsd:long"&gt;41886&lt;/D&gt;&lt;D xsi:type="xsd:long"&gt;41885&lt;/D&gt;&lt;D xsi:type="xsd:long"&gt;41884&lt;/D&gt;&lt;D xsi:type="xsd:long"&gt;41880&lt;/D&gt;&lt;D xsi:type="xsd:long"&gt;41879&lt;/D&gt;&lt;D xsi:type="xsd:long"&gt;41878&lt;/D&gt;&lt;D xsi:type="xsd:long"&gt;41877&lt;/D&gt;&lt;D xsi:type="xsd:long"&gt;41876&lt;/D&gt;&lt;D xsi:type="xsd:long"&gt;41873&lt;/D&gt;&lt;D xsi:type="xsd:long"&gt;41872&lt;/D&gt;&lt;D xsi:type="xsd:long"&gt;41871&lt;/D&gt;&lt;D xsi:type="xsd:long"&gt;41870&lt;/D&gt;&lt;D xsi:type="xsd:long"&gt;41869&lt;/D&gt;&lt;D xsi:type="xsd:long"&gt;41866&lt;/D&gt;&lt;D xsi:type="xsd:long"&gt;41865&lt;/D&gt;&lt;D xsi:type="xsd:long"&gt;41864&lt;/D&gt;&lt;D xsi:type="xsd:long"&gt;41863&lt;/D&gt;&lt;D xsi:type="xsd:long"&gt;41862&lt;/D&gt;&lt;D xsi:type="xsd:long"&gt;41859&lt;/D&gt;&lt;D xsi:type="xsd:long"&gt;41858&lt;/D&gt;&lt;D xsi:type="xsd:long"&gt;41857&lt;/D&gt;&lt;D xsi:type="xsd:long"&gt;41856&lt;/D&gt;&lt;D xsi:type="xsd:long"&gt;41855&lt;/D&gt;&lt;D xsi:type="xsd:long"&gt;41852&lt;/D&gt;&lt;D xsi:type="xsd:long"&gt;41851&lt;/D&gt;&lt;D xsi:type="xsd:long"&gt;41850&lt;/D&gt;&lt;D xsi:type="xsd:long"&gt;41849&lt;/D&gt;&lt;D xsi:type="xsd:long"&gt;41848&lt;/D&gt;&lt;D xsi:type="xsd:long"&gt;41845&lt;/D&gt;&lt;D xsi:type="xsd:long"&gt;41844&lt;/D&gt;&lt;D xsi:type="xsd:long"&gt;41843&lt;/D&gt;&lt;D xsi:type="xsd:long"&gt;41842&lt;/D&gt;&lt;D xsi:type="xsd:long"&gt;41841&lt;/D&gt;&lt;D xsi:type="xsd:long"&gt;41838&lt;/D&gt;&lt;D xsi:type="xsd:long"&gt;41837&lt;/D&gt;&lt;D xsi:type="xsd:long"&gt;41836&lt;/D&gt;&lt;D xsi:type="xsd:long"&gt;41835&lt;/D&gt;&lt;D xsi:type="xsd:long"&gt;41834&lt;/D&gt;&lt;D xsi:type="xsd:long"&gt;41831&lt;/D&gt;&lt;D xsi:type="xsd:long"&gt;41830&lt;/D&gt;&lt;D xsi:type="xsd:long"&gt;41829&lt;/D&gt;&lt;D xsi:type="xsd:long"&gt;41828&lt;/D&gt;&lt;D xsi:type="xsd:long"&gt;41827&lt;/D&gt;&lt;D xsi:type="xsd:long"&gt;41823&lt;/D&gt;&lt;D xsi:type="xsd:long"&gt;41822&lt;/D&gt;&lt;D xsi:type="xsd:long"&gt;41821&lt;/D&gt;&lt;D xsi:type="xsd:long"&gt;41820&lt;/D&gt;&lt;D xsi:type="xsd:long"&gt;41817&lt;/D&gt;&lt;D xsi:type="xsd:long"&gt;41816&lt;/D&gt;&lt;D xsi:type="xsd:long"&gt;41815&lt;/D&gt;&lt;D xsi:type="xsd:long"&gt;41814&lt;/D&gt;&lt;D xsi:type="xsd:long"&gt;41813&lt;/D&gt;&lt;D xsi:type="xsd:long"&gt;41810&lt;/D&gt;&lt;D xsi:type="xsd:long"&gt;41809&lt;/D&gt;&lt;D xsi:type="xsd:long"&gt;41808&lt;/D&gt;&lt;D xsi:type="xsd:long"&gt;41807&lt;/D&gt;&lt;D xsi:type="xsd:long"&gt;41806&lt;/D&gt;&lt;D xsi:type="xsd:long"&gt;41803&lt;/D&gt;&lt;D xsi:type="xsd:long"&gt;41802&lt;/D&gt;&lt;D xsi:type="xsd:long"&gt;41801&lt;/D&gt;&lt;D xsi:type="xsd:long"&gt;41800&lt;/D&gt;&lt;D xsi:type="xsd:long"&gt;41799&lt;/D&gt;&lt;D xsi:type="xsd:long"&gt;41796&lt;/D&gt;&lt;D xsi:type="xsd:long"&gt;41795&lt;/D&gt;&lt;D xsi:type="xsd:long"&gt;41794&lt;/D&gt;&lt;D xsi:type="xsd:long"&gt;41793&lt;/D&gt;&lt;D xsi:type="xsd:long"&gt;41792&lt;/D&gt;&lt;D xsi:type="xsd:long"&gt;41789&lt;/D&gt;&lt;D xsi:type="xsd:long"&gt;41788&lt;/D&gt;&lt;D xsi:type="xsd:long"&gt;41787&lt;/D&gt;&lt;D xsi:type="xsd:long"&gt;41786&lt;/D&gt;&lt;D xsi:type="xsd:long"&gt;41782&lt;/D&gt;&lt;D xsi:type="xsd:long"&gt;41781&lt;/D&gt;&lt;D xsi:type="xsd:long"&gt;41780&lt;/D&gt;&lt;D xsi:type="xsd:long"&gt;41779&lt;/D&gt;&lt;D xsi:type="xsd:long"&gt;41778&lt;/D&gt;&lt;D xsi:type="xsd:long"&gt;41775&lt;/D&gt;&lt;D xsi:type="xsd:long"&gt;41774&lt;/D&gt;&lt;D xsi:type="xsd:long"&gt;41773&lt;/D&gt;&lt;D xsi:type="xsd:long"&gt;41772&lt;/D&gt;&lt;D xsi:type="xsd:long"&gt;41771&lt;/D&gt;&lt;D xsi:type="xsd:long"&gt;41768&lt;/D&gt;&lt;D xsi:type="xsd:long"&gt;41767&lt;/D&gt;&lt;D xsi:type="xsd:long"&gt;41766&lt;/D&gt;&lt;D xsi:type="xsd:long"&gt;41765&lt;/D&gt;&lt;D xsi:type="xsd:long"&gt;41764&lt;/D&gt;&lt;D xsi:type="xsd:long"&gt;41761&lt;/D&gt;&lt;D xsi:type="xsd:long"&gt;41760&lt;/D&gt;&lt;D xsi:type="xsd:long"&gt;41759&lt;/D&gt;&lt;D xsi:type="xsd:long"&gt;41758&lt;/D&gt;&lt;D xsi:type="xsd:long"&gt;41757&lt;/D&gt;&lt;D xsi:type="xsd:long"&gt;41754&lt;/D&gt;&lt;D xsi:type="xsd:long"&gt;41753&lt;/D&gt;&lt;D xsi:type="xsd:long"&gt;41752&lt;/D&gt;&lt;D xsi:type="xsd:long"&gt;41751&lt;/D&gt;&lt;D xsi:type="xsd:long"&gt;41750&lt;/D&gt;&lt;D xsi:type="xsd:long"&gt;41746&lt;/D&gt;&lt;D xsi:type="xsd:long"&gt;41745&lt;/D&gt;&lt;D xsi:type="xsd:long"&gt;41744&lt;/D&gt;&lt;D xsi:type="xsd:long"&gt;41743&lt;/D&gt;&lt;D xsi:type="xsd:long"&gt;41740&lt;/D&gt;&lt;D xsi:type="xsd:long"&gt;41739&lt;/D&gt;&lt;D xsi:type="xsd:long"&gt;41738&lt;/D&gt;&lt;D xsi:type="xsd:long"&gt;41737&lt;/D&gt;&lt;D xsi:type="xsd:long"&gt;41736&lt;/D&gt;&lt;D xsi:type="xsd:long"&gt;41733&lt;/D&gt;&lt;D xsi:type="xsd:long"&gt;41732&lt;/D&gt;&lt;D xsi:type="xsd:long"&gt;41731&lt;/D&gt;&lt;D xsi:type="xsd:long"&gt;41730&lt;/D&gt;&lt;D xsi:type="xsd:long"&gt;41729&lt;/D&gt;&lt;D xsi:type="xsd:long"&gt;41726&lt;/D&gt;&lt;D xsi:type="xsd:long"&gt;41725&lt;/D&gt;&lt;D xsi:type="xsd:long"&gt;41724&lt;/D&gt;&lt;D xsi:type="xsd:long"&gt;41723&lt;/D&gt;&lt;D xsi:type="xsd:long"&gt;41722&lt;/D&gt;&lt;D xsi:type="xsd:long"&gt;41719&lt;/D&gt;&lt;D xsi:type="xsd:long"&gt;41718&lt;/D&gt;&lt;D xsi:type="xsd:long"&gt;41717&lt;/D&gt;&lt;D xsi:type="xsd:long"&gt;41716&lt;/D&gt;&lt;D xsi:type="xsd:long"&gt;41715&lt;/D&gt;&lt;D xsi:type="xsd:long"&gt;41712&lt;/D&gt;&lt;D xsi:type="xsd:long"&gt;41711&lt;/D&gt;&lt;D xsi:type="xsd:long"&gt;41710&lt;/D&gt;&lt;D xsi:type="xsd:long"&gt;41709&lt;/D&gt;&lt;D xsi:type="xsd:long"&gt;41708&lt;/D&gt;&lt;D xsi:type="xsd:long"&gt;41705&lt;/D&gt;&lt;D xsi:type="xsd:long"&gt;41704&lt;/D&gt;&lt;D xsi:type="xsd:long"&gt;41703&lt;/D&gt;&lt;D xsi:type="xsd:long"&gt;41702&lt;/D&gt;&lt;D xsi:type="xsd:long"&gt;41701&lt;/D&gt;&lt;D xsi:type="xsd:long"&gt;41698&lt;/D&gt;&lt;D xsi:type="xsd:long"&gt;41697&lt;/D&gt;&lt;D xsi:type="xsd:long"&gt;41696&lt;/D&gt;&lt;D xsi:type="xsd:long"&gt;41695&lt;/D&gt;&lt;D xsi:type="xsd:long"&gt;41694&lt;/D&gt;&lt;D xsi:type="xsd:long"&gt;41691&lt;/D&gt;&lt;D xsi:type="xsd:long"&gt;41690&lt;/D&gt;&lt;D xsi:type="xsd:long"&gt;41689&lt;/D&gt;&lt;D xsi:type="xsd:long"&gt;41688&lt;/D&gt;&lt;D xsi:type="xsd:long"&gt;41684&lt;/D&gt;&lt;D xsi:type="xsd:long"&gt;41683&lt;/D&gt;&lt;D xsi:type="xsd:long"&gt;41682&lt;/D&gt;&lt;D xsi:type="xsd:long"&gt;41681&lt;/D&gt;&lt;D xsi:type="xsd:long"&gt;41680&lt;/D&gt;&lt;D xsi:type="xsd:long"&gt;41677&lt;/D&gt;&lt;D xsi:type="xsd:long"&gt;41676&lt;/D&gt;&lt;D xsi:type="xsd:long"&gt;41675&lt;/D&gt;&lt;D xsi:type="xsd:long"&gt;41674&lt;/D&gt;&lt;D xsi:type="xsd:long"&gt;41673&lt;/D&gt;&lt;D xsi:type="xsd:long"&gt;41670&lt;/D&gt;&lt;D xsi:type="xsd:long"&gt;41669&lt;/D&gt;&lt;D xsi:type="xsd:long"&gt;41668&lt;/D&gt;&lt;D xsi:type="xsd:long"&gt;41667&lt;/D&gt;&lt;D xsi:type="xsd:long"&gt;41666&lt;/D&gt;&lt;D xsi:type="xsd:long"&gt;41663&lt;/D&gt;&lt;D xsi:type="xsd:long"&gt;41662&lt;/D&gt;&lt;D xsi:type="xsd:long"&gt;41661&lt;/D&gt;&lt;D xsi:type="xsd:long"&gt;41660&lt;/D&gt;&lt;D xsi:type="xsd:long"&gt;41656&lt;/D&gt;&lt;D xsi:type="xsd:long"&gt;41655&lt;/D&gt;&lt;D xsi:type="xsd:long"&gt;41654&lt;/D&gt;&lt;D xsi:type="xsd:long"&gt;41653&lt;/D&gt;&lt;D xsi:type="xsd:long"&gt;41652&lt;/D&gt;&lt;D xsi:type="xsd:long"&gt;41649&lt;/D&gt;&lt;D xsi:type="xsd:long"&gt;41648&lt;/D&gt;&lt;D xsi:type="xsd:long"&gt;41647&lt;/D&gt;&lt;D xsi:type="xsd:long"&gt;41646&lt;/D&gt;&lt;D xsi:type="xsd:long"&gt;41645&lt;/D&gt;&lt;D xsi:type="xsd:long"&gt;41642&lt;/D&gt;&lt;D xsi:type="xsd:long"&gt;41641&lt;/D&gt;&lt;D xsi:type="xsd:long"&gt;41639&lt;/D&gt;&lt;D xsi:type="xsd:long"&gt;41638&lt;/D&gt;&lt;D xsi:type="xsd:long"&gt;41635&lt;/D&gt;&lt;D xsi:type="xsd:long"&gt;41634&lt;/D&gt;&lt;D xsi:type="xsd:long"&gt;41632&lt;/D&gt;&lt;D xsi:type="xsd:long"&gt;41631&lt;/D&gt;&lt;D xsi:type="xsd:long"&gt;41628&lt;/D&gt;&lt;D xsi:type="xsd:long"&gt;41627&lt;/D&gt;&lt;D xsi:type="xsd:long"&gt;41626&lt;/D&gt;&lt;D xsi:type="xsd:long"&gt;41625&lt;/D&gt;&lt;D xsi:type="xsd:long"&gt;41624&lt;/D&gt;&lt;D xsi:type="xsd:long"&gt;41621&lt;/D&gt;&lt;D xsi:type="xsd:long"&gt;41620&lt;/D&gt;&lt;D xsi:type="xsd:long"&gt;41619&lt;/D&gt;&lt;D xsi:type="xsd:long"&gt;41618&lt;/D&gt;&lt;D xsi:type="xsd:long"&gt;41617&lt;/D&gt;&lt;D xsi:type="xsd:long"&gt;41614&lt;/D&gt;&lt;D xsi:type="xsd:long"&gt;41613&lt;/D&gt;&lt;D xsi:type="xsd:long"&gt;41612&lt;/D&gt;&lt;D xsi:type="xsd:long"&gt;41611&lt;/D&gt;&lt;D xsi:type="xsd:long"&gt;41610&lt;/D&gt;&lt;D xsi:type="xsd:long"&gt;41607&lt;/D&gt;&lt;D xsi:type="xsd:long"&gt;41605&lt;/D&gt;&lt;D xsi:type="xsd:long"&gt;41604&lt;/D&gt;&lt;D xsi:type="xsd:long"&gt;41603&lt;/D&gt;&lt;D xsi:type="xsd:long"&gt;41600&lt;/D&gt;&lt;D xsi:type="xsd:long"&gt;41599&lt;/D&gt;&lt;D xsi:type="xsd:long"&gt;41598&lt;/D&gt;&lt;D xsi:type="xsd:long"&gt;41597&lt;/D&gt;&lt;D xsi:type="xsd:long"&gt;41596&lt;/D&gt;&lt;D xsi:type="xsd:long"&gt;41593&lt;/D&gt;&lt;D xsi:type="xsd:long"&gt;41592&lt;/D&gt;&lt;D xsi:type="xsd:long"&gt;41591&lt;/D&gt;&lt;D xsi:type="xsd:long"&gt;41590&lt;/D&gt;&lt;D xsi:type="xsd:long"&gt;41589&lt;/D&gt;&lt;D xsi:type="xsd:long"&gt;41586&lt;/D&gt;&lt;D xsi:type="xsd:long"&gt;41585&lt;/D&gt;&lt;D xsi:type="xsd:long"&gt;41584&lt;/D&gt;&lt;D xsi:type="xsd:long"&gt;41583&lt;/D&gt;&lt;D xsi:type="xsd:long"&gt;41582&lt;/D&gt;&lt;D xsi:type="xsd:long"&gt;41579&lt;/D&gt;&lt;D xsi:type="xsd:long"&gt;41578&lt;/D&gt;&lt;D xsi:type="xsd:long"&gt;41577&lt;/D&gt;&lt;D xsi:type="xsd:long"&gt;41576&lt;/D&gt;&lt;D xsi:type="xsd:long"&gt;41575&lt;/D&gt;&lt;D xsi:type="xsd:long"&gt;41572&lt;/D&gt;&lt;D xsi:type="xsd:long"&gt;41571&lt;/D&gt;&lt;D xsi:type="xsd:long"&gt;41570&lt;/D&gt;&lt;D xsi:type="xsd:long"&gt;41569&lt;/D&gt;&lt;D xsi:type="xsd:long"&gt;41568&lt;/D&gt;&lt;D xsi:type="xsd:long"&gt;41565&lt;/D&gt;&lt;D xsi:type="xsd:long"&gt;41564&lt;/D&gt;&lt;D xsi:type="xsd:long"&gt;41563&lt;/D&gt;&lt;D xsi:type="xsd:long"&gt;41562&lt;/D&gt;&lt;D xsi:type="xsd:long"&gt;41561&lt;/D&gt;&lt;D xsi:type="xsd:long"&gt;41558&lt;/D&gt;&lt;D xsi:type="xsd:long"&gt;41557&lt;/D&gt;&lt;D xsi:type="xsd:long"&gt;41556&lt;/D&gt;&lt;D xsi:type="xsd:long"&gt;41555&lt;/D&gt;&lt;D xsi:type="xsd:long"&gt;41554&lt;/D&gt;&lt;D xsi:type="xsd:long"&gt;41551&lt;/D&gt;&lt;D xsi:type="xsd:long"&gt;41550&lt;/D&gt;&lt;D xsi:type="xsd:long"&gt;41549&lt;/D&gt;&lt;D xsi:type="xsd:long"&gt;41548&lt;/D&gt;&lt;D xsi:type="xsd:long"&gt;41547&lt;/D&gt;&lt;D xsi:type="xsd:long"&gt;41544&lt;/D&gt;&lt;D xsi:type="xsd:long"&gt;41543&lt;/D&gt;&lt;D xsi:type="xsd:long"&gt;41542&lt;/D&gt;&lt;D xsi:type="xsd:long"&gt;41541&lt;/D&gt;&lt;D xsi:type="xsd:long"&gt;41540&lt;/D&gt;&lt;D xsi:type="xsd:long"&gt;41537&lt;/D&gt;&lt;D xsi:type="xsd:long"&gt;41536&lt;/D&gt;&lt;D xsi:type="xsd:long"&gt;41535&lt;/D&gt;&lt;D xsi:type="xsd:long"&gt;41534&lt;/D&gt;&lt;D xsi:type="xsd:long"&gt;41533&lt;/D&gt;&lt;D xsi:type="xsd:long"&gt;41530&lt;/D&gt;&lt;D xsi:type="xsd:long"&gt;41529&lt;/D&gt;&lt;D xsi:type="xsd:long"&gt;41528&lt;/D&gt;&lt;D xsi:type="xsd:long"&gt;41527&lt;/D&gt;&lt;D xsi:type="xsd:long"&gt;41526&lt;/D&gt;&lt;D xsi:type="xsd:long"&gt;41523&lt;/D&gt;&lt;D xsi:type="xsd:long"&gt;41522&lt;/D&gt;&lt;D xsi:type="xsd:long"&gt;41521&lt;/D&gt;&lt;D xsi:type="xsd:long"&gt;41520&lt;/D&gt;&lt;D xsi:type="xsd:long"&gt;41516&lt;/D&gt;&lt;D xsi:type="xsd:long"&gt;41515&lt;/D&gt;&lt;D xsi:type="xsd:long"&gt;41514&lt;/D&gt;&lt;D xsi:type="xsd:long"&gt;41513&lt;/D&gt;&lt;D xsi:type="xsd:long"&gt;41512&lt;/D&gt;&lt;D xsi:type="xsd:long"&gt;41509&lt;/D&gt;&lt;D xsi:type="xsd:long"&gt;41508&lt;/D&gt;&lt;D xsi:type="xsd:long"&gt;41507&lt;/D&gt;&lt;D xsi:type="xsd:long"&gt;41506&lt;/D&gt;&lt;D xsi:type="xsd:long"&gt;41505&lt;/D&gt;&lt;D xsi:type="xsd:long"&gt;41502&lt;/D&gt;&lt;D xsi:type="xsd:long"&gt;41501&lt;/D&gt;&lt;D xsi:type="xsd:long"&gt;41500&lt;/D&gt;&lt;D xsi:type="xsd:long"&gt;41499&lt;/D&gt;&lt;D xsi:type="xsd:long"&gt;41498&lt;/D&gt;&lt;D xsi:type="xsd:long"&gt;41495&lt;/D&gt;&lt;D xsi:type="xsd:long"&gt;41494&lt;/D&gt;&lt;D xsi:type="xsd:long"&gt;41493&lt;/D&gt;&lt;D xsi:type="xsd:long"&gt;41492&lt;/D&gt;&lt;D xsi:type="xsd:long"&gt;41491&lt;/D&gt;&lt;D xsi:type="xsd:long"&gt;41488&lt;/D&gt;&lt;D xsi:type="xsd:long"&gt;41487&lt;/D&gt;&lt;D xsi:type="xsd:long"&gt;41486&lt;/D&gt;&lt;D xsi:type="xsd:long"&gt;41485&lt;/D&gt;&lt;D xsi:type="xsd:long"&gt;41484&lt;/D&gt;&lt;D xsi:type="xsd:long"&gt;41481&lt;/D&gt;&lt;D xsi:type="xsd:long"&gt;41480&lt;/D&gt;&lt;D xsi:type="xsd:long"&gt;41479&lt;/D&gt;&lt;D xsi:type="xsd:long"&gt;41478&lt;/D&gt;&lt;D xsi:type="xsd:long"&gt;41477&lt;/D&gt;&lt;D xsi:type="xsd:long"&gt;41474&lt;/D&gt;&lt;D xsi:type="xsd:long"&gt;41473&lt;/D&gt;&lt;D xsi:type="xsd:long"&gt;41472&lt;/D&gt;&lt;D xsi:type="xsd:long"&gt;41471&lt;/D&gt;&lt;D xsi:type="xsd:long"&gt;41470&lt;/D&gt;&lt;D xsi:type="xsd:long"&gt;41467&lt;/D&gt;&lt;D xsi:type="xsd:long"&gt;41466&lt;/D&gt;&lt;D xsi:type="xsd:long"&gt;41465&lt;/D&gt;&lt;D xsi:type="xsd:long"&gt;41464&lt;/D&gt;&lt;D xsi:type="xsd:long"&gt;41463&lt;/D&gt;&lt;D xsi:type="xsd:long"&gt;41460&lt;/D&gt;&lt;D xsi:type="xsd:long"&gt;41458&lt;/D&gt;&lt;D xsi:type="xsd:long"&gt;41457&lt;/D&gt;&lt;D xsi:type="xsd:long"&gt;41456&lt;/D&gt;&lt;D xsi:type="xsd:long"&gt;41453&lt;/D&gt;&lt;D xsi:type="xsd:long"&gt;41452&lt;/D&gt;&lt;D xsi:type="xsd:long"&gt;41451&lt;/D&gt;&lt;D xsi:type="xsd:long"&gt;41450&lt;/D&gt;&lt;D xsi:type="xsd:long"&gt;41449&lt;/D&gt;&lt;D xsi:type="xsd:long"&gt;41446&lt;/D&gt;&lt;D xsi:type="xsd:long"&gt;41445&lt;/D&gt;&lt;D xsi:type="xsd:long"&gt;41444&lt;/D&gt;&lt;D xsi:type="xsd:long"&gt;41443&lt;/D&gt;&lt;D xsi:type="xsd:long"&gt;41442&lt;/D&gt;&lt;D xsi:type="xsd:long"&gt;41439&lt;/D&gt;&lt;D xsi:type="xsd:long"&gt;41438&lt;/D&gt;&lt;D xsi:type="xsd:long"&gt;41437&lt;/D&gt;&lt;D xsi:type="xsd:long"&gt;41436&lt;/D&gt;&lt;D xsi:type="xsd:long"&gt;41435&lt;/D&gt;&lt;D xsi:type="xsd:long"&gt;41432&lt;/D&gt;&lt;D xsi:type="xsd:long"&gt;41431&lt;/D&gt;&lt;D xsi:type="xsd:long"&gt;41430&lt;/D&gt;&lt;D xsi:type="xsd:long"&gt;41429&lt;/D&gt;&lt;D xsi:type="xsd:long"&gt;41428&lt;/D&gt;&lt;D xsi:type="xsd:long"&gt;41425&lt;/D&gt;&lt;D xsi:type="xsd:long"&gt;41424&lt;/D&gt;&lt;D xsi:type="xsd:long"&gt;41423&lt;/D&gt;&lt;D xsi:type="xsd:long"&gt;41422&lt;/D&gt;&lt;D xsi:type="xsd:long"&gt;41418&lt;/D&gt;&lt;D xsi:type="xsd:long"&gt;41417&lt;/D&gt;&lt;D xsi:type="xsd:long"&gt;41416&lt;/D&gt;&lt;D xsi:type="xsd:long"&gt;41415&lt;/D&gt;&lt;D xsi:type="xsd:long"&gt;41414&lt;/D&gt;&lt;D xsi:type="xsd:long"&gt;41411&lt;/D&gt;&lt;D xsi:type="xsd:long"&gt;41410&lt;/D&gt;&lt;D xsi:type="xsd:long"&gt;41409&lt;/D&gt;&lt;D xsi:type="xsd:long"&gt;41408&lt;/D&gt;&lt;D xsi:type="xsd:long"&gt;41407&lt;/D&gt;&lt;D xsi:type="xsd:long"&gt;41404&lt;/D&gt;&lt;D xsi:type="xsd:long"&gt;41403&lt;/D&gt;&lt;D xsi:type="xsd:long"&gt;41402&lt;/D&gt;&lt;D xsi:type="xsd:long"&gt;41401&lt;/D&gt;&lt;D xsi:type="xsd:long"&gt;41400&lt;/D&gt;&lt;D xsi:type="xsd:long"&gt;41397&lt;/D&gt;&lt;D xsi:type="xsd:long"&gt;41396&lt;/D&gt;&lt;D xsi:type="xsd:long"&gt;41395&lt;/D&gt;&lt;D xsi:type="xsd:long"&gt;41394&lt;/D&gt;&lt;D xsi:type="xsd:long"&gt;41393&lt;/D&gt;&lt;D xsi:type="xsd:long"&gt;41390&lt;/D&gt;&lt;D xsi:type="xsd:long"&gt;41389&lt;/D&gt;&lt;D xsi:type="xsd:long"&gt;41388&lt;/D&gt;&lt;D xsi:type="xsd:long"&gt;41387&lt;/D&gt;&lt;D xsi:type="xsd:long"&gt;41386&lt;/D&gt;&lt;D xsi:type="xsd:long"&gt;41383&lt;/D&gt;&lt;D xsi:type="xsd:long"&gt;41382&lt;/D&gt;&lt;D xsi:type="xsd:long"&gt;41381&lt;/D&gt;&lt;D xsi:type="xsd:long"&gt;41380&lt;/D&gt;&lt;D xsi:type="xsd:long"&gt;41379&lt;/D&gt;&lt;D xsi:type="xsd:long"&gt;41376&lt;/D&gt;&lt;D xsi:type="xsd:long"&gt;41375&lt;/D&gt;&lt;D xsi:type="xsd:long"&gt;41374&lt;/D&gt;&lt;D xsi:type="xsd:long"&gt;41373&lt;/D&gt;&lt;D xsi:type="xsd:long"&gt;41372&lt;/D&gt;&lt;D xsi:type="xsd:long"&gt;41369&lt;/D&gt;&lt;D xsi:type="xsd:long"&gt;41368&lt;/D&gt;&lt;D xsi:type="xsd:long"&gt;41367&lt;/D&gt;&lt;D xsi:type="xsd:long"&gt;41366&lt;/D&gt;&lt;D xsi:type="xsd:long"&gt;41365&lt;/D&gt;&lt;D xsi:type="xsd:long"&gt;41361&lt;/D&gt;&lt;D xsi:type="xsd:long"&gt;41360&lt;/D&gt;&lt;D xsi:type="xsd:long"&gt;41359&lt;/D&gt;&lt;D xsi:type="xsd:long"&gt;41358&lt;/D&gt;&lt;D xsi:type="xsd:long"&gt;41355&lt;/D&gt;&lt;D xsi:type="xsd:long"&gt;41354&lt;/D&gt;&lt;D xsi:type="xsd:long"&gt;41353&lt;/D&gt;&lt;D xsi:type="xsd:long"&gt;41352&lt;/D&gt;&lt;D xsi:type="xsd:long"&gt;41351&lt;/D&gt;&lt;D xsi:type="xsd:long"&gt;41348&lt;/D&gt;&lt;D xsi:type="xsd:long"&gt;41347&lt;/D&gt;&lt;D xsi:type="xsd:long"&gt;41346&lt;/D&gt;&lt;D xsi:type="xsd:long"&gt;41345&lt;/D&gt;&lt;D xsi:type="xsd:long"&gt;41344&lt;/D&gt;&lt;D xsi:type="xsd:long"&gt;41341&lt;/D&gt;&lt;D xsi:type="xsd:long"&gt;41340&lt;/D&gt;&lt;D xsi:type="xsd:long"&gt;41339&lt;/D&gt;&lt;D xsi:type="xsd:long"&gt;41338&lt;/D&gt;&lt;D xsi:type="xsd:long"&gt;41337&lt;/D&gt;&lt;D xsi:type="xsd:long"&gt;41334&lt;/D&gt;&lt;D xsi:type="xsd:long"&gt;41333&lt;/D&gt;&lt;D xsi:type="xsd:long"&gt;41332&lt;/D&gt;&lt;D xsi:type="xsd:long"&gt;41331&lt;/D&gt;&lt;D xsi:type="xsd:long"&gt;41330&lt;/D&gt;&lt;D xsi:type="xsd:long"&gt;41327&lt;/D&gt;&lt;D xsi:type="xsd:long"&gt;41326&lt;/D&gt;&lt;D xsi:type="xsd:long"&gt;41325&lt;/D&gt;&lt;D xsi:type="xsd:long"&gt;41324&lt;/D&gt;&lt;D xsi:type="xsd:long"&gt;41320&lt;/D&gt;&lt;D xsi:type="xsd:long"&gt;41319&lt;/D&gt;&lt;D xsi:type="xsd:long"&gt;41318&lt;/D&gt;&lt;D xsi:type="xsd:long"&gt;41317&lt;/D&gt;&lt;D xsi:type="xsd:long"&gt;41316&lt;/D&gt;&lt;D xsi:type="xsd:long"&gt;41313&lt;/D&gt;&lt;D xsi:type="xsd:long"&gt;41312&lt;/D&gt;&lt;D xsi:type="xsd:long"&gt;41311&lt;/D&gt;&lt;D xsi:type="xsd:long"&gt;41310&lt;/D&gt;&lt;D xsi:type="xsd:long"&gt;41309&lt;/D&gt;&lt;D xsi:type="xsd:long"&gt;41306&lt;/D&gt;&lt;D xsi:type="xsd:long"&gt;41305&lt;/D&gt;&lt;D xsi:type="xsd:long"&gt;41304&lt;/D&gt;&lt;D xsi:type="xsd:long"&gt;41303&lt;/D&gt;&lt;D xsi:type="xsd:long"&gt;41302&lt;/D&gt;&lt;D xsi:type="xsd:long"&gt;41299&lt;/D&gt;&lt;D xsi:type="xsd:long"&gt;41298&lt;/D&gt;&lt;D xsi:type="xsd:long"&gt;41297&lt;/D&gt;&lt;D xsi:type="xsd:long"&gt;41296&lt;/D&gt;&lt;D xsi:type="xsd:long"&gt;41292&lt;/D&gt;&lt;D xsi:type="xsd:long"&gt;41291&lt;/D&gt;&lt;D xsi:type="xsd:long"&gt;41290&lt;/D&gt;&lt;D xsi:type="xsd:long"&gt;41289&lt;/D&gt;&lt;D xsi:type="xsd:long"&gt;41288&lt;/D&gt;&lt;D xsi:type="xsd:long"&gt;41285&lt;/D&gt;&lt;D xsi:type="xsd:long"&gt;41284&lt;/D&gt;&lt;D xsi:type="xsd:long"&gt;41283&lt;/D&gt;&lt;D xsi:type="xsd:long"&gt;41282&lt;/D&gt;&lt;D xsi:type="xsd:long"&gt;41281&lt;/D&gt;&lt;D xsi:type="xsd:long"&gt;41278&lt;/D&gt;&lt;D xsi:type="xsd:long"&gt;41277&lt;/D&gt;&lt;D xsi:type="xsd:long"&gt;41276&lt;/D&gt;&lt;D xsi:type="xsd:long"&gt;41274&lt;/D&gt;&lt;D xsi:type="xsd:long"&gt;41271&lt;/D&gt;&lt;D xsi:type="xsd:long"&gt;41270&lt;/D&gt;&lt;D xsi:type="xsd:long"&gt;41269&lt;/D&gt;&lt;D xsi:type="xsd:long"&gt;41267&lt;/D&gt;&lt;D xsi:type="xsd:long"&gt;41264&lt;/D&gt;&lt;D xsi:type="xsd:long"&gt;41263&lt;/D&gt;&lt;D xsi:type="xsd:long"&gt;41262&lt;/D&gt;&lt;D xsi:type="xsd:long"&gt;41261&lt;/D&gt;&lt;D xsi:type="xsd:long"&gt;41260&lt;/D&gt;&lt;D xsi:type="xsd:long"&gt;41257&lt;/D&gt;&lt;D xsi:type="xsd:long"&gt;41256&lt;/D&gt;&lt;D xsi:type="xsd:long"&gt;41255&lt;/D&gt;&lt;D xsi:type="xsd:long"&gt;41254&lt;/D&gt;&lt;D xsi:type="xsd:long"&gt;41253&lt;/D&gt;&lt;D xsi:type="xsd:long"&gt;41250&lt;/D&gt;&lt;D xsi:type="xsd:long"&gt;41249&lt;/D&gt;&lt;D xsi:type="xsd:long"&gt;41248&lt;/D&gt;&lt;D xsi:type="xsd:long"&gt;41247&lt;/D&gt;&lt;D xsi:type="xsd:long"&gt;41246&lt;/D&gt;&lt;D xsi:type="xsd:long"&gt;41243&lt;/D&gt;&lt;D xsi:type="xsd:long"&gt;41242&lt;/D&gt;&lt;D xsi:type="xsd:long"&gt;41241&lt;/D&gt;&lt;D xsi:type="xsd:long"&gt;41240&lt;/D&gt;&lt;D xsi:type="xsd:long"&gt;41239&lt;/D&gt;&lt;D xsi:type="xsd:long"&gt;41236&lt;/D&gt;&lt;D xsi:type="xsd:long"&gt;41234&lt;/D&gt;&lt;D xsi:type="xsd:long"&gt;41233&lt;/D&gt;&lt;D xsi:type="xsd:long"&gt;41232&lt;/D&gt;&lt;D xsi:type="xsd:long"&gt;41229&lt;/D&gt;&lt;D xsi:type="xsd:long"&gt;41228&lt;/D&gt;&lt;D xsi:type="xsd:long"&gt;41227&lt;/D&gt;&lt;D xsi:type="xsd:long"&gt;41226&lt;/D&gt;&lt;D xsi:type="xsd:long"&gt;41225&lt;/D&gt;&lt;D xsi:type="xsd:long"&gt;41222&lt;/D&gt;&lt;D xsi:type="xsd:long"&gt;41221&lt;/D&gt;&lt;D xsi:type="xsd:long"&gt;41220&lt;/D&gt;&lt;D xsi:type="xsd:long"&gt;41219&lt;/D&gt;&lt;D xsi:type="xsd:long"&gt;41218&lt;/D&gt;&lt;D xsi:type="xsd:long"&gt;41215&lt;/D&gt;&lt;D xsi:type="xsd:long"&gt;41214&lt;/D&gt;&lt;D xsi:type="xsd:long"&gt;41213&lt;/D&gt;&lt;D xsi:type="xsd:long"&gt;41208&lt;/D&gt;&lt;D xsi:type="xsd:long"&gt;41207&lt;/D&gt;&lt;D xsi:type="xsd:long"&gt;41206&lt;/D&gt;&lt;D xsi:type="xsd:long"&gt;41205&lt;/D&gt;&lt;D xsi:type="xsd:long"&gt;41204&lt;/D&gt;&lt;D xsi:type="xsd:long"&gt;41201&lt;/D&gt;&lt;D xsi:type="xsd:long"&gt;41200&lt;/D&gt;&lt;D xsi:type="xsd:long"&gt;41199&lt;/D&gt;&lt;D xsi:type="xsd:long"&gt;41198&lt;/D&gt;&lt;D xsi:type="xsd:long"&gt;41197&lt;/D&gt;&lt;D xsi:type="xsd:long"&gt;41194&lt;/D&gt;&lt;D xsi:type="xsd:long"&gt;41193&lt;/D&gt;&lt;D xsi:type="xsd:long"&gt;41192&lt;/D&gt;&lt;D xsi:type="xsd:long"&gt;41191&lt;/D&gt;&lt;D xsi:type="xsd:long"&gt;41190&lt;/D&gt;&lt;D xsi:type="xsd:long"&gt;41187&lt;/D&gt;&lt;D xsi:type="xsd:long"&gt;41186&lt;/D&gt;&lt;D xsi:type="xsd:long"&gt;41185&lt;/D&gt;&lt;D xsi:type="xsd:long"&gt;41184&lt;/D&gt;&lt;D xsi:type="xsd:long"&gt;41183&lt;/D&gt;&lt;D xsi:type="xsd:long"&gt;41180&lt;/D&gt;&lt;D xsi:type="xsd:long"&gt;41179&lt;/D&gt;&lt;D xsi:type="xsd:long"&gt;41178&lt;/D&gt;&lt;D xsi:type="xsd:long"&gt;41177&lt;/D&gt;&lt;D xsi:type="xsd:long"&gt;41176&lt;/D&gt;&lt;D xsi:type="xsd:long"&gt;41173&lt;/D&gt;&lt;D xsi:type="xsd:long"&gt;41172&lt;/D&gt;&lt;D xsi:type="xsd:long"&gt;41171&lt;/D&gt;&lt;D xsi:type="xsd:long"&gt;41170&lt;/D&gt;&lt;D xsi:type="xsd:long"&gt;41169&lt;/D&gt;&lt;D xsi:type="xsd:long"&gt;41166&lt;/D&gt;&lt;D xsi:type="xsd:long"&gt;41165&lt;/D&gt;&lt;D xsi:type="xsd:long"&gt;41164&lt;/D&gt;&lt;D xsi:type="xsd:long"&gt;41163&lt;/D&gt;&lt;D xsi:type="xsd:long"&gt;41162&lt;/D&gt;&lt;D xsi:type="xsd:long"&gt;41159&lt;/D&gt;&lt;D xsi:type="xsd:long"&gt;41158&lt;/D&gt;&lt;D xsi:type="xsd:long"&gt;41157&lt;/D&gt;&lt;D xsi:type="xsd:long"&gt;41156&lt;/D&gt;&lt;D xsi:type="xsd:long"&gt;41152&lt;/D&gt;&lt;D xsi:type="xsd:long"&gt;41151&lt;/D&gt;&lt;D xsi:type="xsd:long"&gt;41150&lt;/D&gt;&lt;D xsi:type="xsd:long"&gt;41149&lt;/D&gt;&lt;D xsi:type="xsd:long"&gt;41148&lt;/D&gt;&lt;D xsi:type="xsd:long"&gt;41145&lt;/D&gt;&lt;D xsi:type="xsd:long"&gt;41144&lt;/D&gt;&lt;D xsi:type="xsd:long"&gt;41143&lt;/D&gt;&lt;D xsi:type="xsd:long"&gt;41142&lt;/D&gt;&lt;D xsi:type="xsd:long"&gt;41141&lt;/D&gt;&lt;D xsi:type="xsd:long"&gt;41138&lt;/D&gt;&lt;D xsi:type="xsd:long"&gt;41137&lt;/D&gt;&lt;D xsi:type="xsd:long"&gt;41136&lt;/D&gt;&lt;D xsi:type="xsd:long"&gt;41135&lt;/D&gt;&lt;D xsi:type="xsd:long"&gt;41134&lt;/D&gt;&lt;D xsi:type="xsd:long"&gt;41131&lt;/D&gt;&lt;D xsi:type="xsd:long"&gt;41130&lt;/D&gt;&lt;D xsi:type="xsd:long"&gt;41129&lt;/D&gt;&lt;D xsi:type="xsd:long"&gt;41128&lt;/D&gt;&lt;D xsi:type="xsd:long"&gt;41127&lt;/D&gt;&lt;D xsi:type="xsd:long"&gt;41124&lt;/D&gt;&lt;D xsi:type="xsd:long"&gt;41123&lt;/D&gt;&lt;D xsi:type="xsd:long"&gt;41122&lt;/D&gt;&lt;D xsi:type="xsd:long"&gt;41121&lt;/D&gt;&lt;D xsi:type="xsd:long"&gt;41120&lt;/D&gt;&lt;D xsi:type="xsd:long"&gt;41117&lt;/D&gt;&lt;D xsi:type="xsd:long"&gt;41116&lt;/D&gt;&lt;D xsi:type="xsd:long"&gt;41115&lt;/D&gt;&lt;D xsi:ty</t>
        </r>
      </text>
    </comment>
    <comment ref="A92" authorId="0" shapeId="0">
      <text>
        <r>
          <rPr>
            <b/>
            <sz val="9"/>
            <color indexed="81"/>
            <rFont val="Tahoma"/>
            <family val="2"/>
          </rPr>
          <t>pe="xsd:long"&gt;41114&lt;/D&gt;&lt;D xsi:type="xsd:long"&gt;41113&lt;/D&gt;&lt;D xsi:type="xsd:long"&gt;41110&lt;/D&gt;&lt;D xsi:type="xsd:long"&gt;41109&lt;/D&gt;&lt;D xsi:type="xsd:long"&gt;41108&lt;/D&gt;&lt;D xsi:type="xsd:long"&gt;41107&lt;/D&gt;&lt;D xsi:type="xsd:long"&gt;41106&lt;/D&gt;&lt;D xsi:type="xsd:long"&gt;41103&lt;/D&gt;&lt;D xsi:type="xsd:long"&gt;41102&lt;/D&gt;&lt;D xsi:type="xsd:long"&gt;41101&lt;/D&gt;&lt;D xsi:type="xsd:long"&gt;41100&lt;/D&gt;&lt;D xsi:type="xsd:long"&gt;41099&lt;/D&gt;&lt;D xsi:type="xsd:long"&gt;41096&lt;/D&gt;&lt;D xsi:type="xsd:long"&gt;41095&lt;/D&gt;&lt;D xsi:type="xsd:long"&gt;41093&lt;/D&gt;&lt;D xsi:type="xsd:long"&gt;41092&lt;/D&gt;&lt;D xsi:type="xsd:long"&gt;41089&lt;/D&gt;&lt;D xsi:type="xsd:long"&gt;41088&lt;/D&gt;&lt;D xsi:type="xsd:long"&gt;41087&lt;/D&gt;&lt;D xsi:type="xsd:long"&gt;41086&lt;/D&gt;&lt;D xsi:type="xsd:long"&gt;41085&lt;/D&gt;&lt;D xsi:type="xsd:long"&gt;41082&lt;/D&gt;&lt;D xsi:type="xsd:long"&gt;41081&lt;/D&gt;&lt;D xsi:type="xsd:long"&gt;41080&lt;/D&gt;&lt;D xsi:type="xsd:long"&gt;41079&lt;/D&gt;&lt;D xsi:type="xsd:long"&gt;41078&lt;/D&gt;&lt;D xsi:type="xsd:long"&gt;41075&lt;/D&gt;&lt;D xsi:type="xsd:long"&gt;41074&lt;/D&gt;&lt;D xsi:type="xsd:long"&gt;41073&lt;/D&gt;&lt;D xsi:type="xsd:long"&gt;41072&lt;/D&gt;&lt;D xsi:type="xsd:long"&gt;41071&lt;/D&gt;&lt;D xsi:type="xsd:long"&gt;41068&lt;/D&gt;&lt;D xsi:type="xsd:long"&gt;41067&lt;/D&gt;&lt;D xsi:type="xsd:long"&gt;41066&lt;/D&gt;&lt;D xsi:type="xsd:long"&gt;41065&lt;/D&gt;&lt;D xsi:type="xsd:long"&gt;41064&lt;/D&gt;&lt;D xsi:type="xsd:long"&gt;41061&lt;/D&gt;&lt;D xsi:type="xsd:long"&gt;41060&lt;/D&gt;&lt;D xsi:type="xsd:long"&gt;41059&lt;/D&gt;&lt;D xsi:type="xsd:long"&gt;41058&lt;/D&gt;&lt;D xsi:type="xsd:long"&gt;41054&lt;/D&gt;&lt;D xsi:type="xsd:long"&gt;41053&lt;/D&gt;&lt;D xsi:type="xsd:long"&gt;41052&lt;/D&gt;&lt;D xsi:type="xsd:long"&gt;41051&lt;/D&gt;&lt;D xsi:type="xsd:long"&gt;41050&lt;/D&gt;&lt;D xsi:type="xsd:long"&gt;41047&lt;/D&gt;&lt;D xsi:type="xsd:long"&gt;41046&lt;/D&gt;&lt;D xsi:type="xsd:long"&gt;41045&lt;/D&gt;&lt;D xsi:type="xsd:long"&gt;41044&lt;/D&gt;&lt;D xsi:type="xsd:long"&gt;41043&lt;/D&gt;&lt;D xsi:type="xsd:long"&gt;41040&lt;/D&gt;&lt;D xsi:type="xsd:long"&gt;41039&lt;/D&gt;&lt;D xsi:type="xsd:long"&gt;41038&lt;/D&gt;&lt;D xsi:type="xsd:long"&gt;41037&lt;/D&gt;&lt;D xsi:type="xsd:long"&gt;41036&lt;/D&gt;&lt;D xsi:type="xsd:long"&gt;41033&lt;/D&gt;&lt;D xsi:type="xsd:long"&gt;41032&lt;/D&gt;&lt;D xsi:type="xsd:long"&gt;41031&lt;/D&gt;&lt;D xsi:type="xsd:long"&gt;41030&lt;/D&gt;&lt;D xsi:type="xsd:long"&gt;41029&lt;/D&gt;&lt;D xsi:type="xsd:long"&gt;41026&lt;/D&gt;&lt;D xsi:type="xsd:long"&gt;41025&lt;/D&gt;&lt;D xsi:type="xsd:long"&gt;41024&lt;/D&gt;&lt;D xsi:type="xsd:long"&gt;41023&lt;/D&gt;&lt;D xsi:type="xsd:long"&gt;41022&lt;/D&gt;&lt;D xsi:type="xsd:long"&gt;41019&lt;/D&gt;&lt;D xsi:type="xsd:long"&gt;41018&lt;/D&gt;&lt;D xsi:type="xsd:long"&gt;41017&lt;/D&gt;&lt;D xsi:type="xsd:long"&gt;41016&lt;/D&gt;&lt;D xsi:type="xsd:long"&gt;41015&lt;/D&gt;&lt;D xsi:type="xsd:long"&gt;41012&lt;/D&gt;&lt;D xsi:type="xsd:long"&gt;41011&lt;/D&gt;&lt;D xsi:type="xsd:long"&gt;41010&lt;/D&gt;&lt;D xsi:type="xsd:long"&gt;41009&lt;/D&gt;&lt;D xsi:type="xsd:long"&gt;41008&lt;/D&gt;&lt;D xsi:type="xsd:long"&gt;41004&lt;/D&gt;&lt;D xsi:type="xsd:long"&gt;41003&lt;/D&gt;&lt;D xsi:type="xsd:long"&gt;41002&lt;/D&gt;&lt;D xsi:type="xsd:long"&gt;41001&lt;/D&gt;&lt;D xsi:type="xsd:long"&gt;40998&lt;/D&gt;&lt;D xsi:type="xsd:long"&gt;40997&lt;/D&gt;&lt;D xsi:type="xsd:long"&gt;40996&lt;/D&gt;&lt;D xsi:type="xsd:long"&gt;40995&lt;/D&gt;&lt;D xsi:type="xsd:long"&gt;40994&lt;/D&gt;&lt;D xsi:type="xsd:long"&gt;40991&lt;/D&gt;&lt;D xsi:type="xsd:long"&gt;40990&lt;/D&gt;&lt;D xsi:type="xsd:long"&gt;40989&lt;/D&gt;&lt;D xsi:type="xsd:long"&gt;40988&lt;/D&gt;&lt;D xsi:type="xsd:long"&gt;40987&lt;/D&gt;&lt;D xsi:type="xsd:long"&gt;40984&lt;/D&gt;&lt;D xsi:type="xsd:long"&gt;40983&lt;/D&gt;&lt;D xsi:type="xsd:long"&gt;40982&lt;/D&gt;&lt;D xsi:type="xsd:long"&gt;40981&lt;/D&gt;&lt;D xsi:type="xsd:long"&gt;40980&lt;/D&gt;&lt;D xsi:type="xsd:long"&gt;40977&lt;/D&gt;&lt;D xsi:type="xsd:long"&gt;40976&lt;/D&gt;&lt;D xsi:type="xsd:long"&gt;40975&lt;/D&gt;&lt;D xsi:type="xsd:long"&gt;40974&lt;/D&gt;&lt;D xsi:type="xsd:long"&gt;40973&lt;/D&gt;&lt;D xsi:type="xsd:long"&gt;40970&lt;/D&gt;&lt;D xsi:type="xsd:long"&gt;40969&lt;/D&gt;&lt;D xsi:type="xsd:long"&gt;40968&lt;/D&gt;&lt;D xsi:type="xsd:long"&gt;40967&lt;/D&gt;&lt;D xsi:type="xsd:long"&gt;40966&lt;/D&gt;&lt;D xsi:type="xsd:long"&gt;40963&lt;/D&gt;&lt;D xsi:type="xsd:long"&gt;40962&lt;/D&gt;&lt;D xsi:type="xsd:long"&gt;40961&lt;/D&gt;&lt;D xsi:type="xsd:long"&gt;40960&lt;/D&gt;&lt;D xsi:type="xsd:long"&gt;40956&lt;/D&gt;&lt;D xsi:type="xsd:long"&gt;40955&lt;/D&gt;&lt;D xsi:type="xsd:long"&gt;40954&lt;/D&gt;&lt;D xsi:type="xsd:long"&gt;40953&lt;/D&gt;&lt;D xsi:type="xsd:long"&gt;40952&lt;/D&gt;&lt;D xsi:type="xsd:long"&gt;40949&lt;/D&gt;&lt;D xsi:type="xsd:long"&gt;40948&lt;/D&gt;&lt;D xsi:type="xsd:long"&gt;40947&lt;/D&gt;&lt;D xsi:type="xsd:long"&gt;40946&lt;/D&gt;&lt;D xsi:type="xsd:long"&gt;40945&lt;/D&gt;&lt;D xsi:type="xsd:long"&gt;40942&lt;/D&gt;&lt;D xsi:type="xsd:long"&gt;40941&lt;/D&gt;&lt;D xsi:type="xsd:long"&gt;40940&lt;/D&gt;&lt;D xsi:type="xsd:long"&gt;40939&lt;/D&gt;&lt;D xsi:type="xsd:long"&gt;40938&lt;/D&gt;&lt;D xsi:type="xsd:long"&gt;40935&lt;/D&gt;&lt;D xsi:type="xsd:long"&gt;40934&lt;/D&gt;&lt;D xsi:type="xsd:long"&gt;40933&lt;/D&gt;&lt;D xsi:type="xsd:long"&gt;40932&lt;/D&gt;&lt;D xsi:type="xsd:long"&gt;40931&lt;/D&gt;&lt;D xsi:type="xsd:long"&gt;40928&lt;/D&gt;&lt;D xsi:type="xsd:long"&gt;40927&lt;/D&gt;&lt;D xsi:type="xsd:long"&gt;40926&lt;/D&gt;&lt;D xsi:type="xsd:long"&gt;40925&lt;/D&gt;&lt;D xsi:type="xsd:long"&gt;40921&lt;/D&gt;&lt;D xsi:type="xsd:long"&gt;40920&lt;/D&gt;&lt;D xsi:type="xsd:long"&gt;40919&lt;/D&gt;&lt;D xsi:type="xsd:long"&gt;40918&lt;/D&gt;&lt;D xsi:type="xsd:long"&gt;40917&lt;/D&gt;&lt;D xsi:type="xsd:long"&gt;40914&lt;/D&gt;&lt;D xsi:type="xsd:long"&gt;40913&lt;/D&gt;&lt;D xsi:type="xsd:long"&gt;40912&lt;/D&gt;&lt;D xsi:type="xsd:long"&gt;40911&lt;/D&gt;&lt;D xsi:type="xsd:long"&gt;40907&lt;/D&gt;&lt;D xsi:type="xsd:long"&gt;40906&lt;/D&gt;&lt;D xsi:type="xsd:long"&gt;40905&lt;/D&gt;&lt;D xsi:type="xsd:long"&gt;40904&lt;/D&gt;&lt;D xsi:type="xsd:long"&gt;40900&lt;/D&gt;&lt;D xsi:type="xsd:long"&gt;40899&lt;/D&gt;&lt;D xsi:type="xsd:long"&gt;40898&lt;/D&gt;&lt;D xsi:type="xsd:long"&gt;40897&lt;/D&gt;&lt;D xsi:type="xsd:long"&gt;40896&lt;/D&gt;&lt;D xsi:type="xsd:long"&gt;40893&lt;/D&gt;&lt;D xsi:type="xsd:long"&gt;40892&lt;/D&gt;&lt;D xsi:type="xsd:long"&gt;40891&lt;/D&gt;&lt;D xsi:type="xsd:long"&gt;40890&lt;/D&gt;&lt;D xsi:type="xsd:long"&gt;40889&lt;/D&gt;&lt;D xsi:type="xsd:long"&gt;40886&lt;/D&gt;&lt;D xsi:type="xsd:long"&gt;40885&lt;/D&gt;&lt;D xsi:type="xsd:long"&gt;40884&lt;/D&gt;&lt;D xsi:type="xsd:long"&gt;40883&lt;/D&gt;&lt;D xsi:type="xsd:long"&gt;40882&lt;/D&gt;&lt;D xsi:type="xsd:long"&gt;40879&lt;/D&gt;&lt;D xsi:type="xsd:long"&gt;40878&lt;/D&gt;&lt;D xsi:type="xsd:long"&gt;40877&lt;/D&gt;&lt;D xsi:type="xsd:long"&gt;40876&lt;/D&gt;&lt;D xsi:type="xsd:long"&gt;40875&lt;/D&gt;&lt;D xsi:type="xsd:long"&gt;40872&lt;/D&gt;&lt;D xsi:type="xsd:long"&gt;40870&lt;/D&gt;&lt;D xsi:type="xsd:long"&gt;40869&lt;/D&gt;&lt;D xsi:type="xsd:long"&gt;40868&lt;/D&gt;&lt;D xsi:type="xsd:long"&gt;40865&lt;/D&gt;&lt;D xsi:type="xsd:long"&gt;40864&lt;/D&gt;&lt;D xsi:type="xsd:long"&gt;40863&lt;/D&gt;&lt;D xsi:type="xsd:long"&gt;40862&lt;/D&gt;&lt;D xsi:type="xsd:long"&gt;40861&lt;/D&gt;&lt;D xsi:type="xsd:long"&gt;40858&lt;/D&gt;&lt;D xsi:type="xsd:long"&gt;40857&lt;/D&gt;&lt;D xsi:type="xsd:long"&gt;40856&lt;/D&gt;&lt;D xsi:type="xsd:long"&gt;40855&lt;/D&gt;&lt;D xsi:type="xsd:long"&gt;40854&lt;/D&gt;&lt;D xsi:type="xsd:long"&gt;40851&lt;/D&gt;&lt;D xsi:type="xsd:long"&gt;40850&lt;/D&gt;&lt;D xsi:type="xsd:long"&gt;40849&lt;/D&gt;&lt;D xsi:type="xsd:long"&gt;40848&lt;/D&gt;&lt;D xsi:type="xsd:long"&gt;40847&lt;/D&gt;&lt;D xsi:type="xsd:long"&gt;40844&lt;/D&gt;&lt;D xsi:type="xsd:long"&gt;40843&lt;/D&gt;&lt;D xsi:type="xsd:long"&gt;40842&lt;/D&gt;&lt;D xsi:type="xsd:long"&gt;40841&lt;/D&gt;&lt;D xsi:type="xsd:long"&gt;40840&lt;/D&gt;&lt;D xsi:type="xsd:long"&gt;40837&lt;/D&gt;&lt;D xsi:type="xsd:long"&gt;40836&lt;/D&gt;&lt;D xsi:type="xsd:long"&gt;40835&lt;/D&gt;&lt;D xsi:type="xsd:long"&gt;40834&lt;/D&gt;&lt;D xsi:type="xsd:long"&gt;40833&lt;/D&gt;&lt;D xsi:type="xsd:long"&gt;40830&lt;/D&gt;&lt;D xsi:type="xsd:long"&gt;40829&lt;/D&gt;&lt;D xsi:type="xsd:long"&gt;40828&lt;/D&gt;&lt;D xsi:type="xsd:long"&gt;40827&lt;/D&gt;&lt;D xsi:type="xsd:long"&gt;40826&lt;/D&gt;&lt;D xsi:type="xsd:long"&gt;40823&lt;/D&gt;&lt;D xsi:type="xsd:long"&gt;40822&lt;/D&gt;&lt;D xsi:type="xsd:long"&gt;40821&lt;/D&gt;&lt;D xsi:type="xsd:long"&gt;40820&lt;/D&gt;&lt;D xsi:type="xsd:long"&gt;40819&lt;/D&gt;&lt;D xsi:type="xsd:long"&gt;40816&lt;/D&gt;&lt;D xsi:type="xsd:long"&gt;40815&lt;/D&gt;&lt;D xsi:type="xsd:long"&gt;40814&lt;/D&gt;&lt;D xsi:type="xsd:long"&gt;40813&lt;/D&gt;&lt;D xsi:type="xsd:long"&gt;40812&lt;/D&gt;&lt;D xsi:type="xsd:long"&gt;40809&lt;/D&gt;&lt;D xsi:type="xsd:long"&gt;40808&lt;/D&gt;&lt;D xsi:type="xsd:long"&gt;40807&lt;/D&gt;&lt;D xsi:type="xsd:long"&gt;40806&lt;/D&gt;&lt;D xsi:type="xsd:long"&gt;40805&lt;/D&gt;&lt;D xsi:type="xsd:long"&gt;40802&lt;/D&gt;&lt;D xsi:type="xsd:long"&gt;40801&lt;/D&gt;&lt;D xsi:type="xsd:long"&gt;40800&lt;/D&gt;&lt;D xsi:type="xsd:long"&gt;40799&lt;/D&gt;&lt;D xsi:type="xsd:long"&gt;40798&lt;/D&gt;&lt;D xsi:type="xsd:long"&gt;40795&lt;/D&gt;&lt;D xsi:type="xsd:long"&gt;40794&lt;/D&gt;&lt;D xsi:type="xsd:long"&gt;40793&lt;/D&gt;&lt;D xsi:type="xsd:long"&gt;40792&lt;/D&gt;&lt;D xsi:type="xsd:long"&gt;40788&lt;/D&gt;&lt;D xsi:type="xsd:long"&gt;40787&lt;/D&gt;&lt;D xsi:type="xsd:long"&gt;40786&lt;/D&gt;&lt;D xsi:type="xsd:long"&gt;40785&lt;/D&gt;&lt;D xsi:type="xsd:long"&gt;40784&lt;/D&gt;&lt;D xsi:type="xsd:long"&gt;40781&lt;/D&gt;&lt;D xsi:type="xsd:long"&gt;40780&lt;/D&gt;&lt;D xsi:type="xsd:long"&gt;40779&lt;/D&gt;&lt;D xsi:type="xsd:long"&gt;40778&lt;/D&gt;&lt;D xsi:type="xsd:long"&gt;40777&lt;/D&gt;&lt;D xsi:type="xsd:long"&gt;40774&lt;/D&gt;&lt;D xsi:type="xsd:long"&gt;40773&lt;/D&gt;&lt;D xsi:type="xsd:long"&gt;40772&lt;/D&gt;&lt;D xsi:type="xsd:long"&gt;40771&lt;/D&gt;&lt;D xsi:type="xsd:long"&gt;40770&lt;/D&gt;&lt;D xsi:type="xsd:long"&gt;40767&lt;/D&gt;&lt;D xsi:type="xsd:long"&gt;40766&lt;/D&gt;&lt;D xsi:type="xsd:long"&gt;40765&lt;/D&gt;&lt;D xsi:type="xsd:long"&gt;40764&lt;/D&gt;&lt;D xsi:type="xsd:long"&gt;40763&lt;/D&gt;&lt;D xsi:type="xsd:long"&gt;40760&lt;/D&gt;&lt;D xsi:type="xsd:long"&gt;40759&lt;/D&gt;&lt;D xsi:type="xsd:long"&gt;40758&lt;/D&gt;&lt;D xsi:type="xsd:long"&gt;40757&lt;/D&gt;&lt;D xsi:type="xsd:long"&gt;40756&lt;/D&gt;&lt;D xsi:type="xsd:long"&gt;40753&lt;/D&gt;&lt;D xsi:type="xsd:long"&gt;40752&lt;/D&gt;&lt;D xsi:type="xsd:long"&gt;40751&lt;/D&gt;&lt;D xsi:type="xsd:long"&gt;40750&lt;/D&gt;&lt;D xsi:type="xsd:long"&gt;40749&lt;/D&gt;&lt;D xsi:type="xsd:long"&gt;40746&lt;/D&gt;&lt;D xsi:type="xsd:long"&gt;40745&lt;/D&gt;&lt;D xsi:type="xsd:long"&gt;40744&lt;/D&gt;&lt;D xsi:type="xsd:long"&gt;40743&lt;/D&gt;&lt;D xsi:type="xsd:long"&gt;40742&lt;/D&gt;&lt;D xsi:type="xsd:long"&gt;40739&lt;/D&gt;&lt;D xsi:type="xsd:long"&gt;40738&lt;/D&gt;&lt;D xsi:type="xsd:long"&gt;40737&lt;/D&gt;&lt;D xsi:type="xsd:long"&gt;40736&lt;/D&gt;&lt;D xsi:type="xsd:long"&gt;40735&lt;/D&gt;&lt;D xsi:type="xsd:long"&gt;40732&lt;/D&gt;&lt;D xsi:type="xsd:long"&gt;40731&lt;/D&gt;&lt;D xsi:type="xsd:long"&gt;40730&lt;/D&gt;&lt;D xsi:type="xsd:long"&gt;40729&lt;/D&gt;&lt;D xsi:type="xsd:long"&gt;40725&lt;/D&gt;&lt;D xsi:type="xsd:long"&gt;40724&lt;/D&gt;&lt;D xsi:type="xsd:long"&gt;40723&lt;/D&gt;&lt;D xsi:type="xsd:long"&gt;40722&lt;/D&gt;&lt;D xsi:type="xsd:long"&gt;40721&lt;/D&gt;&lt;D xsi:type="xsd:long"&gt;40718&lt;/D&gt;&lt;D xsi:type="xsd:long"&gt;40717&lt;/D&gt;&lt;D xsi:type="xsd:long"&gt;40716&lt;/D&gt;&lt;D xsi:type="xsd:long"&gt;40715&lt;/D&gt;&lt;D xsi:type="xsd:long"&gt;40714&lt;/D&gt;&lt;D xsi:type="xsd:long"&gt;40711&lt;/D&gt;&lt;D xsi:type="xsd:long"&gt;40710&lt;/D&gt;&lt;D xsi:type="xsd:long"&gt;40709&lt;/D&gt;&lt;D xsi:type="xsd:long"&gt;40708&lt;/D&gt;&lt;D xsi:type="xsd:long"&gt;40707&lt;/D&gt;&lt;D xsi:type="xsd:long"&gt;40704&lt;/D&gt;&lt;D xsi:type="xsd:long"&gt;40703&lt;/D&gt;&lt;D xsi:type="xsd:long"&gt;40702&lt;/D&gt;&lt;D xsi:type="xsd:long"&gt;40701&lt;/D&gt;&lt;D xsi:type="xsd:long"&gt;40700&lt;/D&gt;&lt;D xsi:type="xsd:long"&gt;40697&lt;/D&gt;&lt;D xsi:type="xsd:long"&gt;40696&lt;/D&gt;&lt;D xsi:type="xsd:long"&gt;40695&lt;/D&gt;&lt;D xsi:type="xsd:long"&gt;40694&lt;/D&gt;&lt;D xsi:type="xsd:long"&gt;40690&lt;/D&gt;&lt;D xsi:type="xsd:long"&gt;40689&lt;/D&gt;&lt;D xsi:type="xsd:long"&gt;40688&lt;/D&gt;&lt;D xsi:type="xsd:long"&gt;40687&lt;/D&gt;&lt;D xsi:type="xsd:long"&gt;40686&lt;/D&gt;&lt;D xsi:type="xsd:long"&gt;40683&lt;/D&gt;&lt;D xsi:type="xsd:long"&gt;40682&lt;/D&gt;&lt;D xsi:type="xsd:long"&gt;40681&lt;/D&gt;&lt;D xsi:type="xsd:long"&gt;40680&lt;/D&gt;&lt;D xsi:type="xsd:long"&gt;40679&lt;/D&gt;&lt;D xsi:type="xsd:long"&gt;40676&lt;/D&gt;&lt;D xsi:type="xsd:long"&gt;40675&lt;/D&gt;&lt;D xsi:type="xsd:long"&gt;40674&lt;/D&gt;&lt;D xsi:type="xsd:long"&gt;40673&lt;/D&gt;&lt;D xsi:type="xsd:long"&gt;40672&lt;/D&gt;&lt;D xsi:type="xsd:long"&gt;40669&lt;/D&gt;&lt;D xsi:type="xsd:long"&gt;40668&lt;/D&gt;&lt;D xsi:type="xsd:long"&gt;40667&lt;/D&gt;&lt;D xsi:type="xsd:long"&gt;40666&lt;/D&gt;&lt;D xsi:type="xsd:long"&gt;40665&lt;/D&gt;&lt;D xsi:type="xsd:long"&gt;40662&lt;/D&gt;&lt;D xsi:type="xsd:long"&gt;40661&lt;/D&gt;&lt;D xsi:type="xsd:long"&gt;40660&lt;/D&gt;&lt;D xsi:type="xsd:long"&gt;40659&lt;/D&gt;&lt;D xsi:type="xsd:long"&gt;40658&lt;/D&gt;&lt;D xsi:type="xsd:long"&gt;40654&lt;/D&gt;&lt;D xsi:type="xsd:long"&gt;40653&lt;/D&gt;&lt;D xsi:type="xsd:long"&gt;40652&lt;/D&gt;&lt;D xsi:type="xsd:long"&gt;40651&lt;/D&gt;&lt;D xsi:type="xsd:long"&gt;40648&lt;/D&gt;&lt;D xsi:type="xsd:long"&gt;40647&lt;/D&gt;&lt;D xsi:type="xsd:long"&gt;40646&lt;/D&gt;&lt;D xsi:type="xsd:long"&gt;40645&lt;/D&gt;&lt;D xsi:type="xsd:long"&gt;40644&lt;/D&gt;&lt;D xsi:type="xsd:long"&gt;40641&lt;/D&gt;&lt;D xsi:type="xsd:long"&gt;40640&lt;/D&gt;&lt;D xsi:type="xsd:long"&gt;40639&lt;/D&gt;&lt;D xsi:type="xsd:long"&gt;40638&lt;/D&gt;&lt;D xsi:type="xsd:long"&gt;40637&lt;/D&gt;&lt;D xsi:type="xsd:long"&gt;40634&lt;/D&gt;&lt;D xsi:type="xsd:long"&gt;40633&lt;/D&gt;&lt;D xsi:type="xsd:long"&gt;40632&lt;/D&gt;&lt;D xsi:type="xsd:long"&gt;40631&lt;/D&gt;&lt;D xsi:type="xsd:long"&gt;40630&lt;/D&gt;&lt;D xsi:type="xsd:long"&gt;40627&lt;/D&gt;&lt;D xsi:type="xsd:long"&gt;40626&lt;/D&gt;&lt;D xsi:type="xsd:long"&gt;40625&lt;/D&gt;&lt;D xsi:type="xsd:long"&gt;40624&lt;/D&gt;&lt;D xsi:type="xsd:long"&gt;40623&lt;/D&gt;&lt;D xsi:type="xsd:long"&gt;40620&lt;/D&gt;&lt;D xsi:type="xsd:long"&gt;40619&lt;/D&gt;&lt;D xsi:type="xsd:long"&gt;40618&lt;/D&gt;&lt;D xsi:type="xsd:long"&gt;40617&lt;/D&gt;&lt;D xsi:type="xsd:long"&gt;40616&lt;/D&gt;&lt;D xsi:type="xsd:long"&gt;40613&lt;/D&gt;&lt;D xsi:type="xsd:long"&gt;40612&lt;/D&gt;&lt;D xsi:type="xsd:long"&gt;40611&lt;/D&gt;&lt;D xsi:type="xsd:long"&gt;40610&lt;/D&gt;&lt;D xsi:type="xsd:long"&gt;40609&lt;/D&gt;&lt;D xsi:type="xsd:long"&gt;40606&lt;/D&gt;&lt;D xsi:type="xsd:long"&gt;40605&lt;/D&gt;&lt;D xsi:type="xsd:long"&gt;40604&lt;/D&gt;&lt;D xsi:type="xsd:long"&gt;40603&lt;/D&gt;&lt;D xsi:type="xsd:long"&gt;40602&lt;/D&gt;&lt;D xsi:type="xsd:long"&gt;40599&lt;/D&gt;&lt;D xsi:type="xsd:long"&gt;40598&lt;/D&gt;&lt;D xsi:type="xsd:long"&gt;40597&lt;/D&gt;&lt;D xsi:type="xsd:long"&gt;40596&lt;/D&gt;&lt;D xsi:type="xsd:long"&gt;40592&lt;/D&gt;&lt;D xsi:type="xsd:long"&gt;40591&lt;/D&gt;&lt;D xsi:type="xsd:long"&gt;40590&lt;/D&gt;&lt;D xsi:type="xsd:long"&gt;40589&lt;/D&gt;&lt;D xsi:type="xsd:long"&gt;40588&lt;/D&gt;&lt;D xsi:type="xsd:long"&gt;40585&lt;/D&gt;&lt;D xsi:type="xsd:long"&gt;40584&lt;/D&gt;&lt;D xsi:type="xsd:long"&gt;40583&lt;/D&gt;&lt;D xsi:type="xsd:long"&gt;40582&lt;/D&gt;&lt;D xsi:type="xsd:long"&gt;40581&lt;/D&gt;&lt;D xsi:type="xsd:long"&gt;40578&lt;/D&gt;&lt;D xsi:type="xsd:long"&gt;40577&lt;/D&gt;&lt;D xsi:type="xsd:long"&gt;40576&lt;/D&gt;&lt;D xsi:type="xsd:long"&gt;40575&lt;/D&gt;&lt;D xsi:type="xsd:long"&gt;40574&lt;/D&gt;&lt;D xsi:type="xsd:long"&gt;40571&lt;/D&gt;&lt;D xsi:type="xsd:long"&gt;40570&lt;/D&gt;&lt;D xsi:type="xsd:long"&gt;40569&lt;/D&gt;&lt;D xsi:type="xsd:long"&gt;40568&lt;/D&gt;&lt;D xsi:type="xsd:long"&gt;40567&lt;/D&gt;&lt;D xsi:type="xsd:long"&gt;40564&lt;/D&gt;&lt;D xsi:type="xsd:long"&gt;40563&lt;/D&gt;&lt;D xsi:type="xsd:long"&gt;40562&lt;/D&gt;&lt;D xsi:type="xsd:long"&gt;40561&lt;/D&gt;&lt;D xsi:type="xsd:long"&gt;40557&lt;/D&gt;&lt;D xsi:type="xsd:long"&gt;40556&lt;/D&gt;&lt;D xsi:type="xsd:long"&gt;40555&lt;/D&gt;&lt;D xsi:type="xsd:long"&gt;40554&lt;/D&gt;&lt;D xsi:type="xsd:long"&gt;40553&lt;/D&gt;&lt;D xsi:type="xsd:long"&gt;40550&lt;/D&gt;&lt;D xsi:type="xsd:long"&gt;40549&lt;/D&gt;&lt;D xsi:type="xsd:long"&gt;40548&lt;/D&gt;&lt;D xsi:type="xsd:long"&gt;40547&lt;/D&gt;&lt;D xsi:type="xsd:long"&gt;40546&lt;/D&gt;&lt;D xsi:type="xsd:long"&gt;40543&lt;/D&gt;&lt;D xsi:type="xsd:long"&gt;40542&lt;/D&gt;&lt;D xsi:type="xsd:long"&gt;40541&lt;/D&gt;&lt;D xsi:type="xsd:long"&gt;40540&lt;/D&gt;&lt;D xsi:type="xsd:long"&gt;40539&lt;/D&gt;&lt;D xsi:type="xsd:long"&gt;40535&lt;/D&gt;&lt;D xsi:type="xsd:long"&gt;40534&lt;/D&gt;&lt;D xsi:type="xsd:long"&gt;40533&lt;/D&gt;&lt;D xsi:type="xsd:long"&gt;40532&lt;/D&gt;&lt;D xsi:type="xsd:long"&gt;40529&lt;/D&gt;&lt;D xsi:type="xsd:long"&gt;40528&lt;/D&gt;&lt;D xsi:type="xsd:long"&gt;40527&lt;/D&gt;&lt;D xsi:type="xsd:long"&gt;40526&lt;/D&gt;&lt;D xsi:type="xsd:long"&gt;40525&lt;/D&gt;&lt;D xsi:type="xsd:long"&gt;40522&lt;/D&gt;&lt;D xsi:type="xsd:long"&gt;40521&lt;/D&gt;&lt;D xsi:type="xsd:long"&gt;40520&lt;/D&gt;&lt;D xsi:type="xsd:long"&gt;40519&lt;/D&gt;&lt;D xsi:type="xsd:long"&gt;40518&lt;/D&gt;&lt;D xsi:type="xsd:long"&gt;40515&lt;/D&gt;&lt;D xsi:type="xsd:long"&gt;40514&lt;/D&gt;&lt;D xsi:type="xsd:long"&gt;40513&lt;/D&gt;&lt;D xsi:type="xsd:long"&gt;40512&lt;/D&gt;&lt;D xsi:type="xsd:long"&gt;40511&lt;/D&gt;&lt;D xsi:type="xsd:long"&gt;40508&lt;/D&gt;&lt;D xsi:type="xsd:long"&gt;40506&lt;/D&gt;&lt;D xsi:type="xsd:long"&gt;40505&lt;/D&gt;&lt;D xsi:type="xsd:long"&gt;40504&lt;/D&gt;&lt;D xsi:type="xsd:long"&gt;40501&lt;/D&gt;&lt;D xsi:type="xsd:long"&gt;40500&lt;/D&gt;&lt;D xsi:type="xsd:long"&gt;40499&lt;/D&gt;&lt;D xsi:type="xsd:long"&gt;40498&lt;/D&gt;&lt;D xsi:type="xsd:long"&gt;40497&lt;/D&gt;&lt;D xsi:type="xsd:long"&gt;40494&lt;/D&gt;&lt;D xsi:type="xsd:long"&gt;40493&lt;/D&gt;&lt;D xsi:type="xsd:long"&gt;40492&lt;/D&gt;&lt;D xsi:type="xsd:long"&gt;40491&lt;/D&gt;&lt;D xsi:type="xsd:long"&gt;40490&lt;/D&gt;&lt;D xsi:type="xsd:long"&gt;40487&lt;/D&gt;&lt;D xsi:type="xsd:long"&gt;40486&lt;/D&gt;&lt;D xsi:type="xsd:long"&gt;40485&lt;/D&gt;&lt;D xsi:type="xsd:long"&gt;40484&lt;/D&gt;&lt;D xsi:type="xsd:long"&gt;40483&lt;/D&gt;&lt;D xsi:type="xsd:long"&gt;40480&lt;/D&gt;&lt;D xsi:type="xsd:long"&gt;40479&lt;/D&gt;&lt;D xsi:type="xsd:long"&gt;40478&lt;/D&gt;&lt;D xsi:type="xsd:long"&gt;40477&lt;/D&gt;&lt;D xsi:type="xsd:long"&gt;40476&lt;/D&gt;&lt;D xsi:type="xsd:long"&gt;40473&lt;/D&gt;&lt;D xsi:type="xsd:long"&gt;40472&lt;/D&gt;&lt;D xsi:type="xsd:long"&gt;40471&lt;/D&gt;&lt;D xsi:type="xsd:long"&gt;40470&lt;/D&gt;&lt;D xsi:type="xsd:long"&gt;40469&lt;/D&gt;&lt;D xsi:type="xsd:long"&gt;40466&lt;/D&gt;&lt;D xsi:type="xsd:long"&gt;40465&lt;/D&gt;&lt;D xsi:type="xsd:long"&gt;40464&lt;/D&gt;&lt;D xsi:type="xsd:long"&gt;40463&lt;/D&gt;&lt;D xsi:type="xsd:long"&gt;40462&lt;/D&gt;&lt;D xsi:type="xsd:long"&gt;40459&lt;/D&gt;&lt;D xsi:type="xsd:long"&gt;40458&lt;/D&gt;&lt;D xsi:type="xsd:long"&gt;40457&lt;/D&gt;&lt;D xsi:type="xsd:long"&gt;40456&lt;/D&gt;&lt;D xsi:type="xsd:long"&gt;40455&lt;/D&gt;&lt;D xsi:type="xsd:long"&gt;40452&lt;/D&gt;&lt;D xsi:type="xsd:long"&gt;40451&lt;/D&gt;&lt;D xsi:type="xsd:long"&gt;40450&lt;/D&gt;&lt;D xsi:type="xsd:long"&gt;40449&lt;/D&gt;&lt;D xsi:type="xsd:long"&gt;40448&lt;/D&gt;&lt;D xsi:type="xsd:long"&gt;40445&lt;/D&gt;&lt;D xsi:type="xsd:long"&gt;40444&lt;/D&gt;&lt;D xsi:type="xsd:long"&gt;40443&lt;/D&gt;&lt;D xsi:type="xsd:long"&gt;40442&lt;/D&gt;&lt;D xsi:type="xsd:long"&gt;40441&lt;/D&gt;&lt;D xsi:type="xsd:long"&gt;40438&lt;/D&gt;&lt;D xsi:type="xsd:long"&gt;40437&lt;/D&gt;&lt;D xsi:type="xsd:long"&gt;40436&lt;/D&gt;&lt;D xsi:type="xsd:long"&gt;40435&lt;/D&gt;&lt;D xsi:type="xsd:long"&gt;40434&lt;/D&gt;&lt;D xsi:type="xsd:long"&gt;40431&lt;/D&gt;&lt;D xsi:type="xsd:long"&gt;40430&lt;/D&gt;&lt;D xsi:type="xsd:long"&gt;40429&lt;/D&gt;&lt;D xsi:type="xsd:long"&gt;40428&lt;/D&gt;&lt;D xsi:type="xsd:long"&gt;40424&lt;/D&gt;&lt;D xsi:type="xsd:long"&gt;40423&lt;/D&gt;&lt;D xsi:type="xsd:long"&gt;40422&lt;/D&gt;&lt;D xsi:type="xsd:long"&gt;40421&lt;/D&gt;&lt;D xsi:type="xsd:long"&gt;40420&lt;/D&gt;&lt;D xsi:type="xsd:long"&gt;40417&lt;/D&gt;&lt;D xsi:type="xsd:long"&gt;40416&lt;/D&gt;&lt;D xsi:type="xsd:long"&gt;40415&lt;/D&gt;&lt;D xsi:type="xsd:long"&gt;40414&lt;/D&gt;&lt;D xsi:type="xsd:long"&gt;40413&lt;/D&gt;&lt;D xsi:type="xsd:long"&gt;40410&lt;/D&gt;&lt;D xsi:type="xsd:long"&gt;40409&lt;/D&gt;&lt;D xsi:type="xsd:long"&gt;40408&lt;/D&gt;&lt;D xsi:type="xsd:long"&gt;40407&lt;/D&gt;&lt;D xsi:type="xsd:long"&gt;40406&lt;/D&gt;&lt;D xsi:type="xsd:long"&gt;40403&lt;/D&gt;&lt;D xsi:type="xsd:long"&gt;40402&lt;/D&gt;&lt;D xsi:type="xsd:long"&gt;40401&lt;/D&gt;&lt;D xsi:type="xsd:long"&gt;40400&lt;/D&gt;&lt;D xsi:type="xsd:long"&gt;40399&lt;/D&gt;&lt;D xsi:type="xsd:long"&gt;40396&lt;/D&gt;&lt;D xsi:type="xsd:long"&gt;40395&lt;/D&gt;&lt;D xsi:type="xsd:long"&gt;40394&lt;/D&gt;&lt;D xsi:type="xsd:long"&gt;40393&lt;/D&gt;&lt;D xsi:type="xsd:long"&gt;40392&lt;/D&gt;&lt;D xsi:type="xsd:long"&gt;40389&lt;/D&gt;&lt;D xsi:type="xsd:long"&gt;40388&lt;/D&gt;&lt;D xsi:type="xsd:long"&gt;40387&lt;/D&gt;&lt;D xsi:type="xsd:long"&gt;40386&lt;/D&gt;&lt;D xsi:type="xsd:long"&gt;40385&lt;/D&gt;&lt;D xsi:type="xsd:long"&gt;40382&lt;/D&gt;&lt;D xsi:type="xsd:long"&gt;40381&lt;/D&gt;&lt;D xsi:type="xsd:long"&gt;40380&lt;/D&gt;&lt;D xsi:type="xsd:long"&gt;40379&lt;/D&gt;&lt;D xsi:type="xsd:long"&gt;40378&lt;/D&gt;&lt;D xsi:type="xsd:long"&gt;40375&lt;/D&gt;&lt;D xsi:type="xsd:long"&gt;40374&lt;/D&gt;&lt;D xsi:type="xsd:long"&gt;40373&lt;/D&gt;&lt;D xsi:type="xsd:long"&gt;40372&lt;/D&gt;&lt;D xsi:type="xsd:long"&gt;40371&lt;/D&gt;&lt;D xsi:type="xsd:long"&gt;40368&lt;/D&gt;&lt;D xsi:type="xsd:long"&gt;40367&lt;/D&gt;&lt;D xsi:type="xsd:long"&gt;40366&lt;/D&gt;&lt;D xsi:type="xsd:long"&gt;40365&lt;/D&gt;&lt;D xsi:type="xsd:long"&gt;40361&lt;/D&gt;&lt;D xsi:type="xsd:long"&gt;40360&lt;/D&gt;&lt;D xsi:type="xsd:long"&gt;40359&lt;/D&gt;&lt;D xsi:type="xsd:long"&gt;40358&lt;/D&gt;&lt;D xsi:type="xsd:long"&gt;40357&lt;/D&gt;&lt;D xsi:type="xsd:long"&gt;40354&lt;/D&gt;&lt;D xsi:type="xsd:long"&gt;40353&lt;/D&gt;&lt;D xsi:type="xsd:long"&gt;40352&lt;/D&gt;&lt;D xsi:type="xsd:long"&gt;40351&lt;/D&gt;&lt;D xsi:type="xsd:long"&gt;40350&lt;/D&gt;&lt;D xsi:type="xsd:long"&gt;40347&lt;/D&gt;&lt;D xsi:type="xsd:long"&gt;40346&lt;/D&gt;&lt;D xsi:type="xsd:long"&gt;40345&lt;/D&gt;&lt;D xsi:type="xsd:long"&gt;40344&lt;/D&gt;&lt;D xsi:type="xsd:long"&gt;40343&lt;/D&gt;&lt;D xsi:type="xsd:long"&gt;40340&lt;/D&gt;&lt;D xsi:type="xsd:long"&gt;40339&lt;/D&gt;&lt;D xsi:type="xsd:long"&gt;40338&lt;/D&gt;&lt;D xsi:type="xsd:long"&gt;40337&lt;/D&gt;&lt;D xsi:type="xsd:long"&gt;40336&lt;/D&gt;&lt;D xsi:type="xsd:long"&gt;40333&lt;/D&gt;&lt;D xsi:type="xsd:long"&gt;40332&lt;/D&gt;&lt;D xsi:type="xsd:long"&gt;40331&lt;/D&gt;&lt;D xsi:type="xsd:long"&gt;40330&lt;/D&gt;&lt;D xsi:type="xsd:long"&gt;40326&lt;/D&gt;&lt;D xsi:type="xsd:long"&gt;40325&lt;/D&gt;&lt;D xsi:type="xsd:long"&gt;40324&lt;/D&gt;&lt;D xsi:type="xsd:long"&gt;40323&lt;/D&gt;&lt;D xsi:type="xsd:long"&gt;40322&lt;/D&gt;&lt;D xsi:type="xsd:long"&gt;40319&lt;/D&gt;&lt;D xsi:type="xsd:long"&gt;40318&lt;/D&gt;&lt;D xsi:type="xsd:long"&gt;40317&lt;/D&gt;&lt;D xsi:type="xsd:long"&gt;40316&lt;/D&gt;&lt;D xsi:type="xsd:long"&gt;40315&lt;/D&gt;&lt;D xsi:type="xsd:long"&gt;40312&lt;/D&gt;&lt;D xsi:type="xsd:long"&gt;40311&lt;/D&gt;&lt;D xsi:type="xsd:long"&gt;40310&lt;/D&gt;&lt;D xsi:type="xsd:long"&gt;40309&lt;/D&gt;&lt;D xsi:type="xsd:long"&gt;40308&lt;/D&gt;&lt;D xsi:type="xsd:long"&gt;40305&lt;/D&gt;&lt;D xsi:type="xsd:long"&gt;40304&lt;/D&gt;&lt;D xsi:type="xsd:long"&gt;40303&lt;/D&gt;&lt;D xsi:type="xsd:long"&gt;40302&lt;/D&gt;&lt;D xsi:type="xsd:long"&gt;40301&lt;/D&gt;&lt;D xsi:type="xsd:long"&gt;40298&lt;/D&gt;&lt;D xsi:type="xsd:long"&gt;40297&lt;/D&gt;&lt;D xsi:type="xsd:long"&gt;40296&lt;/D&gt;&lt;D xsi:type="xsd:long"&gt;40295&lt;/D&gt;&lt;D xsi:type="xsd:long"&gt;40294&lt;/D&gt;&lt;D xsi:type="xsd:long"&gt;40291&lt;/D&gt;&lt;D xsi:type="xsd:long"&gt;40290&lt;/D&gt;&lt;D xsi:type="xsd:long"&gt;40289&lt;/D&gt;&lt;D xsi:type="xsd:long"&gt;40288&lt;/D&gt;&lt;D xsi:type="xsd:long"&gt;40287&lt;/D&gt;&lt;D xsi:type="xsd:long"&gt;40284&lt;/D&gt;&lt;D xsi:type="xsd:long"&gt;40283&lt;/D&gt;&lt;D xsi:type="xsd:long"&gt;40282&lt;/D&gt;&lt;D xsi:type="xsd:long"&gt;40281&lt;/D&gt;&lt;D xsi:type="xsd:long"&gt;40280&lt;/D&gt;&lt;D xsi:type="xsd:long"&gt;40277&lt;/D&gt;&lt;D xsi:type="xsd:long"&gt;40276&lt;/D&gt;&lt;D xsi:type="xsd:long"&gt;40275&lt;/D&gt;&lt;D xsi:type="xsd:long"&gt;40274&lt;/D&gt;&lt;D xsi:type="xsd:long"&gt;40273&lt;/D&gt;&lt;D xsi:type="xsd:long"&gt;40269&lt;/D&gt;&lt;D xsi:type="xsd:long"&gt;40268&lt;/D&gt;&lt;D xsi:type="xsd:long"&gt;40267&lt;/D&gt;&lt;D xsi:type="xsd:long"&gt;40266&lt;/D&gt;&lt;D xsi:type="xsd:long"&gt;40263&lt;/D&gt;&lt;D xsi:type="xsd:long"&gt;40262&lt;/D&gt;&lt;D xsi:type="xsd:long"&gt;40261&lt;/D&gt;&lt;D xsi:type="xsd:long"&gt;40260&lt;/D&gt;&lt;D xsi:type="xsd:long"&gt;40259&lt;/D&gt;&lt;D xsi:type="xsd:long"&gt;40256&lt;/D&gt;&lt;D xsi:type="xsd:long"&gt;40255&lt;/D&gt;&lt;D xsi:type="xsd:long"&gt;40254&lt;/D&gt;&lt;D xsi:type="xsd:long"&gt;40253&lt;/D&gt;&lt;D xsi:type="xsd:long"&gt;40252&lt;/D&gt;&lt;D xsi:type="xsd:long"&gt;40249&lt;/D&gt;&lt;D xsi:type="xsd:long"&gt;40248&lt;/D&gt;&lt;D xsi:type="xsd:long"&gt;40247&lt;/D&gt;&lt;D xsi:type="xsd:long"&gt;40246&lt;/D&gt;&lt;D xsi:type="xsd:long"&gt;40245&lt;/D&gt;&lt;D xsi:type="xsd:long"&gt;40242&lt;/D&gt;&lt;D xsi:type="xsd:long"&gt;40241&lt;/D&gt;&lt;D xsi:type="xsd:long"&gt;40240&lt;/D&gt;&lt;D xsi:type="xsd:long"&gt;40239&lt;/D&gt;&lt;D xsi:type="xsd:long"&gt;40238&lt;/D&gt;&lt;D xsi:type="xsd:long"&gt;40235&lt;/D&gt;&lt;D xsi:type="xsd:long"&gt;40234&lt;/D&gt;&lt;D xsi:type="xsd:long"&gt;40233&lt;/D&gt;&lt;D xsi:type="xsd:long"&gt;40232&lt;/D&gt;&lt;D xsi:type="xsd:long"&gt;40231&lt;/D&gt;&lt;D xsi:type="xsd:long"&gt;40228&lt;/D&gt;&lt;D xsi:type="xsd:long"&gt;40227&lt;/D&gt;&lt;D xsi:type="xsd:long"&gt;40226&lt;/D&gt;&lt;D xsi:type="xsd:long"&gt;40225&lt;/D&gt;&lt;D xsi:type="xsd:long"&gt;40221&lt;/D&gt;&lt;D xsi:type="xsd:long"&gt;40220&lt;/D&gt;&lt;D xsi:type="xsd:long"&gt;40219&lt;/D&gt;&lt;D xsi:type="xsd:long"&gt;40218&lt;/D&gt;&lt;D xsi:type="xsd:long"&gt;40217&lt;/D&gt;&lt;D xsi:type="xsd:long"&gt;40214&lt;/D&gt;&lt;D xsi:type="xsd:long"&gt;40213&lt;/D&gt;&lt;D xsi:type="xsd:long"&gt;40212&lt;/D&gt;&lt;D xsi:type="xsd:long"&gt;40211&lt;/D&gt;&lt;D xsi:type="xsd:long"&gt;40210&lt;/D&gt;&lt;D xsi:type="xsd:long"&gt;40207&lt;/D&gt;&lt;D xsi:type="xsd:long"&gt;40206&lt;/D&gt;&lt;D xsi:type="xsd:long"&gt;40205&lt;/D&gt;&lt;D xsi:type="xsd:long"&gt;40204&lt;/D&gt;&lt;D xsi:type="xsd:long"&gt;40203&lt;/D&gt;&lt;D xsi:type="xsd:long"&gt;40200&lt;/D&gt;&lt;D xsi:type="xsd:long"&gt;40199&lt;/D&gt;&lt;D xsi:type="xsd:long"&gt;40198&lt;/D&gt;&lt;D xsi:type="xsd:long"&gt;40197&lt;/D&gt;&lt;D xsi:type="xsd:long"&gt;40193&lt;/D&gt;&lt;D xsi:type="xsd:long"&gt;40192&lt;/D&gt;&lt;D xsi:type="xsd:long"&gt;40191&lt;/D&gt;&lt;D xsi:type="xsd:long"&gt;40190&lt;/D&gt;&lt;D xsi:type="xsd:long"&gt;40189&lt;/D&gt;&lt;D xsi:type="xsd:long"&gt;40186&lt;/D&gt;&lt;D xsi:type="xsd:long"&gt;40185&lt;/D&gt;&lt;D xsi:type="xsd:long"&gt;40184&lt;/D&gt;&lt;D xsi:type="xsd:long"&gt;40183&lt;/D&gt;&lt;D xsi:type="xsd:long"&gt;40182&lt;/D&gt;&lt;D xsi:type="xsd:long"&gt;40178&lt;/D&gt;&lt;D xsi:type="xsd:long"&gt;40177&lt;/D&gt;&lt;D xsi:type="xsd:long"&gt;40176&lt;/D&gt;&lt;D xsi:type="xsd:long"&gt;40175&lt;/D&gt;&lt;D xsi:type="xsd:long"&gt;40171&lt;/D&gt;&lt;D xsi:type="xsd:long"&gt;40170&lt;/D&gt;&lt;D xsi:type="xsd:long"&gt;40169&lt;/D&gt;&lt;D xsi:type="xsd:long"&gt;40168&lt;/D&gt;&lt;D xsi:type="xsd:long"&gt;40165&lt;/D&gt;&lt;D xsi:type="xsd:long"&gt;40164&lt;/D&gt;&lt;D xsi:type="xsd:long"&gt;40163&lt;/D&gt;&lt;D xsi:type="xsd:long"&gt;40162&lt;/D&gt;&lt;D xsi:type="xsd:long"&gt;40161&lt;/D&gt;&lt;D xsi:type="xsd:long"&gt;40158&lt;/D&gt;&lt;D xsi:type="xsd:long"&gt;40157&lt;/D&gt;&lt;D xsi:type="xsd:long"&gt;40156&lt;/D&gt;&lt;D xsi:type="xsd:long"&gt;40155&lt;/D&gt;&lt;D xsi:type="xsd:long"&gt;40154&lt;/D&gt;&lt;D xsi:type="xsd:long"&gt;40151&lt;/D&gt;&lt;D xsi:type="xsd:long"&gt;40150&lt;/D&gt;&lt;D xsi:type="xsd:long"&gt;40149&lt;/D&gt;&lt;D xsi:type="xsd:long"&gt;40148&lt;/D&gt;&lt;D xsi:type="xsd:long"&gt;40147&lt;/D&gt;&lt;D xsi:type="xsd:long"&gt;40144&lt;/D&gt;&lt;D xsi:type="xsd:long"&gt;40142&lt;/D&gt;&lt;D xsi:type="xsd:long"&gt;40141&lt;/D&gt;&lt;D xsi:type="xsd:long"&gt;40140&lt;/D&gt;&lt;D xsi:type="xsd:long"&gt;40137&lt;/D&gt;&lt;D xsi:type="xsd:long"&gt;40136&lt;/D&gt;&lt;D xsi:type="xsd:long"&gt;40135&lt;/D&gt;&lt;D xsi:type="xsd:long"&gt;40134&lt;/D&gt;&lt;D xsi:type="xsd:long"&gt;40133&lt;/D&gt;&lt;D xsi:type="xsd:long"&gt;40130&lt;/D&gt;&lt;D xsi:type="xsd:long"&gt;40129&lt;/D&gt;&lt;D xsi:type="xsd:long"&gt;40128&lt;/D&gt;&lt;D xsi:type="xsd:long"&gt;40127&lt;/D&gt;&lt;D xsi:type="xsd:long"&gt;40126&lt;/D&gt;&lt;D xsi:type="xsd:long"&gt;40123&lt;/D&gt;&lt;D xsi:type="xsd:long"&gt;40122&lt;/D&gt;&lt;D xsi:type="xsd:long"&gt;40121&lt;/D&gt;&lt;D xsi:type="xsd:long"&gt;40120&lt;/D&gt;&lt;D xsi:type="xsd:long"&gt;40119&lt;/D&gt;&lt;D xsi:type="xsd:long"&gt;40116&lt;/D&gt;&lt;D xsi:type="xsd:long"&gt;40115&lt;/D&gt;&lt;D xsi:type="xsd:long"&gt;40114&lt;/D&gt;&lt;D xsi:type="xsd:long"&gt;40113&lt;/D&gt;&lt;D xsi:type="xsd:long"&gt;40112&lt;/D&gt;&lt;D xsi:type="xsd:long"&gt;40109&lt;/D&gt;&lt;D xsi:type="xsd:long"&gt;40108&lt;/D&gt;&lt;D xsi:type="xsd:long"&gt;40107&lt;/D&gt;&lt;D xsi:type="xsd:long"&gt;40106&lt;/D&gt;&lt;D xsi:type="xsd:long"&gt;40105&lt;/D&gt;&lt;D xsi:type="xsd:long"&gt;40102&lt;/D&gt;&lt;D xsi:type="xsd:long"&gt;40101&lt;/D&gt;&lt;D xsi:type="xsd:long"&gt;40100&lt;/D&gt;&lt;D xsi:type="xsd:long"&gt;40099&lt;/D&gt;&lt;D xsi:type="xsd:long"&gt;40098&lt;/D&gt;&lt;D xsi:type="xsd:long"&gt;40095&lt;/D&gt;&lt;D xsi:type="xsd:long"&gt;40094&lt;/D&gt;&lt;D xsi:type="xsd:long"&gt;40093&lt;/D&gt;&lt;D xsi:type="xsd:long"&gt;40092&lt;/D&gt;&lt;D xsi:type="xsd:long"&gt;40091&lt;/D&gt;&lt;D xsi:type="xsd:long"&gt;40088&lt;/D&gt;&lt;D xsi:type="xsd:long"&gt;40087&lt;/D&gt;&lt;D xsi:type="xsd:long"&gt;40086&lt;/D&gt;&lt;D xsi:type="xsd:long"&gt;40085&lt;/D&gt;&lt;D xsi:type="xsd:long"&gt;40084&lt;/D&gt;&lt;D xsi:type="xsd:long"&gt;40081&lt;/D&gt;&lt;D xsi:type="xsd:long"&gt;40080&lt;/D&gt;&lt;D xsi:type="xsd:long"&gt;40079&lt;/D&gt;&lt;D xsi:type="xsd:long"&gt;40078&lt;/D&gt;&lt;D xsi:type="xsd:long"&gt;40077&lt;/D&gt;&lt;D xsi:type="xsd:long"&gt;40074&lt;/D&gt;&lt;D xsi:type="xsd:long"&gt;40073&lt;/D&gt;&lt;D xsi:type="xsd:long"&gt;40072&lt;/D&gt;&lt;D xsi:type="xsd:long"&gt;40071&lt;/D&gt;&lt;D xsi:type="xsd:long"&gt;40070&lt;/D&gt;&lt;D xsi:type="xsd:long"&gt;40067&lt;/D&gt;&lt;D xsi:type="xsd:long"&gt;40066&lt;/D&gt;&lt;D xsi:type="xsd:long"&gt;40065&lt;/D&gt;&lt;D xsi:type="xsd:long"&gt;40064&lt;/D&gt;&lt;D xsi:type="xsd:long"&gt;40060&lt;/D&gt;&lt;D xsi:type="xsd:long"&gt;40059&lt;/D&gt;&lt;D xsi:type="xsd:long"&gt;40058&lt;/D&gt;&lt;D xsi:type="xsd:long"&gt;40057&lt;/D&gt;&lt;D xsi:type="xsd:long"&gt;40056&lt;/D&gt;&lt;D xsi:type="xsd:long"&gt;40053&lt;/D&gt;&lt;D xsi:type="xsd:long"&gt;40052&lt;/D&gt;&lt;D xsi:type="xsd:long"&gt;40051&lt;/D&gt;&lt;D xsi:type="xsd:long"&gt;40050&lt;/D&gt;&lt;D xsi:type="xsd:long"&gt;40049&lt;/D&gt;&lt;D xsi:type="xsd:long"&gt;40046&lt;/D&gt;&lt;D xsi:type="xsd:long"&gt;40045&lt;/D&gt;&lt;D xsi:type="xsd:long"&gt;40044&lt;/D&gt;&lt;D xsi:type="xsd:long"&gt;40043&lt;/D&gt;&lt;D xsi:type="xsd:long"&gt;40042&lt;/D&gt;&lt;D xsi:type="xsd:long"&gt;40039&lt;/D&gt;&lt;D xsi:type="xsd:long"&gt;40038&lt;/D&gt;&lt;D xsi:type="xsd:long"&gt;40037&lt;/D&gt;&lt;D xsi:type="xsd:long"&gt;40036&lt;/D&gt;&lt;D xsi:type="xsd:long"&gt;40035&lt;/D&gt;&lt;D xsi:type="xsd:long"&gt;40032&lt;/D&gt;&lt;D xsi:type="xsd:long"&gt;40031&lt;/D&gt;&lt;D xsi:type="xsd:long"&gt;40030&lt;/D&gt;&lt;D xsi:type="xsd:long"&gt;40029&lt;/D&gt;&lt;D xsi:type="xsd:long"&gt;40028&lt;/D&gt;&lt;D xsi:type="xsd:long"&gt;40025&lt;/D&gt;&lt;D xsi:type="xsd:long"&gt;40024&lt;/D&gt;&lt;D xsi:type="xsd:long"&gt;40023&lt;/D&gt;&lt;D xsi:type="xsd:long"&gt;40022&lt;/D&gt;&lt;D xsi:type="xsd:long"&gt;40021&lt;/D&gt;&lt;D xsi:type="xsd:long"&gt;40018&lt;/D&gt;&lt;D xsi:type="xsd:long"&gt;40017&lt;/D&gt;&lt;D xsi:type="xsd:long"&gt;40016&lt;/D&gt;&lt;D xsi:type="xsd:long"&gt;40015&lt;/D&gt;&lt;D xsi:type="xsd:long"&gt;40014&lt;/D&gt;&lt;D xsi:type="xsd:long"&gt;40011&lt;/D&gt;&lt;D xsi:type="xsd:long"&gt;40010&lt;/D&gt;&lt;D xsi:type="xsd:long"&gt;40009&lt;/D&gt;&lt;D xsi:type="xsd:long"&gt;40008&lt;/D&gt;&lt;D xsi:type="xsd:long"&gt;40007&lt;/D&gt;&lt;D xsi:type="xsd:long"&gt;40004&lt;/D&gt;&lt;D xsi:type="xsd:long"&gt;40003&lt;/D&gt;&lt;D xsi:type="xsd:long"&gt;40002&lt;/D&gt;&lt;D xsi:type="xsd:long"&gt;40001&lt;/D&gt;&lt;D xsi:type="xsd:long"&gt;40000&lt;/D&gt;&lt;D xsi:type="xsd:long"&gt;39996&lt;/D&gt;&lt;D xsi:type="xsd:long"&gt;39995&lt;/D&gt;&lt;D xsi:type="xsd:long"&gt;39994&lt;/D&gt;&lt;D xsi:type="xsd:long"&gt;39993&lt;/D&gt;&lt;D xsi:type="xsd:long"&gt;39990&lt;/D&gt;&lt;D xsi:type="xsd:long"&gt;39989&lt;/D&gt;&lt;D xsi:type="xsd:long"&gt;39988&lt;/D&gt;&lt;D xsi:type="xsd:long"&gt;39987&lt;/D&gt;&lt;D xsi:type="xsd:long"&gt;39986&lt;/D&gt;&lt;D xsi:type="xsd:long"&gt;39983&lt;/D&gt;&lt;D xsi:type="xsd:long"&gt;39982&lt;/D&gt;&lt;D xsi:type="xsd:long"&gt;39981&lt;/D&gt;&lt;D xsi:type="xsd:long"&gt;39980&lt;/D&gt;&lt;D xsi:type="xsd:long"&gt;39979&lt;/D&gt;&lt;D xsi:type="xsd:long"&gt;39976&lt;/D&gt;&lt;D xsi:type="xsd:long"&gt;39975&lt;/D&gt;&lt;D xsi:type="xsd:long"&gt;39974&lt;/D&gt;&lt;D xsi:type="xsd:long"&gt;39973&lt;/D&gt;&lt;D xsi:type="xsd:long"&gt;39972&lt;/D&gt;&lt;D xsi:type="xsd:long"&gt;39969&lt;/D&gt;&lt;D xsi:type="xsd:long"&gt;39968&lt;/D&gt;&lt;D xsi:type="xsd:long"&gt;39967&lt;/D&gt;&lt;D xsi:type="xsd:long"&gt;39966&lt;/D&gt;&lt;D xsi:type="xsd:long"&gt;39965&lt;/D&gt;&lt;D xsi:type="xsd:long"&gt;39962&lt;/D&gt;&lt;D xsi:type="xsd:long"&gt;39961&lt;/D&gt;&lt;D xsi:type="xsd:long"&gt;39960&lt;/D&gt;&lt;D xsi:type="xsd:long"&gt;39959&lt;/D&gt;&lt;D xsi:type="xsd:long"&gt;39955&lt;/D&gt;&lt;D xsi:type="xsd:long"&gt;39954&lt;/D&gt;&lt;D xsi:type="xsd:long"&gt;39953&lt;/D&gt;&lt;D xsi:type="xsd:long"&gt;39952&lt;/D&gt;&lt;D xsi:type="xsd:long"&gt;39951&lt;/D&gt;&lt;D xsi:type="xsd:long"&gt;39948&lt;/D&gt;&lt;D xsi:type="xsd:long"&gt;39947&lt;/D&gt;&lt;D xsi:type="xsd:long"&gt;39946&lt;/D&gt;&lt;D xsi:type="xsd:long"&gt;39945&lt;/D&gt;&lt;D xsi:type="xsd:long"&gt;39944&lt;/D&gt;&lt;D xsi:type="xsd:long"&gt;39941&lt;/D&gt;&lt;D xsi:type="xsd:long"&gt;39940&lt;/D&gt;&lt;D xsi:type="xsd:long"&gt;39939&lt;/D&gt;&lt;D xsi:type="xsd:long"&gt;39938&lt;/D&gt;&lt;D xsi:type="xsd:long"&gt;39937&lt;/D&gt;&lt;D xsi:type="xsd:long"&gt;39934&lt;/D&gt;&lt;D xsi:type="xsd:long"&gt;39933&lt;/D&gt;&lt;D xsi:type="xsd:long"&gt;39932&lt;/D&gt;&lt;D xsi:type="xsd:long"&gt;39931&lt;/D&gt;&lt;D xsi:type="xsd:long"&gt;39930&lt;/D&gt;&lt;D xsi:type="xsd:long"&gt;39927&lt;/D&gt;&lt;D xsi:type="xsd:long"&gt;39926&lt;/D&gt;&lt;D xsi:type="xsd:long"&gt;39925&lt;/D&gt;&lt;D xsi:type="xsd:long"&gt;39924&lt;/D&gt;&lt;D xsi:type="xsd:long"&gt;39923&lt;/D&gt;&lt;D xsi:type="xsd:long"&gt;39920&lt;/D&gt;&lt;D xsi:type="xsd:long"&gt;39919&lt;/D&gt;&lt;D xsi:type="xsd:long"&gt;39918&lt;/D&gt;&lt;D xsi:type="xsd:long"&gt;39917&lt;/D&gt;&lt;D xsi:type="xsd:long"&gt;39916&lt;/D&gt;&lt;D xsi:type="xsd:long"&gt;39912&lt;/D&gt;&lt;D xsi:type="xsd:long"&gt;39911&lt;/D&gt;&lt;D xsi:type="xsd:long"&gt;39910&lt;/D&gt;&lt;D xsi:type="xsd:long"&gt;39909&lt;/D&gt;&lt;D xsi:type="xsd:long"&gt;39906&lt;/D&gt;&lt;D xsi:type="xsd:long"&gt;39905&lt;/D&gt;&lt;D xsi:type="xsd:long"&gt;39904&lt;/D&gt;&lt;D xsi:type="xsd:long"&gt;39903&lt;/D&gt;&lt;D xsi:type="xsd:long"&gt;39902&lt;/D&gt;&lt;D xsi:type="xsd:long"&gt;39899&lt;/D&gt;&lt;D xsi:type="xsd:long"&gt;39898&lt;/D&gt;&lt;D xsi:type="xsd:long"&gt;39897&lt;/D&gt;&lt;D xsi:type="xsd:long"&gt;39896&lt;/D&gt;&lt;D xsi:type="xsd:long"&gt;39895&lt;/D&gt;&lt;D xsi:type="xsd:long"&gt;39892&lt;/D&gt;&lt;D xsi:type="xsd:long"&gt;39891&lt;/D&gt;&lt;D xsi:type="xsd:long"&gt;39890&lt;/D&gt;&lt;D xsi:type="xsd:long"&gt;39889&lt;/D&gt;&lt;D xsi:type="xsd:long"&gt;39888&lt;/D&gt;&lt;D xsi:type="xsd:long"&gt;39885&lt;/D&gt;&lt;D xsi:type="xsd:long"&gt;39884&lt;/D&gt;&lt;D xsi:type="xsd:long"&gt;39883&lt;/D&gt;&lt;D xsi:type="xsd:long"&gt;39882&lt;/D&gt;&lt;D xsi:type="xsd:long"&gt;39881&lt;/D&gt;&lt;D xsi:type="xsd:long"&gt;39878&lt;/D&gt;&lt;D xsi:type="xsd:long"&gt;39877&lt;/D&gt;&lt;D xsi:type="xsd:long"&gt;39876&lt;/D&gt;&lt;D xsi:type="xsd:long"&gt;39875&lt;/D&gt;&lt;D xsi:type="xsd:long"&gt;39874&lt;/D&gt;&lt;D xsi:type="xsd:long"&gt;39871&lt;/D&gt;&lt;D xsi:type="xsd:long"&gt;39870&lt;/D&gt;&lt;D xsi:type="xsd:long"&gt;39869&lt;/D&gt;&lt;D xsi:type="xsd:long"&gt;39868&lt;/D&gt;&lt;D xsi:type="xsd:long"&gt;39867&lt;/D&gt;&lt;D xsi:type="xsd:long"&gt;39864&lt;/D&gt;&lt;D xsi:type="xsd:long"&gt;39863&lt;/D&gt;&lt;D xsi:type="xsd:long"&gt;39862&lt;/D&gt;&lt;D xsi:type="xsd:long"&gt;39861&lt;/D&gt;&lt;D xsi:type="xsd:long"&gt;39857&lt;/D&gt;&lt;D xsi:type="xsd:long"&gt;39856&lt;/D&gt;&lt;D xsi:type="xsd:long"&gt;39855&lt;/D&gt;&lt;D xsi:type="xsd:long"&gt;39854&lt;/D&gt;&lt;D xsi:type="xsd:long"&gt;39853&lt;/D&gt;&lt;D xsi:type="xsd:long"&gt;39850&lt;/D&gt;&lt;D xsi:type="xsd:long"&gt;39849&lt;/D&gt;&lt;D xsi:type="xsd:long"&gt;39848&lt;/D&gt;&lt;D xsi:type="xsd:long"&gt;39847&lt;/D&gt;&lt;D xsi:type="xsd:long"&gt;39846&lt;/D&gt;&lt;D xsi:type="xsd:long"&gt;39843&lt;/D&gt;&lt;D xsi:type="xsd:long"&gt;39842&lt;/D&gt;&lt;D xsi:type="xsd:long"&gt;39841&lt;/D&gt;&lt;D xsi:type="xsd:long"&gt;39840&lt;/D&gt;&lt;D xsi:type="xsd:long"&gt;39839&lt;/D&gt;&lt;D xsi:type="xsd:long"&gt;39836&lt;/D&gt;&lt;D xsi:type="xsd:long"&gt;39835&lt;/D&gt;&lt;D xsi:type="xsd:long"&gt;39834&lt;/D&gt;&lt;D xsi:type="xsd:long"&gt;39833&lt;/D&gt;&lt;D xsi:type="xsd:long"&gt;39829&lt;/D&gt;&lt;D xsi:type="xsd:long"&gt;39828&lt;/D&gt;&lt;D xsi:type="xsd:long"&gt;39827&lt;/D&gt;&lt;D xsi:type="xsd:long"&gt;39826&lt;/D&gt;&lt;D xsi:type="xsd:long"&gt;39825&lt;/D&gt;&lt;D xsi:type="xsd:long"&gt;39822&lt;/D&gt;&lt;D xsi:type="xsd:long"&gt;39821&lt;/D&gt;&lt;D xsi:type="xsd:long"&gt;39820&lt;/D&gt;&lt;D xsi:type="xsd:long"&gt;39819&lt;/D&gt;&lt;D xsi:type="xsd:long"&gt;39818&lt;/D&gt;&lt;D xsi:type="xsd:long"&gt;39815&lt;/D&gt;&lt;D xsi:type="xsd:long"&gt;39813&lt;/D&gt;&lt;D xsi:type="xsd:long"&gt;39812&lt;/D&gt;&lt;D xsi:type="xsd:long"&gt;39811&lt;/D&gt;&lt;D xsi:type="xsd:long"&gt;39808&lt;/D&gt;&lt;D xsi:type="xsd:long"&gt;39806&lt;/D&gt;&lt;D xsi:type="xsd:long"&gt;39805&lt;/D&gt;&lt;D xsi:type="xsd:long"&gt;39804&lt;/D&gt;&lt;D xsi:type="xsd:long"&gt;39801&lt;/D&gt;&lt;D xsi:type="xsd:long"&gt;39800&lt;/D&gt;&lt;D xsi:type="xsd:long"&gt;39799&lt;/D&gt;&lt;D xsi:type="xsd:long"&gt;39798&lt;/D&gt;&lt;D xsi:type="xsd:long"&gt;39797&lt;/D&gt;&lt;D xsi:type="xsd:long"&gt;39794&lt;/D&gt;&lt;D xsi:type="xsd:long"&gt;39793&lt;/D&gt;&lt;D xsi:type="xsd:long"&gt;39792&lt;/D&gt;&lt;D xsi:type="xsd:long"&gt;39791&lt;/D&gt;&lt;D xsi:type="xsd:long"&gt;39790&lt;/D&gt;&lt;D xsi:type="xsd:long"&gt;39787&lt;/D&gt;&lt;D xsi:type="xsd:long"&gt;39786&lt;/D&gt;&lt;D xsi:type="xsd:long"&gt;39785&lt;/D&gt;&lt;D xsi:type="xsd:long"&gt;39784&lt;/D&gt;&lt;D xsi:type="xsd:long"&gt;39783&lt;/D&gt;&lt;D xsi:type="xsd:long"&gt;39780&lt;/D&gt;&lt;D xsi:type="xsd:long"&gt;39778&lt;/D&gt;&lt;D xsi:type="xsd:long"&gt;39777&lt;/D&gt;&lt;D xsi:type="xsd:long"&gt;39776&lt;/D&gt;&lt;D xsi:type="xsd:long"&gt;39773&lt;/D&gt;&lt;D xsi:type="xsd:long"&gt;39772&lt;/D&gt;&lt;D xsi:type="xsd:long"&gt;39771&lt;/D&gt;&lt;D xsi:type="xsd:long"&gt;39770&lt;/D&gt;&lt;D xsi:type="xsd:long"&gt;39769&lt;/D&gt;&lt;D xsi:type="xsd:long"&gt;39766&lt;/D&gt;&lt;D xsi:type="xsd:long"&gt;39765&lt;/D&gt;&lt;D xsi:type="xsd:long"&gt;39764&lt;/D&gt;&lt;D xsi:type="xsd:long"&gt;39763&lt;/D&gt;&lt;D xsi:type="xsd:long"&gt;39762&lt;/D&gt;&lt;D xsi:type="xsd:long"&gt;39759&lt;/D&gt;&lt;D xsi:type="xsd:long"&gt;39758&lt;/D&gt;&lt;D xsi:type="xsd:long"&gt;39757&lt;/D&gt;&lt;D xsi:type="xsd:long"&gt;39756&lt;/D&gt;&lt;D xsi:type="xsd:long"&gt;39755&lt;/D&gt;&lt;D xsi:type="xsd:long"&gt;39752&lt;/D&gt;&lt;D xsi:type="xsd:long"&gt;39751&lt;/D&gt;&lt;D xsi:type="xsd:long"&gt;39750&lt;/D&gt;&lt;D xsi:type="xsd:long"&gt;39749&lt;/D&gt;&lt;D xsi:type="xsd:long"&gt;39748&lt;/D&gt;&lt;D xsi:type="xsd:long"&gt;39745&lt;/D&gt;&lt;D xsi:type="xsd:long"&gt;39744&lt;/D&gt;&lt;D xsi:type="xsd:long"&gt;39743&lt;/D&gt;&lt;D xsi:type="xsd:long"&gt;39742&lt;/D&gt;&lt;D xsi:type="xsd:long"&gt;39741&lt;/D&gt;&lt;D xsi:type="xsd:long"&gt;39738&lt;/D&gt;&lt;D xsi:type="xsd:long"&gt;39737&lt;/D&gt;&lt;D xsi:type="xsd:long"&gt;39736&lt;/D&gt;&lt;D xsi:type="xsd:long"&gt;39735&lt;/D&gt;&lt;D xsi:type="xsd:long"&gt;39734&lt;/D&gt;&lt;D xsi:type="xsd:long"&gt;39731&lt;/D&gt;&lt;D xsi:type="xsd:long"&gt;39730&lt;/D&gt;&lt;D xsi:type="xsd:long"&gt;39729&lt;/D&gt;&lt;D xsi:type="xsd:long"&gt;39728&lt;/D&gt;&lt;D xsi:type="xsd:long"&gt;39727&lt;/D&gt;&lt;D xsi:type="xsd:long"&gt;39724&lt;/D&gt;&lt;D xsi:type="xsd:long"&gt;39723&lt;/D&gt;&lt;D xsi:type="xsd:long"&gt;39722&lt;/D&gt;&lt;D xsi:type="xsd:long"&gt;39721&lt;/D&gt;&lt;D xsi:type="xsd:long"&gt;39720&lt;/D&gt;&lt;D xsi:type="xsd:long"&gt;39717&lt;/D&gt;&lt;D xsi:type="xsd:long"&gt;39716&lt;/D&gt;&lt;D xsi:type="xsd:long"&gt;39715&lt;/D&gt;&lt;D xsi:type="xsd:long"&gt;39714&lt;/D&gt;&lt;D xsi:type="xsd:long"&gt;39713&lt;/D&gt;&lt;D xsi:type="xsd:long"&gt;39710&lt;/D&gt;&lt;D xsi:type="xsd:long"&gt;39709&lt;/D&gt;&lt;D xsi:type="xsd:long"&gt;39708&lt;/D&gt;&lt;D xsi:type="xsd:long"&gt;39707&lt;/D&gt;&lt;D xsi:type="xsd:long"&gt;39706&lt;/D&gt;&lt;D xsi:type="xsd:long"&gt;39703&lt;/D&gt;&lt;D xsi:type="xsd:long"&gt;39702&lt;/D&gt;&lt;D xsi:type="xsd:long"&gt;39701&lt;/D&gt;&lt;D xsi:type="xsd:long"&gt;39700&lt;/D&gt;&lt;D xsi:type="xsd:long"&gt;39699&lt;/D&gt;&lt;D xsi:type="xsd:long"&gt;39696&lt;/D&gt;&lt;D xsi:type="xsd:long"&gt;39695&lt;/D&gt;&lt;D xsi:type="xsd:long"&gt;39694&lt;/D&gt;&lt;D xsi:type="xsd:long"&gt;39693&lt;/D&gt;&lt;D xsi:type="xsd:long"&gt;39689&lt;/D&gt;&lt;D xsi:type="xsd:long"&gt;39688&lt;/D&gt;&lt;D xsi:type="xsd:long"&gt;39687&lt;/D&gt;&lt;D xsi:type="xsd:long"&gt;39686&lt;/D&gt;&lt;D xsi:type="xsd:long"&gt;39685&lt;/D&gt;&lt;D xsi:type="xsd:long"&gt;39682&lt;/D&gt;&lt;D xsi:type="xsd:long"&gt;39681&lt;/D&gt;&lt;D xsi:type="xsd:long"&gt;39680&lt;/D&gt;&lt;D xsi:type="xsd:long"&gt;39679&lt;/D&gt;&lt;D xsi:type="xsd:long"&gt;39678&lt;/D&gt;&lt;D xsi:type="xsd:long"&gt;39675&lt;/D&gt;&lt;D xsi:type="xsd:long"&gt;39674&lt;/D&gt;&lt;D xsi:type="xsd:long"&gt;39673&lt;/D&gt;&lt;D xsi:type="xsd:long"&gt;39672&lt;/D&gt;&lt;D xsi:type="xsd:long"&gt;39671&lt;/D&gt;&lt;D xsi:type="xsd:long"&gt;39668&lt;/D&gt;&lt;D xsi:type="xsd:long"&gt;39667&lt;/D&gt;&lt;D xsi:type="xsd:long"&gt;39666&lt;/D&gt;&lt;D xsi:type="xsd:long"&gt;39665&lt;/D&gt;&lt;D xsi:type="xsd:long"&gt;39664&lt;/D&gt;&lt;D xsi:type="xsd:long"&gt;39661&lt;/D&gt;&lt;D xsi:type="xsd:long"&gt;39660&lt;/D&gt;&lt;D xsi:type="xsd:long"&gt;39659&lt;/D&gt;&lt;D xsi:type="xsd:long"&gt;39658&lt;/D&gt;&lt;D xsi:type="xsd:long"&gt;39657&lt;/D&gt;&lt;D xsi:type="xsd:long"&gt;39654&lt;/D&gt;&lt;D xsi:type="xsd:long"&gt;39653&lt;/D&gt;&lt;D xsi:type="xsd:long"&gt;39652&lt;/D&gt;&lt;D xsi:type="xsd:long"&gt;39651&lt;/D&gt;&lt;D xsi:type="xsd:long"&gt;39650&lt;/D&gt;&lt;D xsi:type="xsd:long"&gt;39647&lt;/D&gt;&lt;D xsi:type="xsd:long"&gt;39646&lt;/D&gt;&lt;D xsi:type="xsd:long"&gt;39645&lt;/D&gt;&lt;D xsi:type="xsd:long"&gt;39644&lt;/D&gt;&lt;D xsi:type="xsd:long"&gt;39643&lt;/D&gt;&lt;D xsi:type="xsd:long"&gt;39640&lt;/D&gt;&lt;D xsi:type="xsd:long"&gt;39639&lt;/D&gt;&lt;D xsi:type="xsd:long"&gt;39638&lt;/D&gt;&lt;D xsi:type="xsd:long"&gt;39637&lt;/D&gt;&lt;D xsi:type="xsd:long"&gt;39636&lt;/D&gt;&lt;D xsi:type="xsd:long"&gt;39632&lt;/D&gt;&lt;D xsi:type="xsd:long"&gt;39631&lt;/D&gt;&lt;D xsi:</t>
        </r>
      </text>
    </comment>
    <comment ref="A93" authorId="0" shapeId="0">
      <text>
        <r>
          <rPr>
            <b/>
            <sz val="9"/>
            <color indexed="81"/>
            <rFont val="Tahoma"/>
            <family val="2"/>
          </rPr>
          <t>type="xsd:long"&gt;39630&lt;/D&gt;&lt;D xsi:type="xsd:long"&gt;39629&lt;/D&gt;&lt;D xsi:type="xsd:long"&gt;39626&lt;/D&gt;&lt;D xsi:type="xsd:long"&gt;39625&lt;/D&gt;&lt;D xsi:type="xsd:long"&gt;39624&lt;/D&gt;&lt;D xsi:type="xsd:long"&gt;39623&lt;/D&gt;&lt;D xsi:type="xsd:long"&gt;39622&lt;/D&gt;&lt;D xsi:type="xsd:long"&gt;39619&lt;/D&gt;&lt;D xsi:type="xsd:long"&gt;39618&lt;/D&gt;&lt;D xsi:type="xsd:long"&gt;39617&lt;/D&gt;&lt;D xsi:type="xsd:long"&gt;39616&lt;/D&gt;&lt;D xsi:type="xsd:long"&gt;39615&lt;/D&gt;&lt;D xsi:type="xsd:long"&gt;39612&lt;/D&gt;&lt;D xsi:type="xsd:long"&gt;39611&lt;/D&gt;&lt;D xsi:type="xsd:long"&gt;39610&lt;/D&gt;&lt;D xsi:type="xsd:long"&gt;39609&lt;/D&gt;&lt;D xsi:type="xsd:long"&gt;39608&lt;/D&gt;&lt;D xsi:type="xsd:long"&gt;39605&lt;/D&gt;&lt;D xsi:type="xsd:long"&gt;39604&lt;/D&gt;&lt;D xsi:type="xsd:long"&gt;39603&lt;/D&gt;&lt;D xsi:type="xsd:long"&gt;39602&lt;/D&gt;&lt;D xsi:type="xsd:long"&gt;39601&lt;/D&gt;&lt;D xsi:type="xsd:long"&gt;39598&lt;/D&gt;&lt;D xsi:type="xsd:long"&gt;39597&lt;/D&gt;&lt;D xsi:type="xsd:long"&gt;39596&lt;/D&gt;&lt;D xsi:type="xsd:long"&gt;39595&lt;/D&gt;&lt;D xsi:type="xsd:long"&gt;39591&lt;/D&gt;&lt;D xsi:type="xsd:long"&gt;39590&lt;/D&gt;&lt;D xsi:type="xsd:long"&gt;39589&lt;/D&gt;&lt;D xsi:type="xsd:long"&gt;39588&lt;/D&gt;&lt;D xsi:type="xsd:long"&gt;39587&lt;/D&gt;&lt;D xsi:type="xsd:long"&gt;39584&lt;/D&gt;&lt;D xsi:type="xsd:long"&gt;39583&lt;/D&gt;&lt;D xsi:type="xsd:long"&gt;39582&lt;/D&gt;&lt;D xsi:type="xsd:long"&gt;39581&lt;/D&gt;&lt;D xsi:type="xsd:long"&gt;39580&lt;/D&gt;&lt;D xsi:type="xsd:long"&gt;39577&lt;/D&gt;&lt;D xsi:type="xsd:long"&gt;39576&lt;/D&gt;&lt;D xsi:type="xsd:long"&gt;39575&lt;/D&gt;&lt;D xsi:type="xsd:long"&gt;39574&lt;/D&gt;&lt;D xsi:type="xsd:long"&gt;39573&lt;/D&gt;&lt;D xsi:type="xsd:long"&gt;39570&lt;/D&gt;&lt;D xsi:type="xsd:long"&gt;39569&lt;/D&gt;&lt;D xsi:type="xsd:long"&gt;39568&lt;/D&gt;&lt;D xsi:type="xsd:long"&gt;39567&lt;/D&gt;&lt;D xsi:type="xsd:long"&gt;39566&lt;/D&gt;&lt;D xsi:type="xsd:long"&gt;39563&lt;/D&gt;&lt;D xsi:type="xsd:long"&gt;39562&lt;/D&gt;&lt;D xsi:type="xsd:long"&gt;39561&lt;/D&gt;&lt;D xsi:type="xsd:long"&gt;39560&lt;/D&gt;&lt;D xsi:type="xsd:long"&gt;39559&lt;/D&gt;&lt;D xsi:type="xsd:long"&gt;39556&lt;/D&gt;&lt;D xsi:type="xsd:long"&gt;39555&lt;/D&gt;&lt;D xsi:type="xsd:long"&gt;39554&lt;/D&gt;&lt;D xsi:type="xsd:long"&gt;39553&lt;/D&gt;&lt;D xsi:type="xsd:long"&gt;39552&lt;/D&gt;&lt;D xsi:type="xsd:long"&gt;39549&lt;/D&gt;&lt;D xsi:type="xsd:long"&gt;39548&lt;/D&gt;&lt;D xsi:type="xsd:long"&gt;39547&lt;/D&gt;&lt;D xsi:type="xsd:long"&gt;39546&lt;/D&gt;&lt;D xsi:type="xsd:long"&gt;39545&lt;/D&gt;&lt;D xsi:type="xsd:long"&gt;39542&lt;/D&gt;&lt;D xsi:type="xsd:long"&gt;39541&lt;/D&gt;&lt;D xsi:type="xsd:long"&gt;39540&lt;/D&gt;&lt;D xsi:type="xsd:long"&gt;39539&lt;/D&gt;&lt;D xsi:type="xsd:long"&gt;39538&lt;/D&gt;&lt;D xsi:type="xsd:long"&gt;39535&lt;/D&gt;&lt;D xsi:type="xsd:long"&gt;39534&lt;/D&gt;&lt;D xsi:type="xsd:long"&gt;39533&lt;/D&gt;&lt;D xsi:type="xsd:long"&gt;39532&lt;/D&gt;&lt;D xsi:type="xsd:long"&gt;39531&lt;/D&gt;&lt;D xsi:type="xsd:long"&gt;39527&lt;/D&gt;&lt;D xsi:type="xsd:long"&gt;39526&lt;/D&gt;&lt;D xsi:type="xsd:long"&gt;39525&lt;/D&gt;&lt;D xsi:type="xsd:long"&gt;39524&lt;/D&gt;&lt;D xsi:type="xsd:long"&gt;39521&lt;/D&gt;&lt;D xsi:type="xsd:long"&gt;39520&lt;/D&gt;&lt;D xsi:type="xsd:long"&gt;39519&lt;/D&gt;&lt;D xsi:type="xsd:long"&gt;39518&lt;/D&gt;&lt;D xsi:type="xsd:long"&gt;39517&lt;/D&gt;&lt;D xsi:type="xsd:long"&gt;39514&lt;/D&gt;&lt;D xsi:type="xsd:long"&gt;39513&lt;/D&gt;&lt;D xsi:type="xsd:long"&gt;39512&lt;/D&gt;&lt;D xsi:type="xsd:long"&gt;39511&lt;/D&gt;&lt;D xsi:type="xsd:long"&gt;39510&lt;/D&gt;&lt;D xsi:type="xsd:long"&gt;39507&lt;/D&gt;&lt;D xsi:type="xsd:long"&gt;39506&lt;/D&gt;&lt;D xsi:type="xsd:long"&gt;39505&lt;/D&gt;&lt;D xsi:type="xsd:long"&gt;39504&lt;/D&gt;&lt;D xsi:type="xsd:long"&gt;39503&lt;/D&gt;&lt;D xsi:type="xsd:long"&gt;39500&lt;/D&gt;&lt;D xsi:type="xsd:long"&gt;39499&lt;/D&gt;&lt;D xsi:type="xsd:long"&gt;39498&lt;/D&gt;&lt;D xsi:type="xsd:long"&gt;39497&lt;/D&gt;&lt;D xsi:type="xsd:long"&gt;39493&lt;/D&gt;&lt;D xsi:type="xsd:long"&gt;39492&lt;/D&gt;&lt;D xsi:type="xsd:long"&gt;39491&lt;/D&gt;&lt;D xsi:type="xsd:long"&gt;39490&lt;/D&gt;&lt;D xsi:type="xsd:long"&gt;39489&lt;/D&gt;&lt;D xsi:type="xsd:long"&gt;39486&lt;/D&gt;&lt;D xsi:type="xsd:long"&gt;39485&lt;/D&gt;&lt;D xsi:type="xsd:long"&gt;39484&lt;/D&gt;&lt;D xsi:type="xsd:long"&gt;39483&lt;/D&gt;&lt;D xsi:type="xsd:long"&gt;39482&lt;/D&gt;&lt;D xsi:type="xsd:long"&gt;39479&lt;/D&gt;&lt;D xsi:type="xsd:long"&gt;39478&lt;/D&gt;&lt;D xsi:type="xsd:long"&gt;39477&lt;/D&gt;&lt;D xsi:type="xsd:long"&gt;39476&lt;/D&gt;&lt;D xsi:type="xsd:long"&gt;39475&lt;/D&gt;&lt;D xsi:type="xsd:long"&gt;39472&lt;/D&gt;&lt;D xsi:type="xsd:long"&gt;39471&lt;/D&gt;&lt;D xsi:type="xsd:long"&gt;39470&lt;/D&gt;&lt;D xsi:type="xsd:long"&gt;39469&lt;/D&gt;&lt;D xsi:type="xsd:long"&gt;39465&lt;/D&gt;&lt;D xsi:type="xsd:long"&gt;39464&lt;/D&gt;&lt;D xsi:type="xsd:long"&gt;39463&lt;/D&gt;&lt;D xsi:type="xsd:long"&gt;39462&lt;/D&gt;&lt;D xsi:type="xsd:long"&gt;39461&lt;/D&gt;&lt;D xsi:type="xsd:long"&gt;39458&lt;/D&gt;&lt;D xsi:type="xsd:long"&gt;39457&lt;/D&gt;&lt;D xsi:type="xsd:long"&gt;39456&lt;/D&gt;&lt;D xsi:type="xsd:long"&gt;39455&lt;/D&gt;&lt;D xsi:type="xsd:long"&gt;39454&lt;/D&gt;&lt;D xsi:type="xsd:long"&gt;39451&lt;/D&gt;&lt;D xsi:type="xsd:long"&gt;39450&lt;/D&gt;&lt;D xsi:type="xsd:long"&gt;39449&lt;/D&gt;&lt;D xsi:type="xsd:long"&gt;39447&lt;/D&gt;&lt;D xsi:type="xsd:long"&gt;39444&lt;/D&gt;&lt;D xsi:type="xsd:long"&gt;39443&lt;/D&gt;&lt;D xsi:type="xsd:long"&gt;39442&lt;/D&gt;&lt;D xsi:type="xsd:long"&gt;39440&lt;/D&gt;&lt;D xsi:type="xsd:long"&gt;39437&lt;/D&gt;&lt;D xsi:type="xsd:long"&gt;39436&lt;/D&gt;&lt;D xsi:type="xsd:long"&gt;39435&lt;/D&gt;&lt;D xsi:type="xsd:long"&gt;39434&lt;/D&gt;&lt;D xsi:type="xsd:long"&gt;39433&lt;/D&gt;&lt;D xsi:type="xsd:long"&gt;39430&lt;/D&gt;&lt;D xsi:type="xsd:long"&gt;39429&lt;/D&gt;&lt;D xsi:type="xsd:long"&gt;39428&lt;/D&gt;&lt;D xsi:type="xsd:long"&gt;39427&lt;/D&gt;&lt;D xsi:type="xsd:long"&gt;39426&lt;/D&gt;&lt;D xsi:type="xsd:long"&gt;39423&lt;/D&gt;&lt;D xsi:type="xsd:long"&gt;39422&lt;/D&gt;&lt;D xsi:type="xsd:long"&gt;39421&lt;/D&gt;&lt;D xsi:type="xsd:long"&gt;39420&lt;/D&gt;&lt;D xsi:type="xsd:long"&gt;39419&lt;/D&gt;&lt;D xsi:type="xsd:long"&gt;39416&lt;/D&gt;&lt;D xsi:type="xsd:long"&gt;39415&lt;/D&gt;&lt;D xsi:type="xsd:long"&gt;39414&lt;/D&gt;&lt;D xsi:type="xsd:long"&gt;39413&lt;/D&gt;&lt;D xsi:type="xsd:long"&gt;39412&lt;/D&gt;&lt;D xsi:type="xsd:long"&gt;39409&lt;/D&gt;&lt;D xsi:type="xsd:long"&gt;39407&lt;/D&gt;&lt;D xsi:type="xsd:long"&gt;39406&lt;/D&gt;&lt;D xsi:type="xsd:long"&gt;39405&lt;/D&gt;&lt;D xsi:type="xsd:long"&gt;39402&lt;/D&gt;&lt;D xsi:type="xsd:long"&gt;39401&lt;/D&gt;&lt;D xsi:type="xsd:long"&gt;39400&lt;/D&gt;&lt;D xsi:type="xsd:long"&gt;39399&lt;/D&gt;&lt;D xsi:type="xsd:long"&gt;39398&lt;/D&gt;&lt;D xsi:type="xsd:long"&gt;39395&lt;/D&gt;&lt;D xsi:type="xsd:long"&gt;39394&lt;/D&gt;&lt;D xsi:type="xsd:long"&gt;39393&lt;/D&gt;&lt;D xsi:type="xsd:long"&gt;39392&lt;/D&gt;&lt;D xsi:type="xsd:long"&gt;39391&lt;/D&gt;&lt;D xsi:type="xsd:long"&gt;39388&lt;/D&gt;&lt;D xsi:type="xsd:long"&gt;39387&lt;/D&gt;&lt;D xsi:type="xsd:long"&gt;39386&lt;/D&gt;&lt;D xsi:type="xsd:long"&gt;39385&lt;/D&gt;&lt;D xsi:type="xsd:long"&gt;39384&lt;/D&gt;&lt;D xsi:type="xsd:long"&gt;39381&lt;/D&gt;&lt;D xsi:type="xsd:long"&gt;39380&lt;/D&gt;&lt;D xsi:type="xsd:long"&gt;39379&lt;/D&gt;&lt;D xsi:type="xsd:long"&gt;39378&lt;/D&gt;&lt;D xsi:type="xsd:long"&gt;39377&lt;/D&gt;&lt;D xsi:type="xsd:long"&gt;39374&lt;/D&gt;&lt;D xsi:type="xsd:long"&gt;39373&lt;/D&gt;&lt;D xsi:type="xsd:long"&gt;39372&lt;/D&gt;&lt;D xsi:type="xsd:long"&gt;39371&lt;/D&gt;&lt;D xsi:type="xsd:long"&gt;39370&lt;/D&gt;&lt;D xsi:type="xsd:long"&gt;39367&lt;/D&gt;&lt;D xsi:type="xsd:long"&gt;39366&lt;/D&gt;&lt;D xsi:type="xsd:long"&gt;39365&lt;/D&gt;&lt;D xsi:type="xsd:long"&gt;39364&lt;/D&gt;&lt;D xsi:type="xsd:long"&gt;39363&lt;/D&gt;&lt;D xsi:type="xsd:long"&gt;39360&lt;/D&gt;&lt;D xsi:type="xsd:long"&gt;39359&lt;/D&gt;&lt;D xsi:type="xsd:long"&gt;39358&lt;/D&gt;&lt;D xsi:type="xsd:long"&gt;39357&lt;/D&gt;&lt;D xsi:type="xsd:long"&gt;39356&lt;/D&gt;&lt;D xsi:type="xsd:long"&gt;39353&lt;/D&gt;&lt;D xsi:type="xsd:long"&gt;39352&lt;/D&gt;&lt;D xsi:type="xsd:long"&gt;39351&lt;/D&gt;&lt;D xsi:type="xsd:long"&gt;39350&lt;/D&gt;&lt;D xsi:type="xsd:long"&gt;39349&lt;/D&gt;&lt;D xsi:type="xsd:long"&gt;39346&lt;/D&gt;&lt;D xsi:type="xsd:long"&gt;39345&lt;/D&gt;&lt;D xsi:type="xsd:long"&gt;39344&lt;/D&gt;&lt;D xsi:type="xsd:long"&gt;39343&lt;/D&gt;&lt;D xsi:type="xsd:long"&gt;39342&lt;/D&gt;&lt;D xsi:type="xsd:long"&gt;39339&lt;/D&gt;&lt;D xsi:type="xsd:long"&gt;39338&lt;/D&gt;&lt;D xsi:type="xsd:long"&gt;39337&lt;/D&gt;&lt;D xsi:type="xsd:long"&gt;39336&lt;/D&gt;&lt;D xsi:type="xsd:long"&gt;39335&lt;/D&gt;&lt;D xsi:type="xsd:long"&gt;39332&lt;/D&gt;&lt;D xsi:type="xsd:long"&gt;39331&lt;/D&gt;&lt;D xsi:type="xsd:long"&gt;39330&lt;/D&gt;&lt;D xsi:type="xsd:long"&gt;39329&lt;/D&gt;&lt;D xsi:type="xsd:long"&gt;39325&lt;/D&gt;&lt;D xsi:type="xsd:long"&gt;39324&lt;/D&gt;&lt;D xsi:type="xsd:long"&gt;39323&lt;/D&gt;&lt;D xsi:type="xsd:long"&gt;39322&lt;/D&gt;&lt;D xsi:type="xsd:long"&gt;39321&lt;/D&gt;&lt;D xsi:type="xsd:long"&gt;39318&lt;/D&gt;&lt;D xsi:type="xsd:long"&gt;39317&lt;/D&gt;&lt;D xsi:type="xsd:long"&gt;39316&lt;/D&gt;&lt;D xsi:type="xsd:long"&gt;39315&lt;/D&gt;&lt;D xsi:type="xsd:long"&gt;39314&lt;/D&gt;&lt;D xsi:type="xsd:long"&gt;39311&lt;/D&gt;&lt;D xsi:type="xsd:long"&gt;39310&lt;/D&gt;&lt;D xsi:type="xsd:long"&gt;39309&lt;/D&gt;&lt;D xsi:type="xsd:long"&gt;39308&lt;/D&gt;&lt;D xsi:type="xsd:long"&gt;39307&lt;/D&gt;&lt;D xsi:type="xsd:long"&gt;39304&lt;/D&gt;&lt;D xsi:type="xsd:long"&gt;39303&lt;/D&gt;&lt;D xsi:type="xsd:long"&gt;39302&lt;/D&gt;&lt;D xsi:type="xsd:long"&gt;39301&lt;/D&gt;&lt;D xsi:type="xsd:long"&gt;39300&lt;/D&gt;&lt;D xsi:type="xsd:long"&gt;39297&lt;/D&gt;&lt;D xsi:type="xsd:long"&gt;39296&lt;/D&gt;&lt;D xsi:type="xsd:long"&gt;39295&lt;/D&gt;&lt;D xsi:type="xsd:long"&gt;39294&lt;/D&gt;&lt;D xsi:type="xsd:long"&gt;39293&lt;/D&gt;&lt;D xsi:type="xsd:long"&gt;39290&lt;/D&gt;&lt;D xsi:type="xsd:long"&gt;39289&lt;/D&gt;&lt;D xsi:type="xsd:long"&gt;39288&lt;/D&gt;&lt;D xsi:type="xsd:long"&gt;39287&lt;/D&gt;&lt;D xsi:type="xsd:long"&gt;39286&lt;/D&gt;&lt;D xsi:type="xsd:long"&gt;39283&lt;/D&gt;&lt;D xsi:type="xsd:long"&gt;39282&lt;/D&gt;&lt;D xsi:type="xsd:long"&gt;39281&lt;/D&gt;&lt;D xsi:type="xsd:long"&gt;39280&lt;/D&gt;&lt;D xsi:type="xsd:long"&gt;39279&lt;/D&gt;&lt;D xsi:type="xsd:long"&gt;39276&lt;/D&gt;&lt;D xsi:type="xsd:long"&gt;39275&lt;/D&gt;&lt;D xsi:type="xsd:long"&gt;39274&lt;/D&gt;&lt;D xsi:type="xsd:long"&gt;39273&lt;/D&gt;&lt;D xsi:type="xsd:long"&gt;39272&lt;/D&gt;&lt;D xsi:type="xsd:long"&gt;39269&lt;/D&gt;&lt;D xsi:type="xsd:long"&gt;39268&lt;/D&gt;&lt;D xsi:type="xsd:long"&gt;39266&lt;/D&gt;&lt;D xsi:type="xsd:long"&gt;39265&lt;/D&gt;&lt;D xsi:type="xsd:long"&gt;39262&lt;/D&gt;&lt;D xsi:type="xsd:long"&gt;39261&lt;/D&gt;&lt;D xsi:type="xsd:long"&gt;39260&lt;/D&gt;&lt;D xsi:type="xsd:long"&gt;39259&lt;/D&gt;&lt;D xsi:type="xsd:long"&gt;39258&lt;/D&gt;&lt;D xsi:type="xsd:long"&gt;39255&lt;/D&gt;&lt;D xsi:type="xsd:long"&gt;39254&lt;/D&gt;&lt;D xsi:type="xsd:long"&gt;39253&lt;/D&gt;&lt;D xsi:type="xsd:long"&gt;39252&lt;/D&gt;&lt;D xsi:type="xsd:long"&gt;39251&lt;/D&gt;&lt;D xsi:type="xsd:long"&gt;39248&lt;/D&gt;&lt;D xsi:type="xsd:long"&gt;39247&lt;/D&gt;&lt;D xsi:type="xsd:long"&gt;39246&lt;/D&gt;&lt;D xsi:type="xsd:long"&gt;39245&lt;/D&gt;&lt;D xsi:type="xsd:long"&gt;39244&lt;/D&gt;&lt;D xsi:type="xsd:long"&gt;39241&lt;/D&gt;&lt;D xsi:type="xsd:long"&gt;39240&lt;/D&gt;&lt;D xsi:type="xsd:long"&gt;39239&lt;/D&gt;&lt;D xsi:type="xsd:long"&gt;39238&lt;/D&gt;&lt;D xsi:type="xsd:long"&gt;39237&lt;/D&gt;&lt;D xsi:type="xsd:long"&gt;39234&lt;/D&gt;&lt;D xsi:type="xsd:long"&gt;39233&lt;/D&gt;&lt;D xsi:type="xsd:long"&gt;39232&lt;/D&gt;&lt;D xsi:type="xsd:long"&gt;39231&lt;/D&gt;&lt;D xsi:type="xsd:long"&gt;39227&lt;/D&gt;&lt;D xsi:type="xsd:long"&gt;39226&lt;/D&gt;&lt;D xsi:type="xsd:long"&gt;39225&lt;/D&gt;&lt;D xsi:type="xsd:long"&gt;39224&lt;/D&gt;&lt;D xsi:type="xsd:long"&gt;39223&lt;/D&gt;&lt;D xsi:type="xsd:long"&gt;39220&lt;/D&gt;&lt;D xsi:type="xsd:long"&gt;39219&lt;/D&gt;&lt;D xsi:type="xsd:long"&gt;39218&lt;/D&gt;&lt;D xsi:type="xsd:long"&gt;39217&lt;/D&gt;&lt;D xsi:type="xsd:long"&gt;39216&lt;/D&gt;&lt;D xsi:type="xsd:long"&gt;39213&lt;/D&gt;&lt;D xsi:type="xsd:long"&gt;39212&lt;/D&gt;&lt;D xsi:type="xsd:long"&gt;39211&lt;/D&gt;&lt;D xsi:type="xsd:long"&gt;39210&lt;/D&gt;&lt;D xsi:type="xsd:long"&gt;39209&lt;/D&gt;&lt;D xsi:type="xsd:long"&gt;39206&lt;/D&gt;&lt;D xsi:type="xsd:long"&gt;39205&lt;/D&gt;&lt;D xsi:type="xsd:long"&gt;39204&lt;/D&gt;&lt;D xsi:type="xsd:long"&gt;39203&lt;/D&gt;&lt;D xsi:type="xsd:long"&gt;39202&lt;/D&gt;&lt;D xsi:type="xsd:long"&gt;39199&lt;/D&gt;&lt;D xsi:type="xsd:long"&gt;39198&lt;/D&gt;&lt;D xsi:type="xsd:long"&gt;39197&lt;/D&gt;&lt;D xsi:type="xsd:long"&gt;39196&lt;/D&gt;&lt;D xsi:type="xsd:long"&gt;39195&lt;/D&gt;&lt;D xsi:type="xsd:long"&gt;39192&lt;/D&gt;&lt;D xsi:type="xsd:long"&gt;39191&lt;/D&gt;&lt;D xsi:type="xsd:long"&gt;39190&lt;/D&gt;&lt;D xsi:type="xsd:long"&gt;39189&lt;/D&gt;&lt;D xsi:type="xsd:long"&gt;39188&lt;/D&gt;&lt;D xsi:type="xsd:long"&gt;39185&lt;/D&gt;&lt;D xsi:type="xsd:long"&gt;39184&lt;/D&gt;&lt;D xsi:type="xsd:long"&gt;39183&lt;/D&gt;&lt;D xsi:type="xsd:long"&gt;39182&lt;/D&gt;&lt;D xsi:type="xsd:long"&gt;39181&lt;/D&gt;&lt;D xsi:type="xsd:long"&gt;39177&lt;/D&gt;&lt;D xsi:type="xsd:long"&gt;39176&lt;/D&gt;&lt;D xsi:type="xsd:long"&gt;39175&lt;/D&gt;&lt;D xsi:type="xsd:long"&gt;39174&lt;/D&gt;&lt;D xsi:type="xsd:long"&gt;39171&lt;/D&gt;&lt;D xsi:type="xsd:long"&gt;39170&lt;/D&gt;&lt;D xsi:type="xsd:long"&gt;39169&lt;/D&gt;&lt;D xsi:type="xsd:long"&gt;39168&lt;/D&gt;&lt;D xsi:type="xsd:long"&gt;39167&lt;/D&gt;&lt;D xsi:type="xsd:long"&gt;39164&lt;/D&gt;&lt;D xsi:type="xsd:long"&gt;39163&lt;/D&gt;&lt;D xsi:type="xsd:long"&gt;39162&lt;/D&gt;&lt;D xsi:type="xsd:long"&gt;39161&lt;/D&gt;&lt;D xsi:type="xsd:long"&gt;39160&lt;/D&gt;&lt;D xsi:type="xsd:long"&gt;39157&lt;/D&gt;&lt;D xsi:type="xsd:long"&gt;39156&lt;/D&gt;&lt;D xsi:type="xsd:long"&gt;39155&lt;/D&gt;&lt;D xsi:type="xsd:long"&gt;39154&lt;/D&gt;&lt;D xsi:type="xsd:long"&gt;39153&lt;/D&gt;&lt;D xsi:type="xsd:long"&gt;39150&lt;/D&gt;&lt;D xsi:type="xsd:long"&gt;39149&lt;/D&gt;&lt;D xsi:type="xsd:long"&gt;39148&lt;/D&gt;&lt;D xsi:type="xsd:long"&gt;39147&lt;/D&gt;&lt;D xsi:type="xsd:long"&gt;39146&lt;/D&gt;&lt;D xsi:type="xsd:long"&gt;39143&lt;/D&gt;&lt;D xsi:type="xsd:long"&gt;39142&lt;/D&gt;&lt;D xsi:type="xsd:long"&gt;39141&lt;/D&gt;&lt;D xsi:type="xsd:long"&gt;39140&lt;/D&gt;&lt;D xsi:type="xsd:long"&gt;39139&lt;/D&gt;&lt;D xsi:type="xsd:long"&gt;39136&lt;/D&gt;&lt;D xsi:type="xsd:long"&gt;39135&lt;/D&gt;&lt;D xsi:type="xsd:long"&gt;39134&lt;/D&gt;&lt;D xsi:type="xsd:long"&gt;39133&lt;/D&gt;&lt;D xsi:type="xsd:long"&gt;39129&lt;/D&gt;&lt;D xsi:type="xsd:long"&gt;39128&lt;/D&gt;&lt;D xsi:type="xsd:long"&gt;39127&lt;/D&gt;&lt;D xsi:type="xsd:long"&gt;39126&lt;/D&gt;&lt;D xsi:type="xsd:long"&gt;39125&lt;/D&gt;&lt;D xsi:type="xsd:long"&gt;39122&lt;/D&gt;&lt;D xsi:type="xsd:long"&gt;39121&lt;/D&gt;&lt;D xsi:type="xsd:long"&gt;39120&lt;/D&gt;&lt;D xsi:type="xsd:long"&gt;39119&lt;/D&gt;&lt;D xsi:type="xsd:long"&gt;39118&lt;/D&gt;&lt;D xsi:type="xsd:long"&gt;39115&lt;/D&gt;&lt;D xsi:type="xsd:long"&gt;39114&lt;/D&gt;&lt;D xsi:type="xsd:long"&gt;39113&lt;/D&gt;&lt;D xsi:type="xsd:long"&gt;39112&lt;/D&gt;&lt;D xsi:type="xsd:long"&gt;39111&lt;/D&gt;&lt;D xsi:type="xsd:long"&gt;39108&lt;/D&gt;&lt;D xsi:type="xsd:long"&gt;39107&lt;/D&gt;&lt;D xsi:type="xsd:long"&gt;39106&lt;/D&gt;&lt;D xsi:type="xsd:long"&gt;39105&lt;/D&gt;&lt;D xsi:type="xsd:long"&gt;39104&lt;/D&gt;&lt;D xsi:type="xsd:long"&gt;39101&lt;/D&gt;&lt;D xsi:type="xsd:long"&gt;39100&lt;/D&gt;&lt;D xsi:type="xsd:long"&gt;39099&lt;/D&gt;&lt;D xsi:type="xsd:long"&gt;39098&lt;/D&gt;&lt;D xsi:type="xsd:long"&gt;39094&lt;/D&gt;&lt;D xsi:type="xsd:long"&gt;39093&lt;/D&gt;&lt;D xsi:type="xsd:long"&gt;39092&lt;/D&gt;&lt;D xsi:type="xsd:long"&gt;39091&lt;/D&gt;&lt;D xsi:type="xsd:long"&gt;39090&lt;/D&gt;&lt;D xsi:type="xsd:long"&gt;39087&lt;/D&gt;&lt;D xsi:type="xsd:long"&gt;39086&lt;/D&gt;&lt;D xsi:type="xsd:long"&gt;39085&lt;/D&gt;&lt;D xsi:type="xsd:long"&gt;39080&lt;/D&gt;&lt;D xsi:type="xsd:long"&gt;39079&lt;/D&gt;&lt;D xsi:type="xsd:long"&gt;39078&lt;/D&gt;&lt;D xsi:type="xsd:long"&gt;39077&lt;/D&gt;&lt;D xsi:type="xsd:long"&gt;39073&lt;/D&gt;&lt;D xsi:type="xsd:long"&gt;39072&lt;/D&gt;&lt;D xsi:type="xsd:long"&gt;39071&lt;/D&gt;&lt;D xsi:type="xsd:long"&gt;39070&lt;/D&gt;&lt;D xsi:type="xsd:long"&gt;39069&lt;/D&gt;&lt;D xsi:type="xsd:long"&gt;39066&lt;/D&gt;&lt;D xsi:type="xsd:long"&gt;39065&lt;/D&gt;&lt;D xsi:type="xsd:long"&gt;39064&lt;/D&gt;&lt;D xsi:type="xsd:long"&gt;39063&lt;/D&gt;&lt;D xsi:type="xsd:long"&gt;39062&lt;/D&gt;&lt;D xsi:type="xsd:long"&gt;39059&lt;/D&gt;&lt;D xsi:type="xsd:long"&gt;39058&lt;/D&gt;&lt;D xsi:type="xsd:long"&gt;39057&lt;/D&gt;&lt;D xsi:type="xsd:long"&gt;39056&lt;/D&gt;&lt;D xsi:type="xsd:long"&gt;39055&lt;/D&gt;&lt;D xsi:type="xsd:long"&gt;39052&lt;/D&gt;&lt;D xsi:type="xsd:long"&gt;39051&lt;/D&gt;&lt;D xsi:type="xsd:long"&gt;39050&lt;/D&gt;&lt;D xsi:type="xsd:long"&gt;39049&lt;/D&gt;&lt;D xsi:type="xsd:long"&gt;39048&lt;/D&gt;&lt;D xsi:type="xsd:long"&gt;39045&lt;/D&gt;&lt;D xsi:type="xsd:long"&gt;39043&lt;/D&gt;&lt;D xsi:type="xsd:long"&gt;39042&lt;/D&gt;&lt;D xsi:type="xsd:long"&gt;39041&lt;/D&gt;&lt;D xsi:type="xsd:long"&gt;39038&lt;/D&gt;&lt;D xsi:type="xsd:long"&gt;39037&lt;/D&gt;&lt;D xsi:type="xsd:long"&gt;39036&lt;/D&gt;&lt;D xsi:type="xsd:long"&gt;39035&lt;/D&gt;&lt;D xsi:type="xsd:long"&gt;39034&lt;/D&gt;&lt;D xsi:type="xsd:long"&gt;39031&lt;/D&gt;&lt;D xsi:type="xsd:long"&gt;39030&lt;/D&gt;&lt;D xsi:type="xsd:long"&gt;39029&lt;/D&gt;&lt;D xsi:type="xsd:long"&gt;39028&lt;/D&gt;&lt;D xsi:type="xsd:long"&gt;39027&lt;/D&gt;&lt;D xsi:type="xsd:long"&gt;39024&lt;/D&gt;&lt;D xsi:type="xsd:long"&gt;39023&lt;/D&gt;&lt;D xsi:type="xsd:long"&gt;39022&lt;/D&gt;&lt;D xsi:type="xsd:long"&gt;39021&lt;/D&gt;&lt;D xsi:type="xsd:long"&gt;39020&lt;/D&gt;&lt;D xsi:type="xsd:long"&gt;39017&lt;/D&gt;&lt;D xsi:type="xsd:long"&gt;39016&lt;/D&gt;&lt;D xsi:type="xsd:long"&gt;39015&lt;/D&gt;&lt;D xsi:type="xsd:long"&gt;39014&lt;/D&gt;&lt;D xsi:type="xsd:long"&gt;39013&lt;/D&gt;&lt;D xsi:type="xsd:long"&gt;39010&lt;/D&gt;&lt;D xsi:type="xsd:long"&gt;39009&lt;/D&gt;&lt;D xsi:type="xsd:long"&gt;39008&lt;/D&gt;&lt;D xsi:type="xsd:long"&gt;39007&lt;/D&gt;&lt;D xsi:type="xsd:long"&gt;39006&lt;/D&gt;&lt;D xsi:type="xsd:long"&gt;39003&lt;/D&gt;&lt;D xsi:type="xsd:long"&gt;39002&lt;/D&gt;&lt;D xsi:type="xsd:long"&gt;39001&lt;/D&gt;&lt;D xsi:type="xsd:long"&gt;39000&lt;/D&gt;&lt;D xsi:type="xsd:long"&gt;38999&lt;/D&gt;&lt;D xsi:type="xsd:long"&gt;38996&lt;/D&gt;&lt;D xsi:type="xsd:long"&gt;38995&lt;/D&gt;&lt;D xsi:type="xsd:long"&gt;38994&lt;/D&gt;&lt;D xsi:type="xsd:long"&gt;38993&lt;/D&gt;&lt;D xsi:type="xsd:long"&gt;38992&lt;/D&gt;&lt;D xsi:type="xsd:long"&gt;38989&lt;/D&gt;&lt;D xsi:type="xsd:long"&gt;38988&lt;/D&gt;&lt;D xsi:type="xsd:long"&gt;38987&lt;/D&gt;&lt;D xsi:type="xsd:long"&gt;38986&lt;/D&gt;&lt;D xsi:type="xsd:long"&gt;38985&lt;/D&gt;&lt;D xsi:type="xsd:long"&gt;38982&lt;/D&gt;&lt;D xsi:type="xsd:long"&gt;38981&lt;/D&gt;&lt;D xsi:type="xsd:long"&gt;38980&lt;/D&gt;&lt;D xsi:type="xsd:long"&gt;38979&lt;/D&gt;&lt;D xsi:type="xsd:long"&gt;38978&lt;/D&gt;&lt;D xsi:type="xsd:long"&gt;38975&lt;/D&gt;&lt;D xsi:type="xsd:long"&gt;38974&lt;/D&gt;&lt;D xsi:type="xsd:long"&gt;38973&lt;/D&gt;&lt;D xsi:type="xsd:long"&gt;38972&lt;/D&gt;&lt;D xsi:type="xsd:long"&gt;38971&lt;/D&gt;&lt;D xsi:type="xsd:long"&gt;38968&lt;/D&gt;&lt;D xsi:type="xsd:long"&gt;38967&lt;/D&gt;&lt;D xsi:type="xsd:long"&gt;38966&lt;/D&gt;&lt;D xsi:type="xsd:long"&gt;38965&lt;/D&gt;&lt;D xsi:type="xsd:long"&gt;38961&lt;/D&gt;&lt;D xsi:type="xsd:long"&gt;38960&lt;/D&gt;&lt;D xsi:type="xsd:long"&gt;38959&lt;/D&gt;&lt;D xsi:type="xsd:long"&gt;38958&lt;/D&gt;&lt;D xsi:type="xsd:long"&gt;38957&lt;/D&gt;&lt;D xsi:type="xsd:long"&gt;38954&lt;/D&gt;&lt;D xsi:type="xsd:long"&gt;38953&lt;/D&gt;&lt;D xsi:type="xsd:long"&gt;38952&lt;/D&gt;&lt;D xsi:type="xsd:long"&gt;38951&lt;/D&gt;&lt;D xsi:type="xsd:long"&gt;38950&lt;/D&gt;&lt;D xsi:type="xsd:long"&gt;38947&lt;/D&gt;&lt;D xsi:type="xsd:long"&gt;38946&lt;/D&gt;&lt;D xsi:type="xsd:long"&gt;38945&lt;/D&gt;&lt;D xsi:type="xsd:long"&gt;38944&lt;/D&gt;&lt;D xsi:type="xsd:long"&gt;38943&lt;/D&gt;&lt;D xsi:type="xsd:long"&gt;38940&lt;/D&gt;&lt;D xsi:type="xsd:long"&gt;38939&lt;/D&gt;&lt;D xsi:type="xsd:long"&gt;38938&lt;/D&gt;&lt;D xsi:type="xsd:long"&gt;38937&lt;/D&gt;&lt;D xsi:type="xsd:long"&gt;38936&lt;/D&gt;&lt;D xsi:type="xsd:long"&gt;38933&lt;/D&gt;&lt;D xsi:type="xsd:long"&gt;38932&lt;/D&gt;&lt;D xsi:type="xsd:long"&gt;38931&lt;/D&gt;&lt;D xsi:type="xsd:long"&gt;38930&lt;/D&gt;&lt;D xsi:type="xsd:long"&gt;38929&lt;/D&gt;&lt;D xsi:type="xsd:long"&gt;38926&lt;/D&gt;&lt;D xsi:type="xsd:long"&gt;38925&lt;/D&gt;&lt;D xsi:type="xsd:long"&gt;38924&lt;/D&gt;&lt;D xsi:type="xsd:long"&gt;38923&lt;/D&gt;&lt;D xsi:type="xsd:long"&gt;38922&lt;/D&gt;&lt;D xsi:type="xsd:long"&gt;38919&lt;/D&gt;&lt;D xsi:type="xsd:long"&gt;38918&lt;/D&gt;&lt;D xsi:type="xsd:long"&gt;38917&lt;/D&gt;&lt;D xsi:type="xsd:long"&gt;38916&lt;/D&gt;&lt;D xsi:type="xsd:long"&gt;38915&lt;/D&gt;&lt;D xsi:type="xsd:long"&gt;38912&lt;/D&gt;&lt;D xsi:type="xsd:long"&gt;38911&lt;/D&gt;&lt;D xsi:type="xsd:long"&gt;38910&lt;/D&gt;&lt;D xsi:type="xsd:long"&gt;38909&lt;/D&gt;&lt;D xsi:type="xsd:long"&gt;38908&lt;/D&gt;&lt;D xsi:type="xsd:long"&gt;38905&lt;/D&gt;&lt;D xsi:type="xsd:long"&gt;38904&lt;/D&gt;&lt;D xsi:type="xsd:long"&gt;38903&lt;/D&gt;&lt;D xsi:type="xsd:long"&gt;38901&lt;/D&gt;&lt;D xsi:type="xsd:long"&gt;38898&lt;/D&gt;&lt;D xsi:type="xsd:long"&gt;38897&lt;/D&gt;&lt;D xsi:type="xsd:long"&gt;38896&lt;/D&gt;&lt;D xsi:type="xsd:long"&gt;38895&lt;/D&gt;&lt;D xsi:type="xsd:long"&gt;38894&lt;/D&gt;&lt;D xsi:type="xsd:long"&gt;38891&lt;/D&gt;&lt;D xsi:type="xsd:long"&gt;38890&lt;/D&gt;&lt;D xsi:type="xsd:long"&gt;38889&lt;/D&gt;&lt;D xsi:type="xsd:long"&gt;38888&lt;/D&gt;&lt;D xsi:type="xsd:long"&gt;38887&lt;/D&gt;&lt;D xsi:type="xsd:long"&gt;38884&lt;/D&gt;&lt;D xsi:type="xsd:long"&gt;38883&lt;/D&gt;&lt;D xsi:type="xsd:long"&gt;38882&lt;/D&gt;&lt;D xsi:type="xsd:long"&gt;38881&lt;/D&gt;&lt;D xsi:type="xsd:long"&gt;38880&lt;/D&gt;&lt;D xsi:type="xsd:long"&gt;38877&lt;/D&gt;&lt;D xsi:type="xsd:long"&gt;38876&lt;/D&gt;&lt;D xsi:type="xsd:long"&gt;38875&lt;/D&gt;&lt;D xsi:type="xsd:long"&gt;38874&lt;/D&gt;&lt;D xsi:type="xsd:long"&gt;38873&lt;/D&gt;&lt;D xsi:type="xsd:long"&gt;38870&lt;/D&gt;&lt;D xsi:type="xsd:long"&gt;38869&lt;/D&gt;&lt;D xsi:type="xsd:long"&gt;38868&lt;/D&gt;&lt;D xsi:type="xsd:long"&gt;38867&lt;/D&gt;&lt;D xsi:type="xsd:long"&gt;38863&lt;/D&gt;&lt;D xsi:type="xsd:long"&gt;38862&lt;/D&gt;&lt;D xsi:type="xsd:long"&gt;38861&lt;/D&gt;&lt;D xsi:type="xsd:long"&gt;38860&lt;/D&gt;&lt;D xsi:type="xsd:long"&gt;38859&lt;/D&gt;&lt;D xsi:type="xsd:long"&gt;38856&lt;/D&gt;&lt;D xsi:type="xsd:long"&gt;38855&lt;/D&gt;&lt;D xsi:type="xsd:long"&gt;38854&lt;/D&gt;&lt;D xsi:type="xsd:long"&gt;38853&lt;/D&gt;&lt;D xsi:type="xsd:long"&gt;38852&lt;/D&gt;&lt;D xsi:type="xsd:long"&gt;38849&lt;/D&gt;&lt;D xsi:type="xsd:long"&gt;38848&lt;/D&gt;&lt;D xsi:type="xsd:long"&gt;38847&lt;/D&gt;&lt;D xsi:type="xsd:long"&gt;38846&lt;/D&gt;&lt;D xsi:type="xsd:long"&gt;38845&lt;/D&gt;&lt;D xsi:type="xsd:long"&gt;38842&lt;/D&gt;&lt;D xsi:type="xsd:long"&gt;38841&lt;/D&gt;&lt;D xsi:type="xsd:long"&gt;38840&lt;/D&gt;&lt;D xsi:type="xsd:long"&gt;38839&lt;/D&gt;&lt;D xsi:type="xsd:long"&gt;38838&lt;/D&gt;&lt;D xsi:type="xsd:long"&gt;38835&lt;/D&gt;&lt;D xsi:type="xsd:long"&gt;38834&lt;/D&gt;&lt;D xsi:type="xsd:long"&gt;38833&lt;/D&gt;&lt;D xsi:type="xsd:long"&gt;38832&lt;/D&gt;&lt;D xsi:type="xsd:long"&gt;38831&lt;/D&gt;&lt;D xsi:type="xsd:long"&gt;38828&lt;/D&gt;&lt;D xsi:type="xsd:long"&gt;38827&lt;/D&gt;&lt;D xsi:type="xsd:long"&gt;38826&lt;/D&gt;&lt;D xsi:type="xsd:long"&gt;38825&lt;/D&gt;&lt;D xsi:type="xsd:long"&gt;38824&lt;/D&gt;&lt;D xsi:type="xsd:long"&gt;38820&lt;/D&gt;&lt;D xsi:type="xsd:long"&gt;38819&lt;/D&gt;&lt;D xsi:type="xsd:long"&gt;38818&lt;/D&gt;&lt;D xsi:type="xsd:long"&gt;38817&lt;/D&gt;&lt;D xsi:type="xsd:long"&gt;38814&lt;/D&gt;&lt;D xsi:type="xsd:long"&gt;38813&lt;/D&gt;&lt;D xsi:type="xsd:long"&gt;38812&lt;/D&gt;&lt;D xsi:type="xsd:long"&gt;38811&lt;/D&gt;&lt;D xsi:type="xsd:long"&gt;38810&lt;/D&gt;&lt;D xsi:type="xsd:long"&gt;38807&lt;/D&gt;&lt;D xsi:type="xsd:long"&gt;38806&lt;/D&gt;&lt;D xsi:type="xsd:long"&gt;38805&lt;/D&gt;&lt;D xsi:type="xsd:long"&gt;38804&lt;/D&gt;&lt;D xsi:type="xsd:long"&gt;38803&lt;/D&gt;&lt;D xsi:type="xsd:long"&gt;38800&lt;/D&gt;&lt;D xsi:type="xsd:long"&gt;38799&lt;/D&gt;&lt;D xsi:type="xsd:long"&gt;38798&lt;/D&gt;&lt;D xsi:type="xsd:long"&gt;38797&lt;/D&gt;&lt;D xsi:type="xsd:long"&gt;38796&lt;/D&gt;&lt;D xsi:type="xsd:long"&gt;38793&lt;/D&gt;&lt;D xsi:type="xsd:long"&gt;38792&lt;/D&gt;&lt;D xsi:type="xsd:long"&gt;38791&lt;/D&gt;&lt;D xsi:type="xsd:long"&gt;38790&lt;/D&gt;&lt;D xsi:type="xsd:long"&gt;38789&lt;/D&gt;&lt;D xsi:type="xsd:long"&gt;38786&lt;/D&gt;&lt;D xsi:type="xsd:long"&gt;38785&lt;/D&gt;&lt;D xsi:type="xsd:long"&gt;38784&lt;/D&gt;&lt;D xsi:type="xsd:long"&gt;38783&lt;/D&gt;&lt;D xsi:type="xsd:long"&gt;38782&lt;/D&gt;&lt;D xsi:type="xsd:long"&gt;38779&lt;/D&gt;&lt;D xsi:type="xsd:long"&gt;38778&lt;/D&gt;&lt;D xsi:type="xsd:long"&gt;38777&lt;/D&gt;&lt;D xsi:type="xsd:long"&gt;38776&lt;/D&gt;&lt;D xsi:type="xsd:long"&gt;38775&lt;/D&gt;&lt;D xsi:type="xsd:long"&gt;38772&lt;/D&gt;&lt;D xsi:type="xsd:long"&gt;38771&lt;/D&gt;&lt;D xsi:type="xsd:long"&gt;38770&lt;/D&gt;&lt;D xsi:type="xsd:long"&gt;38769&lt;/D&gt;&lt;D xsi:type="xsd:long"&gt;38765&lt;/D&gt;&lt;D xsi:type="xsd:long"&gt;38764&lt;/D&gt;&lt;D xsi:type="xsd:long"&gt;38763&lt;/D&gt;&lt;D xsi:type="xsd:long"&gt;38762&lt;/D&gt;&lt;D xsi:type="xsd:long"&gt;38761&lt;/D&gt;&lt;D xsi:type="xsd:long"&gt;38758&lt;/D&gt;&lt;D xsi:type="xsd:long"&gt;38757&lt;/D&gt;&lt;D xsi:type="xsd:long"&gt;38756&lt;/D&gt;&lt;D xsi:type="xsd:long"&gt;38755&lt;/D&gt;&lt;D xsi:type="xsd:long"&gt;38754&lt;/D&gt;&lt;D xsi:type="xsd:long"&gt;38751&lt;/D&gt;&lt;D xsi:type="xsd:long"&gt;38750&lt;/D&gt;&lt;D xsi:type="xsd:long"&gt;38749&lt;/D&gt;&lt;D xsi:type="xsd:long"&gt;38748&lt;/D&gt;&lt;D xsi:type="xsd:long"&gt;38747&lt;/D&gt;&lt;D xsi:type="xsd:long"&gt;38744&lt;/D&gt;&lt;D xsi:type="xsd:long"&gt;38743&lt;/D&gt;&lt;D xsi:type="xsd:long"&gt;38742&lt;/D&gt;&lt;D xsi:type="xsd:long"&gt;38741&lt;/D&gt;&lt;D xsi:type="xsd:long"&gt;38740&lt;/D&gt;&lt;D xsi:type="xsd:long"&gt;38737&lt;/D&gt;&lt;D xsi:type="xsd:long"&gt;38736&lt;/D&gt;&lt;D xsi:type="xsd:long"&gt;38735&lt;/D&gt;&lt;D xsi:type="xsd:long"&gt;38734&lt;/D&gt;&lt;D xsi:type="xsd:long"&gt;38730&lt;/D&gt;&lt;D xsi:type="xsd:long"&gt;38729&lt;/D&gt;&lt;D xsi:type="xsd:long"&gt;38728&lt;/D&gt;&lt;D xsi:type="xsd:long"&gt;38727&lt;/D&gt;&lt;D xsi:type="xsd:long"&gt;38726&lt;/D&gt;&lt;D xsi:type="xsd:long"&gt;38723&lt;/D&gt;&lt;D xsi:type="xsd:long"&gt;38722&lt;/D&gt;&lt;D xsi:type="xsd:long"&gt;38721&lt;/D&gt;&lt;D xsi:type="xsd:long"&gt;38720&lt;/D&gt;&lt;D xsi:type="xsd:long"&gt;38716&lt;/D&gt;&lt;D xsi:type="xsd:long"&gt;38715&lt;/D&gt;&lt;D xsi:type="xsd:long"&gt;38714&lt;/D&gt;&lt;D xsi:type="xsd:long"&gt;38713&lt;/D&gt;&lt;D xsi:type="xsd:long"&gt;38709&lt;/D&gt;&lt;D xsi:type="xsd:long"&gt;38708&lt;/D&gt;&lt;D xsi:type="xsd:long"&gt;38707&lt;/D&gt;&lt;D xsi:type="xsd:long"&gt;38706&lt;/D&gt;&lt;D xsi:type="xsd:long"&gt;38705&lt;/D&gt;&lt;D xsi:type="xsd:long"&gt;38702&lt;/D&gt;&lt;D xsi:type="xsd:long"&gt;38701&lt;/D&gt;&lt;D xsi:type="xsd:long"&gt;38700&lt;/D&gt;&lt;D xsi:type="xsd:long"&gt;38699&lt;/D&gt;&lt;D xsi:type="xsd:long"&gt;38698&lt;/D&gt;&lt;D xsi:type="xsd:long"&gt;38695&lt;/D&gt;&lt;D xsi:type="xsd:long"&gt;38694&lt;/D&gt;&lt;D xsi:type="xsd:long"&gt;38693&lt;/D&gt;&lt;D xsi:type="xsd:long"&gt;38692&lt;/D&gt;&lt;D xsi:type="xsd:long"&gt;38691&lt;/D&gt;&lt;D xsi:type="xsd:long"&gt;38688&lt;/D&gt;&lt;D xsi:type="xsd:long"&gt;38687&lt;/D&gt;&lt;D xsi:type="xsd:long"&gt;38686&lt;/D&gt;&lt;D xsi:type="xsd:long"&gt;38685&lt;/D&gt;&lt;D xsi:type="xsd:long"&gt;38684&lt;/D&gt;&lt;D xsi:type="xsd:long"&gt;38681&lt;/D&gt;&lt;D xsi:type="xsd:long"&gt;38679&lt;/D&gt;&lt;D xsi:type="xsd:long"&gt;38678&lt;/D&gt;&lt;D xsi:type="xsd:long"&gt;38677&lt;/D&gt;&lt;D xsi:type="xsd:long"&gt;38674&lt;/D&gt;&lt;D xsi:type="xsd:long"&gt;38673&lt;/D&gt;&lt;D xsi:type="xsd:long"&gt;38672&lt;/D&gt;&lt;D xsi:type="xsd:long"&gt;38671&lt;/D&gt;&lt;D xsi:type="xsd:long"&gt;38670&lt;/D&gt;&lt;D xsi:type="xsd:long"&gt;38667&lt;/D&gt;&lt;D xsi:type="xsd:long"&gt;38666&lt;/D&gt;&lt;D xsi:type="xsd:long"&gt;38665&lt;/D&gt;&lt;D xsi:type="xsd:long"&gt;38664&lt;/D&gt;&lt;D xsi:type="xsd:long"&gt;38663&lt;/D&gt;&lt;D xsi:type="xsd:long"&gt;38660&lt;/D&gt;&lt;D xsi:type="xsd:long"&gt;38659&lt;/D&gt;&lt;D xsi:type="xsd:long"&gt;38658&lt;/D&gt;&lt;D xsi:type="xsd:long"&gt;38657&lt;/D&gt;&lt;D xsi:type="xsd:long"&gt;38656&lt;/D&gt;&lt;D xsi:type="xsd:long"&gt;38653&lt;/D&gt;&lt;D xsi:type="xsd:long"&gt;38652&lt;/D&gt;&lt;D xsi:type="xsd:long"&gt;38651&lt;/D&gt;&lt;D xsi:type="xsd:long"&gt;38650&lt;/D&gt;&lt;D xsi:type="xsd:long"&gt;38649&lt;/D&gt;&lt;D xsi:type="xsd:long"&gt;38646&lt;/D&gt;&lt;D xsi:type="xsd:long"&gt;38645&lt;/D&gt;&lt;D xsi:type="xsd:long"&gt;38644&lt;/D&gt;&lt;D xsi:type="xsd:long"&gt;38643&lt;/D&gt;&lt;D xsi:type="xsd:long"&gt;38642&lt;/D&gt;&lt;D xsi:type="xsd:long"&gt;38639&lt;/D&gt;&lt;D xsi:type="xsd:long"&gt;38638&lt;/D&gt;&lt;D xsi:type="xsd:long"&gt;38637&lt;/D&gt;&lt;D xsi:type="xsd:long"&gt;38636&lt;/D&gt;&lt;D xsi:type="xsd:long"&gt;38635&lt;/D&gt;&lt;D xsi:type="xsd:long"&gt;38632&lt;/D&gt;&lt;D xsi:type="xsd:long"&gt;38631&lt;/D&gt;&lt;D xsi:type="xsd:long"&gt;38630&lt;/D&gt;&lt;D xsi:type="xsd:long"&gt;38629&lt;/D&gt;&lt;D xsi:type="xsd:long"&gt;38628&lt;/D&gt;&lt;D xsi:type="xsd:long"&gt;38625&lt;/D&gt;&lt;D xsi:type="xsd:long"&gt;38624&lt;/D&gt;&lt;D xsi:type="xsd:long"&gt;38623&lt;/D&gt;&lt;D xsi:type="xsd:long"&gt;38622&lt;/D&gt;&lt;D xsi:type="xsd:long"&gt;38621&lt;/D&gt;&lt;D xsi:type="xsd:long"&gt;38618&lt;/D&gt;&lt;D xsi:type="xsd:long"&gt;38617&lt;/D&gt;&lt;D xsi:type="xsd:long"&gt;38616&lt;/D&gt;&lt;D xsi:type="xsd:long"&gt;38615&lt;/D&gt;&lt;D xsi:type="xsd:long"&gt;38614&lt;/D&gt;&lt;D xsi:type="xsd:long"&gt;38611&lt;/D&gt;&lt;D xsi:type="xsd:long"&gt;38610&lt;/D&gt;&lt;D xsi:type="xsd:long"&gt;38609&lt;/D&gt;&lt;D xsi:type="xsd:long"&gt;38608&lt;/D&gt;&lt;D xsi:type="xsd:long"&gt;38607&lt;/D&gt;&lt;D xsi:type="xsd:long"&gt;38604&lt;/D&gt;&lt;D xsi:type="xsd:long"&gt;38603&lt;/D&gt;&lt;D xsi:type="xsd:long"&gt;38602&lt;/D&gt;&lt;D xsi:type="xsd:long"&gt;38601&lt;/D&gt;&lt;D xsi:type="xsd:long"&gt;38597&lt;/D&gt;&lt;D xsi:type="xsd:long"&gt;38596&lt;/D&gt;&lt;D xsi:type="xsd:long"&gt;38595&lt;/D&gt;&lt;D xsi:type="xsd:long"&gt;38594&lt;/D&gt;&lt;D xsi:type="xsd:long"&gt;38593&lt;/D&gt;&lt;D xsi:type="xsd:long"&gt;38590&lt;/D&gt;&lt;D xsi:type="xsd:long"&gt;38589&lt;/D&gt;&lt;D xsi:type="xsd:long"&gt;38588&lt;/D&gt;&lt;D xsi:type="xsd:long"&gt;38587&lt;/D&gt;&lt;D xsi:type="xsd:long"&gt;38586&lt;/D&gt;&lt;D xsi:type="xsd:long"&gt;38583&lt;/D&gt;&lt;D xsi:type="xsd:long"&gt;38582&lt;/D&gt;&lt;D xsi:type="xsd:long"&gt;38581&lt;/D&gt;&lt;D xsi:type="xsd:long"&gt;38580&lt;/D&gt;&lt;D xsi:type="xsd:long"&gt;38579&lt;/D&gt;&lt;D xsi:type="xsd:long"&gt;38576&lt;/D&gt;&lt;D xsi:type="xsd:long"&gt;38575&lt;/D&gt;&lt;D xsi:type="xsd:long"&gt;38574&lt;/D&gt;&lt;D xsi:type="xsd:long"&gt;38573&lt;/D&gt;&lt;D xsi:type="xsd:long"&gt;38572&lt;/D&gt;&lt;D xsi:type="xsd:long"&gt;38569&lt;/D&gt;&lt;D xsi:type="xsd:long"&gt;38568&lt;/D&gt;&lt;D xsi:type="xsd:long"&gt;38567&lt;/D&gt;&lt;D xsi:type="xsd:long"&gt;38566&lt;/D&gt;&lt;D xsi:type="xsd:long"&gt;38565&lt;/D&gt;&lt;D xsi:type="xsd:long"&gt;38562&lt;/D&gt;&lt;D xsi:type="xsd:long"&gt;38561&lt;/D&gt;&lt;D xsi:type="xsd:long"&gt;38560&lt;/D&gt;&lt;D xsi:type="xsd:long"&gt;38559&lt;/D&gt;&lt;D xsi:type="xsd:long"&gt;38558&lt;/D&gt;&lt;D xsi:type="xsd:long"&gt;38555&lt;/D&gt;&lt;D xsi:type="xsd:long"&gt;38554&lt;/D&gt;&lt;D xsi:type="xsd:long"&gt;38553&lt;/D&gt;&lt;D xsi:type="xsd:long"&gt;38552&lt;/D&gt;&lt;D xsi:type="xsd:long"&gt;38551&lt;/D&gt;&lt;D xsi:type="xsd:long"&gt;38548&lt;/D&gt;&lt;D xsi:type="xsd:long"&gt;38547&lt;/D&gt;&lt;D xsi:type="xsd:long"&gt;38546&lt;/D&gt;&lt;D xsi:type="xsd:long"&gt;38545&lt;/D&gt;&lt;D xsi:type="xsd:long"&gt;38544&lt;/D&gt;&lt;D xsi:type="xsd:long"&gt;38541&lt;/D&gt;&lt;D xsi:type="xsd:long"&gt;38540&lt;/D&gt;&lt;D xsi:type="xsd:long"&gt;38539&lt;/D&gt;&lt;D xsi:type="xsd:long"&gt;38538&lt;/D&gt;&lt;D xsi:type="xsd:long"&gt;38534&lt;/D&gt;&lt;D xsi:type="xsd:long"&gt;38533&lt;/D&gt;&lt;D xsi:type="xsd:long"&gt;38532&lt;/D&gt;&lt;D xsi:type="xsd:long"&gt;38531&lt;/D&gt;&lt;D xsi:type="xsd:long"&gt;38530&lt;/D&gt;&lt;D xsi:type="xsd:long"&gt;38527&lt;/D&gt;&lt;D xsi:type="xsd:long"&gt;38526&lt;/D&gt;&lt;D xsi:type="xsd:long"&gt;38525&lt;/D&gt;&lt;D xsi:type="xsd:long"&gt;38524&lt;/D&gt;&lt;D xsi:type="xsd:long"&gt;38523&lt;/D&gt;&lt;D xsi:type="xsd:long"&gt;38520&lt;/D&gt;&lt;D xsi:type="xsd:long"&gt;38519&lt;/D&gt;&lt;D xsi:type="xsd:long"&gt;38518&lt;/D&gt;&lt;D xsi:type="xsd:long"&gt;38517&lt;/D&gt;&lt;D xsi:type="xsd:long"&gt;38516&lt;/D&gt;&lt;D xsi:type="xsd:long"&gt;38513&lt;/D&gt;&lt;D xsi:type="xsd:long"&gt;38512&lt;/D&gt;&lt;D xsi:type="xsd:long"&gt;38511&lt;/D&gt;&lt;D xsi:type="xsd:long"&gt;38510&lt;/D&gt;&lt;D xsi:type="xsd:long"&gt;38509&lt;/D&gt;&lt;D xsi:type="xsd:long"&gt;38506&lt;/D&gt;&lt;D xsi:type="xsd:long"&gt;38505&lt;/D&gt;&lt;D xsi:type="xsd:long"&gt;38504&lt;/D&gt;&lt;D xsi:type="xsd:long"&gt;38503&lt;/D&gt;&lt;D xsi:type="xsd:long"&gt;38499&lt;/D&gt;&lt;D xsi:type="xsd:long"&gt;38498&lt;/D&gt;&lt;D xsi:type="xsd:long"&gt;38497&lt;/D&gt;&lt;D xsi:type="xsd:long"&gt;38496&lt;/D&gt;&lt;D xsi:type="xsd:long"&gt;38495&lt;/D&gt;&lt;D xsi:type="xsd:long"&gt;38492&lt;/D&gt;&lt;D xsi:type="xsd:long"&gt;38491&lt;/D&gt;&lt;D xsi:type="xsd:long"&gt;38490&lt;/D&gt;&lt;D xsi:type="xsd:long"&gt;38489&lt;/D&gt;&lt;D xsi:type="xsd:long"&gt;38488&lt;/D&gt;&lt;D xsi:type="xsd:long"&gt;38485&lt;/D&gt;&lt;D xsi:type="xsd:long"&gt;38484&lt;/D&gt;&lt;D xsi:type="xsd:long"&gt;38483&lt;/D&gt;&lt;D xsi:type="xsd:long"&gt;38482&lt;/D&gt;&lt;D xsi:type="xsd:long"&gt;38481&lt;/D&gt;&lt;D xsi:type="xsd:long"&gt;38478&lt;/D&gt;&lt;D xsi:type="xsd:long"&gt;38477&lt;/D&gt;&lt;D xsi:type="xsd:long"&gt;38476&lt;/D&gt;&lt;D xsi:type="xsd:long"&gt;38475&lt;/D&gt;&lt;D xsi:type="xsd:long"&gt;38474&lt;/D&gt;&lt;D xsi:type="xsd:long"&gt;38471&lt;/D&gt;&lt;D xsi:type="xsd:long"&gt;38470&lt;/D&gt;&lt;D xsi:type="xsd:long"&gt;38469&lt;/D&gt;&lt;D xsi:type="xsd:long"&gt;38468&lt;/D&gt;&lt;D xsi:type="xsd:long"&gt;38467&lt;/D&gt;&lt;D xsi:type="xsd:long"&gt;38464&lt;/D&gt;&lt;D xsi:type="xsd:long"&gt;38463&lt;/D&gt;&lt;D xsi:type="xsd:long"&gt;38462&lt;/D&gt;&lt;D xsi:type="xsd:long"&gt;38461&lt;/D&gt;&lt;D xsi:type="xsd:long"&gt;38460&lt;/D&gt;&lt;D xsi:type="xsd:long"&gt;38457&lt;/D&gt;&lt;D xsi:type="xsd:long"&gt;38456&lt;/D&gt;&lt;D xsi:type="xsd:long"&gt;38455&lt;/D&gt;&lt;D xsi:type="xsd:long"&gt;38454&lt;/D&gt;&lt;D xsi:type="xsd:long"&gt;38453&lt;/D&gt;&lt;D xsi:type="xsd:long"&gt;38450&lt;/D&gt;&lt;D xsi:type="xsd:long"&gt;38449&lt;/D&gt;&lt;D xsi:type="xsd:long"&gt;38448&lt;/D&gt;&lt;D xsi:type="xsd:long"&gt;38447&lt;/D&gt;&lt;D xsi:type="xsd:long"&gt;38446&lt;/D&gt;&lt;D xsi:type="xsd:long"&gt;38443&lt;/D&gt;&lt;D xsi:type="xsd:long"&gt;38442&lt;/D&gt;&lt;D xsi:type="xsd:long"&gt;38441&lt;/D&gt;&lt;D xsi:type="xsd:long"&gt;38440&lt;/D&gt;&lt;D xsi:type="xsd:long"&gt;38439&lt;/D&gt;&lt;D xsi:type="xsd:long"&gt;38435&lt;/D&gt;&lt;D xsi:type="xsd:long"&gt;38434&lt;/D&gt;&lt;D xsi:type="xsd:long"&gt;38433&lt;/D&gt;&lt;D xsi:type="xsd:long"&gt;38432&lt;/D&gt;&lt;D xsi:type="xsd:long"&gt;38429&lt;/D&gt;&lt;D xsi:type="xsd:long"&gt;38428&lt;/D&gt;&lt;D xsi:type="xsd:long"&gt;38427&lt;/D&gt;&lt;D xsi:type="xsd:long"&gt;38426&lt;/D&gt;&lt;D xsi:type="xsd:long"&gt;38425&lt;/D&gt;&lt;D xsi:type="xsd:long"&gt;38422&lt;/D&gt;&lt;D xsi:type="xsd:long"&gt;38421&lt;/D&gt;&lt;D xsi:type="xsd:long"&gt;38420&lt;/D&gt;&lt;D xsi:type="xsd:long"&gt;38419&lt;/D&gt;&lt;D xsi:type="xsd:long"&gt;38418&lt;/D&gt;&lt;D xsi:type="xsd:long"&gt;38415&lt;/D&gt;&lt;D xsi:type="xsd:long"&gt;38414&lt;/D&gt;&lt;D xsi:type="xsd:long"&gt;38413&lt;/D&gt;&lt;D xsi:type="xsd:long"&gt;38412&lt;/D&gt;&lt;D xsi:type="xsd:long"&gt;38411&lt;/D&gt;&lt;D xsi:type="xsd:long"&gt;38408&lt;/D&gt;&lt;D xsi:type="xsd:long"&gt;38407&lt;/D&gt;&lt;D xsi:type="xsd:long"&gt;38406&lt;/D&gt;&lt;D xsi:type="xsd:long"&gt;38405&lt;/D&gt;&lt;D xsi:type="xsd:long"&gt;38401&lt;/D&gt;&lt;D xsi:type="xsd:long"&gt;38400&lt;/D&gt;&lt;D xsi:type="xsd:long"&gt;38399&lt;/D&gt;&lt;D xsi:type="xsd:long"&gt;38398&lt;/D&gt;&lt;D xsi:type="xsd:long"&gt;38397&lt;/D&gt;&lt;D xsi:type="xsd:long"&gt;38394&lt;/D&gt;&lt;D xsi:type="xsd:long"&gt;38393&lt;/D&gt;&lt;D xsi:type="xsd:long"&gt;38392&lt;/D&gt;&lt;D xsi:type="xsd:long"&gt;38391&lt;/D&gt;&lt;D xsi:type="xsd:long"&gt;38390&lt;/D&gt;&lt;D xsi:type="xsd:long"&gt;38387&lt;/D&gt;&lt;D xsi:type="xsd:long"&gt;38386&lt;/D&gt;&lt;D xsi:type="xsd:long"&gt;38385&lt;/D&gt;&lt;D xsi:type="xsd:long"&gt;38384&lt;/D&gt;&lt;D xsi:type="xsd:long"&gt;38383&lt;/D&gt;&lt;D xsi:type="xsd:long"&gt;38380&lt;/D&gt;&lt;D xsi:type="xsd:long"&gt;38379&lt;/D&gt;&lt;D xsi:type="xsd:long"&gt;38378&lt;/D&gt;&lt;D xsi:type="xsd:long"&gt;38377&lt;/D&gt;&lt;D xsi:type="xsd:long"&gt;38376&lt;/D&gt;&lt;D xsi:type="xsd:long"&gt;38373&lt;/D&gt;&lt;D xsi:type="xsd:long"&gt;38372&lt;/D&gt;&lt;D xsi:type="xsd:long"&gt;38371&lt;/D&gt;&lt;D xsi:type="xsd:long"&gt;38370&lt;/D&gt;&lt;D xsi:type="xsd:long"&gt;38366&lt;/D&gt;&lt;D xsi:type="xsd:long"&gt;38365&lt;/D&gt;&lt;D xsi:type="xsd:long"&gt;38364&lt;/D&gt;&lt;D xsi:type="xsd:long"&gt;38363&lt;/D&gt;&lt;D xsi:type="xsd:long"&gt;38362&lt;/D&gt;&lt;D xsi:type="xsd:long"&gt;38359&lt;/D&gt;&lt;D xsi:type="xsd:long"&gt;38358&lt;/D&gt;&lt;D xsi:type="xsd:long"&gt;38357&lt;/D&gt;&lt;D xsi:type="xsd:long"&gt;38356&lt;/D&gt;&lt;D xsi:type="xsd:long"&gt;38355&lt;/D&gt;&lt;D xsi:type="xsd:long"&gt;38352&lt;/D&gt;&lt;D xsi:type="xsd:long"&gt;38351&lt;/D&gt;&lt;D xsi:type="xsd:long"&gt;38350&lt;/D&gt;&lt;D xsi:type="xsd:long"&gt;38349&lt;/D&gt;&lt;D xsi:type="xsd:long"&gt;38348&lt;/D&gt;&lt;D xsi:type="xsd:long"&gt;38344&lt;/D&gt;&lt;D xsi:type="xsd:long"&gt;38343&lt;/D&gt;&lt;D xsi:type="xsd:long"&gt;38342&lt;/D&gt;&lt;D xsi:type="xsd:long"&gt;38341&lt;/D&gt;&lt;D xsi:type="xsd:long"&gt;38338&lt;/D&gt;&lt;D xsi:type="xsd:long"&gt;38337&lt;/D&gt;&lt;D xsi:type="xsd:long"&gt;38336&lt;/D&gt;&lt;D xsi:type="xsd:long"&gt;38335&lt;/D&gt;&lt;D xsi:type="xsd:long"&gt;38334&lt;/D&gt;&lt;D xsi:type="xsd:long"&gt;38331&lt;/D&gt;&lt;D xsi:type="xsd:long"&gt;38330&lt;/D&gt;&lt;D xsi:type="xsd:long"&gt;38329&lt;/D&gt;&lt;D xsi:type="xsd:long"&gt;38328&lt;/D&gt;&lt;D xsi:type="xsd:long"&gt;38327&lt;/D&gt;&lt;D xsi:type="xsd:long"&gt;38324&lt;/D&gt;&lt;D xsi:type="xsd:long"&gt;38323&lt;/D&gt;&lt;D xsi:type="xsd:long"&gt;38322&lt;/D&gt;&lt;D xsi:type="xsd:long"&gt;38321&lt;/D&gt;&lt;D xsi:type="xsd:long"&gt;38320&lt;/D&gt;&lt;D xsi:type="xsd:long"&gt;38317&lt;/D&gt;&lt;D xsi:type="xsd:long"&gt;38315&lt;/D&gt;&lt;D xsi:type="xsd:long"&gt;38314&lt;/D&gt;&lt;D xsi:type="xsd:long"&gt;38313&lt;/D&gt;&lt;D xsi:type="xsd:long"&gt;38310&lt;/D&gt;&lt;D xsi:type="xsd:long"&gt;38309&lt;/D&gt;&lt;D xsi:type="xsd:long"&gt;38308&lt;/D&gt;&lt;D xsi:type="xsd:long"&gt;38307&lt;/D&gt;&lt;D xsi:type="xsd:long"&gt;38306&lt;/D&gt;&lt;D xsi:type="xsd:long"&gt;38303&lt;/D&gt;&lt;D xsi:type="xsd:long"&gt;38302&lt;/D&gt;&lt;D xsi:type="xsd:long"&gt;38301&lt;/D&gt;&lt;D xsi:type="xsd:long"&gt;38300&lt;/D&gt;&lt;D xsi:type="xsd:long"&gt;38299&lt;/D&gt;&lt;D xsi:type="xsd:long"&gt;38296&lt;/D&gt;&lt;D xsi:type="xsd:long"&gt;38295&lt;/D&gt;&lt;D xsi:type="xsd:long"&gt;38294&lt;/D&gt;&lt;D xsi:type="xsd:long"&gt;38293&lt;/D&gt;&lt;D xsi:type="xsd:long"&gt;38292&lt;/D&gt;&lt;D xsi:type="xsd:long"&gt;38289&lt;/D&gt;&lt;D xsi:type="xsd:long"&gt;38288&lt;/D&gt;&lt;D xsi:type="xsd:long"&gt;38287&lt;/D&gt;&lt;D xsi:type="xsd:long"&gt;38286&lt;/D&gt;&lt;D xsi:type="xsd:long"&gt;38285&lt;/D&gt;&lt;D xsi:type="xsd:long"&gt;38282&lt;/D&gt;&lt;D xsi:type="xsd:long"&gt;38281&lt;/D&gt;&lt;D xsi:type="xsd:long"&gt;38280&lt;/D&gt;&lt;D xsi:type="xsd:long"&gt;38279&lt;/D&gt;&lt;D xsi:type="xsd:long"&gt;38278&lt;/D&gt;&lt;D xsi:type="xsd:long"&gt;38275&lt;/D&gt;&lt;D xsi:type="xsd:long"&gt;38274&lt;/D&gt;&lt;D xsi:type="xsd:long"&gt;38273&lt;/D&gt;&lt;D xsi:type="xsd:long"&gt;38272&lt;/D&gt;&lt;D xsi:type="xsd:long"&gt;38271&lt;/D&gt;&lt;D xsi:type="xsd:long"&gt;38268&lt;/D&gt;&lt;D xsi:type="xsd:long"&gt;38267&lt;/D&gt;&lt;D xsi:type="xsd:long"&gt;38266&lt;/D&gt;&lt;D xsi:type="xsd:long"&gt;38265&lt;/D&gt;&lt;D xsi:type="xsd:long"&gt;38264&lt;/D&gt;&lt;D xsi:type="xsd:long"&gt;38261&lt;/D&gt;&lt;D xsi:type="xsd:long"&gt;38260&lt;/D&gt;&lt;D xsi:type="xsd:long"&gt;38259&lt;/D&gt;&lt;D xsi:type="xsd:long"&gt;38258&lt;/D&gt;&lt;D xsi:type="xsd:long"&gt;38257&lt;/D&gt;&lt;D xsi:type="xsd:long"&gt;38254&lt;/D&gt;&lt;D xsi:type="xsd:long"&gt;38253&lt;/D&gt;&lt;D xsi:type="xsd:long"&gt;38252&lt;/D&gt;&lt;D xsi:type="xsd:long"&gt;38251&lt;/D&gt;&lt;D xsi:type="xsd:long"&gt;38250&lt;/D&gt;&lt;D xsi:type="xsd:long"&gt;38247&lt;/D&gt;&lt;D xsi:type="xsd:long"&gt;38246&lt;/D&gt;&lt;D xsi:type="xsd:long"&gt;38245&lt;/D&gt;&lt;D xsi:type="xsd:long"&gt;38244&lt;/D&gt;&lt;D xsi:type="xsd:long"&gt;38243&lt;/D&gt;&lt;D xsi:type="xsd:long"&gt;38240&lt;/D&gt;&lt;D xsi:type="xsd:long"&gt;38239&lt;/D&gt;&lt;D xsi:type="xsd:long"&gt;38238&lt;/D&gt;&lt;D xsi:type="xsd:long"&gt;38237&lt;/D&gt;&lt;D xsi:type="xsd:long"&gt;38233&lt;/D&gt;&lt;D xsi:type="xsd:long"&gt;38232&lt;/D&gt;&lt;D xsi:type="xsd:long"&gt;38231&lt;/D&gt;&lt;D xsi:type="xsd:long"&gt;38230&lt;/D&gt;&lt;D xsi:type="xsd:long"&gt;38229&lt;/D&gt;&lt;D xsi:type="xsd:long"&gt;38226&lt;/D&gt;&lt;D xsi:type="xsd:long"&gt;38225&lt;/D&gt;&lt;D xsi:type="xsd:long"&gt;38224&lt;/D&gt;&lt;D xsi:type="xsd:long"&gt;38223&lt;/D&gt;&lt;D xsi:type="xsd:long"&gt;38222&lt;/D&gt;&lt;D xsi:type="xsd:long"&gt;38219&lt;/D&gt;&lt;D xsi:type="xsd:long"&gt;38218&lt;/D&gt;&lt;D xsi:type="xsd:long"&gt;38217&lt;/D&gt;&lt;D xsi:type="xsd:long"&gt;38216&lt;/D&gt;&lt;D xsi:type="xsd:long"&gt;38215&lt;/D&gt;&lt;D xsi:type="xsd:long"&gt;38212&lt;/D&gt;&lt;D xsi:type="xsd:long"&gt;38211&lt;/D&gt;&lt;D xsi:type="xsd:long"&gt;38210&lt;/D&gt;&lt;D xsi:type="xsd:long"&gt;38209&lt;/D&gt;&lt;D xsi:type="xsd:long"&gt;38208&lt;/D&gt;&lt;D xsi:type="xsd:long"&gt;38205&lt;/D&gt;&lt;D xsi:type="xsd:long"&gt;38204&lt;/D&gt;&lt;D xsi:type="xsd:long"&gt;38203&lt;/D&gt;&lt;D xsi:type="xsd:long"&gt;38202&lt;/D&gt;&lt;D xsi:type="xsd:long"&gt;38201&lt;/D&gt;&lt;D xsi:type="xsd:long"&gt;38198&lt;/D&gt;&lt;D xsi:type="xsd:long"&gt;38197&lt;/D&gt;&lt;D xsi:type="xsd:long"&gt;38196&lt;/D&gt;&lt;D xsi:type="xsd:long"&gt;38195&lt;/D&gt;&lt;D xsi:type="xsd:long"&gt;38194&lt;/D&gt;&lt;D xsi:type="xsd:long"&gt;38191&lt;/D&gt;&lt;D xsi:type="xsd:long"&gt;38190&lt;/D&gt;&lt;D xsi:type="xsd:long"&gt;38189&lt;/D&gt;&lt;D xsi:type="xsd:long"&gt;38188&lt;/D&gt;&lt;D xsi:type="xsd:long"&gt;38187&lt;/D&gt;&lt;D xsi:type="xsd:long"&gt;38184&lt;/D&gt;&lt;D xsi:type="xsd:long"&gt;38183&lt;/D&gt;&lt;D xsi:type="xsd:long"&gt;38182&lt;/D&gt;&lt;D xsi:type="xsd:long"&gt;38181&lt;/D&gt;&lt;D xsi:type="xsd:long"&gt;38180&lt;/D&gt;&lt;D xsi:type="xsd:long"&gt;38177&lt;/D&gt;&lt;D xsi:type="xsd:long"&gt;38176&lt;/D&gt;&lt;D xsi:type="xsd:long"&gt;38175&lt;/D&gt;&lt;D xsi:type="xsd:long"&gt;38174&lt;/D&gt;&lt;D xsi:type="xsd:long"&gt;38170&lt;/D&gt;&lt;D xsi:type="xsd:long"&gt;38169&lt;/D&gt;&lt;D xsi:type="xsd:long"&gt;38168&lt;/D&gt;&lt;D xsi:type="xsd:long"&gt;38167&lt;/D&gt;&lt;D xsi:type="xsd:long"&gt;38166&lt;/D&gt;&lt;D xsi:type="xsd:long"&gt;38163&lt;/D&gt;&lt;D xsi:type="xsd:long"&gt;38162&lt;/D&gt;&lt;D xsi:type="xsd:long"&gt;38161&lt;/D&gt;&lt;D xsi:type="xsd:long"&gt;38160&lt;/D&gt;&lt;D xsi:type="xsd:long"&gt;38159&lt;/D&gt;&lt;D xsi:type="xsd:long"&gt;38156&lt;/D&gt;&lt;D xsi:type="xsd:long"&gt;38155&lt;/D&gt;&lt;D xsi:type="xsd:long"&gt;38154&lt;/D&gt;&lt;D xsi:type="xsd:long"&gt;38153&lt;/D&gt;&lt;D xsi:type="xsd:long"&gt;38152&lt;/D&gt;&lt;D xsi:type="xsd:long"&gt;38148&lt;/D&gt;&lt;D xsi:type="xsd:long"&gt;38147&lt;/D&gt;&lt;D xsi:type="xsd:long"&gt;38146&lt;/D&gt;&lt;D xs</t>
        </r>
      </text>
    </comment>
    <comment ref="A94" authorId="0" shapeId="0">
      <text>
        <r>
          <rPr>
            <b/>
            <sz val="9"/>
            <color indexed="81"/>
            <rFont val="Tahoma"/>
            <family val="2"/>
          </rPr>
          <t xml:space="preserve">i:type="xsd:long"&gt;38145&lt;/D&gt;&lt;D xsi:type="xsd:long"&gt;38142&lt;/D&gt;&lt;D xsi:type="xsd:long"&gt;38141&lt;/D&gt;&lt;D xsi:type="xsd:long"&gt;38140&lt;/D&gt;&lt;D xsi:type="xsd:long"&gt;38139&lt;/D&gt;&lt;D xsi:type="xsd:long"&gt;38135&lt;/D&gt;&lt;D xsi:type="xsd:long"&gt;38134&lt;/D&gt;&lt;D xsi:type="xsd:long"&gt;38133&lt;/D&gt;&lt;D xsi:type="xsd:long"&gt;38132&lt;/D&gt;&lt;D xsi:type="xsd:long"&gt;38131&lt;/D&gt;&lt;D xsi:type="xsd:long"&gt;38128&lt;/D&gt;&lt;D xsi:type="xsd:long"&gt;38127&lt;/D&gt;&lt;D xsi:type="xsd:long"&gt;38126&lt;/D&gt;&lt;D xsi:type="xsd:long"&gt;38125&lt;/D&gt;&lt;D xsi:type="xsd:long"&gt;38124&lt;/D&gt;&lt;D xsi:type="xsd:long"&gt;38121&lt;/D&gt;&lt;D xsi:type="xsd:long"&gt;38120&lt;/D&gt;&lt;D xsi:type="xsd:long"&gt;38119&lt;/D&gt;&lt;D xsi:type="xsd:long"&gt;38118&lt;/D&gt;&lt;D xsi:type="xsd:long"&gt;38117&lt;/D&gt;&lt;D xsi:type="xsd:long"&gt;38114&lt;/D&gt;&lt;D xsi:type="xsd:long"&gt;38113&lt;/D&gt;&lt;D xsi:type="xsd:long"&gt;38112&lt;/D&gt;&lt;D xsi:type="xsd:long"&gt;38111&lt;/D&gt;&lt;D xsi:type="xsd:long"&gt;38110&lt;/D&gt;&lt;D xsi:type="xsd:long"&gt;38107&lt;/D&gt;&lt;D xsi:type="xsd:long"&gt;38106&lt;/D&gt;&lt;D xsi:type="xsd:long"&gt;38105&lt;/D&gt;&lt;D xsi:type="xsd:long"&gt;38104&lt;/D&gt;&lt;D xsi:type="xsd:long"&gt;38103&lt;/D&gt;&lt;D xsi:type="xsd:long"&gt;38100&lt;/D&gt;&lt;D xsi:type="xsd:long"&gt;38099&lt;/D&gt;&lt;D xsi:type="xsd:long"&gt;38098&lt;/D&gt;&lt;D xsi:type="xsd:long"&gt;38097&lt;/D&gt;&lt;D xsi:type="xsd:long"&gt;38096&lt;/D&gt;&lt;D xsi:type="xsd:long"&gt;38093&lt;/D&gt;&lt;D xsi:type="xsd:long"&gt;38092&lt;/D&gt;&lt;D xsi:type="xsd:long"&gt;38091&lt;/D&gt;&lt;D xsi:type="xsd:long"&gt;38090&lt;/D&gt;&lt;D xsi:type="xsd:long"&gt;38089&lt;/D&gt;&lt;D xsi:type="xsd:long"&gt;38085&lt;/D&gt;&lt;D xsi:type="xsd:long"&gt;38084&lt;/D&gt;&lt;D xsi:type="xsd:long"&gt;38083&lt;/D&gt;&lt;D xsi:type="xsd:long"&gt;38082&lt;/D&gt;&lt;D xsi:type="xsd:long"&gt;38079&lt;/D&gt;&lt;D xsi:type="xsd:long"&gt;38078&lt;/D&gt;&lt;D xsi:type="xsd:long"&gt;38077&lt;/D&gt;&lt;D xsi:type="xsd:long"&gt;38076&lt;/D&gt;&lt;D xsi:type="xsd:long"&gt;38075&lt;/D&gt;&lt;D xsi:type="xsd:long"&gt;38072&lt;/D&gt;&lt;D xsi:type="xsd:long"&gt;38071&lt;/D&gt;&lt;D xsi:type="xsd:long"&gt;38070&lt;/D&gt;&lt;D xsi:type="xsd:long"&gt;38069&lt;/D&gt;&lt;D xsi:type="xsd:long"&gt;38068&lt;/D&gt;&lt;D xsi:type="xsd:long"&gt;38065&lt;/D&gt;&lt;D xsi:type="xsd:long"&gt;38064&lt;/D&gt;&lt;D xsi:type="xsd:long"&gt;38063&lt;/D&gt;&lt;D xsi:type="xsd:long"&gt;38062&lt;/D&gt;&lt;D xsi:type="xsd:long"&gt;38061&lt;/D&gt;&lt;D xsi:type="xsd:long"&gt;38058&lt;/D&gt;&lt;D xsi:type="xsd:long"&gt;38057&lt;/D&gt;&lt;D xsi:type="xsd:long"&gt;38056&lt;/D&gt;&lt;D xsi:type="xsd:long"&gt;38055&lt;/D&gt;&lt;D xsi:type="xsd:long"&gt;38054&lt;/D&gt;&lt;D xsi:type="xsd:long"&gt;38051&lt;/D&gt;&lt;D xsi:type="xsd:long"&gt;38050&lt;/D&gt;&lt;D xsi:type="xsd:long"&gt;38049&lt;/D&gt;&lt;D xsi:type="xsd:long"&gt;38048&lt;/D&gt;&lt;D xsi:type="xsd:long"&gt;38047&lt;/D&gt;&lt;D xsi:type="xsd:long"&gt;38044&lt;/D&gt;&lt;D xsi:type="xsd:long"&gt;38043&lt;/D&gt;&lt;D xsi:type="xsd:long"&gt;38042&lt;/D&gt;&lt;D xsi:type="xsd:long"&gt;38041&lt;/D&gt;&lt;D xsi:type="xsd:long"&gt;38040&lt;/D&gt;&lt;D xsi:type="xsd:long"&gt;38037&lt;/D&gt;&lt;D xsi:type="xsd:long"&gt;38036&lt;/D&gt;&lt;D xsi:type="xsd:long"&gt;38035&lt;/D&gt;&lt;D xsi:type="xsd:long"&gt;38034&lt;/D&gt;&lt;D xsi:type="xsd:long"&gt;38030&lt;/D&gt;&lt;D xsi:type="xsd:long"&gt;38029&lt;/D&gt;&lt;D xsi:type="xsd:long"&gt;38028&lt;/D&gt;&lt;D xsi:type="xsd:long"&gt;38027&lt;/D&gt;&lt;D xsi:type="xsd:long"&gt;38026&lt;/D&gt;&lt;D xsi:type="xsd:long"&gt;38023&lt;/D&gt;&lt;D xsi:type="xsd:long"&gt;38022&lt;/D&gt;&lt;D xsi:type="xsd:long"&gt;38021&lt;/D&gt;&lt;D xsi:type="xsd:long"&gt;38020&lt;/D&gt;&lt;D xsi:type="xsd:long"&gt;38019&lt;/D&gt;&lt;D xsi:type="xsd:long"&gt;38016&lt;/D&gt;&lt;D xsi:type="xsd:long"&gt;38015&lt;/D&gt;&lt;D xsi:type="xsd:long"&gt;38014&lt;/D&gt;&lt;D xsi:type="xsd:long"&gt;38013&lt;/D&gt;&lt;D xsi:type="xsd:long"&gt;38012&lt;/D&gt;&lt;D xsi:type="xsd:long"&gt;38009&lt;/D&gt;&lt;D xsi:type="xsd:long"&gt;38008&lt;/D&gt;&lt;D xsi:type="xsd:long"&gt;38007&lt;/D&gt;&lt;D xsi:type="xsd:long"&gt;38006&lt;/D&gt;&lt;D xsi:type="xsd:long"&gt;38002&lt;/D&gt;&lt;D xsi:type="xsd:long"&gt;38001&lt;/D&gt;&lt;D xsi:type="xsd:long"&gt;38000&lt;/D&gt;&lt;D xsi:type="xsd:long"&gt;37999&lt;/D&gt;&lt;D xsi:type="xsd:long"&gt;37998&lt;/D&gt;&lt;D xsi:type="xsd:long"&gt;37995&lt;/D&gt;&lt;D xsi:type="xsd:long"&gt;37994&lt;/D&gt;&lt;D xsi:type="xsd:long"&gt;37993&lt;/D&gt;&lt;D xsi:type="xsd:long"&gt;37992&lt;/D&gt;&lt;D xsi:type="xsd:long"&gt;37991&lt;/D&gt;&lt;D xsi:type="xsd:long"&gt;37988&lt;/D&gt;&lt;D xsi:type="xsd:long"&gt;37986&lt;/D&gt;&lt;D xsi:type="xsd:long"&gt;37985&lt;/D&gt;&lt;D xsi:type="xsd:long"&gt;37984&lt;/D&gt;&lt;D xsi:type="xsd:long"&gt;37981&lt;/D&gt;&lt;D xsi:type="xsd:long"&gt;37979&lt;/D&gt;&lt;D xsi:type="xsd:long"&gt;37978&lt;/D&gt;&lt;D xsi:type="xsd:long"&gt;37977&lt;/D&gt;&lt;D xsi:type="xsd:long"&gt;37974&lt;/D&gt;&lt;D xsi:type="xsd:long"&gt;37973&lt;/D&gt;&lt;D xsi:type="xsd:long"&gt;37972&lt;/D&gt;&lt;D xsi:type="xsd:long"&gt;37971&lt;/D&gt;&lt;D xsi:type="xsd:long"&gt;37970&lt;/D&gt;&lt;D xsi:type="xsd:long"&gt;37967&lt;/D&gt;&lt;D xsi:type="xsd:long"&gt;37966&lt;/D&gt;&lt;D xsi:type="xsd:long"&gt;37965&lt;/D&gt;&lt;D xsi:type="xsd:long"&gt;37964&lt;/D&gt;&lt;D xsi:type="xsd:long"&gt;37963&lt;/D&gt;&lt;D xsi:type="xsd:long"&gt;37960&lt;/D&gt;&lt;D xsi:type="xsd:long"&gt;37959&lt;/D&gt;&lt;D xsi:type="xsd:long"&gt;37958&lt;/D&gt;&lt;D xsi:type="xsd:long"&gt;37957&lt;/D&gt;&lt;D xsi:type="xsd:long"&gt;37956&lt;/D&gt;&lt;D xsi:type="xsd:long"&gt;37953&lt;/D&gt;&lt;D xsi:type="xsd:long"&gt;37951&lt;/D&gt;&lt;D xsi:type="xsd:long"&gt;37950&lt;/D&gt;&lt;D xsi:type="xsd:long"&gt;37949&lt;/D&gt;&lt;D xsi:type="xsd:long"&gt;37946&lt;/D&gt;&lt;D xsi:type="xsd:long"&gt;37945&lt;/D&gt;&lt;D xsi:type="xsd:long"&gt;37944&lt;/D&gt;&lt;D xsi:type="xsd:long"&gt;37943&lt;/D&gt;&lt;D xsi:type="xsd:long"&gt;37942&lt;/D&gt;&lt;D xsi:type="xsd:long"&gt;37939&lt;/D&gt;&lt;D xsi:type="xsd:long"&gt;37938&lt;/D&gt;&lt;D xsi:type="xsd:long"&gt;37937&lt;/D&gt;&lt;D xsi:type="xsd:long"&gt;37936&lt;/D&gt;&lt;D xsi:type="xsd:long"&gt;37935&lt;/D&gt;&lt;D xsi:type="xsd:long"&gt;37932&lt;/D&gt;&lt;D xsi:type="xsd:long"&gt;37931&lt;/D&gt;&lt;D xsi:type="xsd:long"&gt;37930&lt;/D&gt;&lt;D xsi:type="xsd:long"&gt;37929&lt;/D&gt;&lt;D xsi:type="xsd:long"&gt;37928&lt;/D&gt;&lt;D xsi:type="xsd:long"&gt;37925&lt;/D&gt;&lt;D xsi:type="xsd:long"&gt;37924&lt;/D&gt;&lt;D xsi:type="xsd:long"&gt;37923&lt;/D&gt;&lt;D xsi:type="xsd:long"&gt;37922&lt;/D&gt;&lt;D xsi:type="xsd:long"&gt;37921&lt;/D&gt;&lt;D xsi:type="xsd:long"&gt;37918&lt;/D&gt;&lt;D xsi:type="xsd:long"&gt;37917&lt;/D&gt;&lt;D xsi:type="xsd:long"&gt;37916&lt;/D&gt;&lt;D xsi:type="xsd:long"&gt;37915&lt;/D&gt;&lt;D xsi:type="xsd:long"&gt;37914&lt;/D&gt;&lt;D xsi:type="xsd:long"&gt;37911&lt;/D&gt;&lt;D xsi:type="xsd:long"&gt;37910&lt;/D&gt;&lt;D xsi:type="xsd:long"&gt;37909&lt;/D&gt;&lt;D xsi:type="xsd:long"&gt;37908&lt;/D&gt;&lt;D xsi:type="xsd:long"&gt;37907&lt;/D&gt;&lt;D xsi:type="xsd:long"&gt;37904&lt;/D&gt;&lt;D xsi:type="xsd:long"&gt;37903&lt;/D&gt;&lt;D xsi:type="xsd:long"&gt;37902&lt;/D&gt;&lt;D xsi:type="xsd:long"&gt;37901&lt;/D&gt;&lt;D xsi:type="xsd:long"&gt;37900&lt;/D&gt;&lt;D xsi:type="xsd:long"&gt;37897&lt;/D&gt;&lt;D xsi:type="xsd:long"&gt;37896&lt;/D&gt;&lt;D xsi:type="xsd:long"&gt;37895&lt;/D&gt;&lt;D xsi:type="xsd:long"&gt;37894&lt;/D&gt;&lt;D xsi:type="xsd:long"&gt;37893&lt;/D&gt;&lt;D xsi:type="xsd:long"&gt;37890&lt;/D&gt;&lt;D xsi:type="xsd:long"&gt;37889&lt;/D&gt;&lt;D xsi:type="xsd:long"&gt;37888&lt;/D&gt;&lt;D xsi:type="xsd:long"&gt;37887&lt;/D&gt;&lt;D xsi:type="xsd:long"&gt;37886&lt;/D&gt;&lt;D xsi:type="xsd:long"&gt;37883&lt;/D&gt;&lt;D xsi:type="xsd:long"&gt;37882&lt;/D&gt;&lt;D xsi:type="xsd:long"&gt;37881&lt;/D&gt;&lt;D xsi:type="xsd:long"&gt;37880&lt;/D&gt;&lt;D xsi:type="xsd:long"&gt;37879&lt;/D&gt;&lt;D xsi:type="xsd:long"&gt;37876&lt;/D&gt;&lt;D xsi:type="xsd:long"&gt;37875&lt;/D&gt;&lt;D xsi:type="xsd:long"&gt;37874&lt;/D&gt;&lt;D xsi:type="xsd:long"&gt;37873&lt;/D&gt;&lt;D xsi:type="xsd:long"&gt;37872&lt;/D&gt;&lt;D xsi:type="xsd:long"&gt;37869&lt;/D&gt;&lt;D xsi:type="xsd:long"&gt;37868&lt;/D&gt;&lt;D xsi:type="xsd:long"&gt;37867&lt;/D&gt;&lt;D xsi:type="xsd:long"&gt;37866&lt;/D&gt;&lt;D xsi:type="xsd:long"&gt;37862&lt;/D&gt;&lt;D xsi:type="xsd:long"&gt;37861&lt;/D&gt;&lt;D xsi:type="xsd:long"&gt;37860&lt;/D&gt;&lt;D xsi:type="xsd:long"&gt;37859&lt;/D&gt;&lt;D xsi:type="xsd:long"&gt;37858&lt;/D&gt;&lt;D xsi:type="xsd:long"&gt;37855&lt;/D&gt;&lt;D xsi:type="xsd:long"&gt;37854&lt;/D&gt;&lt;D xsi:type="xsd:long"&gt;37853&lt;/D&gt;&lt;D xsi:type="xsd:long"&gt;37852&lt;/D&gt;&lt;D xsi:type="xsd:long"&gt;37851&lt;/D&gt;&lt;D xsi:type="xsd:long"&gt;37848&lt;/D&gt;&lt;D xsi:type="xsd:long"&gt;37847&lt;/D&gt;&lt;D xsi:type="xsd:long"&gt;37846&lt;/D&gt;&lt;D xsi:type="xsd:long"&gt;37845&lt;/D&gt;&lt;D xsi:type="xsd:long"&gt;37844&lt;/D&gt;&lt;D xsi:type="xsd:long"&gt;37841&lt;/D&gt;&lt;D xsi:type="xsd:long"&gt;37840&lt;/D&gt;&lt;D xsi:type="xsd:long"&gt;37839&lt;/D&gt;&lt;D xsi:type="xsd:long"&gt;37838&lt;/D&gt;&lt;D xsi:type="xsd:long"&gt;37837&lt;/D&gt;&lt;D xsi:type="xsd:long"&gt;37834&lt;/D&gt;&lt;D xsi:type="xsd:long"&gt;37833&lt;/D&gt;&lt;D xsi:type="xsd:long"&gt;37832&lt;/D&gt;&lt;D xsi:type="xsd:long"&gt;37831&lt;/D&gt;&lt;D xsi:type="xsd:long"&gt;37830&lt;/D&gt;&lt;D xsi:type="xsd:long"&gt;37827&lt;/D&gt;&lt;D xsi:type="xsd:long"&gt;37826&lt;/D&gt;&lt;D xsi:type="xsd:long"&gt;37825&lt;/D&gt;&lt;D xsi:type="xsd:long"&gt;37824&lt;/D&gt;&lt;D xsi:type="xsd:long"&gt;37823&lt;/D&gt;&lt;D xsi:type="xsd:long"&gt;37820&lt;/D&gt;&lt;D xsi:type="xsd:long"&gt;37819&lt;/D&gt;&lt;D xsi:type="xsd:long"&gt;37818&lt;/D&gt;&lt;D xsi:type="xsd:long"&gt;37817&lt;/D&gt;&lt;D xsi:type="xsd:long"&gt;37816&lt;/D&gt;&lt;D xsi:type="xsd:long"&gt;37813&lt;/D&gt;&lt;D xsi:type="xsd:long"&gt;37812&lt;/D&gt;&lt;D xsi:type="xsd:long"&gt;37811&lt;/D&gt;&lt;D xsi:type="xsd:long"&gt;37810&lt;/D&gt;&lt;D xsi:type="xsd:long"&gt;37809&lt;/D&gt;&lt;D xsi:type="xsd:long"&gt;37805&lt;/D&gt;&lt;D xsi:type="xsd:long"&gt;37804&lt;/D&gt;&lt;D xsi:type="xsd:long"&gt;37803&lt;/D&gt;&lt;D xsi:type="xsd:long"&gt;37802&lt;/D&gt;&lt;D xsi:type="xsd:long"&gt;37799&lt;/D&gt;&lt;D xsi:type="xsd:long"&gt;37798&lt;/D&gt;&lt;D xsi:type="xsd:long"&gt;37797&lt;/D&gt;&lt;D xsi:type="xsd:long"&gt;37796&lt;/D&gt;&lt;D xsi:type="xsd:long"&gt;37795&lt;/D&gt;&lt;D xsi:type="xsd:long"&gt;37792&lt;/D&gt;&lt;D xsi:type="xsd:long"&gt;37791&lt;/D&gt;&lt;D xsi:type="xsd:long"&gt;37790&lt;/D&gt;&lt;D xsi:type="xsd:long"&gt;37789&lt;/D&gt;&lt;D xsi:type="xsd:long"&gt;37788&lt;/D&gt;&lt;D xsi:type="xsd:long"&gt;37785&lt;/D&gt;&lt;D xsi:type="xsd:long"&gt;37784&lt;/D&gt;&lt;D xsi:type="xsd:long"&gt;37783&lt;/D&gt;&lt;D xsi:type="xsd:long"&gt;37782&lt;/D&gt;&lt;D xsi:type="xsd:long"&gt;37781&lt;/D&gt;&lt;D xsi:type="xsd:long"&gt;37778&lt;/D&gt;&lt;D xsi:type="xsd:long"&gt;37777&lt;/D&gt;&lt;D xsi:type="xsd:long"&gt;37776&lt;/D&gt;&lt;D xsi:type="xsd:long"&gt;37775&lt;/D&gt;&lt;D xsi:type="xsd:long"&gt;37774&lt;/D&gt;&lt;D xsi:type="xsd:long"&gt;37771&lt;/D&gt;&lt;D xsi:type="xsd:long"&gt;37770&lt;/D&gt;&lt;D xsi:type="xsd:long"&gt;37769&lt;/D&gt;&lt;D xsi:type="xsd:long"&gt;37768&lt;/D&gt;&lt;D xsi:type="xsd:long"&gt;37764&lt;/D&gt;&lt;D xsi:type="xsd:long"&gt;37763&lt;/D&gt;&lt;D xsi:type="xsd:long"&gt;37762&lt;/D&gt;&lt;D xsi:type="xsd:long"&gt;37761&lt;/D&gt;&lt;D xsi:type="xsd:long"&gt;37760&lt;/D&gt;&lt;D xsi:type="xsd:long"&gt;37757&lt;/D&gt;&lt;D xsi:type="xsd:long"&gt;37756&lt;/D&gt;&lt;D xsi:type="xsd:long"&gt;37755&lt;/D&gt;&lt;D xsi:type="xsd:long"&gt;37754&lt;/D&gt;&lt;D xsi:type="xsd:long"&gt;37753&lt;/D&gt;&lt;D xsi:type="xsd:long"&gt;37750&lt;/D&gt;&lt;D xsi:type="xsd:long"&gt;37749&lt;/D&gt;&lt;D xsi:type="xsd:long"&gt;37748&lt;/D&gt;&lt;D xsi:type="xsd:long"&gt;37747&lt;/D&gt;&lt;D xsi:type="xsd:long"&gt;37746&lt;/D&gt;&lt;D xsi:type="xsd:long"&gt;37743&lt;/D&gt;&lt;D xsi:type="xsd:long"&gt;37742&lt;/D&gt;&lt;D xsi:type="xsd:long"&gt;37741&lt;/D&gt;&lt;D xsi:type="xsd:long"&gt;37740&lt;/D&gt;&lt;D xsi:type="xsd:long"&gt;37739&lt;/D&gt;&lt;D xsi:type="xsd:long"&gt;37736&lt;/D&gt;&lt;D xsi:type="xsd:long"&gt;37735&lt;/D&gt;&lt;D xsi:type="xsd:long"&gt;37734&lt;/D&gt;&lt;D xsi:type="xsd:long"&gt;37733&lt;/D&gt;&lt;D xsi:type="xsd:long"&gt;37732&lt;/D&gt;&lt;D xsi:type="xsd:long"&gt;37728&lt;/D&gt;&lt;D xsi:type="xsd:long"&gt;37727&lt;/D&gt;&lt;D xsi:type="xsd:long"&gt;37726&lt;/D&gt;&lt;D xsi:type="xsd:long"&gt;37725&lt;/D&gt;&lt;D xsi:type="xsd:long"&gt;37722&lt;/D&gt;&lt;D xsi:type="xsd:long"&gt;37721&lt;/D&gt;&lt;D xsi:type="xsd:long"&gt;37720&lt;/D&gt;&lt;D xsi:type="xsd:long"&gt;37719&lt;/D&gt;&lt;D xsi:type="xsd:long"&gt;37718&lt;/D&gt;&lt;D xsi:type="xsd:long"&gt;37715&lt;/D&gt;&lt;D xsi:type="xsd:long"&gt;37714&lt;/D&gt;&lt;D xsi:type="xsd:long"&gt;37713&lt;/D&gt;&lt;D xsi:type="xsd:long"&gt;37712&lt;/D&gt;&lt;D xsi:type="xsd:long"&gt;37711&lt;/D&gt;&lt;D xsi:type="xsd:long"&gt;37708&lt;/D&gt;&lt;D xsi:type="xsd:long"&gt;37707&lt;/D&gt;&lt;D xsi:type="xsd:long"&gt;37706&lt;/D&gt;&lt;D xsi:type="xsd:long"&gt;37705&lt;/D&gt;&lt;D xsi:type="xsd:long"&gt;37704&lt;/D&gt;&lt;D xsi:type="xsd:long"&gt;37701&lt;/D&gt;&lt;D xsi:type="xsd:long"&gt;37700&lt;/D&gt;&lt;D xsi:type="xsd:long"&gt;37699&lt;/D&gt;&lt;D xsi:type="xsd:long"&gt;37698&lt;/D&gt;&lt;D xsi:type="xsd:long"&gt;37697&lt;/D&gt;&lt;D xsi:type="xsd:long"&gt;37694&lt;/D&gt;&lt;D xsi:type="xsd:long"&gt;37693&lt;/D&gt;&lt;D xsi:type="xsd:long"&gt;37692&lt;/D&gt;&lt;D xsi:type="xsd:long"&gt;37691&lt;/D&gt;&lt;D xsi:type="xsd:long"&gt;37690&lt;/D&gt;&lt;D xsi:type="xsd:long"&gt;37687&lt;/D&gt;&lt;D xsi:type="xsd:long"&gt;37686&lt;/D&gt;&lt;D xsi:type="xsd:long"&gt;37685&lt;/D&gt;&lt;D xsi:type="xsd:long"&gt;37684&lt;/D&gt;&lt;D xsi:type="xsd:long"&gt;37683&lt;/D&gt;&lt;D xsi:type="xsd:long"&gt;37680&lt;/D&gt;&lt;D xsi:type="xsd:long"&gt;37679&lt;/D&gt;&lt;D xsi:type="xsd:long"&gt;37678&lt;/D&gt;&lt;D xsi:type="xsd:long"&gt;37677&lt;/D&gt;&lt;D xsi:type="xsd:long"&gt;37676&lt;/D&gt;&lt;D xsi:type="xsd:long"&gt;37673&lt;/D&gt;&lt;D xsi:type="xsd:long"&gt;37672&lt;/D&gt;&lt;D xsi:type="xsd:long"&gt;37671&lt;/D&gt;&lt;D xsi:type="xsd:long"&gt;37670&lt;/D&gt;&lt;D xsi:type="xsd:long"&gt;37666&lt;/D&gt;&lt;D xsi:type="xsd:long"&gt;37665&lt;/D&gt;&lt;D xsi:type="xsd:long"&gt;37664&lt;/D&gt;&lt;D xsi:type="xsd:long"&gt;37663&lt;/D&gt;&lt;D xsi:type="xsd:long"&gt;37662&lt;/D&gt;&lt;D xsi:type="xsd:long"&gt;37659&lt;/D&gt;&lt;D xsi:type="xsd:long"&gt;37658&lt;/D&gt;&lt;D xsi:type="xsd:long"&gt;37657&lt;/D&gt;&lt;D xsi:type="xsd:long"&gt;37656&lt;/D&gt;&lt;D xsi:type="xsd:long"&gt;37655&lt;/D&gt;&lt;D xsi:type="xsd:long"&gt;37652&lt;/D&gt;&lt;D xsi:type="xsd:long"&gt;37651&lt;/D&gt;&lt;D xsi:type="xsd:long"&gt;37650&lt;/D&gt;&lt;D xsi:type="xsd:long"&gt;37649&lt;/D&gt;&lt;D xsi:type="xsd:long"&gt;37648&lt;/D&gt;&lt;D xsi:type="xsd:long"&gt;37645&lt;/D&gt;&lt;D xsi:type="xsd:long"&gt;37644&lt;/D&gt;&lt;D xsi:type="xsd:long"&gt;37643&lt;/D&gt;&lt;D xsi:type="xsd:long"&gt;37642&lt;/D&gt;&lt;D xsi:type="xsd:long"&gt;37638&lt;/D&gt;&lt;D xsi:type="xsd:long"&gt;37637&lt;/D&gt;&lt;D xsi:type="xsd:long"&gt;37636&lt;/D&gt;&lt;D xsi:type="xsd:long"&gt;37635&lt;/D&gt;&lt;D xsi:type="xsd:long"&gt;37634&lt;/D&gt;&lt;D xsi:type="xsd:long"&gt;37631&lt;/D&gt;&lt;D xsi:type="xsd:long"&gt;37630&lt;/D&gt;&lt;D xsi:type="xsd:long"&gt;37629&lt;/D&gt;&lt;D xsi:type="xsd:long"&gt;37628&lt;/D&gt;&lt;D xsi:type="xsd:long"&gt;37627&lt;/D&gt;&lt;D xsi:type="xsd:long"&gt;37624&lt;/D&gt;&lt;D xsi:type="xsd:long"&gt;37623&lt;/D&gt;&lt;D xsi:type="xsd:long"&gt;37621&lt;/D&gt;&lt;D xsi:type="xsd:long"&gt;37620&lt;/D&gt;&lt;D xsi:type="xsd:long"&gt;37617&lt;/D&gt;&lt;D xsi:type="xsd:long"&gt;37616&lt;/D&gt;&lt;D xsi:type="xsd:long"&gt;37614&lt;/D&gt;&lt;D xsi:type="xsd:long"&gt;37613&lt;/D&gt;&lt;D xsi:type="xsd:long"&gt;37610&lt;/D&gt;&lt;D xsi:type="xsd:long"&gt;37609&lt;/D&gt;&lt;D xsi:type="xsd:long"&gt;37608&lt;/D&gt;&lt;D xsi:type="xsd:long"&gt;37607&lt;/D&gt;&lt;D xsi:type="xsd:long"&gt;37606&lt;/D&gt;&lt;D xsi:type="xsd:long"&gt;37603&lt;/D&gt;&lt;D xsi:type="xsd:long"&gt;37602&lt;/D&gt;&lt;D xsi:type="xsd:long"&gt;37601&lt;/D&gt;&lt;D xsi:type="xsd:long"&gt;37600&lt;/D&gt;&lt;D xsi:type="xsd:long"&gt;37599&lt;/D&gt;&lt;D xsi:type="xsd:long"&gt;37596&lt;/D&gt;&lt;D xsi:type="xsd:long"&gt;37595&lt;/D&gt;&lt;D xsi:type="xsd:long"&gt;37594&lt;/D&gt;&lt;D xsi:type="xsd:long"&gt;37593&lt;/D&gt;&lt;D xsi:type="xsd:long"&gt;37592&lt;/D&gt;&lt;D xsi:type="xsd:long"&gt;37589&lt;/D&gt;&lt;D xsi:type="xsd:long"&gt;37587&lt;/D&gt;&lt;D xsi:type="xsd:long"&gt;37586&lt;/D&gt;&lt;D xsi:type="xsd:long"&gt;37585&lt;/D&gt;&lt;D xsi:type="xsd:long"&gt;37582&lt;/D&gt;&lt;D xsi:type="xsd:long"&gt;37581&lt;/D&gt;&lt;D xsi:type="xsd:long"&gt;37580&lt;/D&gt;&lt;D xsi:type="xsd:long"&gt;37579&lt;/D&gt;&lt;D xsi:type="xsd:long"&gt;37578&lt;/D&gt;&lt;D xsi:type="xsd:long"&gt;37575&lt;/D&gt;&lt;D xsi:type="xsd:long"&gt;37574&lt;/D&gt;&lt;D xsi:type="xsd:long"&gt;37573&lt;/D&gt;&lt;D xsi:type="xsd:long"&gt;37572&lt;/D&gt;&lt;D xsi:type="xsd:long"&gt;37571&lt;/D&gt;&lt;D xsi:type="xsd:long"&gt;37568&lt;/D&gt;&lt;D xsi:type="xsd:long"&gt;37567&lt;/D&gt;&lt;D xsi:type="xsd:long"&gt;37566&lt;/D&gt;&lt;D xsi:type="xsd:long"&gt;37565&lt;/D&gt;&lt;D xsi:type="xsd:long"&gt;37564&lt;/D&gt;&lt;D xsi:type="xsd:long"&gt;37561&lt;/D&gt;&lt;D xsi:type="xsd:long"&gt;37560&lt;/D&gt;&lt;D xsi:type="xsd:long"&gt;37559&lt;/D&gt;&lt;D xsi:type="xsd:long"&gt;37558&lt;/D&gt;&lt;D xsi:type="xsd:long"&gt;37557&lt;/D&gt;&lt;D xsi:type="xsd:long"&gt;37554&lt;/D&gt;&lt;D xsi:type="xsd:long"&gt;37553&lt;/D&gt;&lt;D xsi:type="xsd:long"&gt;37552&lt;/D&gt;&lt;D xsi:type="xsd:long"&gt;37551&lt;/D&gt;&lt;D xsi:type="xsd:long"&gt;37550&lt;/D&gt;&lt;D xsi:type="xsd:long"&gt;37547&lt;/D&gt;&lt;D xsi:type="xsd:long"&gt;37546&lt;/D&gt;&lt;D xsi:type="xsd:long"&gt;37545&lt;/D&gt;&lt;D xsi:type="xsd:long"&gt;37544&lt;/D&gt;&lt;D xsi:type="xsd:long"&gt;37543&lt;/D&gt;&lt;D xsi:type="xsd:long"&gt;37540&lt;/D&gt;&lt;D xsi:type="xsd:long"&gt;37539&lt;/D&gt;&lt;D xsi:type="xsd:long"&gt;37538&lt;/D&gt;&lt;D xsi:type="xsd:long"&gt;37537&lt;/D&gt;&lt;D xsi:type="xsd:long"&gt;37536&lt;/D&gt;&lt;D xsi:type="xsd:long"&gt;37533&lt;/D&gt;&lt;D xsi:type="xsd:long"&gt;37532&lt;/D&gt;&lt;D xsi:type="xsd:long"&gt;37531&lt;/D&gt;&lt;D xsi:type="xsd:long"&gt;37530&lt;/D&gt;&lt;D xsi:type="xsd:long"&gt;37529&lt;/D&gt;&lt;D xsi:type="xsd:long"&gt;37526&lt;/D&gt;&lt;D xsi:type="xsd:long"&gt;37525&lt;/D&gt;&lt;D xsi:type="xsd:long"&gt;37524&lt;/D&gt;&lt;D xsi:type="xsd:long"&gt;37523&lt;/D&gt;&lt;D xsi:type="xsd:long"&gt;37522&lt;/D&gt;&lt;D xsi:type="xsd:long"&gt;37519&lt;/D&gt;&lt;D xsi:type="xsd:long"&gt;37518&lt;/D&gt;&lt;D xsi:type="xsd:long"&gt;37517&lt;/D&gt;&lt;D xsi:type="xsd:long"&gt;37516&lt;/D&gt;&lt;D xsi:type="xsd:long"&gt;37515&lt;/D&gt;&lt;D xsi:type="xsd:long"&gt;37512&lt;/D&gt;&lt;D xsi:type="xsd:long"&gt;37511&lt;/D&gt;&lt;D xsi:type="xsd:long"&gt;37510&lt;/D&gt;&lt;D xsi:type="xsd:long"&gt;37509&lt;/D&gt;&lt;D xsi:type="xsd:long"&gt;37508&lt;/D&gt;&lt;D xsi:type="xsd:long"&gt;37505&lt;/D&gt;&lt;D xsi:type="xsd:long"&gt;37504&lt;/D&gt;&lt;D xsi:type="xsd:long"&gt;37503&lt;/D&gt;&lt;D xsi:type="xsd:long"&gt;37502&lt;/D&gt;&lt;D xsi:type="xsd:long"&gt;37498&lt;/D&gt;&lt;D xsi:type="xsd:long"&gt;37497&lt;/D&gt;&lt;D xsi:type="xsd:long"&gt;37496&lt;/D&gt;&lt;D xsi:type="xsd:long"&gt;37495&lt;/D&gt;&lt;D xsi:type="xsd:long"&gt;37494&lt;/D&gt;&lt;D xsi:type="xsd:long"&gt;37491&lt;/D&gt;&lt;D xsi:type="xsd:long"&gt;37490&lt;/D&gt;&lt;D xsi:type="xsd:long"&gt;37489&lt;/D&gt;&lt;D xsi:type="xsd:long"&gt;37488&lt;/D&gt;&lt;D xsi:type="xsd:long"&gt;37487&lt;/D&gt;&lt;D xsi:type="xsd:long"&gt;37484&lt;/D&gt;&lt;D xsi:type="xsd:long"&gt;37483&lt;/D&gt;&lt;D xsi:type="xsd:long"&gt;37482&lt;/D&gt;&lt;D xsi:type="xsd:long"&gt;37481&lt;/D&gt;&lt;D xsi:type="xsd:long"&gt;37480&lt;/D&gt;&lt;D xsi:type="xsd:long"&gt;37477&lt;/D&gt;&lt;D xsi:type="xsd:long"&gt;37476&lt;/D&gt;&lt;D xsi:type="xsd:long"&gt;37475&lt;/D&gt;&lt;D xsi:type="xsd:long"&gt;37474&lt;/D&gt;&lt;D xsi:type="xsd:long"&gt;37473&lt;/D&gt;&lt;D xsi:type="xsd:long"&gt;37470&lt;/D&gt;&lt;D xsi:type="xsd:long"&gt;37469&lt;/D&gt;&lt;D xsi:type="xsd:long"&gt;37468&lt;/D&gt;&lt;D xsi:type="xsd:long"&gt;37467&lt;/D&gt;&lt;D xsi:type="xsd:long"&gt;37466&lt;/D&gt;&lt;D xsi:type="xsd:long"&gt;37463&lt;/D&gt;&lt;D xsi:type="xsd:long"&gt;37462&lt;/D&gt;&lt;D xsi:type="xsd:long"&gt;37461&lt;/D&gt;&lt;D xsi:type="xsd:long"&gt;37460&lt;/D&gt;&lt;D xsi:type="xsd:long"&gt;37459&lt;/D&gt;&lt;D xsi:type="xsd:long"&gt;37456&lt;/D&gt;&lt;D xsi:type="xsd:long"&gt;37455&lt;/D&gt;&lt;D xsi:type="xsd:long"&gt;37454&lt;/D&gt;&lt;D xsi:type="xsd:long"&gt;37453&lt;/D&gt;&lt;D xsi:type="xsd:long"&gt;37452&lt;/D&gt;&lt;D xsi:type="xsd:long"&gt;37449&lt;/D&gt;&lt;D xsi:type="xsd:long"&gt;37448&lt;/D&gt;&lt;D xsi:type="xsd:long"&gt;37447&lt;/D&gt;&lt;D xsi:type="xsd:long"&gt;37446&lt;/D&gt;&lt;D xsi:type="xsd:long"&gt;37445&lt;/D&gt;&lt;D xsi:type="xsd:long"&gt;37442&lt;/D&gt;&lt;D xsi:type="xsd:long"&gt;37440&lt;/D&gt;&lt;D xsi:type="xsd:long"&gt;37439&lt;/D&gt;&lt;D xsi:type="xsd:long"&gt;37438&lt;/D&gt;&lt;D xsi:type="xsd:long"&gt;37435&lt;/D&gt;&lt;D xsi:type="xsd:long"&gt;37434&lt;/D&gt;&lt;D xsi:type="xsd:long"&gt;37433&lt;/D&gt;&lt;D xsi:type="xsd:long"&gt;37432&lt;/D&gt;&lt;D xsi:type="xsd:long"&gt;37431&lt;/D&gt;&lt;D xsi:type="xsd:long"&gt;37428&lt;/D&gt;&lt;D xsi:type="xsd:long"&gt;37427&lt;/D&gt;&lt;D xsi:type="xsd:long"&gt;37426&lt;/D&gt;&lt;D xsi:type="xsd:long"&gt;37425&lt;/D&gt;&lt;D xsi:type="xsd:long"&gt;37424&lt;/D&gt;&lt;D xsi:type="xsd:long"&gt;37421&lt;/D&gt;&lt;D xsi:type="xsd:long"&gt;37420&lt;/D&gt;&lt;D xsi:type="xsd:long"&gt;37419&lt;/D&gt;&lt;D xsi:type="xsd:long"&gt;37418&lt;/D&gt;&lt;D xsi:type="xsd:long"&gt;37417&lt;/D&gt;&lt;D xsi:type="xsd:long"&gt;37414&lt;/D&gt;&lt;D xsi:type="xsd:long"&gt;37413&lt;/D&gt;&lt;D xsi:type="xsd:long"&gt;37412&lt;/D&gt;&lt;D xsi:type="xsd:long"&gt;37411&lt;/D&gt;&lt;D xsi:type="xsd:long"&gt;37410&lt;/D&gt;&lt;D xsi:type="xsd:long"&gt;37407&lt;/D&gt;&lt;D xsi:type="xsd:long"&gt;37406&lt;/D&gt;&lt;D xsi:type="xsd:long"&gt;37405&lt;/D&gt;&lt;D xsi:type="xsd:long"&gt;37404&lt;/D&gt;&lt;D xsi:type="xsd:long"&gt;37400&lt;/D&gt;&lt;D xsi:type="xsd:long"&gt;37399&lt;/D&gt;&lt;D xsi:type="xsd:long"&gt;37398&lt;/D&gt;&lt;D xsi:type="xsd:long"&gt;37397&lt;/D&gt;&lt;D xsi:type="xsd:long"&gt;37396&lt;/D&gt;&lt;D xsi:type="xsd:long"&gt;37393&lt;/D&gt;&lt;D xsi:type="xsd:long"&gt;37392&lt;/D&gt;&lt;D xsi:type="xsd:long"&gt;37391&lt;/D&gt;&lt;D xsi:type="xsd:long"&gt;37390&lt;/D&gt;&lt;D xsi:type="xsd:long"&gt;37389&lt;/D&gt;&lt;D xsi:type="xsd:long"&gt;37386&lt;/D&gt;&lt;D xsi:type="xsd:long"&gt;37385&lt;/D&gt;&lt;D xsi:type="xsd:long"&gt;37384&lt;/D&gt;&lt;D xsi:type="xsd:long"&gt;37383&lt;/D&gt;&lt;D xsi:type="xsd:long"&gt;37382&lt;/D&gt;&lt;D xsi:type="xsd:long"&gt;37379&lt;/D&gt;&lt;D xsi:type="xsd:long"&gt;37378&lt;/D&gt;&lt;D xsi:type="xsd:long"&gt;37377&lt;/D&gt;&lt;D xsi:type="xsd:long"&gt;37376&lt;/D&gt;&lt;D xsi:type="xsd:long"&gt;37375&lt;/D&gt;&lt;D xsi:type="xsd:long"&gt;37372&lt;/D&gt;&lt;D xsi:type="xsd:long"&gt;37371&lt;/D&gt;&lt;D xsi:type="xsd:long"&gt;37370&lt;/D&gt;&lt;D xsi:type="xsd:long"&gt;37369&lt;/D&gt;&lt;D xsi:type="xsd:long"&gt;37368&lt;/D&gt;&lt;D xsi:type="xsd:long"&gt;37365&lt;/D&gt;&lt;D xsi:type="xsd:long"&gt;37364&lt;/D&gt;&lt;D xsi:type="xsd:long"&gt;37363&lt;/D&gt;&lt;D xsi:type="xsd:long"&gt;37362&lt;/D&gt;&lt;D xsi:type="xsd:long"&gt;37361&lt;/D&gt;&lt;D xsi:type="xsd:long"&gt;37358&lt;/D&gt;&lt;D xsi:type="xsd:long"&gt;37357&lt;/D&gt;&lt;D xsi:type="xsd:long"&gt;37356&lt;/D&gt;&lt;D xsi:type="xsd:long"&gt;37355&lt;/D&gt;&lt;D xsi:type="xsd:long"&gt;37354&lt;/D&gt;&lt;D xsi:type="xsd:long"&gt;37351&lt;/D&gt;&lt;D xsi:type="xsd:long"&gt;37350&lt;/D&gt;&lt;D xsi:type="xsd:long"&gt;37349&lt;/D&gt;&lt;D xsi:type="xsd:long"&gt;37348&lt;/D&gt;&lt;D xsi:type="xsd:long"&gt;37347&lt;/D&gt;&lt;D xsi:type="xsd:long"&gt;37343&lt;/D&gt;&lt;D xsi:type="xsd:long"&gt;37342&lt;/D&gt;&lt;D xsi:type="xsd:long"&gt;37341&lt;/D&gt;&lt;D xsi:type="xsd:long"&gt;37340&lt;/D&gt;&lt;D xsi:type="xsd:long"&gt;37337&lt;/D&gt;&lt;D xsi:type="xsd:long"&gt;37336&lt;/D&gt;&lt;D xsi:type="xsd:long"&gt;37335&lt;/D&gt;&lt;D xsi:type="xsd:long"&gt;37334&lt;/D&gt;&lt;D xsi:type="xsd:long"&gt;37333&lt;/D&gt;&lt;D xsi:type="xsd:long"&gt;37330&lt;/D&gt;&lt;D xsi:type="xsd:long"&gt;37329&lt;/D&gt;&lt;D xsi:type="xsd:long"&gt;37328&lt;/D&gt;&lt;D xsi:type="xsd:long"&gt;37327&lt;/D&gt;&lt;D xsi:type="xsd:long"&gt;37326&lt;/D&gt;&lt;D xsi:type="xsd:long"&gt;37323&lt;/D&gt;&lt;D xsi:type="xsd:long"&gt;37322&lt;/D&gt;&lt;D xsi:type="xsd:long"&gt;37321&lt;/D&gt;&lt;D xsi:type="xsd:long"&gt;37320&lt;/D&gt;&lt;D xsi:type="xsd:long"&gt;37319&lt;/D&gt;&lt;D xsi:type="xsd:long"&gt;37316&lt;/D&gt;&lt;D xsi:type="xsd:long"&gt;37315&lt;/D&gt;&lt;D xsi:type="xsd:long"&gt;37314&lt;/D&gt;&lt;D xsi:type="xsd:long"&gt;37313&lt;/D&gt;&lt;D xsi:type="xsd:long"&gt;37312&lt;/D&gt;&lt;D xsi:type="xsd:long"&gt;37309&lt;/D&gt;&lt;D xsi:type="xsd:long"&gt;37308&lt;/D&gt;&lt;D xsi:type="xsd:long"&gt;37307&lt;/D&gt;&lt;D xsi:type="xsd:long"&gt;37306&lt;/D&gt;&lt;D xsi:type="xsd:long"&gt;37302&lt;/D&gt;&lt;D xsi:type="xsd:long"&gt;37301&lt;/D&gt;&lt;D xsi:type="xsd:long"&gt;37300&lt;/D&gt;&lt;D xsi:type="xsd:long"&gt;37299&lt;/D&gt;&lt;D xsi:type="xsd:long"&gt;37298&lt;/D&gt;&lt;D xsi:type="xsd:long"&gt;37295&lt;/D&gt;&lt;D xsi:type="xsd:long"&gt;37294&lt;/D&gt;&lt;D xsi:type="xsd:long"&gt;37293&lt;/D&gt;&lt;D xsi:type="xsd:long"&gt;37292&lt;/D&gt;&lt;D xsi:type="xsd:long"&gt;37291&lt;/D&gt;&lt;D xsi:type="xsd:long"&gt;37288&lt;/D&gt;&lt;D xsi:type="xsd:long"&gt;37287&lt;/D&gt;&lt;D xsi:type="xsd:long"&gt;37286&lt;/D&gt;&lt;D xsi:type="xsd:long"&gt;37285&lt;/D&gt;&lt;D xsi:type="xsd:long"&gt;37284&lt;/D&gt;&lt;D xsi:type="xsd:long"&gt;37281&lt;/D&gt;&lt;D xsi:type="xsd:long"&gt;37280&lt;/D&gt;&lt;D xsi:type="xsd:long"&gt;37279&lt;/D&gt;&lt;D xsi:type="xsd:long"&gt;37278&lt;/D&gt;&lt;D xsi:type="xsd:long"&gt;37274&lt;/D&gt;&lt;D xsi:type="xsd:long"&gt;37273&lt;/D&gt;&lt;D xsi:type="xsd:long"&gt;37272&lt;/D&gt;&lt;D xsi:type="xsd:long"&gt;37271&lt;/D&gt;&lt;D xsi:type="xsd:long"&gt;37270&lt;/D&gt;&lt;D xsi:type="xsd:long"&gt;37267&lt;/D&gt;&lt;D xsi:type="xsd:long"&gt;37266&lt;/D&gt;&lt;D xsi:type="xsd:long"&gt;37265&lt;/D&gt;&lt;D xsi:type="xsd:long"&gt;37264&lt;/D&gt;&lt;D xsi:type="xsd:long"&gt;37263&lt;/D&gt;&lt;D xsi:type="xsd:long"&gt;37260&lt;/D&gt;&lt;D xsi:type="xsd:long"&gt;37259&lt;/D&gt;&lt;D xsi:type="xsd:long"&gt;37258&lt;/D&gt;&lt;D xsi:type="xsd:long"&gt;37256&lt;/D&gt;&lt;D xsi:type="xsd:long"&gt;37253&lt;/D&gt;&lt;D xsi:type="xsd:long"&gt;37252&lt;/D&gt;&lt;D xsi:type="xsd:long"&gt;37251&lt;/D&gt;&lt;D xsi:type="xsd:long"&gt;37249&lt;/D&gt;&lt;D xsi:type="xsd:long"&gt;37246&lt;/D&gt;&lt;D xsi:type="xsd:long"&gt;37245&lt;/D&gt;&lt;D xsi:type="xsd:long"&gt;37244&lt;/D&gt;&lt;D xsi:type="xsd:long"&gt;37243&lt;/D&gt;&lt;D xsi:type="xsd:long"&gt;37242&lt;/D&gt;&lt;D xsi:type="xsd:long"&gt;37239&lt;/D&gt;&lt;D xsi:type="xsd:long"&gt;37238&lt;/D&gt;&lt;D xsi:type="xsd:long"&gt;37237&lt;/D&gt;&lt;D xsi:type="xsd:long"&gt;37236&lt;/D&gt;&lt;D xsi:type="xsd:long"&gt;37235&lt;/D&gt;&lt;D xsi:type="xsd:long"&gt;37232&lt;/D&gt;&lt;D xsi:type="xsd:long"&gt;37231&lt;/D&gt;&lt;D xsi:type="xsd:long"&gt;37230&lt;/D&gt;&lt;D xsi:type="xsd:long"&gt;37229&lt;/D&gt;&lt;D xsi:type="xsd:long"&gt;37228&lt;/D&gt;&lt;D xsi:type="xsd:long"&gt;37225&lt;/D&gt;&lt;D xsi:type="xsd:long"&gt;37224&lt;/D&gt;&lt;D xsi:type="xsd:long"&gt;37223&lt;/D&gt;&lt;D xsi:type="xsd:long"&gt;37222&lt;/D&gt;&lt;D xsi:type="xsd:long"&gt;37221&lt;/D&gt;&lt;D xsi:type="xsd:long"&gt;37218&lt;/D&gt;&lt;D xsi:type="xsd:long"&gt;37216&lt;/D&gt;&lt;D xsi:type="xsd:long"&gt;37215&lt;/D&gt;&lt;D xsi:type="xsd:long"&gt;37214&lt;/D&gt;&lt;D xsi:type="xsd:long"&gt;37211&lt;/D&gt;&lt;D xsi:type="xsd:long"&gt;37210&lt;/D&gt;&lt;D xsi:type="xsd:long"&gt;37209&lt;/D&gt;&lt;D xsi:type="xsd:long"&gt;37208&lt;/D&gt;&lt;D xsi:type="xsd:long"&gt;37207&lt;/D&gt;&lt;D xsi:type="xsd:long"&gt;37204&lt;/D&gt;&lt;D xsi:type="xsd:long"&gt;37203&lt;/D&gt;&lt;D xsi:type="xsd:long"&gt;37202&lt;/D&gt;&lt;D xsi:type="xsd:long"&gt;37201&lt;/D&gt;&lt;D xsi:type="xsd:long"&gt;37200&lt;/D&gt;&lt;D xsi:type="xsd:long"&gt;37197&lt;/D&gt;&lt;D xsi:type="xsd:long"&gt;37196&lt;/D&gt;&lt;D xsi:type="xsd:long"&gt;37195&lt;/D&gt;&lt;D xsi:type="xsd:long"&gt;37194&lt;/D&gt;&lt;D xsi:type="xsd:long"&gt;37193&lt;/D&gt;&lt;D xsi:type="xsd:long"&gt;37190&lt;/D&gt;&lt;D xsi:type="xsd:long"&gt;37189&lt;/D&gt;&lt;D xsi:type="xsd:long"&gt;37188&lt;/D&gt;&lt;D xsi:type="xsd:long"&gt;37187&lt;/D&gt;&lt;D xsi:type="xsd:long"&gt;37186&lt;/D&gt;&lt;D xsi:type="xsd:long"&gt;37183&lt;/D&gt;&lt;D xsi:type="xsd:long"&gt;37182&lt;/D&gt;&lt;D xsi:type="xsd:long"&gt;37181&lt;/D&gt;&lt;D xsi:type="xsd:long"&gt;37180&lt;/D&gt;&lt;D xsi:type="xsd:long"&gt;37179&lt;/D&gt;&lt;D xsi:type="xsd:long"&gt;37176&lt;/D&gt;&lt;D xsi:type="xsd:long"&gt;37175&lt;/D&gt;&lt;D xsi:type="xsd:long"&gt;37174&lt;/D&gt;&lt;D xsi:type="xsd:long"&gt;37173&lt;/D&gt;&lt;D xsi:type="xsd:long"&gt;37172&lt;/D&gt;&lt;D xsi:type="xsd:long"&gt;37169&lt;/D&gt;&lt;D xsi:type="xsd:long"&gt;37168&lt;/D&gt;&lt;D xsi:type="xsd:long"&gt;37167&lt;/D&gt;&lt;D xsi:type="xsd:long"&gt;37166&lt;/D&gt;&lt;D xsi:type="xsd:long"&gt;37165&lt;/D&gt;&lt;D xsi:type="xsd:long"&gt;37162&lt;/D&gt;&lt;D xsi:type="xsd:long"&gt;37161&lt;/D&gt;&lt;D xsi:type="xsd:long"&gt;37160&lt;/D&gt;&lt;D xsi:type="xsd:long"&gt;37159&lt;/D&gt;&lt;D xsi:type="xsd:long"&gt;37158&lt;/D&gt;&lt;D xsi:type="xsd:long"&gt;37155&lt;/D&gt;&lt;D xsi:type="xsd:long"&gt;37154&lt;/D&gt;&lt;D xsi:type="xsd:long"&gt;37153&lt;/D&gt;&lt;D xsi:type="xsd:long"&gt;37152&lt;/D&gt;&lt;D xsi:type="xsd:long"&gt;37151&lt;/D&gt;&lt;D xsi:type="xsd:long"&gt;37144&lt;/D&gt;&lt;D xsi:type="xsd:long"&gt;37141&lt;/D&gt;&lt;D xsi:type="xsd:long"&gt;37140&lt;/D&gt;&lt;D xsi:type="xsd:long"&gt;37139&lt;/D&gt;&lt;D xsi:type="xsd:long"&gt;37138&lt;/D&gt;&lt;D xsi:type="xsd:long"&gt;37134&lt;/D&gt;&lt;D xsi:type="xsd:long"&gt;37133&lt;/D&gt;&lt;D xsi:type="xsd:long"&gt;37132&lt;/D&gt;&lt;D xsi:type="xsd:long"&gt;37131&lt;/D&gt;&lt;D xsi:type="xsd:long"&gt;37130&lt;/D&gt;&lt;D xsi:type="xsd:long"&gt;37127&lt;/D&gt;&lt;D xsi:type="xsd:long"&gt;37126&lt;/D&gt;&lt;D xsi:type="xsd:long"&gt;37125&lt;/D&gt;&lt;D xsi:type="xsd:long"&gt;37124&lt;/D&gt;&lt;D xsi:type="xsd:long"&gt;37123&lt;/D&gt;&lt;D xsi:type="xsd:long"&gt;37120&lt;/D&gt;&lt;D xsi:type="xsd:long"&gt;37119&lt;/D&gt;&lt;D xsi:type="xsd:long"&gt;37118&lt;/D&gt;&lt;D xsi:type="xsd:long"&gt;37117&lt;/D&gt;&lt;D xsi:type="xsd:long"&gt;37116&lt;/D&gt;&lt;D xsi:type="xsd:long"&gt;37113&lt;/D&gt;&lt;D xsi:type="xsd:long"&gt;37112&lt;/D&gt;&lt;D xsi:type="xsd:long"&gt;37111&lt;/D&gt;&lt;D xsi:type="xsd:long"&gt;37110&lt;/D&gt;&lt;D xsi:type="xsd:long"&gt;37109&lt;/D&gt;&lt;D xsi:type="xsd:long"&gt;37106&lt;/D&gt;&lt;D xsi:type="xsd:long"&gt;37105&lt;/D&gt;&lt;D xsi:type="xsd:long"&gt;37104&lt;/D&gt;&lt;D xsi:type="xsd:long"&gt;37103&lt;/D&gt;&lt;D xsi:type="xsd:long"&gt;37102&lt;/D&gt;&lt;D xsi:type="xsd:long"&gt;37099&lt;/D&gt;&lt;D xsi:type="xsd:long"&gt;37098&lt;/D&gt;&lt;D xsi:type="xsd:long"&gt;37097&lt;/D&gt;&lt;D xsi:type="xsd:long"&gt;37096&lt;/D&gt;&lt;D xsi:type="xsd:long"&gt;37095&lt;/D&gt;&lt;D xsi:type="xsd:long"&gt;37092&lt;/D&gt;&lt;D xsi:type="xsd:long"&gt;37091&lt;/D&gt;&lt;D xsi:type="xsd:long"&gt;37090&lt;/D&gt;&lt;D xsi:type="xsd:long"&gt;37089&lt;/D&gt;&lt;D xsi:type="xsd:long"&gt;37088&lt;/D&gt;&lt;D xsi:type="xsd:long"&gt;37085&lt;/D&gt;&lt;D xsi:type="xsd:long"&gt;37084&lt;/D&gt;&lt;D xsi:type="xsd:long"&gt;37083&lt;/D&gt;&lt;D xsi:type="xsd:long"&gt;37082&lt;/D&gt;&lt;D xsi:type="xsd:long"&gt;37081&lt;/D&gt;&lt;D xsi:type="xsd:long"&gt;37078&lt;/D&gt;&lt;D xsi:type="xsd:long"&gt;37077&lt;/D&gt;&lt;D xsi:type="xsd:long"&gt;37075&lt;/D&gt;&lt;D xsi:type="xsd:long"&gt;37074&lt;/D&gt;&lt;D xsi:type="xsd:long"&gt;37071&lt;/D&gt;&lt;D xsi:type="xsd:long"&gt;37070&lt;/D&gt;&lt;D xsi:type="xsd:long"&gt;37069&lt;/D&gt;&lt;D xsi:type="xsd:long"&gt;37068&lt;/D&gt;&lt;D xsi:type="xsd:long"&gt;37067&lt;/D&gt;&lt;D xsi:type="xsd:long"&gt;37064&lt;/D&gt;&lt;D xsi:type="xsd:long"&gt;37063&lt;/D&gt;&lt;D xsi:type="xsd:long"&gt;37062&lt;/D&gt;&lt;D xsi:type="xsd:long"&gt;37061&lt;/D&gt;&lt;D xsi:type="xsd:long"&gt;37060&lt;/D&gt;&lt;D xsi:type="xsd:long"&gt;37057&lt;/D&gt;&lt;D xsi:type="xsd:long"&gt;37056&lt;/D&gt;&lt;D xsi:type="xsd:long"&gt;37055&lt;/D&gt;&lt;D xsi:type="xsd:long"&gt;37054&lt;/D&gt;&lt;D xsi:type="xsd:long"&gt;37053&lt;/D&gt;&lt;D xsi:type="xsd:long"&gt;37050&lt;/D&gt;&lt;D xsi:type="xsd:long"&gt;37049&lt;/D&gt;&lt;D xsi:type="xsd:long"&gt;37048&lt;/D&gt;&lt;D xsi:type="xsd:long"&gt;37047&lt;/D&gt;&lt;D xsi:type="xsd:long"&gt;37046&lt;/D&gt;&lt;D xsi:type="xsd:long"&gt;37043&lt;/D&gt;&lt;D xsi:type="xsd:long"&gt;37042&lt;/D&gt;&lt;D xsi:type="xsd:long"&gt;37041&lt;/D&gt;&lt;D xsi:type="xsd:long"&gt;37040&lt;/D&gt;&lt;D xsi:type="xsd:long"&gt;37036&lt;/D&gt;&lt;D xsi:type="xsd:long"&gt;37035&lt;/D&gt;&lt;D xsi:type="xsd:long"&gt;37034&lt;/D&gt;&lt;D xsi:type="xsd:long"&gt;37033&lt;/D&gt;&lt;D xsi:type="xsd:long"&gt;37032&lt;/D&gt;&lt;D xsi:type="xsd:long"&gt;37029&lt;/D&gt;&lt;D xsi:type="xsd:long"&gt;37028&lt;/D&gt;&lt;D xsi:type="xsd:long"&gt;37027&lt;/D&gt;&lt;D xsi:type="xsd:long"&gt;37026&lt;/D&gt;&lt;D xsi:type="xsd:long"&gt;37025&lt;/D&gt;&lt;D xsi:type="xsd:long"&gt;37022&lt;/D&gt;&lt;D xsi:type="xsd:long"&gt;37021&lt;/D&gt;&lt;D xsi:type="xsd:long"&gt;37020&lt;/D&gt;&lt;D xsi:type="xsd:long"&gt;37019&lt;/D&gt;&lt;D xsi:type="xsd:long"&gt;37018&lt;/D&gt;&lt;D xsi:type="xsd:long"&gt;37015&lt;/D&gt;&lt;D xsi:type="xsd:long"&gt;37014&lt;/D&gt;&lt;D xsi:type="xsd:long"&gt;37013&lt;/D&gt;&lt;D xsi:type="xsd:long"&gt;37012&lt;/D&gt;&lt;D xsi:type="xsd:long"&gt;37011&lt;/D&gt;&lt;D xsi:type="xsd:long"&gt;37008&lt;/D&gt;&lt;D xsi:type="xsd:long"&gt;37007&lt;/D&gt;&lt;D xsi:type="xsd:long"&gt;37006&lt;/D&gt;&lt;D xsi:type="xsd:long"&gt;37005&lt;/D&gt;&lt;D xsi:type="xsd:long"&gt;37004&lt;/D&gt;&lt;D xsi:type="xsd:long"&gt;37001&lt;/D&gt;&lt;D xsi:type="xsd:long"&gt;37000&lt;/D&gt;&lt;D xsi:type="xsd:long"&gt;36999&lt;/D&gt;&lt;D xsi:type="xsd:long"&gt;36998&lt;/D&gt;&lt;D xsi:type="xsd:long"&gt;36997&lt;/D&gt;&lt;D xsi:type="xsd:long"&gt;36993&lt;/D&gt;&lt;D xsi:type="xsd:long"&gt;36992&lt;/D&gt;&lt;D xsi:type="xsd:long"&gt;36991&lt;/D&gt;&lt;D xsi:type="xsd:long"&gt;36990&lt;/D&gt;&lt;D xsi:type="xsd:long"&gt;36987&lt;/D&gt;&lt;D xsi:type="xsd:long"&gt;36986&lt;/D&gt;&lt;D xsi:type="xsd:long"&gt;36985&lt;/D&gt;&lt;D xsi:type="xsd:long"&gt;36984&lt;/D&gt;&lt;D xsi:type="xsd:long"&gt;36983&lt;/D&gt;&lt;D xsi:type="xsd:long"&gt;36980&lt;/D&gt;&lt;D xsi:type="xsd:long"&gt;36979&lt;/D&gt;&lt;D xsi:type="xsd:long"&gt;36978&lt;/D&gt;&lt;D xsi:type="xsd:long"&gt;36977&lt;/D&gt;&lt;D xsi:type="xsd:long"&gt;36976&lt;/D&gt;&lt;D xsi:type="xsd:long"&gt;36973&lt;/D&gt;&lt;D xsi:type="xsd:long"&gt;36972&lt;/D&gt;&lt;D xsi:type="xsd:long"&gt;36971&lt;/D&gt;&lt;D xsi:type="xsd:long"&gt;36970&lt;/D&gt;&lt;D xsi:type="xsd:long"&gt;36969&lt;/D&gt;&lt;D xsi:type="xsd:long"&gt;36966&lt;/D&gt;&lt;D xsi:type="xsd:long"&gt;36965&lt;/D&gt;&lt;D xsi:type="xsd:long"&gt;36964&lt;/D&gt;&lt;D xsi:type="xsd:long"&gt;36963&lt;/D&gt;&lt;D xsi:type="xsd:long"&gt;36962&lt;/D&gt;&lt;D xsi:type="xsd:long"&gt;36959&lt;/D&gt;&lt;D xsi:type="xsd:long"&gt;36958&lt;/D&gt;&lt;D xsi:type="xsd:long"&gt;36957&lt;/D&gt;&lt;D xsi:type="xsd:long"&gt;36956&lt;/D&gt;&lt;D xsi:type="xsd:long"&gt;36955&lt;/D&gt;&lt;D xsi:type="xsd:long"&gt;36952&lt;/D&gt;&lt;D xsi:type="xsd:long"&gt;36951&lt;/D&gt;&lt;D xsi:type="xsd:long"&gt;36950&lt;/D&gt;&lt;D xsi:type="xsd:long"&gt;36949&lt;/D&gt;&lt;D xsi:type="xsd:long"&gt;36948&lt;/D&gt;&lt;D xsi:type="xsd:long"&gt;36945&lt;/D&gt;&lt;D xsi:type="xsd:long"&gt;36944&lt;/D&gt;&lt;D xsi:type="xsd:long"&gt;36943&lt;/D&gt;&lt;D xsi:type="xsd:long"&gt;36942&lt;/D&gt;&lt;D xsi:type="xsd:long"&gt;36938&lt;/D&gt;&lt;D xsi:type="xsd:long"&gt;36937&lt;/D&gt;&lt;D xsi:type="xsd:long"&gt;36936&lt;/D&gt;&lt;D xsi:type="xsd:long"&gt;36935&lt;/D&gt;&lt;D xsi:type="xsd:long"&gt;36934&lt;/D&gt;&lt;D xsi:type="xsd:long"&gt;36931&lt;/D&gt;&lt;D xsi:type="xsd:long"&gt;36930&lt;/D&gt;&lt;D xsi:type="xsd:long"&gt;36929&lt;/D&gt;&lt;D xsi:type="xsd:long"&gt;36928&lt;/D&gt;&lt;D xsi:type="xsd:long"&gt;36927&lt;/D&gt;&lt;D xsi:type="xsd:long"&gt;36924&lt;/D&gt;&lt;D xsi:type="xsd:long"&gt;36923&lt;/D&gt;&lt;D xsi:type="xsd:long"&gt;36922&lt;/D&gt;&lt;D xsi:type="xsd:long"&gt;36921&lt;/D&gt;&lt;D xsi:type="xsd:long"&gt;36920&lt;/D&gt;&lt;D xsi:type="xsd:long"&gt;36917&lt;/D&gt;&lt;D xsi:type="xsd:long"&gt;36916&lt;/D&gt;&lt;D xsi:type="xsd:long"&gt;36915&lt;/D&gt;&lt;D xsi:type="xsd:long"&gt;36914&lt;/D&gt;&lt;D xsi:type="xsd:long"&gt;36913&lt;/D&gt;&lt;D xsi:type="xsd:long"&gt;36910&lt;/D&gt;&lt;D xsi:type="xsd:long"&gt;36909&lt;/D&gt;&lt;D xsi:type="xsd:long"&gt;36908&lt;/D&gt;&lt;D xsi:type="xsd:long"&gt;36907&lt;/D&gt;&lt;D xsi:type="xsd:long"&gt;36903&lt;/D&gt;&lt;D xsi:type="xsd:long"&gt;36902&lt;/D&gt;&lt;D xsi:type="xsd:long"&gt;36901&lt;/D&gt;&lt;D xsi:type="xsd:long"&gt;36900&lt;/D&gt;&lt;D xsi:type="xsd:long"&gt;36899&lt;/D&gt;&lt;D xsi:type="xsd:long"&gt;36896&lt;/D&gt;&lt;D xsi:type="xsd:long"&gt;36895&lt;/D&gt;&lt;D xsi:type="xsd:long"&gt;36894&lt;/D&gt;&lt;D xsi:type="xsd:long"&gt;36893&lt;/D&gt;&lt;D xsi:type="xsd:long"&gt;36889&lt;/D&gt;&lt;D xsi:type="xsd:long"&gt;36888&lt;/D&gt;&lt;D xsi:type="xsd:long"&gt;36887&lt;/D&gt;&lt;D xsi:type="xsd:long"&gt;36886&lt;/D&gt;&lt;D xsi:type="xsd:long"&gt;36882&lt;/D&gt;&lt;D xsi:type="xsd:long"&gt;36881&lt;/D&gt;&lt;D xsi:type="xsd:long"&gt;36880&lt;/D&gt;&lt;D xsi:type="xsd:long"&gt;36879&lt;/D&gt;&lt;D xsi:type="xsd:long"&gt;36878&lt;/D&gt;&lt;D xsi:type="xsd:long"&gt;36875&lt;/D&gt;&lt;D xsi:type="xsd:long"&gt;36874&lt;/D&gt;&lt;D xsi:type="xsd:long"&gt;36873&lt;/D&gt;&lt;D xsi:type="xsd:long"&gt;36872&lt;/D&gt;&lt;D xsi:type="xsd:long"&gt;36871&lt;/D&gt;&lt;D xsi:type="xsd:long"&gt;36868&lt;/D&gt;&lt;D xsi:type="xsd:long"&gt;36867&lt;/D&gt;&lt;D xsi:type="xsd:long"&gt;36866&lt;/D&gt;&lt;D xsi:type="xsd:long"&gt;36865&lt;/D&gt;&lt;D xsi:type="xsd:long"&gt;36864&lt;/D&gt;&lt;D xsi:type="xsd:long"&gt;36861&lt;/D&gt;&lt;D xsi:type="xsd:long"&gt;36860&lt;/D&gt;&lt;D xsi:type="xsd:long"&gt;36859&lt;/D&gt;&lt;D xsi:type="xsd:long"&gt;36858&lt;/D&gt;&lt;D xsi:type="xsd:long"&gt;36857&lt;/D&gt;&lt;D xsi:type="xsd:long"&gt;36854&lt;/D&gt;&lt;D xsi:type="xsd:long"&gt;36852&lt;/D&gt;&lt;D xsi:type="xsd:long"&gt;36851&lt;/D&gt;&lt;D xsi:type="xsd:long"&gt;36850&lt;/D&gt;&lt;D xsi:type="xsd:long"&gt;36847&lt;/D&gt;&lt;D xsi:type="xsd:long"&gt;36846&lt;/D&gt;&lt;D xsi:type="xsd:long"&gt;36845&lt;/D&gt;&lt;D xsi:type="xsd:long"&gt;36844&lt;/D&gt;&lt;D xsi:type="xsd:long"&gt;36843&lt;/D&gt;&lt;D xsi:type="xsd:long"&gt;36840&lt;/D&gt;&lt;D xsi:type="xsd:long"&gt;36839&lt;/D&gt;&lt;D xsi:type="xsd:long"&gt;36838&lt;/D&gt;&lt;D xsi:type="xsd:long"&gt;36837&lt;/D&gt;&lt;D xsi:type="xsd:long"&gt;36836&lt;/D&gt;&lt;D xsi:type="xsd:long"&gt;36833&lt;/D&gt;&lt;D xsi:type="xsd:long"&gt;36832&lt;/D&gt;&lt;D xsi:type="xsd:long"&gt;36831&lt;/D&gt;&lt;D xsi:type="xsd:long"&gt;36830&lt;/D&gt;&lt;D xsi:type="xsd:long"&gt;36829&lt;/D&gt;&lt;D xsi:type="xsd:long"&gt;36826&lt;/D&gt;&lt;D xsi:type="xsd:long"&gt;36825&lt;/D&gt;&lt;D xsi:type="xsd:long"&gt;36824&lt;/D&gt;&lt;D xsi:type="xsd:long"&gt;36823&lt;/D&gt;&lt;D xsi:type="xsd:long"&gt;36822&lt;/D&gt;&lt;D xsi:type="xsd:long"&gt;36819&lt;/D&gt;&lt;D xsi:type="xsd:long"&gt;36818&lt;/D&gt;&lt;D xsi:type="xsd:long"&gt;36817&lt;/D&gt;&lt;D xsi:type="xsd:long"&gt;36816&lt;/D&gt;&lt;D xsi:type="xsd:long"&gt;36815&lt;/D&gt;&lt;D xsi:type="xsd:long"&gt;36812&lt;/D&gt;&lt;D xsi:type="xsd:long"&gt;36811&lt;/D&gt;&lt;D xsi:type="xsd:long"&gt;36810&lt;/D&gt;&lt;D xsi:type="xsd:long"&gt;36809&lt;/D&gt;&lt;D xsi:type="xsd:long"&gt;36808&lt;/D&gt;&lt;D xsi:type="xsd:long"&gt;36805&lt;/D&gt;&lt;D xsi:type="xsd:long"&gt;36804&lt;/D&gt;&lt;D xsi:type="xsd:long"&gt;36803&lt;/D&gt;&lt;D xsi:type="xsd:long"&gt;36802&lt;/D&gt;&lt;D xsi:type="xsd:long"&gt;36801&lt;/D&gt;&lt;D xsi:type="xsd:long"&gt;36798&lt;/D&gt;&lt;D xsi:type="xsd:long"&gt;36797&lt;/D&gt;&lt;D xsi:type="xsd:long"&gt;36796&lt;/D&gt;&lt;D xsi:type="xsd:long"&gt;36795&lt;/D&gt;&lt;D xsi:type="xsd:long"&gt;36794&lt;/D&gt;&lt;D xsi:type="xsd:long"&gt;36791&lt;/D&gt;&lt;D xsi:type="xsd:long"&gt;36790&lt;/D&gt;&lt;D xsi:type="xsd:long"&gt;36789&lt;/D&gt;&lt;D xsi:type="xsd:long"&gt;36788&lt;/D&gt;&lt;D xsi:type="xsd:long"&gt;36787&lt;/D&gt;&lt;D xsi:type="xsd:long"&gt;36784&lt;/D&gt;&lt;D xsi:type="xsd:long"&gt;36783&lt;/D&gt;&lt;D xsi:type="xsd:long"&gt;36782&lt;/D&gt;&lt;D xsi:type="xsd:long"&gt;36781&lt;/D&gt;&lt;D xsi:type="xsd:long"&gt;36780&lt;/D&gt;&lt;D xsi:type="xsd:long"&gt;36777&lt;/D&gt;&lt;D xsi:type="xsd:long"&gt;36776&lt;/D&gt;&lt;D xsi:type="xsd:long"&gt;36775&lt;/D&gt;&lt;D xsi:type="xsd:long"&gt;36774&lt;/D&gt;&lt;D xsi:type="xsd:long"&gt;36770&lt;/D&gt;&lt;D xsi:type="xsd:long"&gt;36769&lt;/D&gt;&lt;D xsi:type="xsd:long"&gt;36768&lt;/D&gt;&lt;D xsi:type="xsd:long"&gt;36767&lt;/D&gt;&lt;D xsi:type="xsd:long"&gt;36766&lt;/D&gt;&lt;D xsi:type="xsd:long"&gt;36763&lt;/D&gt;&lt;D xsi:type="xsd:long"&gt;36762&lt;/D&gt;&lt;D xsi:type="xsd:long"&gt;36761&lt;/D&gt;&lt;D xsi:type="xsd:long"&gt;36760&lt;/D&gt;&lt;D xsi:type="xsd:long"&gt;36759&lt;/D&gt;&lt;D xsi:type="xsd:long"&gt;36756&lt;/D&gt;&lt;D xsi:type="xsd:long"&gt;36755&lt;/D&gt;&lt;D xsi:type="xsd:long"&gt;36754&lt;/D&gt;&lt;D xsi:type="xsd:long"&gt;36753&lt;/D&gt;&lt;D xsi:type="xsd:long"&gt;36752&lt;/D&gt;&lt;D xsi:type="xsd:long"&gt;36749&lt;/D&gt;&lt;D xsi:type="xsd:long"&gt;36748&lt;/D&gt;&lt;D xsi:type="xsd:long"&gt;36747&lt;/D&gt;&lt;D xsi:type="xsd:long"&gt;36746&lt;/D&gt;&lt;D xsi:type="xsd:long"&gt;36745&lt;/D&gt;&lt;D xsi:type="xsd:long"&gt;36742&lt;/D&gt;&lt;D xsi:type="xsd:long"&gt;36741&lt;/D&gt;&lt;D xsi:type="xsd:long"&gt;36740&lt;/D&gt;&lt;D xsi:type="xsd:long"&gt;36739&lt;/D&gt;&lt;D xsi:type="xsd:long"&gt;36738&lt;/D&gt;&lt;D xsi:type="xsd:long"&gt;36735&lt;/D&gt;&lt;D xsi:type="xsd:long"&gt;36734&lt;/D&gt;&lt;D xsi:type="xsd:long"&gt;36733&lt;/D&gt;&lt;D xsi:type="xsd:long"&gt;36732&lt;/D&gt;&lt;D xsi:type="xsd:long"&gt;36731&lt;/D&gt;&lt;D xsi:type="xsd:long"&gt;36728&lt;/D&gt;&lt;D xsi:type="xsd:long"&gt;36727&lt;/D&gt;&lt;D xsi:type="xsd:long"&gt;36726&lt;/D&gt;&lt;D xsi:type="xsd:long"&gt;36725&lt;/D&gt;&lt;D xsi:type="xsd:long"&gt;36724&lt;/D&gt;&lt;D xsi:type="xsd:long"&gt;36721&lt;/D&gt;&lt;D xsi:type="xsd:long"&gt;36720&lt;/D&gt;&lt;D xsi:type="xsd:long"&gt;36719&lt;/D&gt;&lt;D xsi:type="xsd:long"&gt;36718&lt;/D&gt;&lt;D xsi:type="xsd:long"&gt;36717&lt;/D&gt;&lt;D xsi:type="xsd:long"&gt;36714&lt;/D&gt;&lt;D xsi:type="xsd:long"&gt;36713&lt;/D&gt;&lt;D xsi:type="xsd:long"&gt;36712&lt;/D&gt;&lt;D xsi:type="xsd:long"&gt;36710&lt;/D&gt;&lt;D xsi:type="xsd:long"&gt;36707&lt;/D&gt;&lt;D xsi:type="xsd:long"&gt;36706&lt;/D&gt;&lt;D xsi:type="xsd:long"&gt;36705&lt;/D&gt;&lt;D xsi:type="xsd:long"&gt;36704&lt;/D&gt;&lt;D xsi:type="xsd:long"&gt;36703&lt;/D&gt;&lt;D xsi:type="xsd:long"&gt;36700&lt;/D&gt;&lt;D xsi:type="xsd:long"&gt;36699&lt;/D&gt;&lt;D xsi:type="xsd:long"&gt;36698&lt;/D&gt;&lt;D xsi:type="xsd:long"&gt;36697&lt;/D&gt;&lt;D xsi:type="xsd:long"&gt;36696&lt;/D&gt;&lt;D xsi:type="xsd:long"&gt;36693&lt;/D&gt;&lt;D xsi:type="xsd:long"&gt;36692&lt;/D&gt;&lt;D xsi:type="xsd:long"&gt;36691&lt;/D&gt;&lt;D xsi:type="xsd:long"&gt;36690&lt;/D&gt;&lt;D xsi:type="xsd:long"&gt;36689&lt;/D&gt;&lt;D xsi:type="xsd:long"&gt;36686&lt;/D&gt;&lt;D xsi:type="xsd:long"&gt;36685&lt;/D&gt;&lt;D xsi:type="xsd:long"&gt;36684&lt;/D&gt;&lt;D xsi:type="xsd:long"&gt;36683&lt;/D&gt;&lt;D xsi:type="xsd:long"&gt;36682&lt;/D&gt;&lt;D xsi:type="xsd:long"&gt;36679&lt;/D&gt;&lt;D xsi:type="xsd:long"&gt;36678&lt;/D&gt;&lt;D xsi:type="xsd:long"&gt;36677&lt;/D&gt;&lt;D xsi:type="xsd:long"&gt;36676&lt;/D&gt;&lt;D xsi:type="xsd:long"&gt;36672&lt;/D&gt;&lt;D xsi:type="xsd:long"&gt;36671&lt;/D&gt;&lt;D xsi:type="xsd:long"&gt;36670&lt;/D&gt;&lt;D xsi:type="xsd:long"&gt;36669&lt;/D&gt;&lt;D xsi:type="xsd:long"&gt;36668&lt;/D&gt;&lt;D xsi:type="xsd:long"&gt;36665&lt;/D&gt;&lt;D xsi:type="xsd:long"&gt;36664&lt;/D&gt;&lt;D xsi:type="xsd:long"&gt;36663&lt;/D&gt;&lt;D xsi:type="xsd:long"&gt;36662&lt;/D&gt;&lt;D xsi:type="xsd:long"&gt;36661&lt;/D&gt;&lt;D xsi:type="xsd:long"&gt;36658&lt;/D&gt;&lt;D xsi:type="xsd:long"&gt;36657&lt;/D&gt;&lt;D xsi:type="xsd:long"&gt;36656&lt;/D&gt;&lt;D xsi:type="xsd:long"&gt;36655&lt;/D&gt;&lt;D </t>
        </r>
      </text>
    </comment>
    <comment ref="A95" authorId="0" shapeId="0">
      <text>
        <r>
          <rPr>
            <b/>
            <sz val="9"/>
            <color indexed="81"/>
            <rFont val="Tahoma"/>
            <family val="2"/>
          </rPr>
          <t>xsi:type="xsd:long"&gt;36654&lt;/D&gt;&lt;D xsi:type="xsd:long"&gt;36651&lt;/D&gt;&lt;D xsi:type="xsd:long"&gt;36650&lt;/D&gt;&lt;D xsi:type="xsd:long"&gt;36649&lt;/D&gt;&lt;D xsi:type="xsd:long"&gt;36648&lt;/D&gt;&lt;D xsi:type="xsd:long"&gt;36647&lt;/D&gt;&lt;D xsi:type="xsd:long"&gt;36644&lt;/D&gt;&lt;D xsi:type="xsd:long"&gt;36643&lt;/D&gt;&lt;D xsi:type="xsd:long"&gt;36642&lt;/D&gt;&lt;D xsi:type="xsd:long"&gt;36641&lt;/D&gt;&lt;D xsi:type="xsd:long"&gt;36640&lt;/D&gt;&lt;D xsi:type="xsd:long"&gt;36636&lt;/D&gt;&lt;D xsi:type="xsd:long"&gt;36635&lt;/D&gt;&lt;D xsi:type="xsd:long"&gt;36634&lt;/D&gt;&lt;D xsi:type="xsd:long"&gt;36633&lt;/D&gt;&lt;D xsi:type="xsd:long"&gt;36630&lt;/D&gt;&lt;D xsi:type="xsd:long"&gt;36629&lt;/D&gt;&lt;D xsi:type="xsd:long"&gt;36628&lt;/D&gt;&lt;D xsi:type="xsd:long"&gt;36627&lt;/D&gt;&lt;D xsi:type="xsd:long"&gt;36626&lt;/D&gt;&lt;D xsi:type="xsd:long"&gt;36623&lt;/D&gt;&lt;D xsi:type="xsd:long"&gt;36622&lt;/D&gt;&lt;D xsi:type="xsd:long"&gt;36621&lt;/D&gt;&lt;D xsi:type="xsd:long"&gt;36620&lt;/D&gt;&lt;D xsi:type="xsd:long"&gt;36619&lt;/D&gt;&lt;D xsi:type="xsd:long"&gt;36616&lt;/D&gt;&lt;D xsi:type="xsd:long"&gt;36615&lt;/D&gt;&lt;D xsi:type="xsd:long"&gt;36614&lt;/D&gt;&lt;D xsi:type="xsd:long"&gt;36613&lt;/D&gt;&lt;D xsi:type="xsd:long"&gt;36612&lt;/D&gt;&lt;D xsi:type="xsd:long"&gt;36609&lt;/D&gt;&lt;D xsi:type="xsd:long"&gt;36608&lt;/D&gt;&lt;D xsi:type="xsd:long"&gt;36607&lt;/D&gt;&lt;D xsi:type="xsd:long"&gt;36606&lt;/D&gt;&lt;D xsi:type="xsd:long"&gt;36605&lt;/D&gt;&lt;D xsi:type="xsd:long"&gt;36602&lt;/D&gt;&lt;D xsi:type="xsd:long"&gt;36601&lt;/D&gt;&lt;D xsi:type="xsd:long"&gt;36600&lt;/D&gt;&lt;D xsi:type="xsd:long"&gt;36599&lt;/D&gt;&lt;D xsi:type="xsd:long"&gt;36598&lt;/D&gt;&lt;D xsi:type="xsd:long"&gt;36595&lt;/D&gt;&lt;D xsi:type="xsd:long"&gt;36594&lt;/D&gt;&lt;D xsi:type="xsd:long"&gt;36593&lt;/D&gt;&lt;D xsi:type="xsd:long"&gt;36592&lt;/D&gt;&lt;D xsi:type="xsd:long"&gt;36591&lt;/D&gt;&lt;D xsi:type="xsd:long"&gt;36588&lt;/D&gt;&lt;D xsi:type="xsd:long"&gt;36587&lt;/D&gt;&lt;D xsi:type="xsd:long"&gt;36586&lt;/D&gt;&lt;D xsi:type="xsd:long"&gt;36585&lt;/D&gt;&lt;D xsi:type="xsd:long"&gt;36584&lt;/D&gt;&lt;D xsi:type="xsd:long"&gt;36581&lt;/D&gt;&lt;D xsi:type="xsd:long"&gt;36580&lt;/D&gt;&lt;D xsi:type="xsd:long"&gt;36579&lt;/D&gt;&lt;D xsi:type="xsd:long"&gt;36578&lt;/D&gt;&lt;D xsi:type="xsd:long"&gt;36574&lt;/D&gt;&lt;D xsi:type="xsd:long"&gt;36573&lt;/D&gt;&lt;D xsi:type="xsd:long"&gt;36572&lt;/D&gt;&lt;D xsi:type="xsd:long"&gt;36571&lt;/D&gt;&lt;D xsi:type="xsd:long"&gt;36570&lt;/D&gt;&lt;D xsi:type="xsd:long"&gt;36567&lt;/D&gt;&lt;D xsi:type="xsd:long"&gt;36566&lt;/D&gt;&lt;D xsi:type="xsd:long"&gt;36565&lt;/D&gt;&lt;D xsi:type="xsd:long"&gt;36564&lt;/D&gt;&lt;D xsi:type="xsd:long"&gt;36563&lt;/D&gt;&lt;D xsi:type="xsd:long"&gt;36560&lt;/D&gt;&lt;D xsi:type="xsd:long"&gt;36559&lt;/D&gt;&lt;D xsi:type="xsd:long"&gt;36558&lt;/D&gt;&lt;D xsi:type="xsd:long"&gt;36557&lt;/D&gt;&lt;D xsi:type="xsd:long"&gt;36556&lt;/D&gt;&lt;/FQL&gt;&lt;FQL&gt;&lt;Q&gt;899901^FG_PRICE(2/27/2026,1/31/2000,M,USD)&lt;/Q&gt;&lt;R&gt;314&lt;/R&gt;&lt;C&gt;1&lt;/C&gt;&lt;D xsi:type="xsd:double"&gt;467.945476&lt;/D&gt;&lt;D xsi:type="xsd:double"&gt;446.042458&lt;/D&gt;&lt;D xsi:type="xsd:double"&gt;421.039538&lt;/D&gt;&lt;D xsi:type="xsd:double"&gt;409.338812&lt;/D&gt;&lt;D xsi:type="xsd:double"&gt;409.977099&lt;/D&gt;&lt;D xsi:type="xsd:double"&gt;402.147557&lt;/D&gt;&lt;D xsi:type="xsd:double"&gt;389.078209&lt;/D&gt;&lt;D xsi:type="xsd:double"&gt;376.596599&lt;/D&gt;&lt;D xsi:type="xsd:double"&gt;378.145076&lt;/D&gt;&lt;D xsi:type="xsd:double"&gt;366.407286&lt;/D&gt;&lt;D xsi:type="xsd:double"&gt;351.942569&lt;/D&gt;&lt;D xsi:type="xsd:double"&gt;340.832605&lt;/D&gt;&lt;D xsi:type="xsd:double"&gt;343.013978&lt;/D&gt;&lt;D xsi:type="xsd:double"&gt;338.759068&lt;/D&gt;&lt;D xsi:type="xsd:double"&gt;325.878751&lt;/D&gt;&lt;D xsi:type="xsd:double"&gt;332.661852&lt;/D&gt;&lt;D xsi:type="xsd:double"&gt;336.16176&lt;/D&gt;&lt;D xsi:type="xsd:double"&gt;353.621616&lt;/D&gt;&lt;D xsi:type="xsd:double"&gt;345.280036&lt;/D&gt;&lt;D xsi:type="xsd:double"&gt;336.439028&lt;/D&gt;&lt;D xsi:type="xsd:double"&gt;329.378559&lt;/D&gt;&lt;D xsi:type="xsd:double"&gt;330.380113&lt;/D&gt;&lt;D xsi:type="xsd:double"&gt;322.504028&lt;/D&gt;&lt;D xsi:type="xsd:double"&gt;328.946292&lt;/D&gt;&lt;D xsi:type="xsd:double"&gt;320.791697&lt;/D&gt;&lt;D xsi:type="xsd:double"&gt;313.313639&lt;/D&gt;&lt;D xsi:type="xsd:double"&gt;316.619062&lt;/D&gt;&lt;D xsi:type="xsd:double"&gt;301.825241&lt;/D&gt;&lt;D xsi:type="xsd:double"&gt;277.364589&lt;/D&gt;&lt;D xsi:type="xsd:double"&gt;289.485185&lt;/D&gt;&lt;D xsi:type="xsd:double"&gt;299.708149&lt;/D&gt;&lt;D xsi:type="xsd:double"&gt;314.691007&lt;/D&gt;&lt;D xsi:type="xsd:double"&gt;302.897832&lt;/D&gt;&lt;D xsi:type="xsd:double"&gt;290.653958&lt;/D&gt;&lt;D xsi:type="xsd:double"&gt;302.931122&lt;/D&gt;&lt;D xsi:type="xsd:double"&gt;298.679133&lt;/D&gt;&lt;D xsi:type="xsd:double"&gt;292.933107&lt;/D&gt;&lt;D xsi:type="xsd:double"&gt;303.952523&lt;/D&gt;&lt;D xsi:type="xsd:double"&gt;281.305147&lt;/D&gt;&lt;D xsi:type="xsd:double"&gt;283.8213&lt;/D&gt;&lt;D xsi:type="xsd:double"&gt;254.272565&lt;/D&gt;&lt;D xsi:type="xsd:double"&gt;247.046851&lt;/D&gt;&lt;D xsi:type="xsd:double"&gt;275.398612&lt;/D&gt;&lt;D xsi:type="xsd:double"&gt;285.383435&lt;/D&gt;&lt;D xsi:type="xsd:double"&gt;276.435728&lt;/D&gt;&lt;D xsi:type="xsd:double"&gt;303.250545&lt;/D&gt;&lt;D xsi:type="xsd:double"&gt;302.423388&lt;/D&gt;&lt;D xsi:type="xsd:double"&gt;323.590808&lt;/D&gt;&lt;D xsi:type="xsd:double"&gt;324.458285&lt;/D&gt;&lt;D xsi:type="xsd:double"&gt;331.492603&lt;/D&gt;&lt;D xsi:type="xsd:double"&gt;344.326797&lt;/D&gt;&lt;D xsi:type="xsd:double"&gt;331.101043&lt;/D&gt;&lt;D xsi:type="xsd:double"&gt;347.122108&lt;/D&gt;&lt;D xsi:type="xsd:double"&gt;339.297395&lt;/D&gt;&lt;D xsi:type="xsd:double"&gt;351.517853&lt;/D&gt;&lt;D xsi:type="xsd:double"&gt;345.716169&lt;/D&gt;&lt;D xsi:type="xsd:double"&gt;352.025526&lt;/D&gt;&lt;D xsi:type="xsd:double"&gt;354.595255&lt;/D&gt;&lt;D xsi:type="xsd:double"&gt;345.205141&lt;/D&gt;&lt;D xsi:type="xsd:double"&gt;336.073854&lt;/D&gt;&lt;D xsi:type="xsd:double"&gt;333.105639&lt;/D&gt;&lt;D xsi:type="xsd:double"&gt;326.968143&lt;/D&gt;&lt;D xsi:type="xsd:double"&gt;326.457293&lt;/D&gt;&lt;D xsi:type="xsd:double"&gt;310.09846&lt;/D&gt;&lt;D xsi:type="xsd:double"&gt;273.574972&lt;/D&gt;&lt;D xsi:type="xsd:double"&gt;279.802999&lt;/D&gt;&lt;D xsi:type="xsd:double"&gt;287.541552&lt;/D&gt;&lt;D xsi:type="xsd:double"&gt;276.211289&lt;/D&gt;&lt;D xsi:type="xsd:double"&gt;264.999512&lt;/D&gt;&lt;D xsi:type="xsd:double"&gt;254.145935&lt;/D&gt;&lt;D xsi:type="xsd:double"&gt;246.691658&lt;/D&gt;&lt;D xsi:type="xsd:double"&gt;229.684862&lt;/D&gt;&lt;D xsi:type="xsd:double"&gt;269.784446&lt;/D&gt;&lt;D xsi:type="xsd:double"&gt;293.434659&lt;/D&gt;&lt;D xsi:type="xsd:double"&gt;301.673185&lt;/D&gt;&lt;D xsi:type="xsd:double"&gt;289.566516&lt;/D&gt;&lt;D xsi:type="xsd:double"&gt;287.398265&lt;/D&gt;&lt;D xsi:type="xsd:double"&gt;277.992963&lt;/D&gt;&lt;D xsi:type="xsd:double"&gt;271.798865&lt;/D&gt;&lt;D xsi:type="xsd:double"&gt;281.199469&lt;/D&gt;&lt;D xsi:type="xsd:double"&gt;285.111181&lt;/D&gt;&lt;D xsi:type="xsd:double"&gt;269.603358&lt;/D&gt;&lt;D xsi:type="xsd:double"&gt;286.389571&lt;/D&gt;&lt;D xsi:type="xsd:double"&gt;279.785154&lt;/D&gt;&lt;D xsi:type="xsd:double"&gt;279.298846&lt;/D&gt;&lt;D xsi:type="xsd:double"&gt;274.461193&lt;/D&gt;&lt;D xsi:type="xsd:double"&gt;255.406978&lt;/D&gt;&lt;D xsi:type="xsd:double"&gt;267.942643&lt;/D&gt;&lt;D xsi:type="xsd:double"&gt;265.835859&lt;/D&gt;&lt;D xsi:type="xsd:double"&gt;289.616088&lt;/D&gt;&lt;D xsi:type="xsd:double"&gt;289.055775&lt;/D&gt;&lt;D xsi:type="xsd:double"&gt;295.957031&lt;/D&gt;&lt;D xsi:type="xsd:double"&gt;289.518796&lt;/D&gt;&lt;D xsi:type="xsd:double"&gt;295.770198&lt;/D&gt;&lt;D xsi:type="xsd:double"&gt;304.165812&lt;/D&gt;&lt;D xsi:type="xsd:double"&gt;299.837009&lt;/D&gt;&lt;D xsi:type="xsd:double"&gt;306.813178&lt;/D&gt;&lt;D xsi:type="xsd:double"&gt;322.571657&lt;/D&gt;&lt;D xsi:type="xsd:double"&gt;305.669531&lt;/D&gt;&lt;D xsi:type="xsd:double"&gt;299.369954&lt;/D&gt;&lt;D xsi:type="xsd:double"&gt;297.368783&lt;/D&gt;&lt;D xsi:type="xsd:double"&gt;292.074918&lt;/D&gt;&lt;D xsi:type="xsd:double"&gt;287.399255&lt;/D&gt;&lt;D xsi:type="xsd:double"&gt;286.632626&lt;/D&gt;&lt;D xsi:type="xsd:double"&gt;276.831311&lt;/D&gt;&lt;D xsi:type="xsd:double"&gt;276.679514&lt;/D&gt;&lt;D xsi:type="xsd:double"&gt;269.191856&lt;/D&gt;&lt;D xsi:type="xsd:double"&gt;264.157225&lt;/D&gt;&lt;D xsi:type="xsd:double"&gt;258.613293&lt;/D&gt;&lt;D xsi:type="xsd:double"&gt;255.023643&lt;/D&gt;&lt;D xsi:type="xsd:double"&gt;246.389525&lt;/D&gt;&lt;D xsi:type="xsd:double"&gt;240.574157&lt;/D&gt;&lt;D xsi:type="xsd:double"&gt;246.639066&lt;/D&gt;&lt;D xsi:type="xsd:double"&gt;250.420176&lt;/D&gt;&lt;D xsi:type="xsd:double"&gt;247.984461&lt;/D&gt;&lt;D xsi:type="xsd:double"&gt;247.028577&lt;/D&gt;&lt;D xsi:type="xsd:double"&gt;235.65999&lt;/D&gt;&lt;D xsi:type="xsd:double"&gt;240.080412&lt;/D&gt;&lt;D xsi:type="xsd:double"&gt;245.362816&lt;/D&gt;&lt;D xsi:type="xsd:double"&gt;239.855968&lt;/D&gt;&lt;D xsi:type="xsd:double"&gt;222.663255&lt;/D&gt;&lt;D xsi:type="xsd:double"&gt;225.743246&lt;/D&gt;&lt;D xsi:type="xsd:double"&gt;242.347864&lt;/D&gt;&lt;D xsi:type="xsd:double"&gt;247.298959&lt;/D&gt;&lt;D xsi:type="xsd:double"&gt;252.8925&lt;/D&gt;&lt;D xsi:type="xsd:double"&gt;235.571458&lt;/D&gt;&lt;D xsi:type="xsd:double"&gt;247.651359&lt;/D&gt;&lt;D xsi:type="xsd:double"&gt;268.791488&lt;/D&gt;&lt;D xsi:type="xsd:double"&gt;269.881062&lt;/D&gt;&lt;D xsi:type="xsd:double"&gt;278.31936&lt;/D&gt;&lt;D xsi:type="xsd:double"&gt;283.873901&lt;/D&gt;&lt;D xsi:type="xsd:double"&gt;271.006827&lt;/D&gt;&lt;D xsi:type="xsd:double"&gt;276.480446&lt;/D&gt;&lt;D xsi:type="xsd:double"&gt;262.831042&lt;/D&gt;&lt;D xsi:type="xsd:double"&gt;263.378952&lt;/D&gt;&lt;D xsi:type="xsd:double"&gt;273.525189&lt;/D&gt;&lt;D xsi:type="xsd:double"&gt;271.969134&lt;/D&gt;&lt;D xsi:type="xsd:double"&gt;274.897017&lt;/D&gt;&lt;D xsi:type="xsd:double"&gt;289.55496&lt;/D&gt;&lt;D xsi:type="xsd:double"&gt;288.627827&lt;/D&gt;&lt;D xsi:type="xsd:double"&gt;291.95094&lt;/D&gt;&lt;D xsi:type="xsd:double"&gt;287.766151&lt;/D&gt;&lt;D xsi:type="xsd:double"&gt;283.627479&lt;/D&gt;&lt;D xsi:type="xsd:double"&gt;280.820395&lt;/D&gt;&lt;D xsi:type="xsd:double"&gt;281.063937&lt;/D&gt;&lt;D xsi:type="xsd:double"&gt;268.099271&lt;/D&gt;&lt;D xsi:type="xsd:double"&gt;281.06337&lt;/D&gt;&lt;D xsi:type="xsd:double"&gt;278.860671&lt;/D&gt;&lt;D xsi:type="xsd:double"&gt;278.880215&lt;/D&gt;&lt;D xsi:type="xsd:double"&gt;269.191252&lt;/D&gt;&lt;D xsi:type="xsd:double"&gt;252.339039&lt;/D&gt;&lt;D xsi:type="xsd:double"&gt;256.495649&lt;/D&gt;&lt;D xsi:type="xsd:double"&gt;245.979946&lt;/D&gt;&lt;D xsi:type="xsd:double"&gt;257.753448&lt;/D&gt;&lt;D xsi:type="xsd:double"&gt;265.101374&lt;/D&gt;&lt;D xsi:type="xsd:double"&gt;256.625726&lt;/D&gt;&lt;D xsi:type="xsd:double"&gt;257.114964&lt;/D&gt;&lt;D xsi:type="xsd:double"&gt;260.324612&lt;/D&gt;&lt;D xsi:type="xsd:double"&gt;250.356225&lt;/D&gt;&lt;D xsi:type="xsd:double"&gt;242.225985&lt;/D&gt;&lt;D xsi:type="xsd:double"&gt;238.118992&lt;/D&gt;&lt;D xsi:type="xsd:double"&gt;237.415695&lt;/D&gt;&lt;D xsi:type="xsd:double"&gt;229.555343&lt;/D&gt;&lt;D xsi:type="xsd:double"&gt;225.483637&lt;/D&gt;&lt;D xsi:type="xsd:double"&gt;222.646468&lt;/D&gt;&lt;D xsi:type="xsd:double"&gt;210.798871&lt;/D&gt;&lt;D xsi:type="xsd:double"&gt;239.246635&lt;/D&gt;&lt;D xsi:type="xsd:double"&gt;244.024771&lt;/D&gt;&lt;D xsi:type="xsd:double"&gt;248.341502&lt;/D&gt;&lt;D xsi:type="xsd:double"&gt;235.647618&lt;/D&gt;&lt;D xsi:type="xsd:double"&gt;220.871363&lt;/D&gt;&lt;D xsi:type="xsd:double"&gt;223.585999&lt;/D&gt;&lt;D xsi:type="xsd:double"&gt;236.218593&lt;/D&gt;&lt;D xsi:type="xsd:double"&gt;213.877657&lt;/D&gt;&lt;D xsi:type="xsd:double"&gt;241.440412&lt;/D&gt;&lt;D xsi:type="xsd:double"&gt;264.813416&lt;/D&gt;&lt;D xsi:type="xsd:double"&gt;268.815409&lt;/D&gt;&lt;D xsi:type="xsd:double"&gt;273.370433&lt;/D&gt;&lt;D xsi:type="xsd:double"&gt;283.054551&lt;/D&gt;&lt;D xsi:type="xsd:double"&gt;270.765497&lt;/D&gt;&lt;D xsi:type="xsd:double"&gt;272.329584&lt;/D&gt;&lt;D xsi:type="xsd:double"&gt;265.754135&lt;/D&gt;&lt;D xsi:type="xsd:double"&gt;263.361466&lt;/D&gt;&lt;D xsi:type="xsd:double"&gt;244.454107&lt;/D&gt;&lt;D xsi:type="xsd:double"&gt;254.724329&lt;/D&gt;&lt;D xsi:type="xsd:double"&gt;246.520683&lt;/D&gt;&lt;D xsi:type="xsd:double"&gt;224.795246&lt;/D&gt;&lt;D xsi:type="xsd:double"&gt;231.665097&lt;/D&gt;&lt;D xsi:type="xsd:double"&gt;212.760274&lt;/D&gt;&lt;D xsi:type="xsd:double"&gt;215.537375&lt;/D&gt;&lt;D xsi:type="xsd:double"&gt;242.59322&lt;/D&gt;&lt;D xsi:type="xsd:double"&gt;245.419384&lt;/D&gt;&lt;D xsi:type="xsd:double"&gt;230.541887&lt;/D&gt;&lt;D xsi:type="xsd:double"&gt;230.924455&lt;/D&gt;&lt;D xsi:type="xsd:double"&gt;242.913652&lt;/D&gt;&lt;D xsi:type="xsd:double"&gt;238.128394&lt;/D&gt;&lt;D xsi:type="xsd:double"&gt;231.948341&lt;/D&gt;&lt;D xsi:type="xsd:double"&gt;235.010392&lt;/D&gt;&lt;D xsi:type="xsd:double"&gt;224.004609&lt;/D&gt;&lt;D xsi:type="xsd:double"&gt;216.521188&lt;/D&gt;&lt;D xsi:type="xsd:double"&gt;197.509677&lt;/D&gt;&lt;D xsi:type="xsd:double"&gt;200.105516&lt;/D&gt;&lt;D xsi:type="xsd:double"&gt;177.25139&lt;/D&gt;&lt;D xsi:type="xsd:double"&gt;156.656902&lt;/D&gt;&lt;D xsi:type="xsd:double"&gt;145.566526&lt;/D&gt;&lt;D xsi:type="xsd:double"&gt;160.966056&lt;/D&gt;&lt;D xsi:type="xsd:double"&gt;176.748837&lt;/D&gt;&lt;D xsi:type="xsd:double"&gt;167.409707&lt;/D&gt;&lt;D xsi:type="xsd:double"&gt;178.168232&lt;/D&gt;&lt;D xsi:type="xsd:double"&gt;228.713342&lt;/D&gt;&lt;D xsi:type="xsd:double"&gt;269.888536&lt;/D&gt;&lt;D xsi:type="xsd:double"&gt;283.826929&lt;/D&gt;&lt;D xsi:type="xsd:double"&gt;294.840429&lt;/D&gt;&lt;D xsi:type="xsd:double"&gt;321.755638&lt;/D&gt;&lt;D xsi:type="xsd:double"&gt;318.562962&lt;/D&gt;&lt;D xsi:type="xsd:double"&gt;301.54508&lt;/D&gt;&lt;D xsi:type="xsd:double"&gt;309.508552&lt;/D&gt;&lt;D xsi:type="xsd:double"&gt;301.340805&lt;/D&gt;&lt;D xsi:type="xsd:double"&gt;333.921289&lt;/D&gt;&lt;D xsi:type="xsd:double"&gt;339.047338&lt;/D&gt;&lt;D xsi:type="xsd:double"&gt;355.602253&lt;/D&gt;&lt;D xsi:type="xsd:double"&gt;337.1522&lt;/D&gt;&lt;D xsi:type="xsd:double"&gt;316.809413&lt;/D&gt;&lt;D xsi:type="xsd:double"&gt;322.586068&lt;/D&gt;&lt;D xsi:type="xsd:double"&gt;323.879894&lt;/D&gt;&lt;D xsi:type="xsd:double"&gt;321.833081&lt;/D&gt;&lt;D xsi:type="xsd:double"&gt;315.013324&lt;/D&gt;&lt;D xsi:type="xsd:double"&gt;302.18139&lt;/D&gt;&lt;D xsi:type="xsd:double"&gt;295.069378&lt;/D&gt;&lt;D xsi:type="xsd:double"&gt;293.620711&lt;/D&gt;&lt;D xsi:type="xsd:double"&gt;292.743555&lt;/D&gt;&lt;D xsi:type="xsd:double"&gt;284.096328&lt;/D&gt;&lt;D xsi:type="xsd:double"&gt;274.695129&lt;/D&gt;&lt;D xsi:type="xsd:double"&gt;264.114567&lt;/D&gt;&lt;D xsi:type="xsd:double"&gt;264.437696&lt;/D&gt;&lt;D xsi:type="xsd:double"&gt;257.860471&lt;/D&gt;&lt;D xsi:type="xsd:double"&gt;255.563861&lt;/D&gt;&lt;D xsi:type="xsd:double"&gt;256.450161&lt;/D&gt;&lt;D xsi:type="xsd:double"&gt;270.364559&lt;/D&gt;&lt;D xsi:type="xsd:double"&gt;257.882251&lt;/D&gt;&lt;D xsi:type="xsd:double"&gt;251.591161&lt;/D&gt;&lt;D xsi:type="xsd:double"&gt;252.663664&lt;/D&gt;&lt;D xsi:type="xsd:double"&gt;236.375877&lt;/D&gt;&lt;D xsi:type="xsd:double"&gt;225.689411&lt;/D&gt;&lt;D xsi:type="xsd:double"&gt;218.785734&lt;/D&gt;&lt;D xsi:type="xsd:double"&gt;227.191312&lt;/D&gt;&lt;D xsi:type="xsd:double"&gt;216.466408&lt;/D&gt;&lt;D xsi:type="xsd:double"&gt;211.65372&lt;/D&gt;&lt;D xsi:type="xsd:double"&gt;204.327687&lt;/D&gt;&lt;D xsi:type="xsd:double"&gt;201.05916&lt;/D&gt;&lt;D xsi:type="xsd:double"&gt;200.814086&lt;/D&gt;&lt;D xsi:type="xsd:double"&gt;206.854128&lt;/D&gt;&lt;D xsi:type="xsd:double"&gt;213.455244&lt;/D&gt;&lt;D xsi:type="xsd:double"&gt;203.809025&lt;/D&gt;&lt;D xsi:type="xsd:double"&gt;207.548799&lt;/D&gt;&lt;D xsi:type="xsd:double"&gt;199.156091&lt;/D&gt;&lt;D xsi:type="xsd:double"&gt;186.58436&lt;/D&gt;&lt;D xsi:type="xsd:double"&gt;180.459503&lt;/D&gt;&lt;D xsi:type="xsd:double"&gt;175.117969&lt;/D&gt;&lt;D xsi:type="xsd:double"&gt;174.20569&lt;/D&gt;&lt;D xsi:type="xsd:double"&gt;179.635057&lt;/D&gt;&lt;D xsi:type="xsd:double"&gt;176.080394&lt;/D&gt;&lt;D xsi:type="xsd:double"&gt;176.498238&lt;/D&gt;&lt;D xsi:type="xsd:double"&gt;182.82363&lt;/D&gt;&lt;D xsi:type="xsd:double"&gt;182.473337&lt;/D&gt;&lt;D xsi:type="xsd:double"&gt;178.18927&lt;/D&gt;&lt;D xsi:type="xsd:double"&gt;175.508924&lt;/D&gt;&lt;D xsi:type="xsd:double"&gt;163.151344&lt;/D&gt;&lt;D xsi:type="xsd:double"&gt;159.924759&lt;/D&gt;&lt;D xsi:type="xsd:double"&gt;150.305038&lt;/D&gt;&lt;D xsi:type="xsd:double"&gt;146.472884&lt;/D&gt;&lt;D xsi:type="xsd:double"&gt;142.599752&lt;/D&gt;&lt;D xsi:type="xsd:double"&gt;139.079146&lt;/D&gt;&lt;D xsi:type="xsd:double"&gt;135.702282&lt;/D&gt;&lt;D xsi:type="xsd:double"&gt;128.133632&lt;/D&gt;&lt;D xsi:type="xsd:double"&gt;117.415&lt;/D&gt;&lt;D xsi:type="xsd:double"&gt;120.321&lt;/D&gt;&lt;D xsi:type="xsd:double"&gt;123.075&lt;/D&gt;&lt;D xsi:type="xsd:double"&gt;127.644&lt;/D&gt;&lt;D xsi:type="xsd:double"&gt;132.003&lt;/D&gt;&lt;D xsi:type="xsd:double"&gt;126.103&lt;/D&gt;&lt;D xsi:type="xsd:double"&gt;119.775&lt;/D&gt;&lt;D xsi:type="xsd:double"&gt;134.224&lt;/D&gt;&lt;D xsi:type="xsd:double"&gt;134.552&lt;/D&gt;&lt;D xsi:type="xsd:double"&gt;149.237&lt;/D&gt;&lt;D xsi:type="xsd:double"&gt;156.288&lt;/D&gt;&lt;D xsi:type="xsd:double"&gt;155.219&lt;/D&gt;&lt;D xsi:type="xsd:double"&gt;155.236&lt;/D&gt;&lt;D xsi:type="xsd:double"&gt;147.143&lt;/D&gt;&lt;D xsi:type="xsd:double"&gt;146.279&lt;/D&gt;&lt;D xsi:type="xsd:double"&gt;152.918&lt;/D&gt;&lt;D xsi:type="xsd:double"&gt;151.03&lt;/D&gt;&lt;D xsi:type="xsd:double"&gt;144.547&lt;/D&gt;&lt;D xsi:type="xsd:double"&gt;140.648&lt;/D&gt;&lt;D xsi:type="xsd:double"&gt;157.618&lt;/D&gt;&lt;D xsi:type="xsd:double"&gt;161.95&lt;/D&gt;&lt;D xsi:type="xsd:double"&gt;165.759&lt;/D&gt;&lt;D xsi:type="xsd:double"&gt;172.707&lt;/D&gt;&lt;D xsi:type="xsd:double"&gt;178.261&lt;/D&gt;&lt;D xsi:type="xsd:double"&gt;167.325&lt;/D&gt;&lt;D xsi:type="xsd:double"&gt;180.639&lt;/D&gt;&lt;D xsi:type="xsd:double"&gt;196.338&lt;/D&gt;&lt;D xsi:type="xsd:double"&gt;193.525&lt;/D&gt;&lt;D xsi:type="xsd:double"&gt;187.376&lt;/D&gt;&lt;D xsi:type="xsd:double"&gt;196.417&lt;/D&gt;&lt;D xsi:type="xsd:double"&gt;203.099&lt;/D&gt;&lt;D xsi:type="xsd:double"&gt;215.292&lt;/D&gt;&lt;D xsi:type="xsd:double"&gt;212.915&lt;/D&gt;&lt;D xsi:type="xsd:double"&gt;221.93&lt;/D&gt;&lt;D xsi:type="xsd:double"&gt;213.179&lt;/D&gt;&lt;D xsi:type="xsd:double"&gt;219.074&lt;/D&gt;&lt;D xsi:type="xsd:double"&gt;232.311&lt;/D&gt;&lt;D xsi:type="xsd:double"&gt;224.151&lt;/D&gt;&lt;D xsi:type="xsd:double"&gt;218.488&lt;/D&gt;&lt;/FQL&gt;&lt;FQL&gt;&lt;Q&gt;899901^JULIAN(FG_PRICE(2/27/2026,1/31/2000,M,USD).DATES)&lt;/Q&gt;&lt;R&gt;314&lt;/R&gt;&lt;C&gt;1&lt;/C&gt;&lt;D xsi:type="xsd:long"&gt;46080&lt;/D&gt;&lt;D xsi:type="xsd:long"&gt;46052&lt;/D&gt;&lt;D xsi:type="xsd:long"&gt;46022&lt;/D&gt;&lt;D xsi:type="xsd:long"&gt;45989&lt;/D&gt;&lt;D xsi:type="xsd:long"&gt;45961&lt;/D&gt;&lt;D xsi:type="xsd:long"&gt;45930&lt;/D&gt;&lt;D xsi:type="xsd:long"&gt;45898&lt;/D&gt;&lt;D xsi:type="xsd:long"&gt;45869&lt;/D&gt;&lt;D xsi:type="xsd:long"&gt;45838&lt;/D&gt;&lt;D xsi:type="xsd:long"&gt;45807&lt;/D&gt;&lt;D xsi:type="xsd:long"&gt;45777&lt;/D&gt;&lt;D xsi:type="xsd:long"&gt;45747&lt;/D&gt;&lt;D xsi:type="xsd:long"&gt;45716&lt;/D&gt;&lt;D xsi:type="xsd:long"&gt;45688&lt;/D&gt;&lt;D xsi:type="xsd:long"&gt;45657&lt;/D&gt;&lt;D xsi:type="xsd:long"&gt;45625&lt;/D&gt;&lt;D xsi:type="xsd:long"&gt;45596&lt;/D&gt;&lt;D xsi:type="xsd:long"&gt;45565&lt;/D&gt;&lt;D xsi:type="xsd:long"&gt;45534&lt;/D&gt;&lt;D xsi:type="xsd:long"&gt;45504&lt;/D&gt;&lt;D xsi:type="xsd:long"&gt;45471&lt;/D&gt;&lt;D xsi:type="xsd:long"&gt;45443&lt;/D&gt;&lt;D xsi:type="xsd:long"&gt;45412&lt;/D&gt;&lt;D xsi:type="xsd:long"&gt;45379&lt;/D&gt;&lt;D xsi:type="xsd:long"&gt;45351&lt;/D&gt;&lt;D xsi:type="xsd:long"&gt;45322&lt;/D&gt;&lt;D xsi:type="xsd:long"&gt;45289&lt;/D&gt;&lt;D xsi:type="xsd:long"&gt;45260&lt;/D&gt;&lt;D xsi:type="xsd:long"&gt;45230&lt;/D&gt;&lt;D xsi:type="xsd:long"&gt;45198&lt;/D&gt;&lt;D xsi:type="xsd:long"&gt;45169&lt;/D&gt;&lt;D xsi:type="xsd:long"&gt;45138&lt;/D&gt;&lt;D xsi:type="xsd:long"&gt;45107&lt;/D&gt;&lt;D xsi:type="xsd:long"&gt;45077&lt;/D&gt;&lt;D xsi:type="xsd:long"&gt;45044&lt;/D&gt;&lt;D xsi:type="xsd:long"&gt;45016&lt;/D&gt;&lt;D xsi:type="xsd:long"&gt;44985&lt;/D&gt;&lt;D xsi:type="xsd:long"&gt;44957&lt;/D&gt;&lt;D xsi:type="xsd:long"&gt;44925&lt;/D&gt;&lt;D xsi:type="xsd:long"&gt;44895&lt;/D&gt;&lt;D xsi:type="xsd:long"&gt;44865&lt;/D&gt;&lt;D xsi:type="xsd:long"&gt;44834&lt;/D&gt;&lt;D xsi:type="xsd:long"&gt;44804&lt;/D&gt;&lt;D xsi:type="xsd:long"&gt;44771&lt;/D&gt;&lt;D xsi:type="xsd:long"&gt;44742&lt;/D&gt;&lt;D xsi:type="xsd:long"&gt;44712&lt;/D&gt;&lt;D xsi:type="xsd:long"&gt;44680&lt;/D&gt;&lt;D xsi:type="xsd:long"&gt;44651&lt;/D&gt;&lt;D xsi:type="xsd:long"&gt;44620&lt;/D&gt;&lt;D xsi:type="xsd:long"&gt;44592&lt;/D&gt;&lt;D xsi:type="xsd:long"&gt;44561&lt;/D&gt;&lt;D xsi:type="xsd:long"&gt;44530&lt;/D&gt;&lt;D xsi:type="xsd:long"&gt;44498&lt;/D&gt;&lt;D xsi:type="xsd:long"&gt;44469&lt;/D&gt;&lt;D xsi:type="xsd:long"&gt;44439&lt;/D&gt;&lt;D xsi:type="xsd:long"&gt;44407&lt;/D&gt;&lt;D xsi:type="xsd:long"&gt;44377&lt;/D&gt;&lt;D xsi:type="xsd:long"&gt;44344&lt;/D&gt;&lt;D xsi:type="xsd:long"&gt;44316&lt;/D&gt;&lt;D xsi:type="xsd:long"&gt;44286&lt;/D&gt;&lt;D xsi:type="xsd:long"&gt;44253&lt;/D&gt;&lt;D xsi:type="xsd:long"&gt;44225&lt;/D&gt;&lt;D xsi:type="xsd:long"&gt;44196&lt;/D&gt;&lt;D xsi:type="xsd:long"&gt;44165&lt;/D&gt;&lt;D xsi:type="xsd:long"&gt;44134&lt;/D&gt;&lt;D xsi:type="xsd:long"&gt;44104&lt;/D&gt;&lt;D xsi:type="xsd:long"&gt;44074&lt;/D&gt;&lt;D xsi:type="xsd:long"&gt;44043&lt;/D&gt;&lt;D xsi:type="xsd:long"&gt;44012&lt;/D&gt;&lt;D xsi:type="xsd:long"&gt;43980&lt;/D&gt;&lt;D xsi:type="xsd:long"&gt;43951&lt;/D&gt;&lt;D xsi:type="xsd:long"&gt;43921&lt;/D&gt;&lt;D xsi:type="xsd:long"&gt;43889&lt;/D&gt;&lt;D xsi:type="xsd:long"&gt;43861&lt;/D&gt;&lt;D xsi:type="xsd:long"&gt;43830&lt;/D&gt;&lt;D xsi:type="xsd:long"&gt;43798&lt;/D&gt;&lt;D xsi:type="xsd:long"&gt;43769&lt;/D&gt;&lt;D xsi:type="xsd:long"&gt;43738&lt;/D&gt;&lt;D xsi:type="xsd:long"&gt;43707&lt;/D&gt;&lt;D xsi:type="xsd:long"&gt;43677&lt;/D&gt;&lt;D xsi:type="xsd:long"&gt;43644&lt;/D&gt;&lt;D xsi:type="xsd:long"&gt;43616&lt;/D&gt;&lt;D xsi:type="xsd:long"&gt;43585&lt;/D&gt;&lt;D xsi:type="xsd:long"&gt;43553&lt;/D&gt;&lt;D xsi:type="xsd:long"&gt;43524&lt;/D&gt;&lt;D xsi:type="xsd:long"&gt;43496&lt;/D&gt;&lt;D xsi:type="xsd:long"&gt;43465&lt;/D&gt;&lt;D xsi:type="xsd:long"&gt;43434&lt;/D&gt;&lt;D xsi:type="xsd:long"&gt;43404&lt;/D&gt;&lt;D xsi:type="xsd:long"&gt;43371&lt;/D&gt;&lt;D xsi:type="xsd:long"&gt;43343&lt;/D&gt;&lt;D xsi:type="xsd:long"&gt;43312&lt;/D&gt;&lt;D xsi:type="xsd:long"&gt;43280&lt;/D&gt;&lt;D xsi:type="xsd:long"&gt;43251&lt;/D&gt;&lt;D xsi:type="xsd:long"&gt;43220&lt;/D&gt;&lt;D xsi:type="xsd:long"&gt;43188&lt;/D&gt;&lt;D xsi:type="xsd:long"&gt;43159&lt;/D&gt;&lt;D xsi:type="xsd:long"&gt;43131&lt;/D&gt;&lt;D xsi:type="xsd:long"&gt;43098&lt;/D&gt;&lt;D xsi:type="xsd:long"&gt;43069&lt;/D&gt;&lt;D xsi:type="xsd:long"&gt;43039&lt;/D&gt;&lt;D xsi:type="xsd:long"&gt;43007&lt;/D&gt;&lt;D xsi:type="xsd:long"&gt;42978&lt;/D&gt;&lt;D xsi:type="xsd:long"&gt;42947&lt;/D&gt;&lt;D xsi:type="xsd:long"&gt;42916&lt;/D&gt;&lt;D xsi:type="xsd:long"&gt;42886&lt;/D&gt;&lt;D xsi:type="xsd:long"&gt;42853&lt;/D&gt;&lt;D xsi:type="xsd:long"&gt;42825&lt;/D&gt;&lt;D xsi:type="xsd:long"&gt;42794&lt;/D&gt;&lt;D xsi:type="xsd:long"&gt;42766&lt;/D&gt;&lt;D xsi:type="xsd:long"&gt;42734&lt;/D&gt;&lt;D xsi:type="xsd:long"&gt;42704&lt;/D&gt;&lt;D xsi:type="xsd:long"&gt;42674&lt;/D&gt;&lt;D xsi:type="xsd:long"&gt;42643&lt;/D&gt;&lt;D xsi:type="xsd:long"&gt;42613&lt;/D&gt;&lt;D xsi:type="xsd:long"&gt;42580&lt;/D&gt;&lt;D xsi:type="xsd:long"&gt;42551&lt;/D&gt;&lt;D xsi:type="xsd:long"&gt;42521&lt;/D&gt;&lt;D xsi:type="xsd:long"&gt;42489&lt;/D&gt;&lt;D xsi:type="xsd:long"&gt;42460&lt;/D&gt;&lt;D xsi:type="xsd:long"&gt;42429&lt;/D&gt;&lt;D xsi:type="xsd:long"&gt;42398&lt;/D&gt;&lt;D xsi:type="xsd:long"&gt;42369&lt;/D&gt;&lt;D xsi:type="xsd:long"&gt;42338&lt;/D&gt;&lt;D xsi:type="xsd:long"&gt;42307&lt;/D&gt;&lt;D xsi:type="xsd:long"&gt;42277&lt;/D&gt;&lt;D xsi:type="xsd:long"&gt;42247&lt;/D&gt;&lt;D xsi:type="xsd:long"&gt;42216&lt;/D&gt;&lt;D xsi:type="xsd:long"&gt;42185&lt;/D&gt;&lt;D xsi:type="xsd:long"&gt;42153&lt;/D&gt;&lt;D xsi:type="xsd:long"&gt;42124&lt;/D&gt;&lt;D xsi:type="xsd:long"&gt;42094&lt;/D&gt;&lt;D xsi:type="xsd:long"&gt;42062&lt;/D&gt;&lt;D xsi:type="xsd:long"&gt;42034&lt;/D&gt;&lt;D xsi:type="xsd:long"&gt;42004&lt;/D&gt;&lt;D xsi:type="xsd:long"&gt;41971&lt;/D&gt;&lt;D xsi:type="xsd:long"&gt;41943&lt;/D&gt;&lt;D xsi:type="xsd:long"&gt;41912&lt;/D&gt;&lt;D xsi:type="xsd:long"&gt;41880&lt;/D&gt;&lt;D xsi:type="xsd:long"&gt;41851&lt;/D&gt;&lt;D xsi:type="xsd:long"&gt;41820&lt;/D&gt;&lt;D xsi:type="xsd:long"&gt;41789&lt;/D&gt;&lt;D xsi:type="xsd:long"&gt;41759&lt;/D&gt;&lt;D xsi:type="xsd:long"&gt;41729&lt;/D&gt;&lt;D xsi:type="xsd:long"&gt;41698&lt;/D&gt;&lt;D xsi:type="xsd:long"&gt;41670&lt;/D&gt;&lt;D xsi:type="xsd:long"&gt;41639&lt;/D&gt;&lt;D xsi:type="xsd:long"&gt;41607&lt;/D&gt;&lt;D xsi:type="xsd:long"&gt;41578&lt;/D&gt;&lt;D xsi:type="xsd:long"&gt;41547&lt;/D&gt;&lt;D xsi:type="xsd:long"&gt;41516&lt;/D&gt;&lt;D xsi:type="xsd:long"&gt;41486&lt;/D&gt;&lt;D xsi:type="xsd:long"&gt;41453&lt;/D&gt;&lt;D xsi:type="xsd:long"&gt;41425&lt;/D&gt;&lt;D xsi:type="xsd:long"&gt;41394&lt;/D&gt;&lt;D xsi:type="xsd:long"&gt;41361&lt;/D&gt;&lt;D xsi:type="xsd:long"&gt;41333&lt;/D&gt;&lt;D xsi:type="xsd:long"&gt;41305&lt;/D&gt;&lt;D xsi:type="xsd:long"&gt;41274&lt;/D&gt;&lt;D xsi:type="xsd:long"&gt;41243&lt;/D&gt;&lt;D xsi:type="xsd:long"&gt;41213&lt;/D&gt;&lt;D xsi:type="xsd:long"&gt;41180&lt;/D&gt;&lt;D xsi:type="xsd:long"&gt;41152&lt;/D&gt;&lt;D xsi:type="xsd:long"&gt;41121&lt;/D&gt;&lt;D xsi:type="xsd:long"&gt;41089&lt;/D&gt;&lt;D xsi:type="xsd:long"&gt;41060&lt;/D&gt;&lt;D xsi:type="xsd:long"&gt;41029&lt;/D&gt;&lt;D xsi:type="xsd:long"&gt;40998&lt;/D&gt;&lt;D xsi:type="xsd:long"&gt;40968&lt;/D&gt;&lt;D xsi:type="xsd:long"&gt;40939&lt;/D&gt;&lt;D xsi:type="xsd:long"&gt;40907&lt;/D&gt;&lt;D xsi:type="xsd:long"&gt;40877&lt;/D&gt;&lt;D xsi:type="xsd:long"&gt;40847&lt;/D&gt;&lt;D xsi:type="xsd:long"&gt;40816&lt;/D&gt;&lt;D xsi:type="xsd:long"&gt;40786&lt;/D&gt;&lt;D xsi:type="xsd:long"&gt;40753&lt;/D&gt;&lt;D xsi:type="xsd:long"&gt;40724&lt;/D&gt;&lt;D xsi:type="xsd:long"&gt;40694&lt;/D&gt;&lt;D xsi:type="xsd:long"&gt;40662&lt;/D&gt;&lt;D xsi:type="xsd:long"&gt;40633&lt;/D&gt;&lt;D xsi:type="xsd:long"&gt;40602&lt;/D&gt;&lt;D xsi:type="xsd:long"&gt;40574&lt;/D&gt;&lt;D xsi:type="xsd:long"&gt;40543&lt;/D&gt;&lt;D xsi:type="xsd:long"&gt;40512&lt;/D&gt;&lt;D xsi:type="xsd:long"&gt;40480&lt;/D&gt;&lt;D xsi:type="xsd:long"&gt;40451&lt;/D&gt;&lt;D xsi:type="xsd:long"&gt;40421&lt;/D&gt;&lt;D xsi:type="xsd:long"&gt;40389&lt;/D&gt;&lt;D xsi:type="xsd:long"&gt;40359&lt;/D&gt;&lt;D xsi:type="xsd:long"&gt;40326&lt;/D&gt;&lt;D xsi:type="xsd:long"&gt;40298&lt;/D&gt;&lt;D xsi:type="xsd:long"&gt;40268&lt;/D&gt;&lt;D xsi:type="xsd:long"&gt;40235&lt;/D&gt;&lt;D xsi:type="xsd:long"&gt;40207&lt;/D&gt;&lt;D xsi:type="xsd:long"&gt;40178&lt;/D&gt;&lt;D xsi:type="xsd:long"&gt;40147&lt;/D&gt;&lt;D xsi:type="xsd:long"&gt;40116&lt;/D&gt;&lt;D xsi:type="xsd:long"&gt;40086&lt;/D&gt;&lt;D xsi:type="xsd:long"&gt;40056&lt;/D&gt;&lt;D xsi:type="xsd:long"&gt;40025&lt;/D&gt;&lt;D xsi:type="xsd:long"&gt;39994&lt;/D&gt;&lt;D xsi:type="xsd:long"&gt;39962&lt;/D&gt;&lt;D xsi:type="xsd:long"&gt;39933&lt;/D&gt;&lt;D xsi:type="xsd:long"&gt;39903&lt;/D&gt;&lt;D xsi:type="xsd:long"&gt;39871&lt;/D&gt;&lt;D xsi:type="xsd:long"&gt;39843&lt;/D&gt;&lt;D xsi:type="xsd:long"&gt;39813&lt;/D&gt;&lt;D xsi:type="xsd:long"&gt;39780&lt;/D&gt;&lt;D xsi:type="xsd:long"&gt;39752&lt;/D&gt;&lt;D xsi:type="xsd:long"&gt;39721&lt;/D&gt;&lt;D xsi:type="xsd:long"&gt;39689&lt;/D&gt;&lt;D xsi:type="xsd:long"&gt;39660&lt;/D&gt;&lt;D xsi:type="xsd:long"&gt;39629&lt;/D&gt;&lt;D xsi:type="xsd:long"&gt;39598&lt;/D&gt;&lt;D xsi:type="xsd:long"&gt;39568&lt;/D&gt;&lt;D xsi:type="xsd:long"&gt;39538&lt;/D&gt;&lt;D xsi:type="xsd:long"&gt;39507&lt;/D&gt;&lt;D xsi:type="xsd:long"&gt;39478&lt;/D&gt;&lt;D xsi:type="xsd:long"&gt;39447&lt;/D&gt;&lt;D xsi:type="xsd:long"&gt;39416&lt;/D&gt;&lt;D xsi:type="xsd:long"&gt;39386&lt;/D&gt;&lt;D xsi:type="xsd:long"&gt;39353&lt;/D&gt;&lt;D xsi:type="xsd:long"&gt;39325&lt;/D&gt;&lt;D xsi:type="xsd:long"&gt;39294&lt;/D&gt;&lt;D xsi:type="xsd:long"&gt;39262&lt;/D&gt;&lt;D xsi:type="xsd:long"&gt;39233&lt;/D&gt;&lt;D xsi:type="xsd:long"&gt;39202&lt;/D&gt;&lt;D xsi:type="xsd:long"&gt;39171&lt;/D&gt;&lt;D xsi:type="xsd:long"&gt;39141&lt;/D&gt;&lt;D xsi:type="xsd:long"&gt;39113&lt;/D&gt;&lt;D xsi:type="xsd:long"&gt;39080&lt;/D&gt;&lt;D xsi:type="xsd:long"&gt;39051&lt;/D&gt;&lt;D xsi:type="xsd:long"&gt;39021&lt;/D&gt;&lt;D xsi:type="xsd:long"&gt;38989&lt;/D&gt;&lt;D xsi:type="xsd:long"&gt;38960&lt;/D&gt;&lt;D xsi:type="xsd:long"&gt;38929&lt;/D&gt;&lt;D xsi:type="xsd:long"&gt;38898&lt;/D&gt;&lt;D xsi:type="xsd:long"&gt;38868&lt;/D&gt;&lt;D xsi:type="xsd:long"&gt;38835&lt;/D&gt;&lt;D xsi:type="xsd:long"&gt;38807&lt;/D&gt;&lt;D xsi:type="xsd:long"&gt;38776&lt;/D&gt;&lt;D xsi:type="xsd:long"&gt;38748&lt;/D&gt;&lt;D xsi:type="xsd:long"&gt;38716&lt;/D&gt;&lt;D xsi:type="xsd:long"&gt;38686&lt;/D&gt;&lt;D xsi:type="xsd:long"&gt;38656&lt;/D&gt;&lt;D xsi:type="xsd:long"&gt;38625&lt;/D&gt;&lt;D xsi:type="xsd:long"&gt;38595&lt;/D&gt;&lt;D xsi:type="xsd:long"&gt;38562&lt;/D&gt;&lt;D xsi:type="xsd:long"&gt;38533&lt;/D&gt;&lt;D xsi:type="xsd:long"&gt;38503&lt;/D&gt;&lt;D xsi:type="xsd:long"&gt;38471&lt;/D&gt;&lt;D xsi:type="xsd:long"&gt;38442&lt;/D&gt;&lt;D xsi:type="xsd:long"&gt;38411&lt;/D&gt;&lt;D xsi:type="xsd:long"&gt;38383&lt;/D&gt;&lt;D xsi:type="xsd:long"&gt;38352&lt;/D&gt;&lt;D xsi:type="xsd:long"&gt;38321&lt;/D&gt;&lt;D xsi:type="xsd:long"&gt;38289&lt;/D&gt;&lt;D xsi:type="xsd:long"&gt;38260&lt;/D&gt;&lt;D xsi:type="xsd:long"&gt;38230&lt;/D&gt;&lt;D xsi:type="xsd:long"&gt;38198&lt;/D&gt;&lt;D xsi:type="xsd:long"&gt;38168&lt;/D&gt;&lt;D xsi:type="xsd:long"&gt;38135&lt;/D&gt;&lt;D xsi:type="xsd:long"&gt;38107&lt;/D&gt;&lt;D xsi:type="xsd:long"&gt;38077&lt;/D&gt;&lt;D xsi:type="xsd:long"&gt;38044&lt;/D&gt;&lt;D xsi:type="xsd:long"&gt;38016&lt;/D&gt;&lt;D xsi:type="xsd:long"&gt;37986&lt;/D&gt;&lt;D xsi:type="xsd:long"&gt;37953&lt;/D&gt;&lt;D xsi:type="xsd:long"&gt;37925&lt;/D&gt;&lt;D xsi:type="xsd:long"&gt;37894&lt;/D&gt;&lt;D xsi:type="xsd:long"&gt;37862&lt;/D&gt;&lt;D xsi:type="xsd:long"&gt;37833&lt;/D&gt;&lt;D xsi:type="xsd:long"&gt;37802&lt;/D&gt;&lt;D xsi:type="xsd:long"&gt;37771&lt;/D&gt;&lt;D xsi:type="xsd:long"&gt;37741&lt;/D&gt;&lt;D xsi:type="xsd:long"&gt;37711&lt;/D&gt;&lt;D xsi:type="xsd:long"&gt;37680&lt;/D&gt;&lt;D xsi:type="xsd:long"&gt;37652&lt;/D&gt;&lt;D xsi:type="xsd:long"&gt;37621&lt;/D&gt;&lt;D xsi:type="xsd:long"&gt;37589&lt;/D&gt;&lt;D xsi:type="xsd:long"&gt;37560&lt;/D&gt;&lt;D xsi:type="xsd:long"&gt;37529&lt;/D&gt;&lt;D xsi:type="xsd:long"&gt;37498&lt;/D&gt;&lt;D xsi:type="xsd:long"&gt;37468&lt;/D&gt;&lt;D xsi:type="xsd:long"&gt;37435&lt;/D&gt;&lt;D xsi:type="xsd:long"&gt;37407&lt;/D&gt;&lt;D xsi:type="xsd:long"&gt;37376&lt;/D&gt;&lt;D xsi:type="xsd:long"&gt;37343&lt;/D&gt;&lt;D xsi:type="xsd:long"&gt;37315&lt;/D&gt;&lt;D xsi:type="xsd:long"&gt;37287&lt;/D&gt;&lt;D xsi:type="xsd:long"&gt;37256&lt;/D&gt;&lt;D xsi:type="xsd:long"&gt;37225&lt;/D&gt;&lt;D xsi:type="xsd:long"&gt;37195&lt;/D&gt;&lt;D xsi:type="xsd:long"&gt;37162&lt;/D&gt;&lt;D xsi:type="xsd:long"&gt;37134&lt;/D&gt;&lt;D xsi:type="xsd:long"&gt;37103&lt;/D&gt;&lt;D xsi:type="xsd:long"&gt;37071&lt;/D&gt;&lt;D xsi:type="xsd:long"&gt;37042&lt;/D&gt;&lt;D xsi:type="xsd:long"&gt;37011&lt;/D&gt;&lt;D xsi:type="xsd:long"&gt;36980&lt;/D&gt;&lt;D xsi:type="xsd:long"&gt;36950&lt;/D&gt;&lt;D xsi:type="xsd:long"&gt;36922&lt;/D&gt;&lt;D xsi:type="xsd:long"&gt;36889&lt;/D&gt;&lt;D xsi:type="xsd:long"&gt;36860&lt;/D&gt;&lt;D xsi:type="xsd:long"&gt;36830&lt;/D&gt;&lt;D xsi:type="xsd:long"&gt;36798&lt;/D&gt;&lt;D xsi:type="xsd:long"&gt;36769&lt;/D&gt;&lt;D xsi:type="xsd:long"&gt;36738&lt;/D&gt;&lt;D xsi:type="xsd:long"&gt;36707&lt;/D&gt;&lt;D xsi:type="xsd:long"&gt;36677&lt;/D&gt;&lt;D xsi:type="xsd:long"&gt;36644&lt;/D&gt;&lt;D xsi:type="xsd:long"&gt;36616&lt;/D&gt;&lt;D xsi:type="xsd:long"&gt;36585&lt;/D&gt;&lt;D xsi:type="xsd:long"&gt;36556&lt;/D&gt;&lt;/FQL&gt;&lt;FQL&gt;&lt;Q&gt;899901^MSCI_TOTAL_RET_IDX(2/27/2026,1/31/2000,M,LOC,"GROSS")&lt;/Q&gt;&lt;R&gt;314&lt;/R&gt;&lt;C&gt;1&lt;/C&gt;&lt;D xsi:type="xsd:double"&gt;1678.3234420000001&lt;/D&gt;&lt;D xsi:type="xsd:double"&gt;1591.909616&lt;/D&gt;&lt;D xsi:type="xsd:double"&gt;1521.279225&lt;/D&gt;&lt;D xsi:type="xsd:double"&gt;1488.636033&lt;/D&gt;&lt;D xsi:type="xsd:double"&gt;1486.35736&lt;/D&gt;&lt;D xsi:type="xsd:double"&gt;1434.741393&lt;/D&gt;&lt;D xsi:type="xsd:double"&gt;1384.111589&lt;/D&gt;&lt;D xsi:type="xsd:double"&gt;1354.869504&lt;/D&gt;&lt;D xsi:type="xsd:double"&gt;1328.071893&lt;/D&gt;&lt;D xsi:type="xsd:double"&gt;1304.726246&lt;/D&gt;&lt;D xsi:type="xsd:double"&gt;1249.993428&lt;/D&gt;&lt;D xsi:type="xsd:double"&gt;1250.093733&lt;/D&gt;&lt;D xsi:type="xsd:double"&gt;1272.370336&lt;/D&gt;&lt;D xsi:type="xsd:double"&gt;1262.149225&lt;/D&gt;&lt;D xsi:type="xsd:double"&gt;1216.171288&lt;/D&gt;&lt;D xsi:type="xsd:double"&gt;1211.732647&lt;/D&gt;&lt;D xsi:type="xsd:double"&gt;1210.315337&lt;/D&gt;&lt;D xsi:type="xsd:double"&gt;1231.820863&lt;/D&gt;&lt;D xsi:type="xsd:double"&gt;1212.47088&lt;/D&gt;&lt;D xsi:type="xsd:double"&gt;1205.871563&lt;/D&gt;&lt;D xsi:type="xsd:double"&gt;1192.397789&lt;/D&gt;&lt;D xsi:type="xsd:double"&gt;1183.611797&lt;/D&gt;&lt;D xsi:type="xsd:double"&gt;1160.350959&lt;/D&gt;&lt;D xsi:type="xsd:double"&gt;1161.543371&lt;/D&gt;&lt;D xsi:type="xsd:double"&gt;1120.522888&lt;/D&gt;&lt;D xsi:type="xsd:double"&gt;1082.174779&lt;/D&gt;&lt;D xsi:type="xsd:double"&gt;1074.167069&lt;/D&gt;&lt;D xsi:type="xsd:double"&gt;1042.599753&lt;/D&gt;&lt;D xsi:type="xsd:double"&gt;984.126822&lt;/D&gt;&lt;D xsi:type="xsd:double"&gt;1018.63918&lt;/D&gt;&lt;D xsi:type="xsd:double"&gt;1032.964092&lt;/D&gt;&lt;D xsi:type="xsd:double"&gt;1060.498523&lt;/D&gt;&lt;D xsi:type="xsd:double"&gt;1031.73337&lt;/D&gt;&lt;D xsi:type="xsd:double"&gt;995.70101&lt;/D&gt;&lt;D xsi:type="xsd:double"&gt;1011.91225&lt;/D&gt;&lt;D xsi:type="xsd:double"&gt;995.965526&lt;/D&gt;&lt;D xsi:type="xsd:double"&gt;986.37824&lt;/D&gt;&lt;D xsi:type="xsd:double"&gt;997.400837&lt;/D&gt;&lt;D xsi:type="xsd:double"&gt;936.829744&lt;/D&gt;&lt;D xsi:type="xsd:double"&gt;964.309039&lt;/D&gt;&lt;D xsi:type="xsd:double"&gt;894.629877&lt;/D&gt;&lt;D xsi:type="xsd:double"&gt;868.235024&lt;/D&gt;&lt;D xsi:type="xsd:double"&gt;932.949325&lt;/D&gt;&lt;D xsi:type="xsd:double"&gt;944.515259&lt;/D&gt;&lt;D xsi:type="xsd:double"&gt;911.442267&lt;/D&gt;&lt;D xsi:type="xsd:double"&gt;969.261512&lt;/D&gt;&lt;D xsi:type="xsd:double"&gt;969.71284&lt;/D&gt;&lt;D xsi:type="xsd:double"&gt;992.107491&lt;/D&gt;&lt;D xsi:type="xsd:double"&gt;981.228025&lt;/D&gt;&lt;D xsi:type="xsd:double"&gt;1001.994344&lt;/D&gt;&lt;D xsi:type="xsd:double"&gt;1031.244145&lt;/D&gt;&lt;D xsi:type="xsd:double"&gt;997.208907&lt;/D&gt;&lt;D xsi:type="xsd:double"&gt;1024.166835&lt;/D&gt;&lt;D xsi:type="xsd:double"&gt;1003.631063&lt;/D&gt;&lt;D xsi:type="xsd:double"&gt;1021.673416&lt;/D&gt;&lt;D xsi:type="xsd:double"&gt;999.609278&lt;/D&gt;&lt;D xsi:type="xsd:double"&gt;1015.715387&lt;/D&gt;&lt;D xsi:type="xsd:double"&gt;1003.858535&lt;/D&gt;&lt;D xsi:type="xsd:double"&gt;982.539585&lt;/D&gt;&lt;D xsi:type="xsd:double"&gt;968.141563&lt;/D&gt;&lt;D xsi:type="xsd:double"&gt;937.182689&lt;/D&gt;&lt;D xsi:type="xsd:double"&gt;916.555341&lt;/D&gt;&lt;D xsi:type="xsd:double"&gt;908.282786&lt;/D&gt;&lt;D xsi:type="xsd:double"&gt;877.14553&lt;/D&gt;&lt;D xsi:type="xsd:double"&gt;788.053917&lt;/D&gt;&lt;D xsi:type="xsd:double"&gt;806.321094&lt;/D&gt;&lt;D xsi:type="xsd:double"&gt;816.537755&lt;/D&gt;&lt;D xsi:type="xsd:double"&gt;789.375441&lt;/D&gt;&lt;D xsi:type="xsd:double"&gt;778.130274&lt;/D&gt;&lt;D xsi:type="xsd:double"&gt;749.954041&lt;/D&gt;&lt;D xsi:type="xsd:double"&gt;727.737136&lt;/D&gt;&lt;D xsi:type="xsd:double"&gt;682.114582&lt;/D&gt;&lt;D xsi:type="xsd:double"&gt;782.718399&lt;/D&gt;&lt;D xsi:type="xsd:double"&gt;839.490328&lt;/D&gt;&lt;D xsi:type="xsd:double"&gt;853.162836&lt;/D&gt;&lt;D xsi:type="xsd:double"&gt;832.612958&lt;/D&gt;&lt;D xsi:type="xsd:double"&gt;817.884463&lt;/D&gt;&lt;D xsi:type="xsd:double"&gt;803.032555&lt;/D&gt;&lt;D xsi:type="xsd:double"&gt;780.205523&lt;/D&gt;&lt;D xsi:type="xsd:double"&gt;798.236889&lt;/D&gt;&lt;D xsi:type="xsd:double"&gt;796.356224&lt;/D&gt;&lt;D xsi:type="xsd:double"&gt;763.616005&lt;/D&gt;&lt;D xsi:type="xsd:double"&gt;803.32119&lt;/D&gt;&lt;D xsi:type="xsd:double"&gt;777.928947&lt;/D&gt;&lt;D xsi:type="xsd:double"&gt;767.216035&lt;/D&gt;&lt;D xsi:type="xsd:double"&gt;746.073997&lt;/D&gt;&lt;D xsi:type="xsd:double"&gt;702.993233&lt;/D&gt;&lt;D xsi:type="xsd:double"&gt;739.714668&lt;/D&gt;&lt;D xsi:type="xsd:double"&gt;734.587078&lt;/D&gt;&lt;D xsi:type="xsd:double"&gt;788.348806&lt;/D&gt;&lt;D xsi:type="xsd:double"&gt;783.095588&lt;/D&gt;&lt;D xsi:type="xsd:double"&gt;793.893002&lt;/D&gt;&lt;D xsi:type="xsd:double"&gt;775.713675&lt;/D&gt;&lt;D xsi:type="xsd:double"&gt;781.12364&lt;/D&gt;&lt;D xsi:type="xsd:double"&gt;786.737113&lt;/D&gt;&lt;D xsi:type="xsd:double"&gt;758.469826&lt;/D&gt;&lt;D xsi:type="xsd:double"&gt;774.621253&lt;/D&gt;&lt;D xsi:type="xsd:double"&gt;801.84937&lt;/D&gt;&lt;D xsi:type="xsd:double"&gt;782.888147&lt;/D&gt;&lt;D xsi:type="xsd:double"&gt;770.907516&lt;/D&gt;&lt;D xsi:type="xsd:double"&gt;774.836799&lt;/D&gt;&lt;D xsi:type="xsd:double"&gt;750.862991&lt;/D&gt;&lt;D xsi:type="xsd:double"&gt;734.41636&lt;/D&gt;&lt;D xsi:type="xsd:double"&gt;730.507834&lt;/D&gt;&lt;D xsi:type="xsd:double"&gt;718.559247&lt;/D&gt;&lt;D xsi:type="xsd:double"&gt;719.826112&lt;/D&gt;&lt;D xsi:type="xsd:double"&gt;705.406206&lt;/D&gt;&lt;D xsi:type="xsd:double"&gt;694.256053&lt;/D&gt;&lt;D xsi:type="xsd:double"&gt;678.642166&lt;/D&gt;&lt;D xsi:type="xsd:double"&gt;665.981351&lt;/D&gt;&lt;D xsi:type="xsd:double"&gt;659.154953&lt;/D&gt;&lt;D xsi:type="xsd:double"&gt;637.951986&lt;/D&gt;&lt;D xsi:type="xsd:double"&gt;634.47646&lt;/D&gt;&lt;D xsi:type="xsd:double"&gt;627.835737&lt;/D&gt;&lt;D xsi:type="xsd:double"&gt;625.108771&lt;/D&gt;&lt;D xsi:type="xsd:double"&gt;616.650262&lt;/D&gt;&lt;D xsi:type="xsd:double"&gt;589.583797&lt;/D&gt;&lt;D xsi:type="xsd:double"&gt;603.710871&lt;/D&gt;&lt;D xsi:type="xsd:double"&gt;595.774355&lt;/D&gt;&lt;D xsi:type="xsd:double"&gt;588.760213&lt;/D&gt;&lt;D xsi:type="xsd:double"&gt;564.673083&lt;/D&gt;&lt;D xsi:type="xsd:double"&gt;579.61989&lt;/D&gt;&lt;D xsi:type="xsd:double"&gt;612.897857&lt;/D&gt;&lt;D xsi:type="xsd:double"&gt;627.829416&lt;/D&gt;&lt;D xsi:type="xsd:double"&gt;625.394835&lt;/D&gt;&lt;D xsi:type="xsd:double"&gt;584.436299&lt;/D&gt;&lt;D xsi:type="xsd:double"&gt;609.263506&lt;/D&gt;&lt;D xsi:type="xsd:double"&gt;656.507641&lt;/D&gt;&lt;D xsi:type="xsd:double"&gt;646.139519&lt;/D&gt;&lt;D xsi:type="xsd:double"&gt;671.779802&lt;/D&gt;&lt;D xsi:type="xsd:double"&gt;668.254396&lt;/D&gt;&lt;D xsi:type="xsd:double"&gt;653.38212&lt;/D&gt;&lt;D xsi:type="xsd:double"&gt;647.47656&lt;/D&gt;&lt;D xsi:type="xsd:double"&gt;613.931171&lt;/D&gt;&lt;D xsi:type="xsd:double"&gt;599.136473&lt;/D&gt;&lt;D xsi:type="xsd:double"&gt;608.624688&lt;/D&gt;&lt;D xsi:type="xsd:double"&gt;591.806311&lt;/D&gt;&lt;D xsi:type="xsd:double"&gt;592.023417&lt;/D&gt;&lt;D xsi:type="xsd:double"&gt;598.56084&lt;/D&gt;&lt;D xsi:type="xsd:double"&gt;591.053362&lt;/D&gt;&lt;D xsi:type="xsd:double"&gt;587.028416&lt;/D&gt;&lt;D xsi:type="xsd:double"&gt;581.466484&lt;/D&gt;&lt;D xsi:type="xsd:double"&gt;567.789161&lt;/D&gt;&lt;D xsi:type="xsd:double"&gt;563.421664&lt;/D&gt;&lt;D xsi:type="xsd:double"&gt;562.49583&lt;/D&gt;&lt;D xsi:type="xsd:double"&gt;543.865289&lt;/D&gt;&lt;D xsi:type="xsd:double"&gt;562.438666&lt;/D&gt;&lt;D xsi:type="xsd:double"&gt;557.156944&lt;/D&gt;&lt;D xsi:type="xsd:double"&gt;550.787589&lt;/D&gt;&lt;D xsi:type="xsd:double"&gt;531.802955&lt;/D&gt;&lt;D xsi:type="xsd:double"&gt;509.881851&lt;/D&gt;&lt;D xsi:type="xsd:double"&gt;514.543323&lt;/D&gt;&lt;D xsi:type="xsd:double"&gt;496.784105&lt;/D&gt;&lt;D xsi:type="xsd:double"&gt;517.082832&lt;/D&gt;&lt;D xsi:type="xsd:double"&gt;512.818661&lt;/D&gt;&lt;D xsi:type="xsd:double"&gt;497.797423&lt;/D&gt;&lt;D xsi:type="xsd:double"&gt;493.184076&lt;/D&gt;&lt;D xsi:type="xsd:double"&gt;487.60302&lt;/D&gt;&lt;D xsi:type="xsd:double"&gt;466.493161&lt;/D&gt;&lt;D xsi:type="xsd:double"&gt;451.554357&lt;/D&gt;&lt;D xsi:type="xsd:double"&gt;441.365576&lt;/D&gt;&lt;D xsi:type="xsd:double"&gt;437.702674&lt;/D&gt;&lt;D xsi:type="xsd:double"&gt;427.596696&lt;/D&gt;&lt;D xsi:type="xsd:double"&gt;422.243451&lt;/D&gt;&lt;D xsi:type="xsd:double"&gt;416.046133&lt;/D&gt;&lt;D xsi:type="xsd:double"&gt;399.445692&lt;/D&gt;&lt;D xsi:type="xsd:double"&gt;430.097344&lt;/D&gt;&lt;D xsi:type="xsd:double"&gt;438.786078&lt;/D&gt;&lt;D xsi:type="xsd:double"&gt;439.334877&lt;/D&gt;&lt;D xsi:type="xsd:double"&gt;418.233019&lt;/D&gt;&lt;D xsi:type="xsd:double"&gt;399.123582&lt;/D&gt;&lt;D xsi:type="xsd:double"&gt;398.364473&lt;/D&gt;&lt;D xsi:type="xsd:double"&gt;409.097687&lt;/D&gt;&lt;D xsi:type="xsd:double"&gt;383.147475&lt;/D&gt;&lt;D xsi:type="xsd:double"&gt;404.978928&lt;/D&gt;&lt;D xsi:type="xsd:double"&gt;439.093191&lt;/D&gt;&lt;D xsi:type="xsd:double"&gt;451.960143&lt;/D&gt;&lt;D xsi:type="xsd:double"&gt;458.887654&lt;/D&gt;&lt;D xsi:type="xsd:double"&gt;465.062174&lt;/D&gt;&lt;D xsi:type="xsd:double"&gt;458.452188&lt;/D&gt;&lt;D xsi:type="xsd:double"&gt;463.006505&lt;/D&gt;&lt;D xsi:type="xsd:double"&gt;455.396763&lt;/D&gt;&lt;D xsi:type="xsd:double"&gt;452.38701&lt;/D&gt;&lt;D xsi:type="xsd:double"&gt;432.230402&lt;/D&gt;&lt;D xsi:type="xsd:double"&gt;435.540678&lt;/D&gt;&lt;D xsi:type="xsd:double"&gt;427.084598&lt;/D&gt;&lt;D xsi:type="xsd:double"&gt;404.2208&lt;/D&gt;&lt;D xsi:type="xsd:double"&gt;412.628362&lt;/D&gt;&lt;D xsi:type="xsd:double"&gt;393.141465&lt;/D&gt;&lt;D xsi:type="xsd:double"&gt;401.524655&lt;/D&gt;&lt;D xsi:type="xsd:double"&gt;430.527939&lt;/D&gt;&lt;D xsi:type="xsd:double"&gt;433.54543&lt;/D&gt;&lt;D xsi:type="xsd:double"&gt;405.362571&lt;/D&gt;&lt;D xsi:type="xsd:double"&gt;402.546185&lt;/D&gt;&lt;D xsi:type="xsd:double"&gt;418.589227&lt;/D&gt;&lt;D xsi:type="xsd:double"&gt;398.499112&lt;/D&gt;&lt;D xsi:type="xsd:double"&gt;393.741311&lt;/D&gt;&lt;D xsi:type="xsd:double"&gt;401.982334&lt;/D&gt;&lt;D xsi:type="xsd:double"&gt;389.48666&lt;/D&gt;&lt;D xsi:type="xsd:double"&gt;377.440865&lt;/D&gt;&lt;D xsi:type="xsd:double"&gt;349.849264&lt;/D&gt;&lt;D xsi:type="xsd:double"&gt;351.579646&lt;/D&gt;&lt;D xsi:type="xsd:double"&gt;327.632994&lt;/D&gt;&lt;D xsi:type="xsd:double"&gt;294.000535&lt;/D&gt;&lt;D xsi:type="xsd:double"&gt;278.941451&lt;/D&gt;&lt;D xsi:type="xsd:double"&gt;298.847143&lt;/D&gt;&lt;D xsi:type="xsd:double"&gt;316.169858&lt;/D&gt;&lt;D xsi:type="xsd:double"&gt;311.543866&lt;/D&gt;&lt;D xsi:typ</t>
        </r>
      </text>
    </comment>
    <comment ref="A96" authorId="0" shapeId="0">
      <text>
        <r>
          <rPr>
            <b/>
            <sz val="9"/>
            <color indexed="81"/>
            <rFont val="Tahoma"/>
            <family val="2"/>
          </rPr>
          <t>e="xsd:double"&gt;326.259774&lt;/D&gt;&lt;D xsi:type="xsd:double"&gt;392.377041&lt;/D&gt;&lt;D xsi:type="xsd:double"&gt;447.434451&lt;/D&gt;&lt;D xsi:type="xsd:double"&gt;447.830745&lt;/D&gt;&lt;D xsi:type="xsd:double"&gt;461.117055&lt;/D&gt;&lt;D xsi:type="xsd:double"&gt;504.27674&lt;/D&gt;&lt;D xsi:type="xsd:double"&gt;495.109013&lt;/D&gt;&lt;D xsi:type="xsd:double"&gt;461.167378&lt;/D&gt;&lt;D xsi:type="xsd:double"&gt;478.754273&lt;/D&gt;&lt;D xsi:type="xsd:double"&gt;474.566094&lt;/D&gt;&lt;D xsi:type="xsd:double"&gt;532.11123&lt;/D&gt;&lt;D xsi:type="xsd:double"&gt;535.69259&lt;/D&gt;&lt;D xsi:type="xsd:double"&gt;561.627749&lt;/D&gt;&lt;D xsi:type="xsd:double"&gt;541.34445&lt;/D&gt;&lt;D xsi:type="xsd:double"&gt;523.719561&lt;/D&gt;&lt;D xsi:type="xsd:double"&gt;530.713659&lt;/D&gt;&lt;D xsi:type="xsd:double"&gt;540.01299&lt;/D&gt;&lt;D xsi:type="xsd:double"&gt;537.246009&lt;/D&gt;&lt;D xsi:type="xsd:double"&gt;518.911654&lt;/D&gt;&lt;D xsi:type="xsd:double"&gt;503.920999&lt;/D&gt;&lt;D xsi:type="xsd:double"&gt;493.177482&lt;/D&gt;&lt;D xsi:type="xsd:double"&gt;495.660973&lt;/D&gt;&lt;D xsi:type="xsd:double"&gt;488.323394&lt;/D&gt;&lt;D xsi:type="xsd:double"&gt;469.221269&lt;/D&gt;&lt;D xsi:type="xsd:double"&gt;463.430693&lt;/D&gt;&lt;D xsi:type="xsd:double"&gt;450.369953&lt;/D&gt;&lt;D xsi:type="xsd:double"&gt;445.066337&lt;/D&gt;&lt;D xsi:type="xsd:double"&gt;432.91276&lt;/D&gt;&lt;D xsi:type="xsd:double"&gt;429.252197&lt;/D&gt;&lt;D xsi:type="xsd:double"&gt;425.54666&lt;/D&gt;&lt;D xsi:type="xsd:double"&gt;452.028872&lt;/D&gt;&lt;D xsi:type="xsd:double"&gt;446.492256&lt;/D&gt;&lt;D xsi:type="xsd:double"&gt;431.769789&lt;/D&gt;&lt;D xsi:type="xsd:double"&gt;429.448114&lt;/D&gt;&lt;D xsi:type="xsd:double"&gt;411.700998&lt;/D&gt;&lt;D xsi:type="xsd:double"&gt;393.504993&lt;/D&gt;&lt;D xsi:type="xsd:double"&gt;375.216178&lt;/D&gt;&lt;D xsi:type="xsd:double"&gt;385.223909&lt;/D&gt;&lt;D xsi:type="xsd:double"&gt;362.163733&lt;/D&gt;&lt;D xsi:type="xsd:double"&gt;357.355792&lt;/D&gt;&lt;D xsi:type="xsd:double"&gt;343.084238&lt;/D&gt;&lt;D xsi:type="xsd:double"&gt;331.482206&lt;/D&gt;&lt;D xsi:type="xsd:double"&gt;318.491274&lt;/D&gt;&lt;D xsi:type="xsd:double"&gt;327.566268&lt;/D&gt;&lt;D xsi:type="xsd:double"&gt;330.115138&lt;/D&gt;&lt;D xsi:type="xsd:double"&gt;318.954239&lt;/D&gt;&lt;D xsi:type="xsd:double"&gt;316.537345&lt;/D&gt;&lt;D xsi:type="xsd:double"&gt;306.651428&lt;/D&gt;&lt;D xsi:type="xsd:double"&gt;298.329858&lt;/D&gt;&lt;D xsi:type="xsd:double"&gt;295.546921&lt;/D&gt;&lt;D xsi:type="xsd:double"&gt;290.030942&lt;/D&gt;&lt;D xsi:type="xsd:double"&gt;289.142535&lt;/D&gt;&lt;D xsi:type="xsd:double"&gt;295.496673&lt;/D&gt;&lt;D xsi:type="xsd:double"&gt;288.768266&lt;/D&gt;&lt;D xsi:type="xsd:double"&gt;292.587363&lt;/D&gt;&lt;D xsi:type="xsd:double"&gt;291.433367&lt;/D&gt;&lt;D xsi:type="xsd:double"&gt;291.489442&lt;/D&gt;&lt;D xsi:type="xsd:double"&gt;283.962764&lt;/D&gt;&lt;D xsi:type="xsd:double"&gt;278.913387&lt;/D&gt;&lt;D xsi:type="xsd:double"&gt;268.145594&lt;/D&gt;&lt;D xsi:type="xsd:double"&gt;267.076225&lt;/D&gt;&lt;D xsi:type="xsd:double"&gt;253.151324&lt;/D&gt;&lt;D xsi:type="xsd:double"&gt;258.066893&lt;/D&gt;&lt;D xsi:type="xsd:double"&gt;249.151417&lt;/D&gt;&lt;D xsi:type="xsd:double"&gt;238.546373&lt;/D&gt;&lt;D xsi:type="xsd:double"&gt;230.582254&lt;/D&gt;&lt;D xsi:type="xsd:double"&gt;223.037176&lt;/D&gt;&lt;D xsi:type="xsd:double"&gt;206.501&lt;/D&gt;&lt;D xsi:type="xsd:double"&gt;211.478&lt;/D&gt;&lt;D xsi:type="xsd:double"&gt;215.338&lt;/D&gt;&lt;D xsi:type="xsd:double"&gt;226.203&lt;/D&gt;&lt;D xsi:type="xsd:double"&gt;242.393&lt;/D&gt;&lt;D xsi:type="xsd:double"&gt;231.673&lt;/D&gt;&lt;D xsi:type="xsd:double"&gt;220.068&lt;/D&gt;&lt;D xsi:type="xsd:double"&gt;245.734&lt;/D&gt;&lt;D xsi:type="xsd:double"&gt;245.851&lt;/D&gt;&lt;D xsi:type="xsd:double"&gt;272.173&lt;/D&gt;&lt;D xsi:type="xsd:double"&gt;294.943&lt;/D&gt;&lt;D xsi:type="xsd:double"&gt;299.489&lt;/D&gt;&lt;D xsi:type="xsd:double"&gt;306.501&lt;/D&gt;&lt;D xsi:type="xsd:double"&gt;292.075&lt;/D&gt;&lt;D xsi:type="xsd:double"&gt;290.675&lt;/D&gt;&lt;D xsi:type="xsd:double"&gt;296.531&lt;/D&gt;&lt;D xsi:type="xsd:double"&gt;289.469&lt;/D&gt;&lt;D xsi:type="xsd:double"&gt;275.12&lt;/D&gt;&lt;D xsi:type="xsd:double"&gt;264.453&lt;/D&gt;&lt;D xsi:type="xsd:double"&gt;295.685&lt;/D&gt;&lt;D xsi:type="xsd:double"&gt;311.909&lt;/D&gt;&lt;D xsi:type="xsd:double"&gt;323.658&lt;/D&gt;&lt;D xsi:type="xsd:double"&gt;332.449&lt;/D&gt;&lt;D xsi:type="xsd:double"&gt;337.68&lt;/D&gt;&lt;D xsi:type="xsd:double"&gt;318.367&lt;/D&gt;&lt;D xsi:type="xsd:double"&gt;330.081&lt;/D&gt;&lt;D xsi:type="xsd:double"&gt;353.818&lt;/D&gt;&lt;D xsi:type="xsd:double"&gt;344.384002685547&lt;/D&gt;&lt;D xsi:type="xsd:double"&gt;345.579986572266&lt;/D&gt;&lt;D xsi:type="xsd:double"&gt;362.661010742188&lt;/D&gt;&lt;D xsi:type="xsd:double"&gt;365.260009765625&lt;/D&gt;&lt;D xsi:type="xsd:double"&gt;384.123992919922&lt;/D&gt;&lt;D xsi:type="xsd:double"&gt;373.622985839844&lt;/D&gt;&lt;D xsi:type="xsd:double"&gt;379.511993408203&lt;/D&gt;&lt;D xsi:type="xsd:double"&gt;372.042999267578&lt;/D&gt;&lt;D xsi:type="xsd:double"&gt;380.730010986328&lt;/D&gt;&lt;D xsi:type="xsd:double"&gt;388.200012207031&lt;/D&gt;&lt;D xsi:type="xsd:double"&gt;380.221984863281&lt;/D&gt;&lt;D xsi:type="xsd:double"&gt;363.859008789062&lt;/D&gt;&lt;/FQL&gt;&lt;FQL&gt;&lt;Q&gt;899901^JULIAN(MSCI_TOTAL_RET_IDX(2/27/2026,1/31/2000,M,LOC,"GROSS").DATES)&lt;/Q&gt;&lt;R&gt;314&lt;/R&gt;&lt;C&gt;1&lt;/C&gt;&lt;D xsi:type="xsd:long"&gt;46080&lt;/D&gt;&lt;D xsi:type="xsd:long"&gt;46052&lt;/D&gt;&lt;D xsi:type="xsd:long"&gt;46022&lt;/D&gt;&lt;D xsi:type="xsd:long"&gt;45989&lt;/D&gt;&lt;D xsi:type="xsd:long"&gt;45961&lt;/D&gt;&lt;D xsi:type="xsd:long"&gt;45930&lt;/D&gt;&lt;D xsi:type="xsd:long"&gt;45898&lt;/D&gt;&lt;D xsi:type="xsd:long"&gt;45869&lt;/D&gt;&lt;D xsi:type="xsd:long"&gt;45838&lt;/D&gt;&lt;D xsi:type="xsd:long"&gt;45807&lt;/D&gt;&lt;D xsi:type="xsd:long"&gt;45777&lt;/D&gt;&lt;D xsi:type="xsd:long"&gt;45747&lt;/D&gt;&lt;D xsi:type="xsd:long"&gt;45716&lt;/D&gt;&lt;D xsi:type="xsd:long"&gt;45688&lt;/D&gt;&lt;D xsi:type="xsd:long"&gt;45657&lt;/D&gt;&lt;D xsi:type="xsd:long"&gt;45625&lt;/D&gt;&lt;D xsi:type="xsd:long"&gt;45596&lt;/D&gt;&lt;D xsi:type="xsd:long"&gt;45565&lt;/D&gt;&lt;D xsi:type="xsd:long"&gt;45534&lt;/D&gt;&lt;D xsi:type="xsd:long"&gt;45504&lt;/D&gt;&lt;D xsi:type="xsd:long"&gt;45471&lt;/D&gt;&lt;D xsi:type="xsd:long"&gt;45443&lt;/D&gt;&lt;D xsi:type="xsd:long"&gt;45412&lt;/D&gt;&lt;D xsi:type="xsd:long"&gt;45379&lt;/D&gt;&lt;D xsi:type="xsd:long"&gt;45351&lt;/D&gt;&lt;D xsi:type="xsd:long"&gt;45322&lt;/D&gt;&lt;D xsi:type="xsd:long"&gt;45289&lt;/D&gt;&lt;D xsi:type="xsd:long"&gt;45260&lt;/D&gt;&lt;D xsi:type="xsd:long"&gt;45230&lt;/D&gt;&lt;D xsi:type="xsd:long"&gt;45198&lt;/D&gt;&lt;D xsi:type="xsd:long"&gt;45169&lt;/D&gt;&lt;D xsi:type="xsd:long"&gt;45138&lt;/D&gt;&lt;D xsi:type="xsd:long"&gt;45107&lt;/D&gt;&lt;D xsi:type="xsd:long"&gt;45077&lt;/D&gt;&lt;D xsi:type="xsd:long"&gt;45044&lt;/D&gt;&lt;D xsi:type="xsd:long"&gt;45016&lt;/D&gt;&lt;D xsi:type="xsd:long"&gt;44985&lt;/D&gt;&lt;D xsi:type="xsd:long"&gt;44957&lt;/D&gt;&lt;D xsi:type="xsd:long"&gt;44925&lt;/D&gt;&lt;D xsi:type="xsd:long"&gt;44895&lt;/D&gt;&lt;D xsi:type="xsd:long"&gt;44865&lt;/D&gt;&lt;D xsi:type="xsd:long"&gt;44834&lt;/D&gt;&lt;D xsi:type="xsd:long"&gt;44804&lt;/D&gt;&lt;D xsi:type="xsd:long"&gt;44771&lt;/D&gt;&lt;D xsi:type="xsd:long"&gt;44742&lt;/D&gt;&lt;D xsi:type="xsd:long"&gt;44712&lt;/D&gt;&lt;D xsi:type="xsd:long"&gt;44680&lt;/D&gt;&lt;D xsi:type="xsd:long"&gt;44651&lt;/D&gt;&lt;D xsi:type="xsd:long"&gt;44620&lt;/D&gt;&lt;D xsi:type="xsd:long"&gt;44592&lt;/D&gt;&lt;D xsi:type="xsd:long"&gt;44561&lt;/D&gt;&lt;D xsi:type="xsd:long"&gt;44530&lt;/D&gt;&lt;D xsi:type="xsd:long"&gt;44498&lt;/D&gt;&lt;D xsi:type="xsd:long"&gt;44469&lt;/D&gt;&lt;D xsi:type="xsd:long"&gt;44439&lt;/D&gt;&lt;D xsi:type="xsd:long"&gt;44407&lt;/D&gt;&lt;D xsi:type="xsd:long"&gt;44377&lt;/D&gt;&lt;D xsi:type="xsd:long"&gt;44344&lt;/D&gt;&lt;D xsi:type="xsd:long"&gt;44316&lt;/D&gt;&lt;D xsi:type="xsd:long"&gt;44286&lt;/D&gt;&lt;D xsi:type="xsd:long"&gt;44253&lt;/D&gt;&lt;D xsi:type="xsd:long"&gt;44225&lt;/D&gt;&lt;D xsi:type="xsd:long"&gt;44196&lt;/D&gt;&lt;D xsi:type="xsd:long"&gt;44165&lt;/D&gt;&lt;D xsi:type="xsd:long"&gt;44134&lt;/D&gt;&lt;D xsi:type="xsd:long"&gt;44104&lt;/D&gt;&lt;D xsi:type="xsd:long"&gt;44074&lt;/D&gt;&lt;D xsi:type="xsd:long"&gt;44043&lt;/D&gt;&lt;D xsi:type="xsd:long"&gt;44012&lt;/D&gt;&lt;D xsi:type="xsd:long"&gt;43980&lt;/D&gt;&lt;D xsi:type="xsd:long"&gt;43951&lt;/D&gt;&lt;D xsi:type="xsd:long"&gt;43921&lt;/D&gt;&lt;D xsi:type="xsd:long"&gt;43889&lt;/D&gt;&lt;D xsi:type="xsd:long"&gt;43861&lt;/D&gt;&lt;D xsi:type="xsd:long"&gt;43830&lt;/D&gt;&lt;D xsi:type="xsd:long"&gt;43798&lt;/D&gt;&lt;D xsi:type="xsd:long"&gt;43769&lt;/D&gt;&lt;D xsi:type="xsd:long"&gt;43738&lt;/D&gt;&lt;D xsi:type="xsd:long"&gt;43707&lt;/D&gt;&lt;D xsi:type="xsd:long"&gt;43677&lt;/D&gt;&lt;D xsi:type="xsd:long"&gt;43644&lt;/D&gt;&lt;D xsi:type="xsd:long"&gt;43616&lt;/D&gt;&lt;D xsi:type="xsd:long"&gt;43585&lt;/D&gt;&lt;D xsi:type="xsd:long"&gt;43553&lt;/D&gt;&lt;D xsi:type="xsd:long"&gt;43524&lt;/D&gt;&lt;D xsi:type="xsd:long"&gt;43496&lt;/D&gt;&lt;D xsi:type="xsd:long"&gt;43465&lt;/D&gt;&lt;D xsi:type="xsd:long"&gt;43434&lt;/D&gt;&lt;D xsi:type="xsd:long"&gt;43404&lt;/D&gt;&lt;D xsi:type="xsd:long"&gt;43371&lt;/D&gt;&lt;D xsi:type="xsd:long"&gt;43343&lt;/D&gt;&lt;D xsi:type="xsd:long"&gt;43312&lt;/D&gt;&lt;D xsi:type="xsd:long"&gt;43280&lt;/D&gt;&lt;D xsi:type="xsd:long"&gt;43251&lt;/D&gt;&lt;D xsi:type="xsd:long"&gt;43220&lt;/D&gt;&lt;D xsi:type="xsd:long"&gt;43188&lt;/D&gt;&lt;D xsi:type="xsd:long"&gt;43159&lt;/D&gt;&lt;D xsi:type="xsd:long"&gt;43131&lt;/D&gt;&lt;D xsi:type="xsd:long"&gt;43098&lt;/D&gt;&lt;D xsi:type="xsd:long"&gt;43069&lt;/D&gt;&lt;D xsi:type="xsd:long"&gt;43039&lt;/D&gt;&lt;D xsi:type="xsd:long"&gt;43007&lt;/D&gt;&lt;D xsi:type="xsd:long"&gt;42978&lt;/D&gt;&lt;D xsi:type="xsd:long"&gt;42947&lt;/D&gt;&lt;D xsi:type="xsd:long"&gt;42916&lt;/D&gt;&lt;D xsi:type="xsd:long"&gt;42886&lt;/D&gt;&lt;D xsi:type="xsd:long"&gt;42853&lt;/D&gt;&lt;D xsi:type="xsd:long"&gt;42825&lt;/D&gt;&lt;D xsi:type="xsd:long"&gt;42794&lt;/D&gt;&lt;D xsi:type="xsd:long"&gt;42766&lt;/D&gt;&lt;D xsi:type="xsd:long"&gt;42734&lt;/D&gt;&lt;D xsi:type="xsd:long"&gt;42704&lt;/D&gt;&lt;D xsi:type="xsd:long"&gt;42674&lt;/D&gt;&lt;D xsi:type="xsd:long"&gt;42643&lt;/D&gt;&lt;D xsi:type="xsd:long"&gt;42613&lt;/D&gt;&lt;D xsi:type="xsd:long"&gt;42580&lt;/D&gt;&lt;D xsi:type="xsd:long"&gt;42551&lt;/D&gt;&lt;D xsi:type="xsd:long"&gt;42521&lt;/D&gt;&lt;D xsi:type="xsd:long"&gt;42489&lt;/D&gt;&lt;D xsi:type="xsd:long"&gt;42460&lt;/D&gt;&lt;D xsi:type="xsd:long"&gt;42429&lt;/D&gt;&lt;D xsi:type="xsd:long"&gt;42398&lt;/D&gt;&lt;D xsi:type="xsd:long"&gt;42369&lt;/D&gt;&lt;D xsi:type="xsd:long"&gt;42338&lt;/D&gt;&lt;D xsi:type="xsd:long"&gt;42307&lt;/D&gt;&lt;D xsi:type="xsd:long"&gt;42277&lt;/D&gt;&lt;D xsi:type="xsd:long"&gt;42247&lt;/D&gt;&lt;D xsi:type="xsd:long"&gt;42216&lt;/D&gt;&lt;D xsi:type="xsd:long"&gt;42185&lt;/D&gt;&lt;D xsi:type="xsd:long"&gt;42153&lt;/D&gt;&lt;D xsi:type="xsd:long"&gt;42124&lt;/D&gt;&lt;D xsi:type="xsd:long"&gt;42094&lt;/D&gt;&lt;D xsi:type="xsd:long"&gt;42062&lt;/D&gt;&lt;D xsi:type="xsd:long"&gt;42034&lt;/D&gt;&lt;D xsi:type="xsd:long"&gt;42004&lt;/D&gt;&lt;D xsi:type="xsd:long"&gt;41971&lt;/D&gt;&lt;D xsi:type="xsd:long"&gt;41943&lt;/D&gt;&lt;D xsi:type="xsd:long"&gt;41912&lt;/D&gt;&lt;D xsi:type="xsd:long"&gt;41880&lt;/D&gt;&lt;D xsi:type="xsd:long"&gt;41851&lt;/D&gt;&lt;D xsi:type="xsd:long"&gt;41820&lt;/D&gt;&lt;D xsi:type="xsd:long"&gt;41789&lt;/D&gt;&lt;D xsi:type="xsd:long"&gt;41759&lt;/D&gt;&lt;D xsi:type="xsd:long"&gt;41729&lt;/D&gt;&lt;D xsi:type="xsd:long"&gt;41698&lt;/D&gt;&lt;D xsi:type="xsd:long"&gt;41670&lt;/D&gt;&lt;D xsi:type="xsd:long"&gt;41639&lt;/D&gt;&lt;D xsi:type="xsd:long"&gt;41607&lt;/D&gt;&lt;D xsi:type="xsd:long"&gt;41578&lt;/D&gt;&lt;D xsi:type="xsd:long"&gt;41547&lt;/D&gt;&lt;D xsi:type="xsd:long"&gt;41516&lt;/D&gt;&lt;D xsi:type="xsd:long"&gt;41486&lt;/D&gt;&lt;D xsi:type="xsd:long"&gt;41453&lt;/D&gt;&lt;D xsi:type="xsd:long"&gt;41425&lt;/D&gt;&lt;D xsi:type="xsd:long"&gt;41394&lt;/D&gt;&lt;D xsi:type="xsd:long"&gt;41361&lt;/D&gt;&lt;D xsi:type="xsd:long"&gt;41333&lt;/D&gt;&lt;D xsi:type="xsd:long"&gt;41305&lt;/D&gt;&lt;D xsi:type="xsd:long"&gt;41274&lt;/D&gt;&lt;D xsi:type="xsd:long"&gt;41243&lt;/D&gt;&lt;D xsi:type="xsd:long"&gt;41213&lt;/D&gt;&lt;D xsi:type="xsd:long"&gt;41180&lt;/D&gt;&lt;D xsi:type="xsd:long"&gt;41152&lt;/D&gt;&lt;D xsi:type="xsd:long"&gt;41121&lt;/D&gt;&lt;D xsi:type="xsd:long"&gt;41089&lt;/D&gt;&lt;D xsi:type="xsd:long"&gt;41060&lt;/D&gt;&lt;D xsi:type="xsd:long"&gt;41029&lt;/D&gt;&lt;D xsi:type="xsd:long"&gt;40998&lt;/D&gt;&lt;D xsi:type="xsd:long"&gt;40968&lt;/D&gt;&lt;D xsi:type="xsd:long"&gt;40939&lt;/D&gt;&lt;D xsi:type="xsd:long"&gt;40907&lt;/D&gt;&lt;D xsi:type="xsd:long"&gt;40877&lt;/D&gt;&lt;D xsi:type="xsd:long"&gt;40847&lt;/D&gt;&lt;D xsi:type="xsd:long"&gt;40816&lt;/D&gt;&lt;D xsi:type="xsd:long"&gt;40786&lt;/D&gt;&lt;D xsi:type="xsd:long"&gt;40753&lt;/D&gt;&lt;D xsi:type="xsd:long"&gt;40724&lt;/D&gt;&lt;D xsi:type="xsd:long"&gt;40694&lt;/D&gt;&lt;D xsi:type="xsd:long"&gt;40662&lt;/D&gt;&lt;D xsi:type="xsd:long"&gt;40633&lt;/D&gt;&lt;D xsi:type="xsd:long"&gt;40602&lt;/D&gt;&lt;D xsi:type="xsd:long"&gt;40574&lt;/D&gt;&lt;D xsi:type="xsd:long"&gt;40543&lt;/D&gt;&lt;D xsi:type="xsd:long"&gt;40512&lt;/D&gt;&lt;D xsi:type="xsd:long"&gt;40480&lt;/D&gt;&lt;D xsi:type="xsd:long"&gt;40451&lt;/D&gt;&lt;D xsi:type="xsd:long"&gt;40421&lt;/D&gt;&lt;D xsi:type="xsd:long"&gt;40389&lt;/D&gt;&lt;D xsi:type="xsd:long"&gt;40359&lt;/D&gt;&lt;D xsi:type="xsd:long"&gt;40326&lt;/D&gt;&lt;D xsi:type="xsd:long"&gt;40298&lt;/D&gt;&lt;D xsi:type="xsd:long"&gt;40268&lt;/D&gt;&lt;D xsi:type="xsd:long"&gt;40235&lt;/D&gt;&lt;D xsi:type="xsd:long"&gt;40207&lt;/D&gt;&lt;D xsi:type="xsd:long"&gt;40178&lt;/D&gt;&lt;D xsi:type="xsd:long"&gt;40147&lt;/D&gt;&lt;D xsi:type="xsd:long"&gt;40116&lt;/D&gt;&lt;D xsi:type="xsd:long"&gt;40086&lt;/D&gt;&lt;D xsi:type="xsd:long"&gt;40056&lt;/D&gt;&lt;D xsi:type="xsd:long"&gt;40025&lt;/D&gt;&lt;D xsi:type="xsd:long"&gt;39994&lt;/D&gt;&lt;D xsi:type="xsd:long"&gt;39962&lt;/D&gt;&lt;D xsi:type="xsd:long"&gt;39933&lt;/D&gt;&lt;D xsi:type="xsd:long"&gt;39903&lt;/D&gt;&lt;D xsi:type="xsd:long"&gt;39871&lt;/D&gt;&lt;D xsi:type="xsd:long"&gt;39843&lt;/D&gt;&lt;D xsi:type="xsd:long"&gt;39813&lt;/D&gt;&lt;D xsi:type="xsd:long"&gt;39780&lt;/D&gt;&lt;D xsi:type="xsd:long"&gt;39752&lt;/D&gt;&lt;D xsi:type="xsd:long"&gt;39721&lt;/D&gt;&lt;D xsi:type="xsd:long"&gt;39689&lt;/D&gt;&lt;D xsi:type="xsd:long"&gt;39660&lt;/D&gt;&lt;D xsi:type="xsd:long"&gt;39629&lt;/D&gt;&lt;D xsi:type="xsd:long"&gt;39598&lt;/D&gt;&lt;D xsi:type="xsd:long"&gt;39568&lt;/D&gt;&lt;D xsi:type="xsd:long"&gt;39538&lt;/D&gt;&lt;D xsi:type="xsd:long"&gt;39507&lt;/D&gt;&lt;D xsi:type="xsd:long"&gt;39478&lt;/D&gt;&lt;D xsi:type="xsd:long"&gt;39447&lt;/D&gt;&lt;D xsi:type="xsd:long"&gt;39416&lt;/D&gt;&lt;D xsi:type="xsd:long"&gt;39386&lt;/D&gt;&lt;D xsi:type="xsd:long"&gt;39353&lt;/D&gt;&lt;D xsi:type="xsd:long"&gt;39325&lt;/D&gt;&lt;D xsi:type="xsd:long"&gt;39294&lt;/D&gt;&lt;D xsi:type="xsd:long"&gt;39262&lt;/D&gt;&lt;D xsi:type="xsd:long"&gt;39233&lt;/D&gt;&lt;D xsi:type="xsd:long"&gt;39202&lt;/D&gt;&lt;D xsi:type="xsd:long"&gt;39171&lt;/D&gt;&lt;D xsi:type="xsd:long"&gt;39141&lt;/D&gt;&lt;D xsi:type="xsd:long"&gt;39113&lt;/D&gt;&lt;D xsi:type="xsd:long"&gt;39080&lt;/D&gt;&lt;D xsi:type="xsd:long"&gt;39051&lt;/D&gt;&lt;D xsi:type="xsd:long"&gt;39021&lt;/D&gt;&lt;D xsi:type="xsd:long"&gt;38989&lt;/D&gt;&lt;D xsi:type="xsd:long"&gt;38960&lt;/D&gt;&lt;D xsi:type="xsd:long"&gt;38929&lt;/D&gt;&lt;D xsi:type="xsd:long"&gt;38898&lt;/D&gt;&lt;D xsi:type="xsd:long"&gt;38868&lt;/D&gt;&lt;D xsi:type="xsd:long"&gt;38835&lt;/D&gt;&lt;D xsi:type="xsd:long"&gt;38807&lt;/D&gt;&lt;D xsi:type="xsd:long"&gt;38776&lt;/D&gt;&lt;D xsi:type="xsd:long"&gt;38748&lt;/D&gt;&lt;D xsi:type="xsd:long"&gt;38716&lt;/D&gt;&lt;D xsi:type="xsd:long"&gt;38686&lt;/D&gt;&lt;D xsi:type="xsd:long"&gt;38656&lt;/D&gt;&lt;D xsi:type="xsd:long"&gt;38625&lt;/D&gt;&lt;D xsi:type="xsd:long"&gt;38595&lt;/D&gt;&lt;D xsi:type="xsd:long"&gt;38562&lt;/D&gt;&lt;D xsi:type="xsd:long"&gt;38533&lt;/D&gt;&lt;D xsi:type="xsd:long"&gt;38503&lt;/D&gt;&lt;D xsi:type="xsd:long"&gt;38471&lt;/D&gt;&lt;D xsi:type="xsd:long"&gt;38442&lt;/D&gt;&lt;D xsi:type="xsd:long"&gt;38411&lt;/D&gt;&lt;D xsi:type="xsd:long"&gt;38383&lt;/D&gt;&lt;D xsi:type="xsd:long"&gt;38352&lt;/D&gt;&lt;D xsi:type="xsd:long"&gt;38321&lt;/D&gt;&lt;D xsi:type="xsd:long"&gt;38289&lt;/D&gt;&lt;D xsi:type="xsd:long"&gt;38260&lt;/D&gt;&lt;D xsi:type="xsd:long"&gt;38230&lt;/D&gt;&lt;D xsi:type="xsd:long"&gt;38198&lt;/D&gt;&lt;D xsi:type="xsd:long"&gt;38168&lt;/D&gt;&lt;D xsi:type="xsd:long"&gt;38135&lt;/D&gt;&lt;D xsi:type="xsd:long"&gt;38107&lt;/D&gt;&lt;D xsi:type="xsd:long"&gt;38077&lt;/D&gt;&lt;D xsi:type="xsd:long"&gt;38044&lt;/D&gt;&lt;D xsi:type="xsd:long"&gt;38016&lt;/D&gt;&lt;D xsi:type="xsd:long"&gt;37986&lt;/D&gt;&lt;D xsi:type="xsd:long"&gt;37953&lt;/D&gt;&lt;D xsi:type="xsd:long"&gt;37925&lt;/D&gt;&lt;D xsi:type="xsd:long"&gt;37894&lt;/D&gt;&lt;D xsi:type="xsd:long"&gt;37862&lt;/D&gt;&lt;D xsi:type="xsd:long"&gt;37833&lt;/D&gt;&lt;D xsi:type="xsd:long"&gt;37802&lt;/D&gt;&lt;D xsi:type="xsd:long"&gt;37771&lt;/D&gt;&lt;D xsi:type="xsd:long"&gt;37741&lt;/D&gt;&lt;D xsi:type="xsd:long"&gt;37711&lt;/D&gt;&lt;D xsi:type="xsd:long"&gt;37680&lt;/D&gt;&lt;D xsi:type="xsd:long"&gt;37652&lt;/D&gt;&lt;D xsi:type="xsd:long"&gt;37621&lt;/D&gt;&lt;D xsi:type="xsd:long"&gt;37589&lt;/D&gt;&lt;D xsi:type="xsd:long"&gt;37560&lt;/D&gt;&lt;D xsi:type="xsd:long"&gt;37529&lt;/D&gt;&lt;D xsi:type="xsd:long"&gt;37498&lt;/D&gt;&lt;D xsi:type="xsd:long"&gt;37468&lt;/D&gt;&lt;D xsi:type="xsd:long"&gt;37435&lt;/D&gt;&lt;D xsi:type="xsd:long"&gt;37407&lt;/D&gt;&lt;D xsi:type="xsd:long"&gt;37376&lt;/D&gt;&lt;D xsi:type="xsd:long"&gt;37343&lt;/D&gt;&lt;D xsi:type="xsd:long"&gt;37315&lt;/D&gt;&lt;D xsi:type="xsd:long"&gt;37287&lt;/D&gt;&lt;D xsi:type="xsd:long"&gt;37256&lt;/D&gt;&lt;D xsi:type="xsd:long"&gt;37225&lt;/D&gt;&lt;D xsi:type="xsd:long"&gt;37195&lt;/D&gt;&lt;D xsi:type="xsd:long"&gt;37162&lt;/D&gt;&lt;D xsi:type="xsd:long"&gt;37134&lt;/D&gt;&lt;D xsi:type="xsd:long"&gt;37103&lt;/D&gt;&lt;D xsi:type="xsd:long"&gt;37071&lt;/D&gt;&lt;D xsi:type="xsd:long"&gt;37042&lt;/D&gt;&lt;D xsi:type="xsd:long"&gt;37011&lt;/D&gt;&lt;D xsi:type="xsd:long"&gt;36980&lt;/D&gt;&lt;D xsi:type="xsd:long"&gt;36950&lt;/D&gt;&lt;D xsi:type="xsd:long"&gt;36922&lt;/D&gt;&lt;D xsi:type="xsd:long"&gt;36889&lt;/D&gt;&lt;D xsi:type="xsd:long"&gt;36860&lt;/D&gt;&lt;D xsi:type="xsd:long"&gt;36830&lt;/D&gt;&lt;D xsi:type="xsd:long"&gt;36798&lt;/D&gt;&lt;D xsi:type="xsd:long"&gt;36769&lt;/D&gt;&lt;D xsi:type="xsd:long"&gt;36738&lt;/D&gt;&lt;D xsi:type="xsd:long"&gt;36707&lt;/D&gt;&lt;D xsi:type="xsd:long"&gt;36677&lt;/D&gt;&lt;D xsi:type="xsd:long"&gt;36644&lt;/D&gt;&lt;D xsi:type="xsd:long"&gt;36616&lt;/D&gt;&lt;D xsi:type="xsd:long"&gt;36585&lt;/D&gt;&lt;D xsi:type="xsd:long"&gt;36556&lt;/D&gt;&lt;/FQL&gt;&lt;FQL&gt;&lt;Q&gt;899901^MSCI_TOTAL_RET_IDX(2/27/2026,1/31/2000,M,USD,"GROSS")&lt;/Q&gt;&lt;R&gt;314&lt;/R&gt;&lt;C&gt;1&lt;/C&gt;&lt;D xsi:type="xsd:double"&gt;1242.342135&lt;/D&gt;&lt;D xsi:type="xsd:double"&gt;1182.760859&lt;/D&gt;&lt;D xsi:type="xsd:double"&gt;1115.89552&lt;/D&gt;&lt;D xsi:type="xsd:double"&gt;1083.165076&lt;/D&gt;&lt;D xsi:type="xsd:double"&gt;1083.247359&lt;/D&gt;&lt;D xsi:type="xsd:double"&gt;1061.630397&lt;/D&gt;&lt;D xsi:type="xsd:double"&gt;1024.304214&lt;/D&gt;&lt;D xsi:type="xsd:double"&gt;989.328814&lt;/D&gt;&lt;D xsi:type="xsd:double"&gt;991.869247&lt;/D&gt;&lt;D xsi:type="xsd:double"&gt;958.816658&lt;/D&gt;&lt;D xsi:type="xsd:double"&gt;915.874435&lt;/D&gt;&lt;D xsi:type="xsd:double"&gt;883.261054&lt;/D&gt;&lt;D xsi:type="xsd:double"&gt;884.482555&lt;/D&gt;&lt;D xsi:type="xsd:double"&gt;872.238384&lt;/D&gt;&lt;D xsi:type="xsd:double"&gt;838.318771&lt;/D&gt;&lt;D xsi:type="xsd:double"&gt;854.649547&lt;/D&gt;&lt;D xsi:type="xsd:double"&gt;862.307941&lt;/D&gt;&lt;D xsi:type="xsd:double"&gt;906.331294&lt;/D&gt;&lt;D xsi:type="xsd:double"&gt;882.180887&lt;/D&gt;&lt;D xsi:type="xsd:double"&gt;857.578171&lt;/D&gt;&lt;D xsi:type="xsd:double"&gt;837.90505&lt;/D&gt;&lt;D xsi:type="xsd:double"&gt;838.383451&lt;/D&gt;&lt;D xsi:type="xsd:double"&gt;813.990088&lt;/D&gt;&lt;D xsi:type="xsd:double"&gt;826.997724&lt;/D&gt;&lt;D xsi:type="xsd:double"&gt;802.376625&lt;/D&gt;&lt;D xsi:type="xsd:double"&gt;782.433906&lt;/D&gt;&lt;D xsi:type="xsd:double"&gt;790.173837&lt;/D&gt;&lt;D xsi:type="xsd:double"&gt;752.182355&lt;/D&gt;&lt;D xsi:type="xsd:double"&gt;689.935687&lt;/D&gt;&lt;D xsi:type="xsd:double"&gt;719.521631&lt;/D&gt;&lt;D xsi:type="xsd:double"&gt;742.641008&lt;/D&gt;&lt;D xsi:type="xsd:double"&gt;777.60263&lt;/D&gt;&lt;D xsi:type="xsd:double"&gt;746.996214&lt;/D&gt;&lt;D xsi:type="xsd:double"&gt;714.55789&lt;/D&gt;&lt;D xsi:type="xsd:double"&gt;740.772298&lt;/D&gt;&lt;D xsi:type="xsd:double"&gt;727.570507&lt;/D&gt;&lt;D xsi:type="xsd:double"&gt;709.506432&lt;/D&gt;&lt;D xsi:type="xsd:double"&gt;735.217068&lt;/D&gt;&lt;D xsi:type="xsd:double"&gt;679.955189&lt;/D&gt;&lt;D xsi:type="xsd:double"&gt;684.803551&lt;/D&gt;&lt;D xsi:type="xsd:double"&gt;612.390509&lt;/D&gt;&lt;D xsi:type="xsd:double"&gt;594.534484&lt;/D&gt;&lt;D xsi:type="xsd:double"&gt;660.177497&lt;/D&gt;&lt;D xsi:type="xsd:double"&gt;681.95034&lt;/D&gt;&lt;D xsi:type="xsd:double"&gt;659.139083&lt;/D&gt;&lt;D xsi:type="xsd:double"&gt;720.837436&lt;/D&gt;&lt;D xsi:type="xsd:double"&gt;714.977713&lt;/D&gt;&lt;D xsi:type="xsd:double"&gt;762.373361&lt;/D&gt;&lt;D xsi:type="xsd:double"&gt;760.485672&lt;/D&gt;&lt;D xsi:type="xsd:double"&gt;775.74257&lt;/D&gt;&lt;D xsi:type="xsd:double"&gt;805.331035&lt;/D&gt;&lt;D xsi:type="xsd:double"&gt;773.172607&lt;/D&gt;&lt;D xsi:type="xsd:double"&gt;809.505512&lt;/D&gt;&lt;D xsi:type="xsd:double"&gt;790.447945&lt;/D&gt;&lt;D xsi:type="xsd:double"&gt;816.076754&lt;/D&gt;&lt;D xsi:type="xsd:double"&gt;800.710066&lt;/D&gt;&lt;D xsi:type="xsd:double"&gt;813.890031&lt;/D&gt;&lt;D xsi:type="xsd:double"&gt;818.029629&lt;/D&gt;&lt;D xsi:type="xsd:double"&gt;793.55688&lt;/D&gt;&lt;D xsi:type="xsd:double"&gt;770.412387&lt;/D&gt;&lt;D xsi:type="xsd:double"&gt;760.250642&lt;/D&gt;&lt;D xsi:type="xsd:double"&gt;745.394835&lt;/D&gt;&lt;D xsi:type="xsd:double"&gt;743.649885&lt;/D&gt;&lt;D xsi:type="xsd:double"&gt;705.320034&lt;/D&gt;&lt;D xsi:type="xsd:double"&gt;621.621219&lt;/D&gt;&lt;D xsi:type="xsd:double"&gt;635.175326&lt;/D&gt;&lt;D xsi:type="xsd:double"&gt;650.91591&lt;/D&gt;&lt;D xsi:type="xsd:double"&gt;624.081541&lt;/D&gt;&lt;D xsi:type="xsd:double"&gt;597.192053&lt;/D&gt;&lt;D xsi:type="xsd:double"&gt;571.129614&lt;/D&gt;&lt;D xsi:type="xsd:double"&gt;552.760483&lt;/D&gt;&lt;D xsi:type="xsd:double"&gt;513.510379&lt;/D&gt;&lt;D xsi:type="xsd:double"&gt;599.900454&lt;/D&gt;&lt;D xsi:type="xsd:double"&gt;651.29147&lt;/D&gt;&lt;D xsi:type="xsd:double"&gt;669.191388&lt;/D&gt;&lt;D xsi:type="xsd:double"&gt;641.206318&lt;/D&gt;&lt;D xsi:type="xsd:double"&gt;635.50759&lt;/D&gt;&lt;D xsi:type="xsd:double"&gt;614.00082&lt;/D&gt;&lt;D xsi:type="xsd:double"&gt;598.314225&lt;/D&gt;&lt;D xsi:type="xsd:double"&gt;617.25396&lt;/D&gt;&lt;D xsi:type="xsd:double"&gt;624.609718&lt;/D&gt;&lt;D xsi:type="xsd:double"&gt;588.859999&lt;/D&gt;&lt;D xsi:type="xsd:double"&gt;621.550652&lt;/D&gt;&lt;D xsi:type="xsd:double"&gt;605.109585&lt;/D&gt;&lt;D xsi:type="xsd:double"&gt;601.02177&lt;/D&gt;&lt;D xsi:type="xsd:double"&gt;589.425281&lt;/D&gt;&lt;D xsi:type="xsd:double"&gt;547.933486&lt;/D&gt;&lt;D xsi:type="xsd:double"&gt;573.696442&lt;/D&gt;&lt;D xsi:type="xsd:double"&gt;568.228774&lt;/D&gt;&lt;D xsi:type="xsd:double"&gt;618.463869&lt;/D&gt;&lt;D xsi:type="xsd:double"&gt;615.401734&lt;/D&gt;&lt;D xsi:type="xsd:double"&gt;628.431901&lt;/D&gt;&lt;D xsi:type="xsd:double"&gt;613.572454&lt;/D&gt;&lt;D xsi:type="xsd:double"&gt;625.053835&lt;/D&gt;&lt;D xsi:type="xsd:double"&gt;639.158734&lt;/D&gt;&lt;D xsi:type="xsd:double"&gt;627.64486&lt;/D&gt;&lt;D xsi:type="xsd:double"&gt;639.379528&lt;/D&gt;&lt;D xsi:type="xsd:double"&gt;670.904292&lt;/D&gt;&lt;D xsi:type="xsd:double"&gt;635.45358&lt;/D&gt;&lt;D xsi:type="xsd:double"&gt;621.371863&lt;/D&gt;&lt;D xsi:type="xsd:double"&gt;616.278946&lt;/D&gt;&lt;D xsi:type="xsd:double"&gt;604.829436&lt;/D&gt;&lt;D xsi:type="xsd:double"&gt;593.587463&lt;/D&gt;&lt;D xsi:type="xsd:double"&gt;590.366665&lt;/D&gt;&lt;D xsi:type="xsd:double"&gt;569.237009&lt;/D&gt;&lt;D xsi:type="xsd:double"&gt;567.243051&lt;/D&gt;&lt;D xsi:type="xsd:double"&gt;548.863936&lt;/D&gt;&lt;D xsi:type="xsd:double"&gt;537.045714&lt;/D&gt;&lt;D xsi:type="xsd:double"&gt;523.300018&lt;/D&gt;&lt;D xsi:type="xsd:double"&gt;515.009936&lt;/D&gt;&lt;D xsi:type="xsd:double"&gt;497.34595&lt;/D&gt;&lt;D xsi:type="xsd:double"&gt;484.780303&lt;/D&gt;&lt;D xsi:type="xsd:double"&gt;496.192788&lt;/D&gt;&lt;D xsi:type="xsd:double"&gt;503.376581&lt;/D&gt;&lt;D xsi:type="xsd:double"&gt;497.029214&lt;/D&gt;&lt;D xsi:type="xsd:double"&gt;493.810932&lt;/D&gt;&lt;D xsi:type="xsd:double"&gt;470.437881&lt;/D&gt;&lt;D xsi:type="xsd:double"&gt;477.472828&lt;/D&gt;&lt;D xsi:type="xsd:double"&gt;485.195422&lt;/D&gt;&lt;D xsi:type="xsd:double"&gt;472.347685&lt;/D&gt;&lt;D xsi:type="xsd:double"&gt;436.529954&lt;/D&gt;&lt;D xsi:type="xsd:double"&gt;441.441798&lt;/D&gt;&lt;D xsi:type="xsd:double"&gt;473.599422&lt;/D&gt;&lt;D xsi:type="xsd:double"&gt;482.544229&lt;/D&gt;&lt;D xsi:type="xsd:double"&gt;492.649675&lt;/D&gt;&lt;D xsi:type="xsd:double"&gt;458.468509&lt;/D&gt;&lt;D xsi:type="xsd:double"&gt;480.567611&lt;/D&gt;&lt;D xsi:type="xsd:double"&gt;520.241542&lt;/D&gt;&lt;D xsi:type="xsd:double"&gt;521.578155&lt;/D&gt;&lt;D xsi:type="xsd:double"&gt;536.318735&lt;/D&gt;&lt;D xsi:type="xsd:double"&gt;544.339847&lt;/D&gt;&lt;D xsi:type="xsd:double"&gt;517.826654&lt;/D&gt;&lt;D xsi:type="xsd:double"&gt;525.938033&lt;/D&gt;&lt;D xsi:type="xsd:double"&gt;499.184694&lt;/D&gt;&lt;D xsi:type="xsd:double"&gt;499.859164&lt;/D&gt;&lt;D xsi:type="xsd:double"&gt;518.372796&lt;/D&gt;&lt;D xsi:type="xsd:double"&gt;514.584973&lt;/D&gt;&lt;D xsi:type="xsd:double"&gt;519.676799&lt;/D&gt;&lt;D xsi:type="xsd:double"&gt;545.939887&lt;/D&gt;&lt;D xsi:type="xsd:double"&gt;542.834839&lt;/D&gt;&lt;D xsi:type="xsd:double"&gt;548.142652&lt;/D&gt;&lt;D xsi:type="xsd:double"&gt;538.871396&lt;/D&gt;&lt;D xsi:type="xsd:double"&gt;528.063365&lt;/D&gt;&lt;D xsi:type="xsd:double"&gt;520.809253&lt;/D&gt;&lt;D xsi:type="xsd:double"&gt;519.154298&lt;/D&gt;&lt;D xsi:type="xsd:double"&gt;494.196812&lt;/D&gt;&lt;D xsi:type="xsd:double"&gt;517.641201&lt;/D&gt;&lt;D xsi:type="xsd:double"&gt;513.027688&lt;/D&gt;&lt;D xsi:type="xsd:double"&gt;512.062703&lt;/D&gt;&lt;D xsi:type="xsd:double"&gt;493.88217&lt;/D&gt;&lt;D xsi:type="xsd:double"&gt;461.674282&lt;/D&gt;&lt;D xsi:type="xsd:double"&gt;468.036913&lt;/D&gt;&lt;D xsi:type="xsd:double"&gt;448.306031&lt;/D&gt;&lt;D xsi:type="xsd:double"&gt;468.468138&lt;/D&gt;&lt;D xsi:type="xsd:double"&gt;479.114266&lt;/D&gt;&lt;D xsi:type="xsd:double"&gt;461.509915&lt;/D&gt;&lt;D xsi:type="xsd:double"&gt;460.545349&lt;/D&gt;&lt;D xsi:type="xsd:double"&gt;465.356285&lt;/D&gt;&lt;D xsi:type="xsd:double"&gt;447.089519&lt;/D&gt;&lt;D xsi:type="xsd:double"&gt;432.032616&lt;/D&gt;&lt;D xsi:type="xsd:double"&gt;423.900455&lt;/D&gt;&lt;D xsi:type="xsd:double"&gt;422.207104&lt;/D&gt;&lt;D xsi:type="xsd:double"&gt;406.864371&lt;/D&gt;&lt;D xsi:type="xsd:double"&gt;398.443721&lt;/D&gt;&lt;D xsi:type="xsd:double"&gt;392.775302&lt;/D&gt;&lt;D xsi:type="xsd:double"&gt;370.743289&lt;/D&gt;&lt;D xsi:type="xsd:double"&gt;417.749999&lt;/D&gt;&lt;D xsi:type="xsd:double"&gt;424.056996&lt;/D&gt;&lt;D xsi:type="xsd:double"&gt;429.751825&lt;/D&gt;&lt;D xsi:type="xsd:double"&gt;406.785308&lt;/D&gt;&lt;D xsi:type="xsd:double"&gt;380.862034&lt;/D&gt;&lt;D xsi:type="xsd:double"&gt;385.099457&lt;/D&gt;&lt;D xsi:type="xsd:double"&gt;405.711553&lt;/D&gt;&lt;D xsi:type="xsd:double"&gt;367.011181&lt;/D&gt;&lt;D xsi:type="xsd:double"&gt;412.806811&lt;/D&gt;&lt;D xsi:type="xsd:double"&gt;451.402379&lt;/D&gt;&lt;D xsi:type="xsd:double"&gt;457.500342&lt;/D&gt;&lt;D xsi:type="xsd:double"&gt;464.083032&lt;/D&gt;&lt;D xsi:type="xsd:double"&gt;477.303803&lt;/D&gt;&lt;D xsi:type="xsd:double"&gt;454.74153&lt;/D&gt;&lt;D xsi:type="xsd:double"&gt;455.606465&lt;/D&gt;&lt;D xsi:type="xsd:double"&gt;443.819658&lt;/D&gt;&lt;D xsi:type="xsd:double"&gt;439.419513&lt;/D&gt;&lt;D xsi:type="xsd:double"&gt;407.453337&lt;/D&gt;&lt;D xsi:type="xsd:double"&gt;423.711514&lt;/D&gt;&lt;D xsi:type="xsd:double"&gt;409.714933&lt;/D&gt;&lt;D xsi:type="xsd:double"&gt;372.56364&lt;/D&gt;&lt;D xsi:type="xsd:double"&gt;383.009022&lt;/D&gt;&lt;D xsi:type="xsd:double"&gt;351.197715&lt;/D&gt;&lt;D xsi:type="xsd:double"&gt;355.044792&lt;/D&gt;&lt;D xsi:type="xsd:double"&gt;397.013754&lt;/D&gt;&lt;D xsi:type="xsd:double"&gt;400.266528&lt;/D&gt;&lt;D xsi:type="xsd:double"&gt;374.590736&lt;/D&gt;&lt;D xsi:type="xsd:double"&gt;374.538427&lt;/D&gt;&lt;D xsi:type="xsd:double"&gt;393.734067&lt;/D&gt;&lt;D xsi:type="xsd:double"&gt;385.526712&lt;/D&gt;&lt;D xsi:type="xsd:double"&gt;374.702902&lt;/D&gt;&lt;D xsi:type="xsd:double"&gt;379.368906&lt;/D&gt;&lt;D xsi:type="xsd:double"&gt;360.761538&lt;/D&gt;&lt;D xsi:type="xsd:double"&gt;347.820195&lt;/D&gt;&lt;D xsi:type="xsd:double"&gt;316.757243&lt;/D&gt;&lt;D xsi:type="xsd:double"&gt;320.188978&lt;/D&gt;&lt;D xsi:type="xsd:double"&gt;281.63836&lt;/D&gt;&lt;D xsi:type="xsd:double"&gt;247.588657&lt;/D&gt;&lt;D xsi:type="xsd:double"&gt;229.094037&lt;/D&gt;&lt;D xsi:type="xsd:double"&gt;252.589464&lt;/D&gt;&lt;D xsi:type="xsd:double"&gt;277.004499&lt;/D&gt;&lt;D xsi:type="xsd:double"&gt;262.025055&lt;/D&gt;&lt;D xsi:type="xsd:double"&gt;277.991741&lt;/D&gt;&lt;D xsi:type="xsd:double"&gt;356.438919&lt;/D&gt;&lt;D xsi:type="xsd:double"&gt;419.292569&lt;/D&gt;&lt;D xsi:type="xsd:double"&gt;439.745449&lt;/D&gt;&lt;D xsi:type="xsd:double"&gt;456.055191&lt;/D&gt;&lt;D xsi:type="xsd:double"&gt;496.773413&lt;/D&gt;&lt;D xsi:type="xsd:double"&gt;488.310991&lt;/D&gt;&lt;D xsi:type="xsd:double"&gt;460.001766&lt;/D&gt;&lt;D xsi:type="xsd:double"&gt;470.139884&lt;/D&gt;&lt;D xsi:type="xsd:double"&gt;456.898925&lt;/D&gt;&lt;D xsi:type="xsd:double"&gt;505.844172&lt;/D&gt;&lt;D xsi:type="xsd:double"&gt;513.26252&lt;/D&gt;&lt;D xsi:type="xsd:double"&gt;537.410853&lt;/D&gt;&lt;D xsi:type="xsd:double"&gt;508.998948&lt;/D&gt;&lt;D xsi:type="xsd:double"&gt;477.385949&lt;/D&gt;&lt;D xsi:type="xsd:double"&gt;484.830115&lt;/D&gt;&lt;D xsi:type="xsd:double"&gt;486.215511&lt;/D&gt;&lt;D xsi:type="xsd:double"&gt;482.110393&lt;/D&gt;&lt;D xsi:type="xsd:double"&gt;469.248278&lt;/D&gt;&lt;D xsi:type="xsd:double"&gt;448.452083&lt;/D&gt;&lt;D xsi:type="xsd:double"&gt;436.163378&lt;/D&gt;&lt;D xsi:type="xsd:double"&gt;433.51397&lt;/D&gt;&lt;D xsi:type="xsd:double"&gt;431.901411&lt;/D&gt;&lt;D xsi:type="xsd:double"&gt;418.848248&lt;/D&gt;&lt;D xsi:type="xsd:double"&gt;404.173577&lt;/D&gt;&lt;D xsi:type="xsd:double"&gt;388.359836&lt;/D&gt;&lt;D xsi:type="xsd:double"&gt;388.108106&lt;/D&gt;&lt;D xsi:type="xsd:double"&gt;377.410959&lt;/D&gt;&lt;D xsi:type="xsd:double"&gt;373.589268&lt;/D&gt;&lt;D xsi:type="xsd:double"&gt;373.962226&lt;/D&gt;&lt;D xsi:type="xsd:double"&gt;392.035829&lt;/D&gt;&lt;D xsi:type="xsd:double"&gt;372.813388&lt;/D&gt;&lt;D xsi:type="xsd:double"&gt;362.289564&lt;/D&gt;&lt;D xsi:type="xsd:double"&gt;363.338729&lt;/D&gt;&lt;D xsi:type="xsd:double"&gt;339.656708&lt;/D&gt;&lt;D xsi:type="xsd:double"&gt;324.065384&lt;/D&gt;&lt;D xsi:type="xsd:double"&gt;313.524187&lt;/D&gt;&lt;D xsi:type="xsd:double"&gt;325.369003&lt;/D&gt;&lt;D xsi:type="xsd:double"&gt;309.408677&lt;/D&gt;&lt;D xsi:type="xsd:double"&gt;301.687958&lt;/D&gt;&lt;D xsi:type="xsd:double"&gt;290.952822&lt;/D&gt;&lt;D xsi:type="xsd:double"&gt;285.578463&lt;/D&gt;&lt;D xsi:type="xsd:double"&gt;283.799812&lt;/D&gt;&lt;D xsi:type="xsd:double"&gt;290.976061&lt;/D&gt;&lt;D xsi:type="xsd:double"&gt;299.089174&lt;/D&gt;&lt;D xsi:type="xsd:double"&gt;285.030229&lt;/D&gt;&lt;D xsi:type="xsd:double"&gt;290.0255&lt;/D&gt;&lt;D xsi:type="xsd:double"&gt;278.084974&lt;/D&gt;&lt;D xsi:type="xsd:double"&gt;260.0363&lt;/D&gt;&lt;D xsi:type="xsd:double"&gt;251.295724&lt;/D&gt;&lt;D xsi:type="xsd:double"&gt;243.467667&lt;/D&gt;&lt;D xsi:type="xsd:double"&gt;241.533566&lt;/D&gt;&lt;D xsi:type="xsd:double"&gt;248.783867&lt;/D&gt;&lt;D xsi:type="xsd:double"&gt;243.286377&lt;/D&gt;&lt;D xsi:type="xsd:double"&gt;242.738295&lt;/D&gt;&lt;D xsi:type="xsd:double"&gt;250.523668&lt;/D&gt;&lt;D xsi:type="xsd:double"&gt;248.991534&lt;/D&gt;&lt;D xsi:type="xsd:double"&gt;242.817912&lt;/D&gt;&lt;D xsi:type="xsd:double"&gt;238.98049&lt;/D&gt;&lt;D xsi:type="xsd:double"&gt;222.029334&lt;/D&gt;&lt;D xsi:type="xsd:double"&gt;217.291036&lt;/D&gt;&lt;D xsi:type="xsd:double"&gt;204.063339&lt;/D&gt;&lt;D xsi:type="xsd:double"&gt;198.504995&lt;/D&gt;&lt;D xsi:type="xsd:double"&gt;192.760585&lt;/D&gt;&lt;D xsi:type="xsd:double"&gt;187.758171&lt;/D&gt;&lt;D xsi:type="xsd:double"&gt;182.700828&lt;/D&gt;&lt;D xsi:type="xsd:double"&gt;171.759372&lt;/D&gt;&lt;D xsi:type="xsd:double"&gt;156.663&lt;/D&gt;&lt;D xsi:type="xsd:double"&gt;159.762&lt;/D&gt;&lt;D xsi:type="xsd:double"&gt;163.066&lt;/D&gt;&lt;D xsi:type="xsd:double"&gt;168.999&lt;/D&gt;&lt;D xsi:type="xsd:double"&gt;174.641&lt;/D&gt;&lt;D xsi:type="xsd:double"&gt;166.628&lt;/D&gt;&lt;D xsi:type="xsd:double"&gt;158.144&lt;/D&gt;&lt;D xsi:type="xsd:double"&gt;176.889&lt;/D&gt;&lt;D xsi:type="xsd:double"&gt;176.878&lt;/D&gt;&lt;D xsi:type="xsd:double"&gt;195.977&lt;/D&gt;&lt;D xsi:type="xsd:double"&gt;204.821&lt;/D&gt;&lt;D xsi:type="xsd:double"&gt;202.614&lt;/D&gt;&lt;D xsi:type="xsd:double"&gt;202.099&lt;/D&gt;&lt;D xsi:type="xsd:double"&gt;190.934&lt;/D&gt;&lt;D xsi:type="xsd:double"&gt;189.569&lt;/D&gt;&lt;D xsi:type="xsd:double"&gt;198.051&lt;/D&gt;&lt;D xsi:type="xsd:double"&gt;195.532&lt;/D&gt;&lt;D xsi:type="xsd:double"&gt;186.98&lt;/D&gt;&lt;D xsi:type="xsd:double"&gt;181.884&lt;/D&gt;&lt;D xsi:type="xsd:double"&gt;203.47&lt;/D&gt;&lt;D xsi:type="xsd:double"&gt;208.652&lt;/D&gt;&lt;D xsi:type="xsd:double"&gt;213.4&lt;/D&gt;&lt;D xsi:type="xsd:double"&gt;221.911&lt;/D&gt;&lt;D xsi:type="xsd:double"&gt;228.213&lt;/D&gt;&lt;D xsi:type="xsd:double"&gt;213.68&lt;/D&gt;&lt;D xsi:type="xsd:double"&gt;229.933&lt;/D&gt;&lt;D xsi:type="xsd:double"&gt;249.702&lt;/D&gt;&lt;D xsi:type="xsd:double"&gt;246.011993408203&lt;/D&gt;&lt;D xsi:type="xsd:double"&gt;237.888000488281&lt;/D&gt;&lt;D xsi:type="xsd:double"&gt;249.061996459961&lt;/D&gt;&lt;D xsi:type="xsd:double"&gt;257.238006591797&lt;/D&gt;&lt;D xsi:type="xsd:double"&gt;272.345001220703&lt;/D&gt;&lt;D xsi:type="xsd:double"&gt;269.018005371094&lt;/D&gt;&lt;D xsi:type="xsd:double"&gt;280.075012207031&lt;/D&gt;&lt;D xsi:type="xsd:double"&gt;268.636993408203&lt;/D&gt;&lt;D xsi:type="xsd:double"&gt;275.688995361328&lt;/D&gt;&lt;D xsi:type="xsd:double"&gt;291.985992431641&lt;/D&gt;&lt;D xsi:type="xsd:double"&gt;281.39599609375&lt;/D&gt;&lt;D xsi:type="xsd:double"&gt;273.994995117188&lt;/D&gt;&lt;/FQL&gt;&lt;FQL&gt;&lt;Q&gt;899901^JULIAN(MSCI_TOTAL_RET_IDX(2/27/2026,1/31/2000,M,USD,"GROSS").DATES)&lt;/Q&gt;&lt;R&gt;314&lt;/R&gt;&lt;C&gt;1&lt;/C&gt;&lt;D xsi:type="xsd:long"&gt;46080&lt;/D&gt;&lt;D xsi:type="xsd:long"&gt;46052&lt;/D&gt;&lt;D xsi:type="xsd:long"&gt;46022&lt;/D&gt;&lt;D xsi:type="xsd:long"&gt;45989&lt;/D&gt;&lt;D xsi:type="xsd:long"&gt;45961&lt;/D&gt;&lt;D xsi:type="xsd:long"&gt;45930&lt;/D&gt;&lt;D xsi:type="xsd:long"&gt;45898&lt;/D&gt;&lt;D xsi:type="xsd:long"&gt;45869&lt;/D&gt;&lt;D xsi:type="xsd:long"&gt;45838&lt;/D&gt;&lt;D xsi:type="xsd:long"&gt;45807&lt;/D&gt;&lt;D xsi:type="xsd:long"&gt;45777&lt;/D&gt;&lt;D xsi:type="xsd:long"&gt;45747&lt;/D&gt;&lt;D xsi:type="xsd:long"&gt;45716&lt;/D&gt;&lt;D xsi:type="xsd:long"&gt;45688&lt;/D&gt;&lt;D xsi:type="xsd:long"&gt;45657&lt;/D&gt;&lt;D xsi:type="xsd:long"&gt;45625&lt;/D&gt;&lt;D xsi:type="xsd:long"&gt;45596&lt;/D&gt;&lt;D xsi:type="xsd:long"&gt;45565&lt;/D&gt;&lt;D xsi:type="xsd:long"&gt;45534&lt;/D&gt;&lt;D xsi:type="xsd:long"&gt;45504&lt;/D&gt;&lt;D xsi:type="xsd:long"&gt;45471&lt;/D&gt;&lt;D xsi:type="xsd:long"&gt;45443&lt;/D&gt;&lt;D xsi:type="xsd:long"&gt;45412&lt;/D&gt;&lt;D xsi:type="xsd:long"&gt;45379&lt;/D&gt;&lt;D xsi:type="xsd:long"&gt;45351&lt;/D&gt;&lt;D xsi:type="xsd:long"&gt;45322&lt;/D&gt;&lt;D xsi:type="xsd:long"&gt;45289&lt;/D&gt;&lt;D xsi:type="xsd:long"&gt;45260&lt;/D&gt;&lt;D xsi:type="xsd:long"&gt;45230&lt;/D&gt;&lt;D xsi:type="xsd:long"&gt;45198&lt;/D&gt;&lt;D xsi:type="xsd:long"&gt;45169&lt;/D&gt;&lt;D xsi:type="xsd:long"&gt;45138&lt;/D&gt;&lt;D xsi:type="xsd:long"&gt;45107&lt;/D&gt;&lt;D xsi:type="xsd:long"&gt;45077&lt;/D&gt;&lt;D xsi:type="xsd:long"&gt;45044&lt;/D&gt;&lt;D xsi:type="xsd:long"&gt;45016&lt;/D&gt;&lt;D xsi:type="xsd:long"&gt;44985&lt;/D&gt;&lt;D xsi:type="xsd:long"&gt;44957&lt;/D&gt;&lt;D xsi:type="xsd:long"&gt;44925&lt;/D&gt;&lt;D xsi:type="xsd:long"&gt;44895&lt;/D&gt;&lt;D xsi:type="xsd:long"&gt;44865&lt;/D&gt;&lt;D xsi:type="xsd:long"&gt;44834&lt;/D&gt;&lt;D xsi:type="xsd:long"&gt;44804&lt;/D&gt;&lt;D xsi:type="xsd:long"&gt;44771&lt;/D&gt;&lt;D xsi:type="xsd:long"&gt;44742&lt;/D&gt;&lt;D xsi:type="xsd:long"&gt;44712&lt;/D&gt;&lt;D xsi:type="xsd:long"&gt;44680&lt;/D&gt;&lt;D xsi:type="xsd:long"&gt;44651&lt;/D&gt;&lt;D xsi:type="xsd:long"&gt;44620&lt;/D&gt;&lt;D xsi:type="xsd:long"&gt;44592&lt;/D&gt;&lt;D xsi:type="xsd:long"&gt;44561&lt;/D&gt;&lt;D xsi:type="xsd:long"&gt;44530&lt;/D&gt;&lt;D xsi:type="xsd:long"&gt;44498&lt;/D&gt;&lt;D xsi:type="xsd:long"&gt;44469&lt;/D&gt;&lt;D xsi:type="xsd:long"&gt;44439&lt;/D&gt;&lt;D xsi:type="xsd:long"&gt;44407&lt;/D&gt;&lt;D xsi:type="xsd:long"&gt;44377&lt;/D&gt;&lt;D xsi:type="xsd:long"&gt;44344&lt;/D&gt;&lt;D xsi:type="xsd:long"&gt;44316&lt;/D&gt;&lt;D xsi:type="xsd:long"&gt;44286&lt;/D&gt;&lt;D xsi:type="xsd:long"&gt;44253&lt;/D&gt;&lt;D xsi:type="xsd:long"&gt;44225&lt;/D&gt;&lt;D xsi:type="xsd:long"&gt;44196&lt;/D&gt;&lt;D xsi:type="xsd:long"&gt;44165&lt;/D&gt;&lt;D xsi:type="xsd:long"&gt;44134&lt;/D&gt;&lt;D xsi:type="xsd:long"&gt;44104&lt;/D&gt;&lt;D xsi:type="xsd:long"&gt;44074&lt;/D&gt;&lt;D xsi:type="xsd:long"&gt;44043&lt;/D&gt;&lt;D xsi:type="xsd:long"&gt;44012&lt;/D&gt;&lt;D xsi:type="xsd:long"&gt;43980&lt;/D&gt;&lt;D xsi:type="xsd:long"&gt;43951&lt;/D&gt;&lt;D xsi:type="xsd:long"&gt;43921&lt;/D&gt;&lt;D xsi:type="xsd:long"&gt;43889&lt;/D&gt;&lt;D xsi:type="xsd:long"&gt;43861&lt;/D&gt;&lt;D xsi:type="xsd:long"&gt;43830&lt;/D&gt;&lt;D xsi:type="xsd:long"&gt;43798&lt;/D&gt;&lt;D xsi:type="xsd:long"&gt;43769&lt;/D&gt;&lt;D xsi:type="xsd:long"&gt;43738&lt;/D&gt;&lt;D xsi:type="xsd:long"&gt;43707&lt;/D&gt;&lt;D xsi:type="xsd:long"&gt;43677&lt;/D&gt;&lt;D xsi:type="xsd:long"&gt;43644&lt;/D&gt;&lt;D xsi:type="xsd:long"&gt;43616&lt;/D&gt;&lt;D xsi:type="xsd:long"&gt;43585&lt;/D&gt;&lt;D xsi:type="xsd:long"&gt;43553&lt;/D&gt;&lt;D xsi:type="xsd:long"&gt;43524&lt;/D&gt;&lt;D xsi:type="xsd:long"&gt;43496&lt;/D&gt;&lt;D xsi:type="xsd:long"&gt;43465&lt;/D&gt;&lt;D xsi:type="xsd:long"&gt;43434&lt;/D&gt;&lt;D xsi:type="xsd:long"&gt;43404&lt;/D&gt;&lt;D xsi:type="xsd:long"&gt;43371&lt;/D&gt;&lt;D xsi:type="xsd:long"&gt;43343&lt;/D&gt;&lt;D xsi:type="xsd:long"&gt;43312&lt;/D&gt;&lt;D xsi:type="xsd:long"&gt;43280&lt;/D&gt;&lt;D xsi:type="xsd:long"&gt;43251&lt;/D&gt;&lt;D xsi:type="xsd:long"&gt;43220&lt;/D&gt;&lt;D xsi:type="xsd:long"&gt;43188&lt;/D&gt;&lt;D xsi:type="xsd:long"&gt;43159&lt;/D&gt;&lt;D xsi:type="xsd:long"&gt;43131&lt;/D&gt;&lt;D xsi:type="xsd:long"&gt;43098&lt;/D&gt;&lt;D xsi:type="xsd:long"&gt;43069&lt;/D&gt;&lt;D xsi:type="xsd:long"&gt;43039&lt;/D&gt;&lt;D xsi:type="xsd:long"&gt;43007&lt;/D&gt;&lt;D xsi:type="xsd:long"&gt;42978&lt;/D&gt;&lt;D xsi:type="xsd:long"&gt;42947&lt;/D&gt;&lt;D xsi:type="xsd:long"&gt;42916&lt;/D&gt;&lt;D xsi:type="xsd:long"&gt;42886&lt;/D&gt;&lt;D xsi:type="xsd:long"&gt;42853&lt;/D&gt;&lt;D xsi:type="xsd:long"&gt;42825&lt;/D&gt;&lt;D xsi:type="xsd:long"&gt;42794&lt;/D&gt;&lt;D xsi:type="xsd:long"&gt;42766&lt;/D&gt;&lt;D xsi:type="xsd:long"&gt;42734&lt;/D&gt;&lt;D xsi:type="xsd:long"&gt;42704&lt;/D&gt;&lt;D xsi:type="xsd:long"&gt;42674&lt;/D&gt;&lt;D xsi:type="xsd:long"&gt;42643&lt;/D&gt;&lt;D xsi:type="xsd:long"&gt;42613&lt;/D&gt;&lt;D xsi:type="xsd:long"&gt;42580&lt;/D&gt;&lt;D xsi:type="xsd:long"&gt;42551&lt;/D&gt;&lt;D xsi:type="xsd:long"&gt;42521&lt;/D&gt;&lt;D xsi:type="xsd:long"&gt;42489&lt;/D&gt;&lt;D xsi:type="xsd:long"&gt;42460&lt;/D&gt;&lt;D xsi:type="xsd:long"&gt;42429&lt;/D&gt;&lt;D xsi:type="xsd:long"&gt;42398&lt;/D&gt;&lt;D xsi:type="xsd:long"&gt;42369&lt;/D&gt;&lt;D xsi:type="xsd:long"&gt;42338&lt;/D&gt;&lt;D xsi:type="xsd:long"&gt;42307&lt;/D&gt;&lt;D xsi:type="xsd:long"&gt;42277&lt;/D&gt;&lt;D xsi:type="xsd:long"&gt;42247&lt;/D&gt;&lt;D xsi:type="xsd:long"&gt;42216&lt;/D&gt;&lt;D xsi:type="xsd:long"&gt;42185&lt;/D&gt;&lt;D xsi:type="xsd:long"&gt;42153&lt;/D&gt;&lt;D xsi:type="xsd:long"&gt;42124&lt;/D&gt;&lt;D xsi:type="xsd:long"&gt;42094&lt;/D&gt;&lt;D xsi:type="xsd:long"&gt;42062&lt;/D&gt;&lt;D xsi:type="xsd:long"&gt;42034&lt;/D&gt;&lt;D xsi:type="xsd:long"&gt;42004&lt;/D&gt;&lt;D xsi:type="xsd:long"&gt;41971&lt;/D&gt;&lt;D xsi:type="xsd:long"&gt;41943&lt;/D&gt;&lt;D xsi:type="xsd:long"&gt;41912&lt;/D&gt;&lt;D xsi:type="xsd:long"&gt;41880&lt;/D&gt;&lt;D xsi:type="xsd:long"&gt;41851&lt;/D&gt;&lt;D xsi:type="xsd:long"&gt;41820&lt;/D&gt;&lt;D xsi:type="xsd:long"&gt;41789&lt;/D&gt;&lt;D xsi:type="xsd:long"&gt;41759&lt;/D&gt;&lt;D xsi:type="xsd:long"&gt;41729&lt;/D&gt;&lt;D xsi:type="xsd:long"&gt;41698&lt;/D&gt;&lt;D xsi:type="xsd:long"&gt;41670&lt;/D&gt;&lt;D xsi:type="xsd:long"&gt;41639&lt;/D&gt;&lt;D xsi:type="xsd:long"&gt;41607&lt;/D&gt;&lt;D xsi:type="xsd:long"&gt;41578&lt;/D&gt;&lt;D xsi:type="xsd:long"&gt;41547&lt;/D&gt;&lt;D xsi:type="xsd:long"&gt;41516&lt;/D&gt;&lt;D xsi:type="xsd:long"&gt;41486&lt;/D&gt;&lt;D xsi:type="xsd:long"&gt;41453&lt;/D&gt;&lt;D xsi:type="xsd:long"&gt;41425&lt;/D&gt;&lt;D xsi:type="xsd:long"&gt;41394&lt;/D&gt;&lt;D xsi:type="xsd:long"&gt;41361&lt;/D&gt;&lt;D xsi:type="xsd:long"&gt;41333&lt;/D&gt;&lt;D xsi:type="xsd:long"&gt;41305&lt;/D&gt;&lt;D xsi:type="xsd:long"&gt;41274&lt;/D&gt;&lt;D xsi:type="xsd:long"&gt;41243&lt;/D&gt;&lt;D xsi:type="xsd:long"&gt;41213&lt;/D&gt;&lt;D xsi:type="xsd:long"&gt;41180&lt;/D&gt;&lt;D xsi:type="xsd:long"&gt;41152&lt;/D&gt;&lt;D xsi:type="xsd:long"&gt;41121&lt;/D&gt;&lt;D xsi:type="xsd:long"&gt;41089&lt;/D&gt;&lt;D xsi:type="xsd:long"&gt;41060&lt;/D&gt;&lt;D xsi:type="xsd:long"&gt;41029&lt;/D&gt;&lt;D xsi:type="xsd:long"&gt;40998&lt;/D&gt;&lt;D xsi:type="xsd:long"&gt;40968&lt;/D&gt;&lt;D xsi:type="xsd:long"&gt;40939&lt;/D&gt;&lt;D xsi:type="xsd:long"&gt;40907&lt;/D&gt;&lt;D xsi:type="xsd:long"&gt;40877&lt;/D&gt;&lt;D xsi:type="xsd:long"&gt;40847&lt;/D&gt;&lt;D xsi:type="xsd:long"&gt;40816&lt;/D&gt;&lt;D xsi:type="xsd:long"&gt;40786&lt;/D&gt;&lt;D xsi:type="xsd:long"&gt;40753&lt;/D&gt;&lt;D xsi:type="xsd:long"&gt;40724&lt;/D&gt;&lt;D xsi:type="xsd:long"&gt;40694&lt;/D&gt;&lt;D xsi:type="xsd:long"&gt;40662&lt;/D&gt;&lt;D xsi:type="xsd:long"&gt;40633&lt;/D&gt;&lt;D xsi:type="xsd:long"&gt;40602&lt;/D&gt;&lt;D xsi:type="xsd:long"&gt;40574&lt;/D&gt;&lt;D xsi:type="xsd:long"&gt;40543&lt;/D&gt;&lt;D xsi:type="xsd:long"&gt;40512&lt;/D&gt;&lt;D xsi:type="xsd:long"&gt;40480&lt;/D&gt;&lt;D xsi:type="xsd:long"&gt;40451&lt;/D&gt;&lt;D xsi:type="xsd:long"&gt;40421&lt;/D&gt;&lt;D xsi:type="xsd:long"&gt;40389&lt;/D&gt;&lt;D xsi:type="xsd:long"&gt;40359&lt;/D&gt;&lt;D xsi:type="xsd:long"&gt;40326&lt;/D&gt;&lt;D xs</t>
        </r>
      </text>
    </comment>
    <comment ref="A97" authorId="0" shapeId="0">
      <text>
        <r>
          <rPr>
            <b/>
            <sz val="9"/>
            <color indexed="81"/>
            <rFont val="Tahoma"/>
            <family val="2"/>
          </rPr>
          <t>i:type="xsd:long"&gt;40298&lt;/D&gt;&lt;D xsi:type="xsd:long"&gt;40268&lt;/D&gt;&lt;D xsi:type="xsd:long"&gt;40235&lt;/D&gt;&lt;D xsi:type="xsd:long"&gt;40207&lt;/D&gt;&lt;D xsi:type="xsd:long"&gt;40178&lt;/D&gt;&lt;D xsi:type="xsd:long"&gt;40147&lt;/D&gt;&lt;D xsi:type="xsd:long"&gt;40116&lt;/D&gt;&lt;D xsi:type="xsd:long"&gt;40086&lt;/D&gt;&lt;D xsi:type="xsd:long"&gt;40056&lt;/D&gt;&lt;D xsi:type="xsd:long"&gt;40025&lt;/D&gt;&lt;D xsi:type="xsd:long"&gt;39994&lt;/D&gt;&lt;D xsi:type="xsd:long"&gt;39962&lt;/D&gt;&lt;D xsi:type="xsd:long"&gt;39933&lt;/D&gt;&lt;D xsi:type="xsd:long"&gt;39903&lt;/D&gt;&lt;D xsi:type="xsd:long"&gt;39871&lt;/D&gt;&lt;D xsi:type="xsd:long"&gt;39843&lt;/D&gt;&lt;D xsi:type="xsd:long"&gt;39813&lt;/D&gt;&lt;D xsi:type="xsd:long"&gt;39780&lt;/D&gt;&lt;D xsi:type="xsd:long"&gt;39752&lt;/D&gt;&lt;D xsi:type="xsd:long"&gt;39721&lt;/D&gt;&lt;D xsi:type="xsd:long"&gt;39689&lt;/D&gt;&lt;D xsi:type="xsd:long"&gt;39660&lt;/D&gt;&lt;D xsi:type="xsd:long"&gt;39629&lt;/D&gt;&lt;D xsi:type="xsd:long"&gt;39598&lt;/D&gt;&lt;D xsi:type="xsd:long"&gt;39568&lt;/D&gt;&lt;D xsi:type="xsd:long"&gt;39538&lt;/D&gt;&lt;D xsi:type="xsd:long"&gt;39507&lt;/D&gt;&lt;D xsi:type="xsd:long"&gt;39478&lt;/D&gt;&lt;D xsi:type="xsd:long"&gt;39447&lt;/D&gt;&lt;D xsi:type="xsd:long"&gt;39416&lt;/D&gt;&lt;D xsi:type="xsd:long"&gt;39386&lt;/D&gt;&lt;D xsi:type="xsd:long"&gt;39353&lt;/D&gt;&lt;D xsi:type="xsd:long"&gt;39325&lt;/D&gt;&lt;D xsi:type="xsd:long"&gt;39294&lt;/D&gt;&lt;D xsi:type="xsd:long"&gt;39262&lt;/D&gt;&lt;D xsi:type="xsd:long"&gt;39233&lt;/D&gt;&lt;D xsi:type="xsd:long"&gt;39202&lt;/D&gt;&lt;D xsi:type="xsd:long"&gt;39171&lt;/D&gt;&lt;D xsi:type="xsd:long"&gt;39141&lt;/D&gt;&lt;D xsi:type="xsd:long"&gt;39113&lt;/D&gt;&lt;D xsi:type="xsd:long"&gt;39080&lt;/D&gt;&lt;D xsi:type="xsd:long"&gt;39051&lt;/D&gt;&lt;D xsi:type="xsd:long"&gt;39021&lt;/D&gt;&lt;D xsi:type="xsd:long"&gt;38989&lt;/D&gt;&lt;D xsi:type="xsd:long"&gt;38960&lt;/D&gt;&lt;D xsi:type="xsd:long"&gt;38929&lt;/D&gt;&lt;D xsi:type="xsd:long"&gt;38898&lt;/D&gt;&lt;D xsi:type="xsd:long"&gt;38868&lt;/D&gt;&lt;D xsi:type="xsd:long"&gt;38835&lt;/D&gt;&lt;D xsi:type="xsd:long"&gt;38807&lt;/D&gt;&lt;D xsi:type="xsd:long"&gt;38776&lt;/D&gt;&lt;D xsi:type="xsd:long"&gt;38748&lt;/D&gt;&lt;D xsi:type="xsd:long"&gt;38716&lt;/D&gt;&lt;D xsi:type="xsd:long"&gt;38686&lt;/D&gt;&lt;D xsi:type="xsd:long"&gt;38656&lt;/D&gt;&lt;D xsi:type="xsd:long"&gt;38625&lt;/D&gt;&lt;D xsi:type="xsd:long"&gt;38595&lt;/D&gt;&lt;D xsi:type="xsd:long"&gt;38562&lt;/D&gt;&lt;D xsi:type="xsd:long"&gt;38533&lt;/D&gt;&lt;D xsi:type="xsd:long"&gt;38503&lt;/D&gt;&lt;D xsi:type="xsd:long"&gt;38471&lt;/D&gt;&lt;D xsi:type="xsd:long"&gt;38442&lt;/D&gt;&lt;D xsi:type="xsd:long"&gt;38411&lt;/D&gt;&lt;D xsi:type="xsd:long"&gt;38383&lt;/D&gt;&lt;D xsi:type="xsd:long"&gt;38352&lt;/D&gt;&lt;D xsi:type="xsd:long"&gt;38321&lt;/D&gt;&lt;D xsi:type="xsd:long"&gt;38289&lt;/D&gt;&lt;D xsi:type="xsd:long"&gt;38260&lt;/D&gt;&lt;D xsi:type="xsd:long"&gt;38230&lt;/D&gt;&lt;D xsi:type="xsd:long"&gt;38198&lt;/D&gt;&lt;D xsi:type="xsd:long"&gt;38168&lt;/D&gt;&lt;D xsi:type="xsd:long"&gt;38135&lt;/D&gt;&lt;D xsi:type="xsd:long"&gt;38107&lt;/D&gt;&lt;D xsi:type="xsd:long"&gt;38077&lt;/D&gt;&lt;D xsi:type="xsd:long"&gt;38044&lt;/D&gt;&lt;D xsi:type="xsd:long"&gt;38016&lt;/D&gt;&lt;D xsi:type="xsd:long"&gt;37986&lt;/D&gt;&lt;D xsi:type="xsd:long"&gt;37953&lt;/D&gt;&lt;D xsi:type="xsd:long"&gt;37925&lt;/D&gt;&lt;D xsi:type="xsd:long"&gt;37894&lt;/D&gt;&lt;D xsi:type="xsd:long"&gt;37862&lt;/D&gt;&lt;D xsi:type="xsd:long"&gt;37833&lt;/D&gt;&lt;D xsi:type="xsd:long"&gt;37802&lt;/D&gt;&lt;D xsi:type="xsd:long"&gt;37771&lt;/D&gt;&lt;D xsi:type="xsd:long"&gt;37741&lt;/D&gt;&lt;D xsi:type="xsd:long"&gt;37711&lt;/D&gt;&lt;D xsi:type="xsd:long"&gt;37680&lt;/D&gt;&lt;D xsi:type="xsd:long"&gt;37652&lt;/D&gt;&lt;D xsi:type="xsd:long"&gt;37621&lt;/D&gt;&lt;D xsi:type="xsd:long"&gt;37589&lt;/D&gt;&lt;D xsi:type="xsd:long"&gt;37560&lt;/D&gt;&lt;D xsi:type="xsd:long"&gt;37529&lt;/D&gt;&lt;D xsi:type="xsd:long"&gt;37498&lt;/D&gt;&lt;D xsi:type="xsd:long"&gt;37468&lt;/D&gt;&lt;D xsi:type="xsd:long"&gt;37435&lt;/D&gt;&lt;D xsi:type="xsd:long"&gt;37407&lt;/D&gt;&lt;D xsi:type="xsd:long"&gt;37376&lt;/D&gt;&lt;D xsi:type="xsd:long"&gt;37343&lt;/D&gt;&lt;D xsi:type="xsd:long"&gt;37315&lt;/D&gt;&lt;D xsi:type="xsd:long"&gt;37287&lt;/D&gt;&lt;D xsi:type="xsd:long"&gt;37256&lt;/D&gt;&lt;D xsi:type="xsd:long"&gt;37225&lt;/D&gt;&lt;D xsi:type="xsd:long"&gt;37195&lt;/D&gt;&lt;D xsi:type="xsd:long"&gt;37162&lt;/D&gt;&lt;D xsi:type="xsd:long"&gt;37134&lt;/D&gt;&lt;D xsi:type="xsd:long"&gt;37103&lt;/D&gt;&lt;D xsi:type="xsd:long"&gt;37071&lt;/D&gt;&lt;D xsi:type="xsd:long"&gt;37042&lt;/D&gt;&lt;D xsi:type="xsd:long"&gt;37011&lt;/D&gt;&lt;D xsi:type="xsd:long"&gt;36980&lt;/D&gt;&lt;D xsi:type="xsd:long"&gt;36950&lt;/D&gt;&lt;D xsi:type="xsd:long"&gt;36922&lt;/D&gt;&lt;D xsi:type="xsd:long"&gt;36889&lt;/D&gt;&lt;D xsi:type="xsd:long"&gt;36860&lt;/D&gt;&lt;D xsi:type="xsd:long"&gt;36830&lt;/D&gt;&lt;D xsi:type="xsd:long"&gt;36798&lt;/D&gt;&lt;D xsi:type="xsd:long"&gt;36769&lt;/D&gt;&lt;D xsi:type="xsd:long"&gt;36738&lt;/D&gt;&lt;D xsi:type="xsd:long"&gt;36707&lt;/D&gt;&lt;D xsi:type="xsd:long"&gt;36677&lt;/D&gt;&lt;D xsi:type="xsd:long"&gt;36644&lt;/D&gt;&lt;D xsi:type="xsd:long"&gt;36616&lt;/D&gt;&lt;D xsi:type="xsd:long"&gt;36585&lt;/D&gt;&lt;D xsi:type="xsd:long"&gt;36556&lt;/D&gt;&lt;/FQL&gt;&lt;FQL&gt;&lt;Q&gt;899901^MSCI_TOTAL_RET_IDX(2/27/2026,1/31/2000,M,EUR,"GROSS")&lt;/Q&gt;&lt;R&gt;314&lt;/R&gt;&lt;C&gt;1&lt;/C&gt;&lt;D xsi:type="xsd:double"&gt;558.274294099912&lt;/D&gt;&lt;D xsi:type="xsd:double"&gt;527.501540878223&lt;/D&gt;&lt;D xsi:type="xsd:double"&gt;504.121219199499&lt;/D&gt;&lt;D xsi:type="xsd:double"&gt;495.19560451143&lt;/D&gt;&lt;D xsi:type="xsd:double"&gt;497.957811814994&lt;/D&gt;&lt;D xsi:type="xsd:double"&gt;479.381726239434&lt;/D&gt;&lt;D xsi:type="xsd:double"&gt;464.305164522976&lt;/D&gt;&lt;D xsi:type="xsd:double"&gt;458.618813560874&lt;/D&gt;&lt;D xsi:type="xsd:double"&gt;448.319682539616&lt;/D&gt;&lt;D xsi:type="xsd:double"&gt;448.11558582306&lt;/D&gt;&lt;D xsi:type="xsd:double"&gt;427.481141162055&lt;/D&gt;&lt;D xsi:type="xsd:double"&gt;433.841302055841&lt;/D&gt;&lt;D xsi:type="xsd:double"&gt;451.2340951665&lt;/D&gt;&lt;D xsi:type="xsd:double"&gt;445.180167703914&lt;/D&gt;&lt;D xsi:type="xsd:double"&gt;429.541434085642&lt;/D&gt;&lt;D xsi:type="xsd:double"&gt;429.326700521487&lt;/D&gt;&lt;D xsi:type="xsd:double"&gt;421.423294048669&lt;/D&gt;&lt;D xsi:type="xsd:double"&gt;430.873025979609&lt;/D&gt;&lt;D xsi:type="xsd:double"&gt;422.858669232519&lt;/D&gt;&lt;D xsi:type="xsd:double"&gt;420.48674374534&lt;/D&gt;&lt;D xsi:type="xsd:double"&gt;414.808178991747&lt;/D&gt;&lt;D xsi:type="xsd:double"&gt;409.74990160246&lt;/D&gt;&lt;D xsi:type="xsd:double"&gt;403.911146863449&lt;/D&gt;&lt;D xsi:type="xsd:double"&gt;406.281024732946&lt;/D&gt;&lt;D xsi:type="xsd:double"&gt;393.402216688762&lt;/D&gt;&lt;D xsi:type="xsd:double"&gt;382.176394967501&lt;/D&gt;&lt;D xsi:type="xsd:double"&gt;379.52811216301&lt;/D&gt;&lt;D xsi:type="xsd:double"&gt;365.767049483419&lt;/D&gt;&lt;D xsi:type="xsd:double"&gt;346.321615809929&lt;/D&gt;&lt;D xsi:type="xsd:double"&gt;360.575672563948&lt;/D&gt;&lt;D xsi:type="xsd:double"&gt;363.040511622162&lt;/D&gt;&lt;D xsi:type="xsd:double"&gt;374.201396581385&lt;/D&gt;&lt;D xsi:type="xsd:double"&gt;363.278447230952&lt;/D&gt;&lt;D xsi:type="xsd:double"&gt;355.619408647417&lt;/D&gt;&lt;D xsi:type="xsd:double"&gt;356.009558100315&lt;/D&gt;&lt;D xsi:type="xsd:double"&gt;355.313194280795&lt;/D&gt;&lt;D xsi:type="xsd:double"&gt;354.970001922709&lt;/D&gt;&lt;D xsi:type="xsd:double"&gt;359.179664273808&lt;/D&gt;&lt;D xsi:type="xsd:double"&gt;338.033789217018&lt;/D&gt;&lt;D xsi:type="xsd:double"&gt;352.876198384958&lt;/D&gt;&lt;D xsi:type="xsd:double"&gt;328.748409727977&lt;/D&gt;&lt;D xsi:type="xsd:double"&gt;321.997190023221&lt;/D&gt;&lt;D xsi:type="xsd:double"&gt;348.339740630343&lt;/D&gt;&lt;D xsi:type="xsd:double"&gt;354.852293251009&lt;/D&gt;&lt;D xsi:type="xsd:double"&gt;334.518233662248&lt;/D&gt;&lt;D xsi:type="xsd:double"&gt;357.019947267403&lt;/D&gt;&lt;D xsi:type="xsd:double"&gt;359.589177364501&lt;/D&gt;&lt;D xsi:type="xsd:double"&gt;363.542460047717&lt;/D&gt;&lt;D xsi:type="xsd:double"&gt;359.236062248732&lt;/D&gt;&lt;D xsi:type="xsd:double"&gt;367.162221267901&lt;/D&gt;&lt;D xsi:type="xsd:double"&gt;375.736666576145&lt;/D&gt;&lt;D xsi:type="xsd:double"&gt;364.450330054934&lt;/D&gt;&lt;D xsi:type="xsd:double"&gt;371.140714872976&lt;/D&gt;&lt;D xsi:type="xsd:double"&gt;361.871658609484&lt;/D&gt;&lt;D xsi:type="xsd:double"&gt;366.800070016649&lt;/D&gt;&lt;D xsi:type="xsd:double"&gt;358.269480905347&lt;/D&gt;&lt;D xsi:type="xsd:double"&gt;364.136014004522&lt;/D&gt;&lt;D xsi:type="xsd:double"&gt;356.298705889918&lt;/D&gt;&lt;D xsi:type="xsd:double"&gt;349.759656362176&lt;/D&gt;&lt;D xsi:type="xsd:double"&gt;347.792735492573&lt;/D&gt;&lt;D xsi:type="xsd:double"&gt;332.319373977029&lt;/D&gt;&lt;D xsi:type="xsd:double"&gt;325.530616242764&lt;/D&gt;&lt;D xsi:type="xsd:double"&gt;322.472572752158&lt;/D&gt;&lt;D xsi:type="xsd:double"&gt;312.844413057936&lt;/D&gt;&lt;D xsi:type="xsd:double"&gt;283.14037790363&lt;/D&gt;&lt;D xsi:type="xsd:double"&gt;287.389702006627&lt;/D&gt;&lt;D xsi:type="xsd:double"&gt;288.773841308972&lt;/D&gt;&lt;D xsi:type="xsd:double"&gt;280.018155480936&lt;/D&gt;&lt;D xsi:type="xsd:double"&gt;282.112445391051&lt;/D&gt;&lt;D xsi:type="xsd:double"&gt;272.420133783043&lt;/D&gt;&lt;D xsi:type="xsd:double"&gt;267.762584263141&lt;/D&gt;&lt;D xsi:type="xsd:double"&gt;248.307375617472&lt;/D&gt;&lt;D xsi:type="xsd:double"&gt;289.764298230009&lt;/D&gt;&lt;D xsi:type="xsd:double"&gt;311.819472193161&lt;/D&gt;&lt;D xsi:type="xsd:double"&gt;316.307860597145&lt;/D&gt;&lt;D xsi:type="xsd:double"&gt;308.55016481528&lt;/D&gt;&lt;D xsi:type="xsd:double"&gt;302.230828889147&lt;/D&gt;&lt;D xsi:type="xsd:double"&gt;298.819388388939&lt;/D&gt;&lt;D xsi:type="xsd:double"&gt;288.263319600524&lt;/D&gt;&lt;D xsi:type="xsd:double"&gt;294.14308587513&lt;/D&gt;&lt;D xsi:type="xsd:double"&gt;291.009568661776&lt;/D&gt;&lt;D xsi:type="xsd:double"&gt;280.373146323307&lt;/D&gt;&lt;D xsi:type="xsd:double"&gt;294.261300872262&lt;/D&gt;&lt;D xsi:type="xsd:double"&gt;285.929046535304&lt;/D&gt;&lt;D xsi:type="xsd:double"&gt;280.04439158037&lt;/D&gt;&lt;D xsi:type="xsd:double"&gt;272.546737328481&lt;/D&gt;&lt;D xsi:type="xsd:double"&gt;254.314195987272&lt;/D&gt;&lt;D xsi:type="xsd:double"&gt;268.835007673656&lt;/D&gt;&lt;D xsi:type="xsd:double"&gt;266.084847625463&lt;/D&gt;&lt;D xsi:type="xsd:double"&gt;282.514734834589&lt;/D&gt;&lt;D xsi:type="xsd:double"&gt;280.632730353396&lt;/D&gt;&lt;D xsi:type="xsd:double"&gt;284.970423050907&lt;/D&gt;&lt;D xsi:type="xsd:double"&gt;278.827980121899&lt;/D&gt;&lt;D xsi:type="xsd:double"&gt;284.106349401472&lt;/D&gt;&lt;D xsi:type="xsd:double"&gt;280.682857918521&lt;/D&gt;&lt;D xsi:type="xsd:double"&gt;270.774542404728&lt;/D&gt;&lt;D xsi:type="xsd:double"&gt;278.143876428286&lt;/D&gt;&lt;D xsi:type="xsd:double"&gt;285.743051069887&lt;/D&gt;&lt;D xsi:type="xsd:double"&gt;280.775457282021&lt;/D&gt;&lt;D xsi:type="xsd:double"&gt;276.499156625005&lt;/D&gt;&lt;D xsi:type="xsd:double"&gt;280.682952882443&lt;/D&gt;&lt;D xsi:type="xsd:double"&gt;271.44881819109&lt;/D&gt;&lt;D xsi:type="xsd:double"&gt;264.902084903354&lt;/D&gt;&lt;D xsi:type="xsd:double"&gt;265.677030893329&lt;/D&gt;&lt;D xsi:type="xsd:double"&gt;264.804143935197&lt;/D&gt;&lt;D xsi:type="xsd:double"&gt;267.642893131405&lt;/D&gt;&lt;D xsi:type="xsd:double"&gt;267.425460943076&lt;/D&gt;&lt;D xsi:type="xsd:double"&gt;266.413450049825&lt;/D&gt;&lt;D xsi:type="xsd:double"&gt;261.292489998119&lt;/D&gt;&lt;D xsi:type="xsd:double"&gt;252.846205101351&lt;/D&gt;&lt;D xsi:type="xsd:double"&gt;250.181416955634&lt;/D&gt;&lt;D xsi:type="xsd:double"&gt;242.469682562699&lt;/D&gt;&lt;D xsi:type="xsd:double"&gt;240.16329775015&lt;/D&gt;&lt;D xsi:type="xsd:double"&gt;237.656644940158&lt;/D&gt;&lt;D xsi:type="xsd:double"&gt;236.777365806493&lt;/D&gt;&lt;D xsi:type="xsd:double"&gt;234.297560523714&lt;/D&gt;&lt;D xsi:type="xsd:double"&gt;224.674485194777&lt;/D&gt;&lt;D xsi:type="xsd:double"&gt;227.563158865747&lt;/D&gt;&lt;D xsi:type="xsd:double"&gt;224.762817598181&lt;/D&gt;&lt;D xsi:type="xsd:double"&gt;219.924899200294&lt;/D&gt;&lt;D xsi:type="xsd:double"&gt;213.162268204581&lt;/D&gt;&lt;D xsi:type="xsd:double"&gt;216.457231017203&lt;/D&gt;&lt;D xsi:type="xsd:double"&gt;231.316902641743&lt;/D&gt;&lt;D xsi:type="xsd:double"&gt;242.413899549327&lt;/D&gt;&lt;D xsi:type="xsd:double"&gt;236.624388653949&lt;/D&gt;&lt;D xsi:type="xsd:double"&gt;217.918466304065&lt;/D&gt;&lt;D xsi:type="xsd:double"&gt;227.556177698447&lt;/D&gt;&lt;D xsi:type="xsd:double"&gt;249.831784099947&lt;/D&gt;&lt;D xsi:type="xsd:double"&gt;248.371764185697&lt;/D&gt;&lt;D xsi:type="xsd:double"&gt;259.549224224428&lt;/D&gt;&lt;D xsi:type="xsd:double"&gt;257.741815947936&lt;/D&gt;&lt;D xsi:type="xsd:double"&gt;255.815060360151&lt;/D&gt;&lt;D xsi:type="xsd:double"&gt;248.784428476739&lt;/D&gt;&lt;D xsi:type="xsd:double"&gt;234.706393227504&lt;/D&gt;&lt;D xsi:type="xsd:double"&gt;219.174656779366&lt;/D&gt;&lt;D xsi:type="xsd:double"&gt;220.619377162542&lt;/D&gt;&lt;D xsi:type="xsd:double"&gt;217.914769572059&lt;/D&gt;&lt;D xsi:type="xsd:double"&gt;218.267965470501&lt;/D&gt;&lt;D xsi:type="xsd:double"&gt;219.907017725621&lt;/D&gt;&lt;D xsi:type="xsd:double"&gt;215.257143445729&lt;/D&gt;&lt;D xsi:type="xsd:double"&gt;212.416653340583&lt;/D&gt;&lt;D xsi:type="xsd:double"&gt;209.527805032398&lt;/D&gt;&lt;D xsi:type="xsd:double"&gt;202.067512786001&lt;/D&gt;&lt;D xsi:type="xsd:double"&gt;200.491821367534&lt;/D&gt;&lt;D xsi:type="xsd:double"&gt;199.435096544179&lt;/D&gt;&lt;D xsi:type="xsd:double"&gt;194.436984771254&lt;/D&gt;&lt;D xsi:type="xsd:double"&gt;199.315638925477&lt;/D&gt;&lt;D xsi:type="xsd:double"&gt;199.918604311194&lt;/D&gt;&lt;D xsi:type="xsd:double"&gt;199.843446367764&lt;/D&gt;&lt;D xsi:type="xsd:double"&gt;193.581104514515&lt;/D&gt;&lt;D xsi:type="xsd:double"&gt;185.767016915962&lt;/D&gt;&lt;D xsi:type="xsd:double"&gt;187.015274405698&lt;/D&gt;&lt;D xsi:type="xsd:double"&gt;182.989988154421&lt;/D&gt;&lt;D xsi:type="xsd:double"&gt;191.787833860909&lt;/D&gt;&lt;D xsi:type="xsd:double"&gt;192.813704783594&lt;/D&gt;&lt;D xsi:type="xsd:double"&gt;190.690112821692&lt;/D&gt;&lt;D xsi:type="xsd:double"&gt;186.907409146413&lt;/D&gt;&lt;D xsi:type="xsd:double"&gt;181.896237587115&lt;/D&gt;&lt;D xsi:type="xsd:double"&gt;179.925735144578&lt;/D&gt;&lt;D xsi:type="xsd:double"&gt;176.245797019877&lt;/D&gt;&lt;D xsi:type="xsd:double"&gt;173.568896540975&lt;/D&gt;&lt;D xsi:type="xsd:double"&gt;174.125238271674&lt;/D&gt;&lt;D xsi:type="xsd:double"&gt;171.258760355811&lt;/D&gt;&lt;D xsi:type="xsd:double"&gt;171.656765942687&lt;/D&gt;&lt;D xsi:type="xsd:double"&gt;164.214464736102&lt;/D&gt;&lt;D xsi:type="xsd:double"&gt;159.089940566532&lt;/D&gt;&lt;D xsi:type="xsd:double"&gt;167.464249435668&lt;/D&gt;&lt;D xsi:type="xsd:double"&gt;168.952188328645&lt;/D&gt;&lt;D xsi:type="xsd:double"&gt;170.453127236951&lt;/D&gt;&lt;D xsi:type="xsd:double"&gt;164.875071924842&lt;/D&gt;&lt;D xsi:type="xsd:double"&gt;155.664222931291&lt;/D&gt;&lt;D xsi:type="xsd:double"&gt;151.783801605373&lt;/D&gt;&lt;D xsi:type="xsd:double"&gt;154.330383984226&lt;/D&gt;&lt;D xsi:type="xsd:double"&gt;145.134237979432&lt;/D&gt;&lt;D xsi:type="xsd:double"&gt;152.12152778089&lt;/D&gt;&lt;D xsi:type="xsd:double"&gt;166.66832614283&lt;/D&gt;&lt;D xsi:type="xsd:double"&gt;167.422700530705&lt;/D&gt;&lt;D xsi:type="xsd:double"&gt;171.27880163182&lt;/D&gt;&lt;D xsi:type="xsd:double"&gt;170.696284676167&lt;/D&gt;&lt;D xsi:type="xsd:double"&gt;170.019059130697&lt;/D&gt;&lt;D xsi:type="xsd:double"&gt;175.016615294181&lt;/D&gt;&lt;D xsi:type="xsd:double"&gt;171.75724860995&lt;/D&gt;&lt;D xsi:type="xsd:double"&gt;173.787474369632&lt;/D&gt;&lt;D xsi:type="xsd:double"&gt;166.071944671295&lt;/D&gt;&lt;D xsi:type="xsd:double"&gt;161.745683471114&lt;/D&gt;&lt;D xsi:type="xsd:double"&gt;159.232420517745&lt;/D&gt;&lt;D xsi:type="xsd:double"&gt;155.53136872716&lt;/D&gt;&lt;D xsi:type="xsd:double"&gt;155.982991048187&lt;/D&gt;&lt;D xsi:type="xsd:double"&gt;152.123758189474&lt;/D&gt;&lt;D xsi:type="xsd:double"&gt;152.761252655237&lt;/D&gt;&lt;D xsi:type="xsd:double"&gt;158.421534817884&lt;/D&gt;&lt;D xsi:type="xsd:double"&gt;156.951457562588&lt;/D&gt;&lt;D xsi:type="xsd:double"&gt;145.635027182863&lt;/D&gt;&lt;D xsi:type="xsd:double"&gt;142.96943494901&lt;/D&gt;&lt;D xsi:type="xsd:double"&gt;145.603813679198&lt;/D&gt;&lt;D xsi:type="xsd:double"&gt;136.244349146249&lt;/D&gt;&lt;D xsi:type="xsd:double"&gt;134.743728752959&lt;/D&gt;&lt;D xsi:type="xsd:double"&gt;137.704922747483&lt;/D&gt;&lt;D xsi:type="xsd:double"&gt;133.382597497307&lt;/D&gt;&lt;D xsi:type="xsd:double"&gt;130.167064464409&lt;/D&gt;&lt;D xsi:type="xsd:double"&gt;119.81831907115&lt;/D&gt;&lt;D xsi:type="xsd:double"&gt;120.021160797014&lt;/D&gt;&lt;D xsi:type="xsd:double"&gt;112.768844788516&lt;/D&gt;&lt;D xsi:type="xsd:double"&gt;98.9411066763385&lt;/D&gt;&lt;D xsi:type="xsd:double"&gt;95.7059517820541&lt;/D&gt;&lt;D xsi:type="xsd:double"&gt;104.578548343786&lt;/D&gt;&lt;D xsi:type="xsd:double"&gt;105.731008186333&lt;/D&gt;&lt;D xsi:type="xsd:double"&gt;109.562365698856&lt;/D&gt;&lt;D xsi:type="xsd:double"&gt;116.316545763259&lt;/D&gt;&lt;D xsi:type="xsd:double"&gt;134.636547896552&lt;/D&gt;&lt;D xsi:type="xsd:double"&gt;151.105960962903&lt;/D&gt;&lt;D xsi:type="xsd:double"&gt;149.538538898178&lt;/D&gt;&lt;D xsi:type="xsd:double"&gt;153.578773932216&lt;/D&gt;&lt;D xsi:type="xsd:double"&gt;169.605271747535&lt;/D&gt;&lt;D xsi:type="xsd:double"&gt;166.410906368676&lt;/D&gt;&lt;D xsi:type="xsd:double"&gt;154.027945728421&lt;/D&gt;&lt;D xsi:type="xsd:double"&gt;164.313288077877&lt;/D&gt;&lt;D xsi:type="xsd:double"&gt;163.730044656372&lt;/D&gt;&lt;D xsi:type="xsd:double"&gt;183.56948710487&lt;/D&gt;&lt;D xsi:type="xsd:double"&gt;185.525605092292&lt;/D&gt;&lt;D xsi:type="xsd:double"&gt;197.087432740479&lt;/D&gt;&lt;D xsi:type="xsd:double"&gt;189.896720291284&lt;/D&gt;&lt;D xsi:type="xsd:double"&gt;185.797611048657&lt;/D&gt;&lt;D xsi:type="xsd:double"&gt;187.922899337091&lt;/D&gt;&lt;D xsi:type="xsd:double"&gt;191.013523674724&lt;/D&gt;&lt;D xsi:type="xsd:double"&gt;190.090475603465&lt;/D&gt;&lt;D xsi:type="xsd:double"&gt;182.429708234286&lt;/D&gt;&lt;D xsi:type="xsd:double"&gt;178.745462474881&lt;/D&gt;&lt;D xsi:type="xsd:double"&gt;175.189790934223&lt;/D&gt;&lt;D xsi:type="xsd:double"&gt;177.006619220802&lt;/D&gt;&lt;D xsi:type="xsd:double"&gt;173.780507397531&lt;/D&gt;&lt;D xsi:type="xsd:double"&gt;167.651164779709&lt;/D&gt;&lt;D xsi:type="xsd:double"&gt;168.013479740601&lt;/D&gt;&lt;D xsi:type="xsd:double"&gt;162.66322458987&lt;/D&gt;&lt;D xsi:type="xsd:double"&gt;160.868779347614&lt;/D&gt;&lt;D xsi:type="xsd:double"&gt;156.912944315703&lt;/D&gt;&lt;D xsi:type="xsd:double"&gt;155.020348854434&lt;/D&gt;&lt;D xsi:type="xsd:double"&gt;154.47440284654&lt;/D&gt;&lt;D xsi:type="xsd:double"&gt;165.128437985725&lt;/D&gt;&lt;D xsi:type="xsd:double"&gt;163.455025767325&lt;/D&gt;&lt;D xsi:type="xsd:double"&gt;161.225774075061&lt;/D&gt;&lt;D xsi:type="xsd:double"&gt;158.756558757367&lt;/D&gt;&lt;D xsi:type="xsd:double"&gt;152.781170712001&lt;/D&gt;&lt;D xsi:type="xsd:double"&gt;145.842217308052&lt;/D&gt;&lt;D xsi:type="xsd:double"&gt;138.883566030936&lt;/D&gt;&lt;D xsi:type="xsd:double"&gt;143.186122271731&lt;/D&gt;&lt;D xsi:type="xsd:double"&gt;133.483118033863&lt;/D&gt;&lt;D xsi:type="xsd:double"&gt;131.781001934889&lt;/D&gt;&lt;D xsi:type="xsd:double"&gt;127.511672822927&lt;/D&gt;&lt;D xsi:type="xsd:double"&gt;122.71351920642&lt;/D&gt;&lt;D xsi:type="xsd:double"&gt;116.640310304367&lt;/D&gt;&lt;D xsi:type="xsd:double"&gt;118.789164463914&lt;/D&gt;&lt;D xsi:type="xsd:double"&gt;119.553202661098&lt;/D&gt;&lt;D xsi:type="xsd:double"&gt;116.013686324615&lt;/D&gt;&lt;D xsi:type="xsd:double"&gt;113.209488686118&lt;/D&gt;&lt;D xsi:type="xsd:double"&gt;111.015135871142&lt;/D&gt;&lt;D xsi:type="xsd:double"&gt;108.461545980749&lt;/D&gt;&lt;D xsi:type="xsd:double"&gt;107.351835967988&lt;/D&gt;&lt;D xsi:type="xsd:double"&gt;106.292787587146&lt;/D&gt;&lt;D xsi:type="xsd:double"&gt;106.442487375744&lt;/D&gt;&lt;D xsi:type="xsd:double"&gt;108.493209483281&lt;/D&gt;&lt;D xsi:type="xsd:double"&gt;105.704814969767&lt;/D&gt;&lt;D xsi:type="xsd:double"&gt;107.43744264744&lt;/D&gt;&lt;D xsi:type="xsd:double"&gt;108.16286820495&lt;/D&gt;&lt;D xsi:type="xsd:double"&gt;106.324704869221&lt;/D&gt;&lt;D xsi:type="xsd:double"&gt;103.70512292153&lt;/D&gt;&lt;D xsi:type="xsd:double"&gt;100.524710803736&lt;/D&gt;&lt;D xsi:type="xsd:double"&gt;98.2756314352997&lt;/D&gt;&lt;D xsi:type="xsd:double"&gt;99.173318047948&lt;/D&gt;&lt;D xsi:type="xsd:double"&gt;92.9721447361621&lt;/D&gt;&lt;D xsi:type="xsd:double"&gt;95.9300453619084&lt;/D&gt;&lt;D xsi:type="xsd:double"&gt;90.8655881956413&lt;/D&gt;&lt;D xsi:type="xsd:double"&gt;86.7502122595155&lt;/D&gt;&lt;D xsi:type="xsd:double"&gt;82.4183280154918&lt;/D&gt;&lt;D xsi:type="xsd:double"&gt;81.658659448292&lt;/D&gt;&lt;D xsi:type="xsd:double"&gt;76.1742309932994&lt;/D&gt;&lt;D xsi:type="xsd:double"&gt;78.6468429174094&lt;/D&gt;&lt;D xsi:type="xsd:double"&gt;80.5948632287543&lt;/D&gt;&lt;D xsi:type="xsd:double"&gt;85.4454758201069&lt;/D&gt;&lt;D xsi:type="xsd:double"&gt;93.1490153924294&lt;/D&gt;&lt;D xsi:type="xsd:double"&gt;89.2744565448943&lt;/D&gt;&lt;D xsi:type="xsd:double"&gt;84.904729084543&lt;/D&gt;&lt;D xsi:type="xsd:double"&gt;95.699710458674&lt;/D&gt;&lt;D xsi:type="xsd:double"&gt;95.7230479500487&lt;/D&gt;&lt;D xsi:type="xsd:double"&gt;105.285853844092&lt;/D&gt;&lt;D xsi:type="xsd:double"&gt;116.320799950058&lt;/D&gt;&lt;D xsi:type="xsd:double"&gt;119.300582400441&lt;/D&gt;&lt;D xsi:type="xsd:double"&gt;122.91204021533&lt;/D&gt;&lt;D xsi:type="xsd:double"&gt;117.115136635677&lt;/D&gt;&lt;D xsi:type="xsd:double"&gt;116.83166016709&lt;/D&gt;&lt;D xsi:type="xsd:double"&gt;118.015205613012&lt;/D&gt;&lt;D xsi:type="xsd:double"&gt;115.870027182622&lt;/D&gt;&lt;D xsi:type="xsd:double"&gt;110.144072621585&lt;/D&gt;&lt;D xsi:type="xsd:double"&gt;105.965613601854&lt;/D&gt;&lt;D xsi:type="xsd:double"&gt;118.848318882819&lt;/D&gt;&lt;D xsi:type="xsd:double"&gt;126.527564546297&lt;/D&gt;&lt;D xsi:type="xsd:double"&gt;133.748135876881&lt;/D&gt;&lt;D xsi:type="xsd:double"&gt;138.910132119158&lt;/D&gt;&lt;D xsi:type="xsd:double"&gt;136.578748507302&lt;/D&gt;&lt;D xsi:type="xsd:double"&gt;128.250098990661&lt;/D&gt;&lt;D xsi:type="xsd:double"&gt;132.662513882856&lt;/D&gt;&lt;D xsi:type="xsd:double"&gt;142.465128646389&lt;/D&gt;&lt;D xsi:type="xsd:double"&gt;139.029223734058&lt;/D&gt;&lt;D xsi:type="xsd:double"&gt;144.99389169578&lt;/D&gt;&lt;D xsi:type="xsd:double"&gt;155.905902970625&lt;/D&gt;&lt;D xsi:type="xsd:double"&gt;154.664675346254&lt;/D&gt;&lt;D xsi:type="xsd:double"&gt;162.532109434747&lt;/D&gt;&lt;D xsi:type="xsd:double"&gt;154.040492013978&lt;/D&gt;&lt;D xsi:type="xsd:double"&gt;155.026308222594&lt;/D&gt;&lt;D xsi:type="xsd:double"&gt;153.689622840127&lt;/D&gt;&lt;D xsi:type="xsd:double"&gt;160.519572927562&lt;/D&gt;&lt;D xsi:type="xsd:double"&gt;161.897938898984&lt;/D&gt;&lt;D xsi:type="xsd:double"&gt;155.07803456484&lt;/D&gt;&lt;D xsi:type="xsd:double"&gt;148.591632069878&lt;/D&gt;&lt;/FQL&gt;&lt;FQL&gt;&lt;Q&gt;899901^JULIAN(MSCI_TOTAL_RET_IDX(2/27/2026,1/31/2000,M,EUR,"GROSS").DATES)&lt;/Q&gt;&lt;R&gt;314&lt;/R&gt;&lt;C&gt;1&lt;/C&gt;&lt;D xsi:type="xsd:long"&gt;46080&lt;/D&gt;&lt;D xsi:type="xsd:long"&gt;46052&lt;/D&gt;&lt;D xsi:type="xsd:long"&gt;46022&lt;/D&gt;&lt;D xsi:type="xsd:long"&gt;45989&lt;/D&gt;&lt;D xsi:type="xsd:long"&gt;45961&lt;/D&gt;&lt;D xsi:type="xsd:long"&gt;45930&lt;/D&gt;&lt;D xsi:type="xsd:long"&gt;45898&lt;/D&gt;&lt;D xsi:type="xsd:long"&gt;45869&lt;/D&gt;&lt;D xsi:type="xsd:long"&gt;45838&lt;/D&gt;&lt;D xsi:type="xsd:long"&gt;45807&lt;/D&gt;&lt;D xsi:type="xsd:long"&gt;45777&lt;/D&gt;&lt;D xsi:type="xsd:long"&gt;45747&lt;/D&gt;&lt;D xsi:type="xsd:long"&gt;45716&lt;/D&gt;&lt;D xsi:type="xsd:long"&gt;45688&lt;/D&gt;&lt;D xsi:type="xsd:long"&gt;45657&lt;/D&gt;&lt;D xsi:type="xsd:long"&gt;45625&lt;/D&gt;&lt;D xsi:type="xsd:long"&gt;45596&lt;/D&gt;&lt;D xsi:type="xsd:long"&gt;45565&lt;/D&gt;&lt;D xsi:type="xsd:long"&gt;45534&lt;/D&gt;&lt;D xsi:type="xsd:long"&gt;45504&lt;/D&gt;&lt;D xsi:type="xsd:long"&gt;45471&lt;/D&gt;&lt;D xsi:type="xsd:long"&gt;45443&lt;/D&gt;&lt;D xsi:type="xsd:long"&gt;45412&lt;/D&gt;&lt;D xsi:type="xsd:long"&gt;45379&lt;/D&gt;&lt;D xsi:type="xsd:long"&gt;45351&lt;/D&gt;&lt;D xsi:type="xsd:long"&gt;45322&lt;/D&gt;&lt;D xsi:type="xsd:long"&gt;45289&lt;/D&gt;&lt;D xsi:type="xsd:long"&gt;45260&lt;/D&gt;&lt;D xsi:type="xsd:long"&gt;45230&lt;/D&gt;&lt;D xsi:type="xsd:long"&gt;45198&lt;/D&gt;&lt;D xsi:type="xsd:long"&gt;45169&lt;/D&gt;&lt;D xsi:type="xsd:long"&gt;45138&lt;/D&gt;&lt;D xsi:type="xsd:long"&gt;45107&lt;/D&gt;&lt;D xsi:type="xsd:long"&gt;45077&lt;/D&gt;&lt;D xsi:type="xsd:long"&gt;45044&lt;/D&gt;&lt;D xsi:type="xsd:long"&gt;45016&lt;/D&gt;&lt;D xsi:type="xsd:long"&gt;44985&lt;/D&gt;&lt;D xsi:type="xsd:long"&gt;44957&lt;/D&gt;&lt;D xsi:type="xsd:long"&gt;44925&lt;/D&gt;&lt;D xsi:type="xsd:long"&gt;44895&lt;/D&gt;&lt;D xsi:type="xsd:long"&gt;44865&lt;/D&gt;&lt;D xsi:type="xsd:long"&gt;44834&lt;/D&gt;&lt;D xsi:type="xsd:long"&gt;44804&lt;/D&gt;&lt;D xsi:type="xsd:long"&gt;44771&lt;/D&gt;&lt;D xsi:type="xsd:long"&gt;44742&lt;/D&gt;&lt;D xsi:type="xsd:long"&gt;44712&lt;/D&gt;&lt;D xsi:type="xsd:long"&gt;44680&lt;/D&gt;&lt;D xsi:type="xsd:long"&gt;44651&lt;/D&gt;&lt;D xsi:type="xsd:long"&gt;44620&lt;/D&gt;&lt;D xsi:type="xsd:long"&gt;44592&lt;/D&gt;&lt;D xsi:type="xsd:long"&gt;44561&lt;/D&gt;&lt;D xsi:type="xsd:long"&gt;44530&lt;/D&gt;&lt;D xsi:type="xsd:long"&gt;44498&lt;/D&gt;&lt;D xsi:type="xsd:long"&gt;44469&lt;/D&gt;&lt;D xsi:type="xsd:long"&gt;44439&lt;/D&gt;&lt;D xsi:type="xsd:long"&gt;44407&lt;/D&gt;&lt;D xsi:type="xsd:long"&gt;44377&lt;/D&gt;&lt;D xsi:type="xsd:long"&gt;44344&lt;/D&gt;&lt;D xsi:type="xsd:long"&gt;44316&lt;/D&gt;&lt;D xsi:type="xsd:long"&gt;44286&lt;/D&gt;&lt;D xsi:type="xsd:long"&gt;44253&lt;/D&gt;&lt;D xsi:type="xsd:long"&gt;44225&lt;/D&gt;&lt;D xsi:type="xsd:long"&gt;44196&lt;/D&gt;&lt;D xsi:type="xsd:long"&gt;44165&lt;/D&gt;&lt;D xsi:type="xsd:long"&gt;44134&lt;/D&gt;&lt;D xsi:type="xsd:long"&gt;44104&lt;/D&gt;&lt;D xsi:type="xsd:long"&gt;44074&lt;/D&gt;&lt;D xsi:type="xsd:long"&gt;44043&lt;/D&gt;&lt;D xsi:type="xsd:long"&gt;44012&lt;/D&gt;&lt;D xsi:type="xsd:long"&gt;43980&lt;/D&gt;&lt;D xsi:type="xsd:long"&gt;43951&lt;/D&gt;&lt;D xsi:type="xsd:long"&gt;43921&lt;/D&gt;&lt;D xsi:type="xsd:long"&gt;43889&lt;/D&gt;&lt;D xsi:type="xsd:long"&gt;43861&lt;/D&gt;&lt;D xsi:type="xsd:long"&gt;43830&lt;/D&gt;&lt;D xsi:type="xsd:long"&gt;43798&lt;/D&gt;&lt;D xsi:type="xsd:long"&gt;43769&lt;/D&gt;&lt;D xsi:type="xsd:long"&gt;43738&lt;/D&gt;&lt;D xsi:type="xsd:long"&gt;43707&lt;/D&gt;&lt;D xsi:type="xsd:long"&gt;43677&lt;/D&gt;&lt;D xsi:type="xsd:long"&gt;43644&lt;/D&gt;&lt;D xsi:type="xsd:long"&gt;43616&lt;/D&gt;&lt;D xsi:type="xsd:long"&gt;43585&lt;/D&gt;&lt;D xsi:type="xsd:long"&gt;43553&lt;/D&gt;&lt;D xsi:type="xsd:long"&gt;43524&lt;/D&gt;&lt;D xsi:type="xsd:long"&gt;43496&lt;/D&gt;&lt;D xsi:type="xsd:long"&gt;43465&lt;/D&gt;&lt;D xsi:type="xsd:long"&gt;43434&lt;/D&gt;&lt;D xsi:type="xsd:long"&gt;43404&lt;/D&gt;&lt;D xsi:type="xsd:long"&gt;43371&lt;/D&gt;&lt;D xsi:type="xsd:long"&gt;43343&lt;/D&gt;&lt;D xsi:type="xsd:long"&gt;43312&lt;/D&gt;&lt;D xsi:type="xsd:long"&gt;43280&lt;/D&gt;&lt;D xsi:type="xsd:long"&gt;43251&lt;/D&gt;&lt;D xsi:type="xsd:long"&gt;43220&lt;/D&gt;&lt;D xsi:type="xsd:long"&gt;43188&lt;/D&gt;&lt;D xsi:type="xsd:long"&gt;43159&lt;/D&gt;&lt;D xsi:type="xsd:long"&gt;43131&lt;/D&gt;&lt;D xsi:type="xsd:long"&gt;43098&lt;/D&gt;&lt;D xsi:type="xsd:long"&gt;43069&lt;/D&gt;&lt;D xsi:type="xsd:long"&gt;43039&lt;/D&gt;&lt;D xsi:type="xsd:long"&gt;43007&lt;/D&gt;&lt;D xsi:type="xsd:long"&gt;42978&lt;/D&gt;&lt;D xsi:type="xsd:long"&gt;42947&lt;/D&gt;&lt;D xsi:type="xsd:long"&gt;42916&lt;/D&gt;&lt;D xsi:type="xsd:long"&gt;42886&lt;/D&gt;&lt;D xsi:type="xsd:long"&gt;42853&lt;/D&gt;&lt;D xsi:type="xsd:long"&gt;42825&lt;/D&gt;&lt;D xsi:type="xsd:long"&gt;42794&lt;/D&gt;&lt;D xsi:type="xsd:long"&gt;42766&lt;/D&gt;&lt;D xsi:type="xsd:long"&gt;42734&lt;/D&gt;&lt;D xsi:type="xsd:long"&gt;42704&lt;/D&gt;&lt;D xsi:type="xsd:long"&gt;42674&lt;/D&gt;&lt;D xsi:type="xsd:long"&gt;42643&lt;/D&gt;&lt;D xsi:type="xsd:long"&gt;42613&lt;/D&gt;&lt;D xsi:type="xsd:long"&gt;42580&lt;/D&gt;&lt;D xsi:type="xsd:long"&gt;42551&lt;/D&gt;&lt;D xsi:type="xsd:long"&gt;42521&lt;/D&gt;&lt;D xsi:type="xsd:long"&gt;42489&lt;/D&gt;&lt;D xsi:type="xsd:long"&gt;42460&lt;/D&gt;&lt;D xsi:type="xsd:long"&gt;42429&lt;/D&gt;&lt;D xsi:type="xsd:long"&gt;42398&lt;/D&gt;&lt;D xsi:type="xsd:long"&gt;42369&lt;/D&gt;&lt;D xsi:type="xsd:long"&gt;42338&lt;/D&gt;&lt;D xsi:type="xsd:long"&gt;42307&lt;/D&gt;&lt;D xsi:type="xsd:long"&gt;42277&lt;/D&gt;&lt;D xsi:type="xsd:long"&gt;42247&lt;/D&gt;&lt;D xsi:type="xsd:long"&gt;42216&lt;/D&gt;&lt;D xsi:type="xsd:long"&gt;42185&lt;/D&gt;&lt;D xsi:type="xsd:long"&gt;42153&lt;/D&gt;&lt;D xsi:type="xsd:long"&gt;42124&lt;/D&gt;&lt;D xsi:type="xsd:long"&gt;42094&lt;/D&gt;&lt;D xsi:type="xsd:long"&gt;42062&lt;/D&gt;&lt;D xsi:type="xsd:long"&gt;42034&lt;/D&gt;&lt;D xsi:type="xsd:long"&gt;42004&lt;/D&gt;&lt;D xsi:type="xsd:long"&gt;41971&lt;/D&gt;&lt;D xsi:type="xsd:long"&gt;41943&lt;/D&gt;&lt;D xsi:type="xsd:long"&gt;41912&lt;/D&gt;&lt;D xsi:type="xsd:long"&gt;41880&lt;/D&gt;&lt;D xsi:type="xsd:long"&gt;41851&lt;/D&gt;&lt;D xsi:type="xsd:long"&gt;41820&lt;/D&gt;&lt;D xsi:type="xsd:long"&gt;41789&lt;/D&gt;&lt;D xsi:type="xsd:long"&gt;41759&lt;/D&gt;&lt;D xsi:type="xsd:long"&gt;41729&lt;/D&gt;&lt;D xsi:type="xsd:long"&gt;41698&lt;/D&gt;&lt;D xsi:type="xsd:long"&gt;41670&lt;/D&gt;&lt;D xsi:type="xsd:long"&gt;41639&lt;/D&gt;&lt;D xsi:type="xsd:long"&gt;41607&lt;/D&gt;&lt;D xsi:type="xsd:long"&gt;41578&lt;/D&gt;&lt;D xsi:type="xsd:long"&gt;41547&lt;/D&gt;&lt;D xsi:type="xsd:long"&gt;41516&lt;/D&gt;&lt;D xsi:type="xsd:long"&gt;41486&lt;/D&gt;&lt;D xsi:type="xsd:long"&gt;41453&lt;/D&gt;&lt;D xsi:type="xsd:long"&gt;41425&lt;/D&gt;&lt;D xsi:type="xsd:long"&gt;41394&lt;/D&gt;&lt;D xsi:type="xsd:long"&gt;41361&lt;/D&gt;&lt;D xsi:type="xsd:long"&gt;41333&lt;/D&gt;&lt;D xsi:type="xsd:long"&gt;41305&lt;/D&gt;&lt;D xsi:type="xsd:long"&gt;41274&lt;/D&gt;&lt;D xsi:type="xsd:long"&gt;41243&lt;/D&gt;&lt;D xsi:type="xsd:long"&gt;41213&lt;/D&gt;&lt;D xsi:type="xsd:long"&gt;41180&lt;/D&gt;&lt;D xsi:type="xsd:long"&gt;41152&lt;/D&gt;&lt;D xsi:type="xsd:long"&gt;41121&lt;/D&gt;&lt;D xsi:type="xsd:long"&gt;41089&lt;/D&gt;&lt;D xsi:type="xsd:long"&gt;41060&lt;/D&gt;&lt;D xsi:type="xsd:long"&gt;41029&lt;/D&gt;&lt;D xsi:type="xsd:long"&gt;40998&lt;/D&gt;&lt;D xsi:type="xsd:long"&gt;40968&lt;/D&gt;&lt;D xsi:type="xsd:long"&gt;40939&lt;/D&gt;&lt;D xsi:type="xsd:long"&gt;40907&lt;/D&gt;&lt;D xsi:type="xsd:long"&gt;40877&lt;/D&gt;&lt;D xsi:type="xsd:long"&gt;40847&lt;/D&gt;&lt;D xsi:type="xsd:long"&gt;40816&lt;/D&gt;&lt;D xsi:type="xsd:long"&gt;40786&lt;/D&gt;&lt;D xsi:type="xsd:long"&gt;40753&lt;/D&gt;&lt;D xsi:type="xsd:long"&gt;40724&lt;/D&gt;&lt;D xsi:type="xsd:long"&gt;40694&lt;/D&gt;&lt;D xsi:type="xsd:long"&gt;40662&lt;/D&gt;&lt;D xsi:type="xsd:long"&gt;40633&lt;/D&gt;&lt;D xsi:type="xsd:long"&gt;40602&lt;/D&gt;&lt;D xsi:type="xsd:long"&gt;40574&lt;/D&gt;&lt;D xsi:type="xsd:long"&gt;40543&lt;/D&gt;&lt;D xsi:type="xsd:long"&gt;40512&lt;/D&gt;&lt;D xsi:type="xsd:long"&gt;40480&lt;/D&gt;&lt;D xsi:type="xsd:long"&gt;40451&lt;/D&gt;&lt;D xsi:type="xsd:long"&gt;40421&lt;/D&gt;&lt;D xsi:type="xsd:long"&gt;40389&lt;/D&gt;&lt;D xsi:type="xsd:long"&gt;40359&lt;/D&gt;&lt;D xsi:type="xsd:long"&gt;40326&lt;/D&gt;&lt;D xsi:type="xsd:long"&gt;40298&lt;/D&gt;&lt;D xsi:type="xsd:long"&gt;40268&lt;/D&gt;&lt;D xsi:type="xsd:long"&gt;40235&lt;/D&gt;&lt;D xsi:type="xsd:long"&gt;40207&lt;/D&gt;&lt;D xsi:type="xsd:long"&gt;40178&lt;/D&gt;&lt;D xsi:type="xsd:long"&gt;40147&lt;/D&gt;&lt;D xsi:type="xsd:long"&gt;40116&lt;/D&gt;&lt;D xsi:type="xsd:long"&gt;40086&lt;/D&gt;&lt;D xsi:type="xsd:long"&gt;40056&lt;/D&gt;&lt;D xsi:type="xsd:long"&gt;40025&lt;/D&gt;&lt;D xsi:type="xsd:long"&gt;39994&lt;/D&gt;&lt;D xsi:type="xsd:long"&gt;39962&lt;/D&gt;&lt;D xsi:type="xsd:long"&gt;39933&lt;/D&gt;&lt;D xsi:type="xsd:long"&gt;39903&lt;/D&gt;&lt;D xsi:type="xsd:long"&gt;39871&lt;/D&gt;&lt;D xsi:type="xsd:long"&gt;39843&lt;/D&gt;&lt;D xsi:type="xsd:long"&gt;39813&lt;/D&gt;&lt;D xsi:type="xsd:long"&gt;39780&lt;/D&gt;&lt;D xsi:type="xsd:long"&gt;39752&lt;/D&gt;&lt;D xsi:type="xsd:long"&gt;39721&lt;/D&gt;&lt;D xsi:type="xsd:long"&gt;39689&lt;/D&gt;&lt;D xsi:type="xsd:long"&gt;39660&lt;/D&gt;&lt;D xsi:type="xsd:long"&gt;39629&lt;/D&gt;&lt;D xsi:type="xsd:long"&gt;39598&lt;/D&gt;&lt;D xsi:type="xsd:long"&gt;39568&lt;/D&gt;&lt;D xsi:type="xsd:long"&gt;39538&lt;/D&gt;&lt;D xsi:type="xsd:long"&gt;39507&lt;/D&gt;&lt;D xsi:type="xsd:long"&gt;39478&lt;/D&gt;&lt;D xsi:type="xsd:long"&gt;39447&lt;/D&gt;&lt;D xsi:type="xsd:long"&gt;39416&lt;/D&gt;&lt;D xsi:type="xsd:long"&gt;39386&lt;/D&gt;&lt;D xsi:type="xsd:long"&gt;39353&lt;/D&gt;&lt;D xsi:type="xsd:long"&gt;39325&lt;/D&gt;&lt;D xsi:type="xsd:long"&gt;39294&lt;/D&gt;&lt;D xsi:type="xsd:long"&gt;39262&lt;/D&gt;&lt;D xsi:type="xsd:long"&gt;39233&lt;/D&gt;&lt;D xsi:type="xsd:long"&gt;39202&lt;/D&gt;&lt;D xsi:type="xsd:long"&gt;39171&lt;/D&gt;&lt;D xsi:type="xsd:long"&gt;39141&lt;/D&gt;&lt;D xsi:type="xsd:long"&gt;39113&lt;/D&gt;&lt;D xsi:type="xsd:long"&gt;39080&lt;/D&gt;&lt;D xsi:type="xsd:long"&gt;39051&lt;/D&gt;&lt;D xsi:type="xsd:long"&gt;39021&lt;/D&gt;&lt;D xsi:type="xsd:long"&gt;38989&lt;/D&gt;&lt;D xsi:type="xsd:long"&gt;38960&lt;/D&gt;&lt;D xsi:type="xsd:long"&gt;38929&lt;/D&gt;&lt;D xsi:type="xsd:long"&gt;38898&lt;/D&gt;&lt;D xsi:type="xsd:long"&gt;38868&lt;/D&gt;&lt;D xsi:type="xsd:long"&gt;38835&lt;/D&gt;&lt;D xsi:type="xsd:long"&gt;38807&lt;/D&gt;&lt;D xsi:type="xsd:long"&gt;38776&lt;/D&gt;&lt;D xsi:type="xsd:long"&gt;38748&lt;/D&gt;&lt;D xsi:type="xsd:long"&gt;38716&lt;/D&gt;&lt;D xsi:type="xsd:long"&gt;38686&lt;/D&gt;&lt;D xsi:type="xsd:long"&gt;38656&lt;/D&gt;&lt;D xsi:type="xsd:long"&gt;38625&lt;/D&gt;&lt;D xsi:type="xsd:long"&gt;38595&lt;/D&gt;&lt;D xsi:type="xsd:long"&gt;38562&lt;/D&gt;&lt;D xsi:type="xsd:long"&gt;38533&lt;/D&gt;&lt;D xsi:type="xsd:long"&gt;38503&lt;/D&gt;&lt;D xsi:type="xsd:long"&gt;38471&lt;/D&gt;&lt;D xsi:type="xsd:long"&gt;38442&lt;/D&gt;&lt;D xsi:type="xsd:long"&gt;38411&lt;/D&gt;&lt;D xsi:type="xsd:long"&gt;38383&lt;/D&gt;&lt;D xsi:type="xsd:long"&gt;38352&lt;/D&gt;&lt;D xsi:type="xsd:long"&gt;38321&lt;/D&gt;&lt;D xsi:type="xsd:long"&gt;38289&lt;/D&gt;&lt;D xsi:type="xsd:long"&gt;38260&lt;/D&gt;&lt;D xsi:type="xsd:long"&gt;38230&lt;/D&gt;&lt;D xsi:type="xsd:long"&gt;38198&lt;/D&gt;&lt;D xsi:type="xsd:long"&gt;38168&lt;/D&gt;&lt;D xsi:type="xsd:long"&gt;38135&lt;/D&gt;&lt;D xsi:type="xsd:long"&gt;38107&lt;/D&gt;&lt;D xsi:type="xsd:long"&gt;38077&lt;/D&gt;&lt;D xsi:type="xsd:long"&gt;38044&lt;/D&gt;&lt;D xsi:type="xsd:long"&gt;38016&lt;/D&gt;&lt;D xsi:type="xsd:long"&gt;37986&lt;/D&gt;&lt;D xsi:type="xsd:long"&gt;37953&lt;/D&gt;&lt;D xsi:type="xsd:long"&gt;37925&lt;/D&gt;&lt;D xsi:type="xsd:long"&gt;37894&lt;/D&gt;&lt;D xsi:type="xsd:long"&gt;37862&lt;/D&gt;&lt;D xsi:type="xsd:long"&gt;37833&lt;/D&gt;&lt;D xsi:type="xsd:long"&gt;37802&lt;/D&gt;&lt;D xsi:type="xsd:long"&gt;37771&lt;/D&gt;&lt;D xsi:type="xsd:long"&gt;37741&lt;/D&gt;&lt;D xsi:type="xsd:long"&gt;37711&lt;/D&gt;&lt;D xsi:type="xsd:long"&gt;37680&lt;/D&gt;&lt;D xsi:type="xsd:long"&gt;37652&lt;/D&gt;&lt;D xsi:type="xsd:long"&gt;37621&lt;/D&gt;&lt;D xsi:type="xsd:long"&gt;37589&lt;/D&gt;&lt;D xsi:type="xsd:long"&gt;37560&lt;/D&gt;&lt;D xsi:type="xsd:long"&gt;37529&lt;/D&gt;&lt;D xsi:type="xsd:long"&gt;37498&lt;/D&gt;&lt;D xsi:type="xsd:long"&gt;37468&lt;/D&gt;&lt;D xsi:type="xsd:long"&gt;37435&lt;/D&gt;&lt;D xsi:type="xsd:long"&gt;37407&lt;/D&gt;&lt;D xsi:type="xsd:long"&gt;37376&lt;/D&gt;&lt;D xsi:type="xsd:long"&gt;37343&lt;/D&gt;&lt;D xsi:type="xsd:long"&gt;37315&lt;/D&gt;&lt;D xsi:type="xsd:long"&gt;37287&lt;/D&gt;&lt;D xsi:type="xsd:long"&gt;37256&lt;/D&gt;&lt;D xsi:type="xsd:long"&gt;37225&lt;/D&gt;&lt;D xsi:type="xsd:long"&gt;37195&lt;/D&gt;&lt;D xsi:type="xsd:long"&gt;37162&lt;/D&gt;&lt;D xsi:type="xsd:long"&gt;37134&lt;/D&gt;&lt;D xsi:type="xsd:long"&gt;37103&lt;/D&gt;&lt;D xsi:type="xsd:long"&gt;37071&lt;/D&gt;&lt;D xsi:type="xsd:long"&gt;37042&lt;/D&gt;&lt;D xsi:type="xsd:long"&gt;37011&lt;/D&gt;&lt;D xsi:type="xsd:long"&gt;36980&lt;/D&gt;&lt;D xsi:type="xsd:long"&gt;36950&lt;/D&gt;&lt;D xsi:type="xsd:long"&gt;36922&lt;/D&gt;&lt;D xsi:type="xsd:long"&gt;36889&lt;/D&gt;&lt;D xsi:type="xsd:long"&gt;36860&lt;/D&gt;&lt;D xsi:type="xsd:long"&gt;36830&lt;/D&gt;&lt;D xsi:type="xsd:long"&gt;36798&lt;/D&gt;&lt;D xsi:type="xsd:long"&gt;36769&lt;/D&gt;&lt;D xsi:type="xsd:long"&gt;36738&lt;/D&gt;&lt;D xsi:type="xsd:long"&gt;36707&lt;/D&gt;&lt;D xsi:type="xsd:long"&gt;36677&lt;/D&gt;&lt;D xsi:type="xsd:long"&gt;36644&lt;/D&gt;&lt;D xsi:type="xsd:long"&gt;36616&lt;/D&gt;&lt;D xsi:type="xsd:long"&gt;36585&lt;/D&gt;&lt;D xsi:type="xsd:long"&gt;36556&lt;/D&gt;&lt;/FQL&gt;&lt;/Schema&gt;</t>
        </r>
      </text>
    </comment>
  </commentList>
</comments>
</file>

<file path=xl/sharedStrings.xml><?xml version="1.0" encoding="utf-8"?>
<sst xmlns="http://schemas.openxmlformats.org/spreadsheetml/2006/main" count="329" uniqueCount="323">
  <si>
    <t>Date</t>
  </si>
  <si>
    <t>02/27/2026</t>
  </si>
  <si>
    <t>03/17/2026</t>
  </si>
  <si>
    <t>03/17/2026</t>
    <phoneticPr fontId="1" type="noConversion"/>
  </si>
  <si>
    <t>MSCI World Index</t>
  </si>
  <si>
    <t>MSCI World ex USA</t>
  </si>
  <si>
    <t>MSCI AC World</t>
  </si>
  <si>
    <t>MSCI EM (Emerging Markets)</t>
  </si>
  <si>
    <t>01/30/2026</t>
  </si>
  <si>
    <t>12/31/2025</t>
  </si>
  <si>
    <t>11/28/2025</t>
  </si>
  <si>
    <t>10/31/2025</t>
  </si>
  <si>
    <t>09/30/2025</t>
  </si>
  <si>
    <t>08/29/2025</t>
  </si>
  <si>
    <t>07/31/2025</t>
  </si>
  <si>
    <t>06/30/2025</t>
  </si>
  <si>
    <t>05/30/2025</t>
  </si>
  <si>
    <t>04/30/2025</t>
  </si>
  <si>
    <t>03/31/2025</t>
  </si>
  <si>
    <t>02/28/2025</t>
  </si>
  <si>
    <t>01/31/2025</t>
  </si>
  <si>
    <t>12/31/2024</t>
  </si>
  <si>
    <t>11/29/2024</t>
  </si>
  <si>
    <t>10/31/2024</t>
  </si>
  <si>
    <t>09/30/2024</t>
  </si>
  <si>
    <t>08/30/2024</t>
  </si>
  <si>
    <t>07/31/2024</t>
  </si>
  <si>
    <t>06/28/2024</t>
  </si>
  <si>
    <t>05/31/2024</t>
  </si>
  <si>
    <t>04/30/2024</t>
  </si>
  <si>
    <t>03/28/2024</t>
  </si>
  <si>
    <t>02/29/2024</t>
  </si>
  <si>
    <t>01/31/2024</t>
  </si>
  <si>
    <t>12/29/2023</t>
  </si>
  <si>
    <t>11/30/2023</t>
  </si>
  <si>
    <t>10/31/2023</t>
  </si>
  <si>
    <t>09/29/2023</t>
  </si>
  <si>
    <t>08/31/2023</t>
  </si>
  <si>
    <t>07/31/2023</t>
  </si>
  <si>
    <t>06/30/2023</t>
  </si>
  <si>
    <t>05/31/2023</t>
  </si>
  <si>
    <t>04/28/2023</t>
  </si>
  <si>
    <t>03/31/2023</t>
  </si>
  <si>
    <t>02/28/2023</t>
  </si>
  <si>
    <t>01/31/2023</t>
  </si>
  <si>
    <t>12/30/2022</t>
  </si>
  <si>
    <t>11/30/2022</t>
  </si>
  <si>
    <t>10/31/2022</t>
  </si>
  <si>
    <t>09/30/2022</t>
  </si>
  <si>
    <t>08/31/2022</t>
  </si>
  <si>
    <t>07/29/2022</t>
  </si>
  <si>
    <t>06/30/2022</t>
  </si>
  <si>
    <t>05/31/2022</t>
  </si>
  <si>
    <t>04/29/2022</t>
  </si>
  <si>
    <t>03/31/2022</t>
  </si>
  <si>
    <t>02/28/2022</t>
  </si>
  <si>
    <t>01/31/2022</t>
  </si>
  <si>
    <t>12/31/2021</t>
  </si>
  <si>
    <t>11/30/2021</t>
  </si>
  <si>
    <t>10/29/2021</t>
  </si>
  <si>
    <t>09/30/2021</t>
  </si>
  <si>
    <t>08/31/2021</t>
  </si>
  <si>
    <t>07/30/2021</t>
  </si>
  <si>
    <t>06/30/2021</t>
  </si>
  <si>
    <t>05/28/2021</t>
  </si>
  <si>
    <t>04/30/2021</t>
  </si>
  <si>
    <t>03/31/2021</t>
  </si>
  <si>
    <t>02/26/2021</t>
  </si>
  <si>
    <t>01/29/2021</t>
  </si>
  <si>
    <t>12/31/2020</t>
  </si>
  <si>
    <t>11/30/2020</t>
  </si>
  <si>
    <t>10/30/2020</t>
  </si>
  <si>
    <t>09/30/2020</t>
  </si>
  <si>
    <t>08/31/2020</t>
  </si>
  <si>
    <t>07/31/2020</t>
  </si>
  <si>
    <t>06/30/2020</t>
  </si>
  <si>
    <t>05/29/2020</t>
  </si>
  <si>
    <t>04/30/2020</t>
  </si>
  <si>
    <t>03/31/2020</t>
  </si>
  <si>
    <t>02/28/2020</t>
  </si>
  <si>
    <t>01/31/2020</t>
  </si>
  <si>
    <t>12/31/2019</t>
  </si>
  <si>
    <t>11/29/2019</t>
  </si>
  <si>
    <t>10/31/2019</t>
  </si>
  <si>
    <t>09/30/2019</t>
  </si>
  <si>
    <t>08/30/2019</t>
  </si>
  <si>
    <t>07/31/2019</t>
  </si>
  <si>
    <t>06/28/2019</t>
  </si>
  <si>
    <t>05/31/2019</t>
  </si>
  <si>
    <t>04/30/2019</t>
  </si>
  <si>
    <t>03/29/2019</t>
  </si>
  <si>
    <t>02/28/2019</t>
  </si>
  <si>
    <t>01/31/2019</t>
  </si>
  <si>
    <t>12/31/2018</t>
  </si>
  <si>
    <t>11/30/2018</t>
  </si>
  <si>
    <t>10/31/2018</t>
  </si>
  <si>
    <t>09/28/2018</t>
  </si>
  <si>
    <t>08/31/2018</t>
  </si>
  <si>
    <t>07/31/2018</t>
  </si>
  <si>
    <t>06/29/2018</t>
  </si>
  <si>
    <t>05/31/2018</t>
  </si>
  <si>
    <t>04/30/2018</t>
  </si>
  <si>
    <t>03/29/2018</t>
  </si>
  <si>
    <t>02/28/2018</t>
  </si>
  <si>
    <t>01/31/2018</t>
  </si>
  <si>
    <t>12/29/2017</t>
  </si>
  <si>
    <t>11/30/2017</t>
  </si>
  <si>
    <t>10/31/2017</t>
  </si>
  <si>
    <t>09/29/2017</t>
  </si>
  <si>
    <t>08/31/2017</t>
  </si>
  <si>
    <t>07/31/2017</t>
  </si>
  <si>
    <t>06/30/2017</t>
  </si>
  <si>
    <t>05/31/2017</t>
  </si>
  <si>
    <t>04/28/2017</t>
  </si>
  <si>
    <t>03/31/2017</t>
  </si>
  <si>
    <t>02/28/2017</t>
  </si>
  <si>
    <t>01/31/2017</t>
  </si>
  <si>
    <t>12/30/2016</t>
  </si>
  <si>
    <t>11/30/2016</t>
  </si>
  <si>
    <t>10/31/2016</t>
  </si>
  <si>
    <t>09/30/2016</t>
  </si>
  <si>
    <t>08/31/2016</t>
  </si>
  <si>
    <t>07/29/2016</t>
  </si>
  <si>
    <t>06/30/2016</t>
  </si>
  <si>
    <t>05/31/2016</t>
  </si>
  <si>
    <t>04/29/2016</t>
  </si>
  <si>
    <t>03/31/2016</t>
  </si>
  <si>
    <t>02/29/2016</t>
  </si>
  <si>
    <t>01/29/2016</t>
  </si>
  <si>
    <t>12/31/2015</t>
  </si>
  <si>
    <t>11/30/2015</t>
  </si>
  <si>
    <t>10/30/2015</t>
  </si>
  <si>
    <t>09/30/2015</t>
  </si>
  <si>
    <t>08/31/2015</t>
  </si>
  <si>
    <t>07/31/2015</t>
  </si>
  <si>
    <t>06/30/2015</t>
  </si>
  <si>
    <t>05/29/2015</t>
  </si>
  <si>
    <t>04/30/2015</t>
  </si>
  <si>
    <t>03/31/2015</t>
  </si>
  <si>
    <t>02/27/2015</t>
  </si>
  <si>
    <t>01/30/2015</t>
  </si>
  <si>
    <t>12/31/2014</t>
  </si>
  <si>
    <t>11/28/2014</t>
  </si>
  <si>
    <t>10/31/2014</t>
  </si>
  <si>
    <t>09/30/2014</t>
  </si>
  <si>
    <t>08/29/2014</t>
  </si>
  <si>
    <t>07/31/2014</t>
  </si>
  <si>
    <t>06/30/2014</t>
  </si>
  <si>
    <t>05/30/2014</t>
  </si>
  <si>
    <t>04/30/2014</t>
  </si>
  <si>
    <t>03/31/2014</t>
  </si>
  <si>
    <t>02/28/2014</t>
  </si>
  <si>
    <t>01/31/2014</t>
  </si>
  <si>
    <t>12/31/2013</t>
  </si>
  <si>
    <t>11/29/2013</t>
  </si>
  <si>
    <t>10/31/2013</t>
  </si>
  <si>
    <t>09/30/2013</t>
  </si>
  <si>
    <t>08/30/2013</t>
  </si>
  <si>
    <t>07/31/2013</t>
  </si>
  <si>
    <t>06/28/2013</t>
  </si>
  <si>
    <t>05/31/2013</t>
  </si>
  <si>
    <t>04/30/2013</t>
  </si>
  <si>
    <t>03/28/2013</t>
  </si>
  <si>
    <t>02/28/2013</t>
  </si>
  <si>
    <t>01/31/2013</t>
  </si>
  <si>
    <t>12/31/2012</t>
  </si>
  <si>
    <t>11/30/2012</t>
  </si>
  <si>
    <t>10/31/2012</t>
  </si>
  <si>
    <t>09/28/2012</t>
  </si>
  <si>
    <t>08/31/2012</t>
  </si>
  <si>
    <t>07/31/2012</t>
  </si>
  <si>
    <t>06/29/2012</t>
  </si>
  <si>
    <t>05/31/2012</t>
  </si>
  <si>
    <t>04/30/2012</t>
  </si>
  <si>
    <t>03/30/2012</t>
  </si>
  <si>
    <t>02/29/2012</t>
  </si>
  <si>
    <t>01/31/2012</t>
  </si>
  <si>
    <t>12/30/2011</t>
  </si>
  <si>
    <t>11/30/2011</t>
  </si>
  <si>
    <t>10/31/2011</t>
  </si>
  <si>
    <t>09/30/2011</t>
  </si>
  <si>
    <t>08/31/2011</t>
  </si>
  <si>
    <t>07/29/2011</t>
  </si>
  <si>
    <t>06/30/2011</t>
  </si>
  <si>
    <t>05/31/2011</t>
  </si>
  <si>
    <t>04/29/2011</t>
  </si>
  <si>
    <t>03/31/2011</t>
  </si>
  <si>
    <t>02/28/2011</t>
  </si>
  <si>
    <t>01/31/2011</t>
  </si>
  <si>
    <t>12/31/2010</t>
  </si>
  <si>
    <t>11/30/2010</t>
  </si>
  <si>
    <t>10/29/2010</t>
  </si>
  <si>
    <t>09/30/2010</t>
  </si>
  <si>
    <t>08/31/2010</t>
  </si>
  <si>
    <t>07/30/2010</t>
  </si>
  <si>
    <t>06/30/2010</t>
  </si>
  <si>
    <t>05/28/2010</t>
  </si>
  <si>
    <t>04/30/2010</t>
  </si>
  <si>
    <t>03/31/2010</t>
  </si>
  <si>
    <t>02/26/2010</t>
  </si>
  <si>
    <t>01/29/2010</t>
  </si>
  <si>
    <t>12/31/2009</t>
  </si>
  <si>
    <t>11/30/2009</t>
  </si>
  <si>
    <t>10/30/2009</t>
  </si>
  <si>
    <t>09/30/2009</t>
  </si>
  <si>
    <t>08/31/2009</t>
  </si>
  <si>
    <t>07/31/2009</t>
  </si>
  <si>
    <t>06/30/2009</t>
  </si>
  <si>
    <t>05/29/2009</t>
  </si>
  <si>
    <t>04/30/2009</t>
  </si>
  <si>
    <t>03/31/2009</t>
  </si>
  <si>
    <t>02/27/2009</t>
  </si>
  <si>
    <t>01/30/2009</t>
  </si>
  <si>
    <t>12/31/2008</t>
  </si>
  <si>
    <t>11/28/2008</t>
  </si>
  <si>
    <t>10/31/2008</t>
  </si>
  <si>
    <t>09/30/2008</t>
  </si>
  <si>
    <t>08/29/2008</t>
  </si>
  <si>
    <t>07/31/2008</t>
  </si>
  <si>
    <t>06/30/2008</t>
  </si>
  <si>
    <t>05/30/2008</t>
  </si>
  <si>
    <t>04/30/2008</t>
  </si>
  <si>
    <t>03/31/2008</t>
  </si>
  <si>
    <t>02/29/2008</t>
  </si>
  <si>
    <t>01/31/2008</t>
  </si>
  <si>
    <t>12/31/2007</t>
  </si>
  <si>
    <t>11/30/2007</t>
  </si>
  <si>
    <t>10/31/2007</t>
  </si>
  <si>
    <t>09/28/2007</t>
  </si>
  <si>
    <t>08/31/2007</t>
  </si>
  <si>
    <t>07/31/2007</t>
  </si>
  <si>
    <t>06/29/2007</t>
  </si>
  <si>
    <t>05/31/2007</t>
  </si>
  <si>
    <t>04/30/2007</t>
  </si>
  <si>
    <t>03/30/2007</t>
  </si>
  <si>
    <t>02/28/2007</t>
  </si>
  <si>
    <t>01/31/2007</t>
  </si>
  <si>
    <t>12/29/2006</t>
  </si>
  <si>
    <t>11/30/2006</t>
  </si>
  <si>
    <t>10/31/2006</t>
  </si>
  <si>
    <t>09/29/2006</t>
  </si>
  <si>
    <t>08/31/2006</t>
  </si>
  <si>
    <t>07/31/2006</t>
  </si>
  <si>
    <t>06/30/2006</t>
  </si>
  <si>
    <t>05/31/2006</t>
  </si>
  <si>
    <t>04/28/2006</t>
  </si>
  <si>
    <t>03/31/2006</t>
  </si>
  <si>
    <t>02/28/2006</t>
  </si>
  <si>
    <t>01/31/2006</t>
  </si>
  <si>
    <t>12/30/2005</t>
  </si>
  <si>
    <t>11/30/2005</t>
  </si>
  <si>
    <t>10/31/2005</t>
  </si>
  <si>
    <t>09/30/2005</t>
  </si>
  <si>
    <t>08/31/2005</t>
  </si>
  <si>
    <t>07/29/2005</t>
  </si>
  <si>
    <t>06/30/2005</t>
  </si>
  <si>
    <t>05/31/2005</t>
  </si>
  <si>
    <t>04/29/2005</t>
  </si>
  <si>
    <t>03/31/2005</t>
  </si>
  <si>
    <t>02/28/2005</t>
  </si>
  <si>
    <t>01/31/2005</t>
  </si>
  <si>
    <t>12/31/2004</t>
  </si>
  <si>
    <t>11/30/2004</t>
  </si>
  <si>
    <t>10/29/2004</t>
  </si>
  <si>
    <t>09/30/2004</t>
  </si>
  <si>
    <t>08/31/2004</t>
  </si>
  <si>
    <t>07/30/2004</t>
  </si>
  <si>
    <t>06/30/2004</t>
  </si>
  <si>
    <t>05/28/2004</t>
  </si>
  <si>
    <t>04/30/2004</t>
  </si>
  <si>
    <t>03/31/2004</t>
  </si>
  <si>
    <t>02/27/2004</t>
  </si>
  <si>
    <t>01/30/2004</t>
  </si>
  <si>
    <t>12/31/2003</t>
  </si>
  <si>
    <t>11/28/2003</t>
  </si>
  <si>
    <t>10/31/2003</t>
  </si>
  <si>
    <t>09/30/2003</t>
  </si>
  <si>
    <t>08/29/2003</t>
  </si>
  <si>
    <t>07/31/2003</t>
  </si>
  <si>
    <t>06/30/2003</t>
  </si>
  <si>
    <t>05/30/2003</t>
  </si>
  <si>
    <t>04/30/2003</t>
  </si>
  <si>
    <t>03/31/2003</t>
  </si>
  <si>
    <t>02/28/2003</t>
  </si>
  <si>
    <t>01/31/2003</t>
  </si>
  <si>
    <t>12/31/2002</t>
  </si>
  <si>
    <t>11/29/2002</t>
  </si>
  <si>
    <t>10/31/2002</t>
  </si>
  <si>
    <t>09/30/2002</t>
  </si>
  <si>
    <t>08/30/2002</t>
  </si>
  <si>
    <t>07/31/2002</t>
  </si>
  <si>
    <t>06/28/2002</t>
  </si>
  <si>
    <t>05/31/2002</t>
  </si>
  <si>
    <t>04/30/2002</t>
  </si>
  <si>
    <t>03/28/2002</t>
  </si>
  <si>
    <t>02/28/2002</t>
  </si>
  <si>
    <t>01/31/2002</t>
  </si>
  <si>
    <t>12/31/2001</t>
  </si>
  <si>
    <t>11/30/2001</t>
  </si>
  <si>
    <t>10/31/2001</t>
  </si>
  <si>
    <t>09/28/2001</t>
  </si>
  <si>
    <t>08/31/2001</t>
  </si>
  <si>
    <t>07/31/2001</t>
  </si>
  <si>
    <t>06/29/2001</t>
  </si>
  <si>
    <t>05/31/2001</t>
  </si>
  <si>
    <t>04/30/2001</t>
  </si>
  <si>
    <t>03/30/2001</t>
  </si>
  <si>
    <t>02/28/2001</t>
  </si>
  <si>
    <t>01/31/2001</t>
  </si>
  <si>
    <t>12/29/2000</t>
  </si>
  <si>
    <t>11/30/2000</t>
  </si>
  <si>
    <t>10/31/2000</t>
  </si>
  <si>
    <t>09/29/2000</t>
  </si>
  <si>
    <t>08/31/2000</t>
  </si>
  <si>
    <t>07/31/2000</t>
  </si>
  <si>
    <t>06/30/2000</t>
  </si>
  <si>
    <t>05/31/2000</t>
  </si>
  <si>
    <t>04/28/2000</t>
  </si>
  <si>
    <t>03/31/2000</t>
  </si>
  <si>
    <t>02/29/2000</t>
  </si>
  <si>
    <t>01/31/2000</t>
  </si>
  <si>
    <t>This sheet contains FactSet XML data for use with this workbook's =FDS codes.  Modifying the worksheet's contents may damage the workbook's =FDS functionality.</t>
  </si>
  <si>
    <t>MSCI AC World ex 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</si>
</sst>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Arial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rgb="FFCCFF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2" borderId="0" xfId="0" applyFont="1" applyFill="1" applyAlignment="1">
      <alignment horizontal="left"/>
    </xf>
    <xf numFmtId="14" fontId="0" fillId="3" borderId="0" xfId="0" applyNumberFormat="1" applyFill="1">
      <alignment vertical="center"/>
    </xf>
    <xf numFmtId="14" fontId="0" fillId="0" borderId="0" xfId="0" applyNumberFormat="1" applyFill="1">
      <alignment vertical="center"/>
    </xf>
    <xf numFmtId="0" fontId="0" fillId="0" borderId="0" xfId="0" applyNumberFormat="1" applyFill="1">
      <alignment vertical="center"/>
    </xf>
    <xf numFmtId="0" fontId="0" fillId="3" borderId="0" xfId="0" applyNumberFormat="1" applyFill="1">
      <alignment vertical="center"/>
    </xf>
    <xf numFmtId="14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97"/>
  <sheetViews>
    <sheetView workbookViewId="0"/>
  </sheetViews>
  <sheetFormatPr defaultRowHeight="16.5" x14ac:dyDescent="0.3"/>
  <sheetData>
    <row r="1" spans="1:2" x14ac:dyDescent="0.3">
      <c r="B1" t="s">
        <v>321</v>
      </c>
    </row>
    <row r="2" spans="1:2" x14ac:dyDescent="0.3"/>
    <row r="3" spans="1:2" x14ac:dyDescent="0.3"/>
    <row r="4" spans="1:2" x14ac:dyDescent="0.3"/>
    <row r="5" spans="1:2" x14ac:dyDescent="0.3"/>
    <row r="6" spans="1:2" x14ac:dyDescent="0.3"/>
    <row r="7" spans="1:2" x14ac:dyDescent="0.3"/>
    <row r="8" spans="1:2" x14ac:dyDescent="0.3"/>
    <row r="9" spans="1:2" x14ac:dyDescent="0.3"/>
    <row r="10" spans="1:2" x14ac:dyDescent="0.3"/>
    <row r="11" spans="1:2" x14ac:dyDescent="0.3"/>
    <row r="12" spans="1:2" x14ac:dyDescent="0.3"/>
    <row r="13" spans="1:2" x14ac:dyDescent="0.3"/>
    <row r="14" spans="1:2" x14ac:dyDescent="0.3"/>
    <row r="15" spans="1:2" x14ac:dyDescent="0.3"/>
    <row r="16" spans="1:2" x14ac:dyDescent="0.3"/>
    <row r="17" spans="1:1" x14ac:dyDescent="0.3"/>
    <row r="18" spans="1:1" x14ac:dyDescent="0.3"/>
    <row r="19" spans="1:1" x14ac:dyDescent="0.3"/>
    <row r="20" spans="1:1" x14ac:dyDescent="0.3"/>
    <row r="21" spans="1:1" x14ac:dyDescent="0.3"/>
    <row r="22" spans="1:1" x14ac:dyDescent="0.3"/>
    <row r="23" spans="1:1" x14ac:dyDescent="0.3"/>
    <row r="24" spans="1:1" x14ac:dyDescent="0.3"/>
    <row r="25" spans="1:1" x14ac:dyDescent="0.3"/>
    <row r="26" spans="1:1" x14ac:dyDescent="0.3"/>
    <row r="27" spans="1:1" x14ac:dyDescent="0.3"/>
    <row r="28" spans="1:1" x14ac:dyDescent="0.3"/>
    <row r="29" spans="1:1" x14ac:dyDescent="0.3"/>
    <row r="30" spans="1:1" x14ac:dyDescent="0.3"/>
    <row r="31" spans="1:1" x14ac:dyDescent="0.3"/>
    <row r="32" spans="1:1" x14ac:dyDescent="0.3"/>
    <row r="33" spans="1:1" x14ac:dyDescent="0.3"/>
    <row r="34" spans="1:1" x14ac:dyDescent="0.3"/>
    <row r="35" spans="1:1" x14ac:dyDescent="0.3"/>
    <row r="36" spans="1:1" x14ac:dyDescent="0.3"/>
    <row r="37" spans="1:1" x14ac:dyDescent="0.3"/>
    <row r="38" spans="1:1" x14ac:dyDescent="0.3"/>
    <row r="39" spans="1:1" x14ac:dyDescent="0.3"/>
    <row r="40" spans="1:1" x14ac:dyDescent="0.3"/>
    <row r="41" spans="1:1" x14ac:dyDescent="0.3"/>
    <row r="42" spans="1:1" x14ac:dyDescent="0.3"/>
    <row r="43" spans="1:1" x14ac:dyDescent="0.3"/>
    <row r="44" spans="1:1" x14ac:dyDescent="0.3"/>
    <row r="45" spans="1:1" x14ac:dyDescent="0.3"/>
    <row r="46" spans="1:1" x14ac:dyDescent="0.3"/>
    <row r="47" spans="1:1" x14ac:dyDescent="0.3"/>
    <row r="48" spans="1:1" x14ac:dyDescent="0.3"/>
    <row r="49" spans="1:1" x14ac:dyDescent="0.3"/>
    <row r="50" spans="1:1" x14ac:dyDescent="0.3"/>
    <row r="51" spans="1:1" x14ac:dyDescent="0.3"/>
    <row r="52" spans="1:1" x14ac:dyDescent="0.3"/>
    <row r="53" spans="1:1" x14ac:dyDescent="0.3"/>
    <row r="54" spans="1:1" x14ac:dyDescent="0.3"/>
    <row r="55" spans="1:1" x14ac:dyDescent="0.3"/>
    <row r="56" spans="1:1" x14ac:dyDescent="0.3"/>
    <row r="57" spans="1:1" x14ac:dyDescent="0.3"/>
    <row r="58" spans="1:1" x14ac:dyDescent="0.3"/>
    <row r="59" spans="1:1" x14ac:dyDescent="0.3"/>
    <row r="60" spans="1:1" x14ac:dyDescent="0.3"/>
    <row r="61" spans="1:1" x14ac:dyDescent="0.3"/>
    <row r="62" spans="1:1" x14ac:dyDescent="0.3"/>
    <row r="63" spans="1:1" x14ac:dyDescent="0.3"/>
    <row r="64" spans="1:1" x14ac:dyDescent="0.3"/>
    <row r="65" spans="1:1" x14ac:dyDescent="0.3"/>
    <row r="66" spans="1:1" x14ac:dyDescent="0.3"/>
    <row r="67" spans="1:1" x14ac:dyDescent="0.3"/>
    <row r="68" spans="1:1" x14ac:dyDescent="0.3"/>
    <row r="69" spans="1:1" x14ac:dyDescent="0.3"/>
    <row r="70" spans="1:1" x14ac:dyDescent="0.3"/>
    <row r="71" spans="1:1" x14ac:dyDescent="0.3"/>
    <row r="72" spans="1:1" x14ac:dyDescent="0.3"/>
    <row r="73" spans="1:1" x14ac:dyDescent="0.3"/>
    <row r="74" spans="1:1" x14ac:dyDescent="0.3"/>
    <row r="75" spans="1:1" x14ac:dyDescent="0.3"/>
    <row r="76" spans="1:1" x14ac:dyDescent="0.3"/>
    <row r="77" spans="1:1" x14ac:dyDescent="0.3"/>
    <row r="78" spans="1:1" x14ac:dyDescent="0.3"/>
    <row r="79" spans="1:1" x14ac:dyDescent="0.3"/>
    <row r="80" spans="1:1" x14ac:dyDescent="0.3"/>
    <row r="81" spans="1:1" x14ac:dyDescent="0.3"/>
    <row r="82" spans="1:1" x14ac:dyDescent="0.3"/>
    <row r="83" spans="1:1" x14ac:dyDescent="0.3"/>
    <row r="84" spans="1:1" x14ac:dyDescent="0.3"/>
    <row r="85" spans="1:1" x14ac:dyDescent="0.3"/>
    <row r="86" spans="1:1" x14ac:dyDescent="0.3"/>
    <row r="87" spans="1:1" x14ac:dyDescent="0.3"/>
    <row r="88" spans="1:1" x14ac:dyDescent="0.3"/>
    <row r="89" spans="1:1" x14ac:dyDescent="0.3"/>
    <row r="90" spans="1:1" x14ac:dyDescent="0.3"/>
    <row r="91" spans="1:1" x14ac:dyDescent="0.3"/>
    <row r="92" spans="1:1" x14ac:dyDescent="0.3"/>
    <row r="93" spans="1:1" x14ac:dyDescent="0.3"/>
    <row r="94" spans="1:1" x14ac:dyDescent="0.3"/>
    <row r="95" spans="1:1" x14ac:dyDescent="0.3"/>
    <row r="96" spans="1:1" x14ac:dyDescent="0.3"/>
    <row r="97" spans="1:1" x14ac:dyDescent="0.3"/>
  </sheetData>
  <phoneticPr fontId="1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19"/>
  <sheetViews>
    <sheetView workbookViewId="0">
      <selection activeCell="F1" sqref="F1"/>
    </sheetView>
  </sheetViews>
  <sheetFormatPr defaultRowHeight="16.5" x14ac:dyDescent="0.3"/>
  <cols>
    <col min="2" max="2" width="10.625" customWidth="1"/>
    <col min="6" max="6" width="10.625" customWidth="1"/>
    <col min="8" max="8" width="10.625" customWidth="1"/>
    <col min="10" max="10" width="9" customWidth="1"/>
    <col min="11" max="11" width="10.625" customWidth="1"/>
    <col min="13" max="13" width="9" customWidth="1"/>
  </cols>
  <sheetData>
    <row r="1" spans="1:17" x14ac:dyDescent="0.2">
      <c r="A1" s="1" t="s">
        <v>0</v>
      </c>
      <c r="B1" s="4" t="str">
        <f>_xll.FDS("990100","FG_COMPANY_NAME()")</f>
        <v>MSCI World Index</v>
      </c>
      <c r="C1" s="4" t="str">
        <f>_xll.FDS("991000","FG_COMPANY_NAME()")</f>
        <v>MSCI World ex USA</v>
      </c>
      <c r="D1" s="4" t="str">
        <f>_xll.FDS("892400","FG_COMPANY_NAME()")</f>
        <v>MSCI AC World</v>
      </c>
      <c r="E1" s="4" t="str">
        <f>_xll.FDS("891800","FG_COMPANY_NAME()")</f>
        <v>MSCI EM (Emerging Markets)</v>
      </c>
      <c r="F1" s="4" t="str">
        <f>_xll.FDS("899901","FG_COMPANY_NAME()")</f>
        <v>MSCI AC World ex USA</v>
      </c>
    </row>
    <row r="2" spans="1:17" x14ac:dyDescent="0.3">
      <c r="A2" s="4" t="s">
        <v>3</v>
      </c>
      <c r="B2" s="4">
        <f>_xll.FDS("990100","FG_PRICE(3/17/2026,,,USD)")</f>
        <v>4387.326865</v>
      </c>
      <c r="C2" s="4">
        <f>_xll.FDS("991000","FG_PRICE(3/17/2026,,,USD)")</f>
        <v>3017.4544019999998</v>
      </c>
      <c r="D2" s="4">
        <f>_xll.FDS("892400","FG_PRICE(3/17/2026,,,USD)")</f>
        <v>1013.05454</v>
      </c>
      <c r="E2" s="4">
        <f>_xll.FDS("891800","FG_PRICE(3/17/2026,,,USD)")</f>
        <v>1495.4311479999999</v>
      </c>
      <c r="F2" s="4">
        <f>_xll.FDS("899901","FG_PRICE(3/17/2026,,,USD)")</f>
        <v>434.94113099999998</v>
      </c>
      <c r="G2" s="4"/>
    </row>
    <row r="3" spans="1:17" x14ac:dyDescent="0.3">
      <c r="A3" s="4" t="str">
        <f t="array" ref="A3:A316">_xll.FDS("990100","P_DATE(2/27/2026,1/31/2000,M)")</f>
        <v>02/27/2026</v>
      </c>
      <c r="B3" s="4">
        <f t="array" ref="B3:B316">_xll.FDS("990100","FG_PRICE(2/27/2026,1/31/2000,M,USD)")</f>
        <v>4556.7895680000001</v>
      </c>
      <c r="C3" s="4">
        <f t="array" ref="C3:C316">_xll.FDS("991000","FG_PRICE(2/27/2026,1/31/2000,M,USD)")</f>
        <v>3244.7559679999999</v>
      </c>
      <c r="D3" s="4">
        <f t="array" ref="D3:D316">_xll.FDS("892400","FG_PRICE(2/27/2026,1/31/2000,M,USD)")</f>
        <v>1056.764821</v>
      </c>
      <c r="E3" s="4">
        <f t="array" ref="E3:E316">_xll.FDS("891800","FG_PRICE(2/27/2026,1/31/2000,M,USD)")</f>
        <v>1610.7005039999999</v>
      </c>
      <c r="F3" s="4">
        <f t="array" ref="F3:F316">_xll.FDS("899901","FG_PRICE(2/27/2026,1/31/2000,M,USD)")</f>
        <v>467.94547599999999</v>
      </c>
      <c r="G3" s="4"/>
      <c r="I3" s="4"/>
    </row>
    <row r="4" spans="1:17" x14ac:dyDescent="0.3">
      <c r="A4" s="4" t="str">
        <v>01/30/2026</v>
      </c>
      <c r="B4" s="4">
        <v>4527.5890870000003</v>
      </c>
      <c r="C4" s="4">
        <v>3099.5763870000001</v>
      </c>
      <c r="D4" s="4">
        <v>1044.2570639999999</v>
      </c>
      <c r="E4" s="4">
        <v>1528.08557</v>
      </c>
      <c r="F4" s="4">
        <v>446.04245800000001</v>
      </c>
      <c r="H4" s="3"/>
      <c r="I4" s="4"/>
      <c r="L4" s="4"/>
      <c r="M4" s="4"/>
      <c r="N4" s="4"/>
      <c r="O4" s="4"/>
    </row>
    <row r="5" spans="1:17" x14ac:dyDescent="0.3">
      <c r="A5" s="4" t="str">
        <v>12/31/2025</v>
      </c>
      <c r="B5" s="4">
        <v>4430.3813309999996</v>
      </c>
      <c r="C5" s="4">
        <v>2961.0805959999998</v>
      </c>
      <c r="D5" s="4">
        <v>1014.623331</v>
      </c>
      <c r="E5" s="4">
        <v>1404.3746960000001</v>
      </c>
      <c r="F5" s="4">
        <v>421.03953799999999</v>
      </c>
      <c r="H5" s="3"/>
      <c r="I5" s="4"/>
      <c r="K5" s="3"/>
      <c r="L5" s="4"/>
      <c r="M5" s="4"/>
      <c r="N5" s="4"/>
      <c r="O5" s="4"/>
    </row>
    <row r="6" spans="1:17" x14ac:dyDescent="0.3">
      <c r="A6" s="4" t="str">
        <v>11/28/2025</v>
      </c>
      <c r="B6" s="4">
        <v>4398.4356969999999</v>
      </c>
      <c r="C6" s="4">
        <v>2877.3387659999999</v>
      </c>
      <c r="D6" s="4">
        <v>1005.138919</v>
      </c>
      <c r="E6" s="4">
        <v>1366.924047</v>
      </c>
      <c r="F6" s="4">
        <v>409.33881200000002</v>
      </c>
      <c r="H6" s="3"/>
      <c r="I6" s="4"/>
      <c r="J6" s="4"/>
      <c r="K6" s="3"/>
      <c r="L6" s="4"/>
      <c r="M6" s="4"/>
      <c r="N6" s="4"/>
      <c r="O6" s="4"/>
    </row>
    <row r="7" spans="1:17" x14ac:dyDescent="0.3">
      <c r="A7" s="4" t="str">
        <v>10/31/2025</v>
      </c>
      <c r="B7" s="4">
        <v>4390.4220809999997</v>
      </c>
      <c r="C7" s="4">
        <v>2851.936459</v>
      </c>
      <c r="D7" s="4">
        <v>1006.23243</v>
      </c>
      <c r="E7" s="4">
        <v>1401.546163</v>
      </c>
      <c r="F7" s="4">
        <v>409.97709900000001</v>
      </c>
      <c r="H7" s="3"/>
      <c r="I7" s="4"/>
      <c r="J7" s="4"/>
      <c r="K7" s="3"/>
      <c r="L7" s="4"/>
      <c r="M7" s="4"/>
      <c r="N7" s="4"/>
      <c r="O7" s="4"/>
    </row>
    <row r="8" spans="1:17" x14ac:dyDescent="0.3">
      <c r="A8" s="4" t="str">
        <v>09/30/2025</v>
      </c>
      <c r="B8" s="4">
        <v>4306.7038350000003</v>
      </c>
      <c r="C8" s="4">
        <v>2823.832778</v>
      </c>
      <c r="D8" s="4">
        <v>984.78126899999995</v>
      </c>
      <c r="E8" s="4">
        <v>1346.045887</v>
      </c>
      <c r="F8" s="4">
        <v>402.14755700000001</v>
      </c>
      <c r="H8" s="3"/>
      <c r="I8" s="4"/>
      <c r="J8" s="4"/>
      <c r="K8" s="3"/>
      <c r="L8" s="4"/>
      <c r="M8" s="4"/>
      <c r="N8" s="4"/>
      <c r="O8" s="4"/>
    </row>
    <row r="9" spans="1:17" x14ac:dyDescent="0.3">
      <c r="A9" s="4" t="str">
        <v>08/29/2025</v>
      </c>
      <c r="B9" s="4">
        <v>4177.7161219999998</v>
      </c>
      <c r="C9" s="4">
        <v>2772.2758260000001</v>
      </c>
      <c r="D9" s="4">
        <v>951.56781999999998</v>
      </c>
      <c r="E9" s="4">
        <v>1258.4389189999999</v>
      </c>
      <c r="F9" s="4">
        <v>389.07820900000002</v>
      </c>
      <c r="H9" s="3"/>
      <c r="I9" s="4"/>
      <c r="J9" s="4"/>
      <c r="K9" s="3"/>
      <c r="L9" s="4"/>
      <c r="M9" s="4"/>
      <c r="N9" s="4"/>
      <c r="O9" s="4"/>
    </row>
    <row r="10" spans="1:17" x14ac:dyDescent="0.3">
      <c r="A10" s="4" t="str">
        <v>07/31/2025</v>
      </c>
      <c r="B10" s="4">
        <v>4076.0380460000001</v>
      </c>
      <c r="C10" s="4">
        <v>2660.3540320000002</v>
      </c>
      <c r="D10" s="4">
        <v>929.620497</v>
      </c>
      <c r="E10" s="4">
        <v>1243.2277790000001</v>
      </c>
      <c r="F10" s="4">
        <v>376.59659900000003</v>
      </c>
      <c r="H10" s="3"/>
      <c r="I10" s="4"/>
      <c r="J10" s="4"/>
      <c r="K10" s="3"/>
      <c r="L10" s="4"/>
      <c r="M10" s="4"/>
      <c r="N10" s="4"/>
      <c r="O10" s="4"/>
    </row>
    <row r="11" spans="1:17" x14ac:dyDescent="0.3">
      <c r="A11" s="4" t="str">
        <v>06/30/2025</v>
      </c>
      <c r="B11" s="4">
        <v>4026.4434379999998</v>
      </c>
      <c r="C11" s="4">
        <v>2694.580821</v>
      </c>
      <c r="D11" s="4">
        <v>917.89302299999997</v>
      </c>
      <c r="E11" s="4">
        <v>1222.778785</v>
      </c>
      <c r="F11" s="4">
        <v>378.14507600000002</v>
      </c>
      <c r="H11" s="3"/>
      <c r="I11" s="4"/>
      <c r="J11" s="4"/>
      <c r="K11" s="3"/>
      <c r="L11" s="4"/>
      <c r="M11" s="4"/>
      <c r="N11" s="4"/>
      <c r="O11" s="4"/>
      <c r="P11" s="4"/>
      <c r="Q11" s="4"/>
    </row>
    <row r="12" spans="1:17" x14ac:dyDescent="0.3">
      <c r="A12" s="4" t="str">
        <v>05/30/2025</v>
      </c>
      <c r="B12" s="4">
        <v>3863.4832230000002</v>
      </c>
      <c r="C12" s="4">
        <v>2635.9719879999998</v>
      </c>
      <c r="D12" s="4">
        <v>879.495992</v>
      </c>
      <c r="E12" s="4">
        <v>1157.3385479999999</v>
      </c>
      <c r="F12" s="4">
        <v>366.407286</v>
      </c>
      <c r="H12" s="3"/>
      <c r="I12" s="4"/>
      <c r="J12" s="4"/>
      <c r="K12" s="3"/>
      <c r="L12" s="4"/>
      <c r="M12" s="4"/>
      <c r="N12" s="4"/>
      <c r="O12" s="4"/>
      <c r="P12" s="4"/>
      <c r="Q12" s="4"/>
    </row>
    <row r="13" spans="1:17" x14ac:dyDescent="0.3">
      <c r="A13" s="4" t="str">
        <v>04/30/2025</v>
      </c>
      <c r="B13" s="4">
        <v>3655.5238330000002</v>
      </c>
      <c r="C13" s="4">
        <v>2530.8370460000001</v>
      </c>
      <c r="D13" s="4">
        <v>833.53752799999995</v>
      </c>
      <c r="E13" s="4">
        <v>1112.841711</v>
      </c>
      <c r="F13" s="4">
        <v>351.94256899999999</v>
      </c>
      <c r="H13" s="3"/>
      <c r="I13" s="4"/>
      <c r="J13" s="4"/>
      <c r="K13" s="3"/>
      <c r="L13" s="4"/>
      <c r="M13" s="4"/>
      <c r="N13" s="4"/>
      <c r="O13" s="4"/>
      <c r="P13" s="4"/>
      <c r="Q13" s="4"/>
    </row>
    <row r="14" spans="1:17" x14ac:dyDescent="0.3">
      <c r="A14" s="4" t="str">
        <v>03/31/2025</v>
      </c>
      <c r="B14" s="4">
        <v>3628.6422750000002</v>
      </c>
      <c r="C14" s="4">
        <v>2429.4296859999999</v>
      </c>
      <c r="D14" s="4">
        <v>827.15460299999995</v>
      </c>
      <c r="E14" s="4">
        <v>1101.3995010000001</v>
      </c>
      <c r="F14" s="4">
        <v>340.832605</v>
      </c>
      <c r="H14" s="3"/>
      <c r="I14" s="4"/>
      <c r="J14" s="4"/>
      <c r="K14" s="3"/>
      <c r="L14" s="4"/>
      <c r="M14" s="4"/>
      <c r="N14" s="4"/>
      <c r="O14" s="4"/>
      <c r="P14" s="4"/>
      <c r="Q14" s="4"/>
    </row>
    <row r="15" spans="1:17" x14ac:dyDescent="0.3">
      <c r="A15" s="4" t="str">
        <v>02/28/2025</v>
      </c>
      <c r="B15" s="4">
        <v>3805.3258259999998</v>
      </c>
      <c r="C15" s="4">
        <v>2455.1392940000001</v>
      </c>
      <c r="D15" s="4">
        <v>862.94898599999999</v>
      </c>
      <c r="E15" s="4">
        <v>1097.253995</v>
      </c>
      <c r="F15" s="4">
        <v>343.01397800000001</v>
      </c>
      <c r="H15" s="3"/>
      <c r="I15" s="4"/>
      <c r="J15" s="4"/>
      <c r="K15" s="3"/>
      <c r="L15" s="4"/>
      <c r="M15" s="4"/>
      <c r="N15" s="4"/>
      <c r="O15" s="4"/>
      <c r="P15" s="4"/>
      <c r="Q15" s="4"/>
    </row>
    <row r="16" spans="1:17" x14ac:dyDescent="0.3">
      <c r="A16" s="4" t="str">
        <v>01/31/2025</v>
      </c>
      <c r="B16" s="4">
        <v>3836.5834589999999</v>
      </c>
      <c r="C16" s="4">
        <v>2415.9237410000001</v>
      </c>
      <c r="D16" s="4">
        <v>869.03982099999996</v>
      </c>
      <c r="E16" s="4">
        <v>1093.3654610000001</v>
      </c>
      <c r="F16" s="4">
        <v>338.75906800000001</v>
      </c>
      <c r="H16" s="3"/>
      <c r="I16" s="4"/>
      <c r="J16" s="4"/>
      <c r="K16" s="3"/>
      <c r="L16" s="4"/>
      <c r="M16" s="4"/>
      <c r="N16" s="4"/>
      <c r="O16" s="4"/>
      <c r="P16" s="4"/>
      <c r="Q16" s="4"/>
    </row>
    <row r="17" spans="1:17" x14ac:dyDescent="0.3">
      <c r="A17" s="4" t="str">
        <v>12/31/2024</v>
      </c>
      <c r="B17" s="4">
        <v>3707.8373860000002</v>
      </c>
      <c r="C17" s="4">
        <v>2302.710493</v>
      </c>
      <c r="D17" s="4">
        <v>841.33207200000004</v>
      </c>
      <c r="E17" s="4">
        <v>1075.4751200000001</v>
      </c>
      <c r="F17" s="4">
        <v>325.87875100000002</v>
      </c>
      <c r="H17" s="3"/>
      <c r="I17" s="4"/>
      <c r="J17" s="4"/>
      <c r="K17" s="3"/>
      <c r="L17" s="4"/>
      <c r="M17" s="4"/>
      <c r="N17" s="4"/>
      <c r="O17" s="4"/>
      <c r="P17" s="4"/>
      <c r="Q17" s="4"/>
    </row>
    <row r="18" spans="1:17" x14ac:dyDescent="0.3">
      <c r="A18" s="4" t="str">
        <v>11/29/2024</v>
      </c>
      <c r="B18" s="4">
        <v>3810.1412690000002</v>
      </c>
      <c r="C18" s="4">
        <v>2368.0333430000001</v>
      </c>
      <c r="D18" s="4">
        <v>862.48888399999998</v>
      </c>
      <c r="E18" s="4">
        <v>1078.5695250000001</v>
      </c>
      <c r="F18" s="4">
        <v>332.66185200000001</v>
      </c>
      <c r="H18" s="3"/>
      <c r="I18" s="4"/>
      <c r="J18" s="4"/>
      <c r="K18" s="3"/>
      <c r="L18" s="4"/>
      <c r="M18" s="4"/>
      <c r="N18" s="4"/>
      <c r="O18" s="4"/>
      <c r="P18" s="4"/>
      <c r="Q18" s="4"/>
    </row>
    <row r="19" spans="1:17" x14ac:dyDescent="0.3">
      <c r="A19" s="4" t="str">
        <v>10/31/2024</v>
      </c>
      <c r="B19" s="4">
        <v>3647.1373469999999</v>
      </c>
      <c r="C19" s="4">
        <v>2366.3256740000002</v>
      </c>
      <c r="D19" s="4">
        <v>832.30282299999999</v>
      </c>
      <c r="E19" s="4">
        <v>1119.5221959999999</v>
      </c>
      <c r="F19" s="4">
        <v>336.16176000000002</v>
      </c>
      <c r="H19" s="3"/>
      <c r="I19" s="4"/>
      <c r="J19" s="4"/>
      <c r="K19" s="3"/>
      <c r="L19" s="4"/>
      <c r="M19" s="4"/>
      <c r="N19" s="4"/>
      <c r="O19" s="4"/>
      <c r="P19" s="4"/>
      <c r="Q19" s="4"/>
    </row>
    <row r="20" spans="1:17" x14ac:dyDescent="0.3">
      <c r="A20" s="4" t="str">
        <v>09/30/2024</v>
      </c>
      <c r="B20" s="4">
        <v>3723.0321049999998</v>
      </c>
      <c r="C20" s="4">
        <v>2495.3214050000001</v>
      </c>
      <c r="D20" s="4">
        <v>851.78313800000001</v>
      </c>
      <c r="E20" s="4">
        <v>1170.853143</v>
      </c>
      <c r="F20" s="4">
        <v>353.62161600000002</v>
      </c>
      <c r="H20" s="3"/>
      <c r="I20" s="4"/>
      <c r="J20" s="4"/>
      <c r="K20" s="3"/>
      <c r="L20" s="4"/>
      <c r="M20" s="4"/>
      <c r="N20" s="4"/>
      <c r="O20" s="4"/>
      <c r="P20" s="4"/>
      <c r="Q20" s="4"/>
    </row>
    <row r="21" spans="1:17" x14ac:dyDescent="0.3">
      <c r="A21" s="4" t="str">
        <v>08/30/2024</v>
      </c>
      <c r="B21" s="4">
        <v>3661.2412220000001</v>
      </c>
      <c r="C21" s="4">
        <v>2475.2516049999999</v>
      </c>
      <c r="D21" s="4">
        <v>833.68183099999999</v>
      </c>
      <c r="E21" s="4">
        <v>1099.92266</v>
      </c>
      <c r="F21" s="4">
        <v>345.280036</v>
      </c>
      <c r="H21" s="3"/>
      <c r="I21" s="4"/>
      <c r="J21" s="4"/>
      <c r="K21" s="3"/>
      <c r="L21" s="4"/>
      <c r="M21" s="4"/>
      <c r="N21" s="4"/>
      <c r="O21" s="4"/>
      <c r="P21" s="4"/>
      <c r="Q21" s="4"/>
    </row>
    <row r="22" spans="1:17" x14ac:dyDescent="0.3">
      <c r="A22" s="4" t="str">
        <v>07/31/2024</v>
      </c>
      <c r="B22" s="4">
        <v>3571.5746629999999</v>
      </c>
      <c r="C22" s="4">
        <v>2400.4661000000001</v>
      </c>
      <c r="D22" s="4">
        <v>814.15537200000006</v>
      </c>
      <c r="E22" s="4">
        <v>1084.7694839999999</v>
      </c>
      <c r="F22" s="4">
        <v>336.43902800000001</v>
      </c>
      <c r="H22" s="3"/>
      <c r="I22" s="4"/>
      <c r="J22" s="4"/>
      <c r="K22" s="3"/>
      <c r="L22" s="4"/>
      <c r="M22" s="4"/>
      <c r="N22" s="4"/>
      <c r="O22" s="4"/>
      <c r="P22" s="4"/>
      <c r="Q22" s="4"/>
    </row>
    <row r="23" spans="1:17" x14ac:dyDescent="0.3">
      <c r="A23" s="4" t="str">
        <v>06/28/2024</v>
      </c>
      <c r="B23" s="4">
        <v>3511.7818010000001</v>
      </c>
      <c r="C23" s="4">
        <v>2328.8503930000002</v>
      </c>
      <c r="D23" s="4">
        <v>802.00985900000001</v>
      </c>
      <c r="E23" s="4">
        <v>1086.24999</v>
      </c>
      <c r="F23" s="4">
        <v>329.378559</v>
      </c>
      <c r="H23" s="3"/>
      <c r="I23" s="4"/>
      <c r="J23" s="4"/>
      <c r="K23" s="3"/>
      <c r="L23" s="4"/>
      <c r="M23" s="4"/>
      <c r="N23" s="4"/>
      <c r="O23" s="4"/>
      <c r="P23" s="4"/>
      <c r="Q23" s="4"/>
    </row>
    <row r="24" spans="1:17" x14ac:dyDescent="0.3">
      <c r="A24" s="4" t="str">
        <v>05/31/2024</v>
      </c>
      <c r="B24" s="4">
        <v>3445.1724490000001</v>
      </c>
      <c r="C24" s="4">
        <v>2371.4639069999998</v>
      </c>
      <c r="D24" s="4">
        <v>785.536924</v>
      </c>
      <c r="E24" s="4">
        <v>1048.9622569999999</v>
      </c>
      <c r="F24" s="4">
        <v>330.38011299999999</v>
      </c>
      <c r="H24" s="3"/>
      <c r="I24" s="4"/>
      <c r="J24" s="4"/>
      <c r="K24" s="3"/>
      <c r="L24" s="4"/>
      <c r="M24" s="4"/>
      <c r="N24" s="4"/>
      <c r="O24" s="4"/>
      <c r="P24" s="4"/>
      <c r="Q24" s="4"/>
    </row>
    <row r="25" spans="1:17" x14ac:dyDescent="0.3">
      <c r="A25" s="4" t="str">
        <v>04/30/2024</v>
      </c>
      <c r="B25" s="4">
        <v>3305.2959430000001</v>
      </c>
      <c r="C25" s="4">
        <v>2295.938134</v>
      </c>
      <c r="D25" s="4">
        <v>756.60888599999998</v>
      </c>
      <c r="E25" s="4">
        <v>1045.9478999999999</v>
      </c>
      <c r="F25" s="4">
        <v>322.50402800000001</v>
      </c>
      <c r="H25" s="3"/>
      <c r="I25" s="4"/>
      <c r="J25" s="4"/>
      <c r="K25" s="3"/>
      <c r="L25" s="4"/>
      <c r="M25" s="4"/>
      <c r="N25" s="4"/>
      <c r="O25" s="4"/>
      <c r="P25" s="4"/>
      <c r="Q25" s="4"/>
    </row>
    <row r="26" spans="1:17" x14ac:dyDescent="0.3">
      <c r="A26" s="4" t="str">
        <v>03/28/2024</v>
      </c>
      <c r="B26" s="4">
        <v>3436.7805549999998</v>
      </c>
      <c r="C26" s="4">
        <v>2364.6555509999998</v>
      </c>
      <c r="D26" s="4">
        <v>783.17213400000003</v>
      </c>
      <c r="E26" s="4">
        <v>1040.393012</v>
      </c>
      <c r="F26" s="4">
        <v>328.94629200000003</v>
      </c>
      <c r="H26" s="3"/>
      <c r="I26" s="4"/>
      <c r="J26" s="4"/>
      <c r="K26" s="3"/>
      <c r="L26" s="4"/>
      <c r="M26" s="4"/>
      <c r="N26" s="4"/>
      <c r="O26" s="4"/>
      <c r="P26" s="4"/>
      <c r="Q26" s="4"/>
    </row>
    <row r="27" spans="1:17" x14ac:dyDescent="0.3">
      <c r="A27" s="4" t="str">
        <v>02/29/2024</v>
      </c>
      <c r="B27" s="4">
        <v>3337.2044959999998</v>
      </c>
      <c r="C27" s="4">
        <v>2300.5588670000002</v>
      </c>
      <c r="D27" s="4">
        <v>761.28204600000004</v>
      </c>
      <c r="E27" s="4">
        <v>1020.939696</v>
      </c>
      <c r="F27" s="4">
        <v>320.791697</v>
      </c>
      <c r="H27" s="3"/>
      <c r="I27" s="4"/>
      <c r="J27" s="4"/>
      <c r="K27" s="3"/>
      <c r="L27" s="4"/>
      <c r="M27" s="4"/>
      <c r="N27" s="4"/>
      <c r="O27" s="4"/>
      <c r="P27" s="4"/>
      <c r="Q27" s="4"/>
    </row>
    <row r="28" spans="1:17" x14ac:dyDescent="0.3">
      <c r="A28" s="4" t="str">
        <v>01/31/2024</v>
      </c>
      <c r="B28" s="4">
        <v>3205.3167939999998</v>
      </c>
      <c r="C28" s="4">
        <v>2265.2853490000002</v>
      </c>
      <c r="D28" s="4">
        <v>730.838256</v>
      </c>
      <c r="E28" s="4">
        <v>975.79865400000006</v>
      </c>
      <c r="F28" s="4">
        <v>313.31363900000002</v>
      </c>
      <c r="H28" s="3"/>
      <c r="I28" s="4"/>
      <c r="J28" s="4"/>
      <c r="K28" s="3"/>
      <c r="L28" s="4"/>
      <c r="M28" s="4"/>
      <c r="N28" s="4"/>
      <c r="O28" s="4"/>
      <c r="P28" s="4"/>
      <c r="Q28" s="4"/>
    </row>
    <row r="29" spans="1:17" x14ac:dyDescent="0.3">
      <c r="A29" s="4" t="str">
        <v>12/29/2023</v>
      </c>
      <c r="B29" s="4">
        <v>3169.1796290000002</v>
      </c>
      <c r="C29" s="4">
        <v>2256.807538</v>
      </c>
      <c r="D29" s="4">
        <v>726.995723</v>
      </c>
      <c r="E29" s="4">
        <v>1023.740854</v>
      </c>
      <c r="F29" s="4">
        <v>316.61906199999999</v>
      </c>
      <c r="H29" s="3"/>
      <c r="I29" s="4"/>
      <c r="J29" s="4"/>
      <c r="K29" s="3"/>
      <c r="L29" s="4"/>
      <c r="M29" s="4"/>
      <c r="N29" s="4"/>
      <c r="O29" s="4"/>
      <c r="P29" s="4"/>
      <c r="Q29" s="4"/>
    </row>
    <row r="30" spans="1:17" x14ac:dyDescent="0.3">
      <c r="A30" s="4" t="str">
        <v>11/30/2023</v>
      </c>
      <c r="B30" s="4">
        <v>3023.629602</v>
      </c>
      <c r="C30" s="4">
        <v>2141.7382510000002</v>
      </c>
      <c r="D30" s="4">
        <v>694.37987499999997</v>
      </c>
      <c r="E30" s="4">
        <v>987.099289</v>
      </c>
      <c r="F30" s="4">
        <v>301.82524100000001</v>
      </c>
      <c r="H30" s="3"/>
      <c r="I30" s="4"/>
      <c r="J30" s="4"/>
      <c r="K30" s="3"/>
      <c r="L30" s="4"/>
      <c r="M30" s="4"/>
      <c r="N30" s="4"/>
      <c r="O30" s="4"/>
      <c r="P30" s="4"/>
      <c r="Q30" s="4"/>
    </row>
    <row r="31" spans="1:17" x14ac:dyDescent="0.3">
      <c r="A31" s="4" t="str">
        <v>10/31/2023</v>
      </c>
      <c r="B31" s="4">
        <v>2768.6212799999998</v>
      </c>
      <c r="C31" s="4">
        <v>1961.285429</v>
      </c>
      <c r="D31" s="4">
        <v>636.65458799999999</v>
      </c>
      <c r="E31" s="4">
        <v>915.19631800000002</v>
      </c>
      <c r="F31" s="4">
        <v>277.36458900000002</v>
      </c>
      <c r="H31" s="3"/>
      <c r="I31" s="4"/>
      <c r="J31" s="4"/>
      <c r="K31" s="3"/>
      <c r="L31" s="4"/>
      <c r="M31" s="4"/>
      <c r="N31" s="4"/>
      <c r="O31" s="4"/>
      <c r="P31" s="4"/>
      <c r="Q31" s="4"/>
    </row>
    <row r="32" spans="1:17" x14ac:dyDescent="0.3">
      <c r="A32" s="4" t="str">
        <v>09/29/2023</v>
      </c>
      <c r="B32" s="4">
        <v>2853.2352150000002</v>
      </c>
      <c r="C32" s="4">
        <v>2049.0374069999998</v>
      </c>
      <c r="D32" s="4">
        <v>656.82013300000006</v>
      </c>
      <c r="E32" s="4">
        <v>952.78405399999997</v>
      </c>
      <c r="F32" s="4">
        <v>289.485185</v>
      </c>
      <c r="H32" s="3"/>
      <c r="I32" s="4"/>
      <c r="J32" s="4"/>
      <c r="K32" s="3"/>
      <c r="L32" s="4"/>
      <c r="M32" s="4"/>
      <c r="N32" s="4"/>
      <c r="O32" s="4"/>
      <c r="P32" s="4"/>
      <c r="Q32" s="4"/>
    </row>
    <row r="33" spans="1:17" x14ac:dyDescent="0.3">
      <c r="A33" s="4" t="str">
        <v>08/31/2023</v>
      </c>
      <c r="B33" s="4">
        <v>2986.023244</v>
      </c>
      <c r="C33" s="4">
        <v>2126.5850169999999</v>
      </c>
      <c r="D33" s="4">
        <v>686.15039300000001</v>
      </c>
      <c r="E33" s="4">
        <v>980.32525599999997</v>
      </c>
      <c r="F33" s="4">
        <v>299.70814899999999</v>
      </c>
      <c r="H33" s="3"/>
      <c r="I33" s="4"/>
      <c r="J33" s="4"/>
      <c r="K33" s="3"/>
      <c r="L33" s="4"/>
      <c r="M33" s="4"/>
      <c r="N33" s="4"/>
      <c r="O33" s="4"/>
      <c r="P33" s="4"/>
      <c r="Q33" s="4"/>
    </row>
    <row r="34" spans="1:17" x14ac:dyDescent="0.3">
      <c r="A34" s="4" t="str">
        <v>07/31/2023</v>
      </c>
      <c r="B34" s="4">
        <v>3064.2967229999999</v>
      </c>
      <c r="C34" s="4">
        <v>2218.204749</v>
      </c>
      <c r="D34" s="4">
        <v>707.10943099999997</v>
      </c>
      <c r="E34" s="4">
        <v>1046.911652</v>
      </c>
      <c r="F34" s="4">
        <v>314.69100700000001</v>
      </c>
      <c r="H34" s="3"/>
      <c r="I34" s="4"/>
      <c r="J34" s="4"/>
      <c r="K34" s="3"/>
      <c r="L34" s="4"/>
      <c r="M34" s="4"/>
      <c r="N34" s="4"/>
      <c r="O34" s="4"/>
      <c r="P34" s="4"/>
      <c r="Q34" s="4"/>
    </row>
    <row r="35" spans="1:17" x14ac:dyDescent="0.3">
      <c r="A35" s="4" t="str">
        <v>06/30/2023</v>
      </c>
      <c r="B35" s="4">
        <v>2966.7239850000001</v>
      </c>
      <c r="C35" s="4">
        <v>2150.2906320000002</v>
      </c>
      <c r="D35" s="4">
        <v>682.84134200000005</v>
      </c>
      <c r="E35" s="4">
        <v>989.47508000000005</v>
      </c>
      <c r="F35" s="4">
        <v>302.89783199999999</v>
      </c>
      <c r="H35" s="3"/>
      <c r="I35" s="4"/>
      <c r="J35" s="4"/>
      <c r="K35" s="3"/>
      <c r="L35" s="4"/>
      <c r="M35" s="4"/>
      <c r="N35" s="4"/>
      <c r="O35" s="4"/>
      <c r="P35" s="4"/>
      <c r="Q35" s="4"/>
    </row>
    <row r="36" spans="1:17" x14ac:dyDescent="0.3">
      <c r="A36" s="4" t="str">
        <v>05/31/2023</v>
      </c>
      <c r="B36" s="4">
        <v>2800.5570509999998</v>
      </c>
      <c r="C36" s="4">
        <v>2055.807315</v>
      </c>
      <c r="D36" s="4">
        <v>646.37466300000006</v>
      </c>
      <c r="E36" s="4">
        <v>958.52720399999998</v>
      </c>
      <c r="F36" s="4">
        <v>290.65395799999999</v>
      </c>
      <c r="H36" s="3"/>
      <c r="I36" s="4"/>
      <c r="J36" s="4"/>
      <c r="K36" s="3"/>
      <c r="L36" s="4"/>
      <c r="M36" s="4"/>
      <c r="N36" s="4"/>
      <c r="O36" s="4"/>
      <c r="P36" s="4"/>
      <c r="Q36" s="4"/>
    </row>
    <row r="37" spans="1:17" x14ac:dyDescent="0.3">
      <c r="A37" s="4" t="str">
        <v>04/28/2023</v>
      </c>
      <c r="B37" s="4">
        <v>2835.9280220000001</v>
      </c>
      <c r="C37" s="4">
        <v>2160.609692</v>
      </c>
      <c r="D37" s="4">
        <v>654.99670400000002</v>
      </c>
      <c r="E37" s="4">
        <v>977.04626099999996</v>
      </c>
      <c r="F37" s="4">
        <v>302.93112200000002</v>
      </c>
      <c r="H37" s="3"/>
      <c r="I37" s="4"/>
      <c r="J37" s="4"/>
      <c r="K37" s="3"/>
      <c r="L37" s="4"/>
      <c r="M37" s="4"/>
      <c r="N37" s="4"/>
      <c r="O37" s="4"/>
      <c r="P37" s="4"/>
      <c r="Q37" s="4"/>
    </row>
    <row r="38" spans="1:17" x14ac:dyDescent="0.3">
      <c r="A38" s="4" t="str">
        <v>03/31/2023</v>
      </c>
      <c r="B38" s="4">
        <v>2791.4382890000002</v>
      </c>
      <c r="C38" s="4">
        <v>2108.2562969999999</v>
      </c>
      <c r="D38" s="4">
        <v>646.76207599999998</v>
      </c>
      <c r="E38" s="4">
        <v>990.284402</v>
      </c>
      <c r="F38" s="4">
        <v>298.67913299999998</v>
      </c>
      <c r="H38" s="3"/>
      <c r="I38" s="4"/>
      <c r="J38" s="4"/>
      <c r="K38" s="3"/>
      <c r="L38" s="4"/>
      <c r="M38" s="4"/>
      <c r="N38" s="4"/>
      <c r="O38" s="4"/>
      <c r="P38" s="4"/>
      <c r="Q38" s="4"/>
    </row>
    <row r="39" spans="1:17" x14ac:dyDescent="0.3">
      <c r="A39" s="4" t="str">
        <v>02/28/2023</v>
      </c>
      <c r="B39" s="4">
        <v>2714.5711019999999</v>
      </c>
      <c r="C39" s="4">
        <v>2073.6082369999999</v>
      </c>
      <c r="D39" s="4">
        <v>629.02288699999997</v>
      </c>
      <c r="E39" s="4">
        <v>964.00557200000003</v>
      </c>
      <c r="F39" s="4">
        <v>292.93310700000001</v>
      </c>
      <c r="H39" s="3"/>
      <c r="I39" s="4"/>
      <c r="J39" s="4"/>
      <c r="K39" s="3"/>
      <c r="L39" s="4"/>
      <c r="M39" s="4"/>
      <c r="N39" s="4"/>
      <c r="O39" s="4"/>
      <c r="P39" s="4"/>
      <c r="Q39" s="4"/>
    </row>
    <row r="40" spans="1:17" x14ac:dyDescent="0.3">
      <c r="A40" s="4" t="str">
        <v>01/31/2023</v>
      </c>
      <c r="B40" s="4">
        <v>2784.9952790000002</v>
      </c>
      <c r="C40" s="4">
        <v>2126.172509</v>
      </c>
      <c r="D40" s="4">
        <v>648.36528799999996</v>
      </c>
      <c r="E40" s="4">
        <v>1031.497108</v>
      </c>
      <c r="F40" s="4">
        <v>303.95252299999999</v>
      </c>
      <c r="H40" s="3"/>
      <c r="I40" s="4"/>
      <c r="J40" s="4"/>
      <c r="K40" s="3"/>
      <c r="L40" s="4"/>
      <c r="M40" s="4"/>
      <c r="N40" s="4"/>
      <c r="O40" s="4"/>
      <c r="P40" s="4"/>
      <c r="Q40" s="4"/>
    </row>
    <row r="41" spans="1:17" x14ac:dyDescent="0.3">
      <c r="A41" s="4" t="str">
        <v>12/30/2022</v>
      </c>
      <c r="B41" s="4">
        <v>2602.6850220000001</v>
      </c>
      <c r="C41" s="4">
        <v>1966.3358029999999</v>
      </c>
      <c r="D41" s="4">
        <v>605.38233200000002</v>
      </c>
      <c r="E41" s="4">
        <v>956.37760300000002</v>
      </c>
      <c r="F41" s="4">
        <v>281.30514699999998</v>
      </c>
      <c r="H41" s="3"/>
      <c r="I41" s="4"/>
      <c r="J41" s="4"/>
      <c r="K41" s="3"/>
      <c r="L41" s="4"/>
      <c r="M41" s="4"/>
      <c r="N41" s="4"/>
      <c r="O41" s="4"/>
      <c r="P41" s="4"/>
      <c r="Q41" s="4"/>
    </row>
    <row r="42" spans="1:17" x14ac:dyDescent="0.3">
      <c r="A42" s="4" t="str">
        <v>11/30/2022</v>
      </c>
      <c r="B42" s="4">
        <v>2720.8886739999998</v>
      </c>
      <c r="C42" s="4">
        <v>1977.9397630000001</v>
      </c>
      <c r="D42" s="4">
        <v>630.91839000000004</v>
      </c>
      <c r="E42" s="4">
        <v>972.28533700000003</v>
      </c>
      <c r="F42" s="4">
        <v>283.82130000000001</v>
      </c>
      <c r="H42" s="3"/>
      <c r="I42" s="4"/>
      <c r="J42" s="4"/>
      <c r="K42" s="3"/>
      <c r="L42" s="4"/>
      <c r="M42" s="4"/>
      <c r="N42" s="4"/>
      <c r="O42" s="4"/>
      <c r="P42" s="4"/>
      <c r="Q42" s="4"/>
    </row>
    <row r="43" spans="1:17" x14ac:dyDescent="0.3">
      <c r="A43" s="4" t="str">
        <v>10/31/2022</v>
      </c>
      <c r="B43" s="4">
        <v>2547.715764</v>
      </c>
      <c r="C43" s="4">
        <v>1790.4477569999999</v>
      </c>
      <c r="D43" s="4">
        <v>586.37446</v>
      </c>
      <c r="E43" s="4">
        <v>848.16283399999998</v>
      </c>
      <c r="F43" s="4">
        <v>254.27256499999999</v>
      </c>
      <c r="H43" s="3"/>
      <c r="I43" s="4"/>
      <c r="J43" s="4"/>
      <c r="K43" s="3"/>
      <c r="L43" s="4"/>
      <c r="M43" s="4"/>
      <c r="N43" s="4"/>
      <c r="O43" s="4"/>
      <c r="P43" s="4"/>
      <c r="Q43" s="4"/>
    </row>
    <row r="44" spans="1:17" x14ac:dyDescent="0.3">
      <c r="A44" s="4" t="str">
        <v>09/30/2022</v>
      </c>
      <c r="B44" s="4">
        <v>2378.6452840000002</v>
      </c>
      <c r="C44" s="4">
        <v>1698.0225089999999</v>
      </c>
      <c r="D44" s="4">
        <v>553.37127899999996</v>
      </c>
      <c r="E44" s="4">
        <v>875.78565000000003</v>
      </c>
      <c r="F44" s="4">
        <v>247.046851</v>
      </c>
      <c r="H44" s="3"/>
      <c r="I44" s="4"/>
      <c r="J44" s="4"/>
      <c r="K44" s="3"/>
      <c r="L44" s="4"/>
      <c r="M44" s="4"/>
      <c r="N44" s="4"/>
      <c r="O44" s="4"/>
      <c r="P44" s="4"/>
      <c r="Q44" s="4"/>
    </row>
    <row r="45" spans="1:17" x14ac:dyDescent="0.3">
      <c r="A45" s="4" t="str">
        <v>08/31/2022</v>
      </c>
      <c r="B45" s="4">
        <v>2627.3209529999999</v>
      </c>
      <c r="C45" s="4">
        <v>1878.578274</v>
      </c>
      <c r="D45" s="4">
        <v>613.10671600000001</v>
      </c>
      <c r="E45" s="4">
        <v>994.11438799999996</v>
      </c>
      <c r="F45" s="4">
        <v>275.39861200000001</v>
      </c>
      <c r="H45" s="3"/>
      <c r="I45" s="4"/>
      <c r="J45" s="4"/>
      <c r="K45" s="3"/>
      <c r="L45" s="4"/>
      <c r="M45" s="4"/>
      <c r="N45" s="4"/>
      <c r="O45" s="4"/>
      <c r="P45" s="4"/>
      <c r="Q45" s="4"/>
    </row>
    <row r="46" spans="1:17" x14ac:dyDescent="0.3">
      <c r="A46" s="4" t="str">
        <v>07/29/2022</v>
      </c>
      <c r="B46" s="4">
        <v>2746.3645660000002</v>
      </c>
      <c r="C46" s="4">
        <v>1975.688116</v>
      </c>
      <c r="D46" s="4">
        <v>637.71712100000002</v>
      </c>
      <c r="E46" s="4">
        <v>993.78156300000001</v>
      </c>
      <c r="F46" s="4">
        <v>285.38343500000002</v>
      </c>
      <c r="H46" s="3"/>
      <c r="I46" s="4"/>
      <c r="J46" s="4"/>
      <c r="K46" s="3"/>
      <c r="L46" s="4"/>
      <c r="M46" s="4"/>
      <c r="N46" s="4"/>
      <c r="O46" s="4"/>
      <c r="P46" s="4"/>
      <c r="Q46" s="4"/>
    </row>
    <row r="47" spans="1:17" x14ac:dyDescent="0.3">
      <c r="A47" s="4" t="str">
        <v>06/30/2022</v>
      </c>
      <c r="B47" s="4">
        <v>2546.1853270000001</v>
      </c>
      <c r="C47" s="4">
        <v>1883.42902</v>
      </c>
      <c r="D47" s="4">
        <v>596.77393300000006</v>
      </c>
      <c r="E47" s="4">
        <v>1000.668125</v>
      </c>
      <c r="F47" s="4">
        <v>276.43572799999998</v>
      </c>
      <c r="H47" s="3"/>
      <c r="I47" s="4"/>
      <c r="J47" s="4"/>
      <c r="K47" s="3"/>
      <c r="L47" s="4"/>
      <c r="M47" s="4"/>
      <c r="N47" s="4"/>
      <c r="O47" s="4"/>
      <c r="P47" s="4"/>
      <c r="Q47" s="4"/>
    </row>
    <row r="48" spans="1:17" x14ac:dyDescent="0.3">
      <c r="A48" s="4" t="str">
        <v>05/31/2022</v>
      </c>
      <c r="B48" s="4">
        <v>2791.0127120000002</v>
      </c>
      <c r="C48" s="4">
        <v>2082.1054410000002</v>
      </c>
      <c r="D48" s="4">
        <v>652.81421699999999</v>
      </c>
      <c r="E48" s="4">
        <v>1077.6658849999999</v>
      </c>
      <c r="F48" s="4">
        <v>303.25054499999999</v>
      </c>
      <c r="H48" s="3"/>
      <c r="I48" s="4"/>
      <c r="J48" s="4"/>
      <c r="K48" s="3"/>
      <c r="L48" s="4"/>
      <c r="M48" s="4"/>
      <c r="N48" s="4"/>
      <c r="O48" s="4"/>
      <c r="P48" s="4"/>
      <c r="Q48" s="4"/>
    </row>
    <row r="49" spans="1:17" x14ac:dyDescent="0.3">
      <c r="A49" s="4" t="str">
        <v>04/29/2022</v>
      </c>
      <c r="B49" s="4">
        <v>2795.6153060000001</v>
      </c>
      <c r="C49" s="4">
        <v>2075.2832100000001</v>
      </c>
      <c r="D49" s="4">
        <v>653.66704100000004</v>
      </c>
      <c r="E49" s="4">
        <v>1076.1899780000001</v>
      </c>
      <c r="F49" s="4">
        <v>302.42338799999999</v>
      </c>
      <c r="H49" s="3"/>
      <c r="I49" s="4"/>
      <c r="J49" s="4"/>
      <c r="K49" s="3"/>
      <c r="L49" s="4"/>
      <c r="M49" s="4"/>
      <c r="N49" s="4"/>
      <c r="O49" s="4"/>
      <c r="P49" s="4"/>
      <c r="Q49" s="4"/>
    </row>
    <row r="50" spans="1:17" x14ac:dyDescent="0.3">
      <c r="A50" s="4" t="str">
        <v>03/31/2022</v>
      </c>
      <c r="B50" s="4">
        <v>3053.07008</v>
      </c>
      <c r="C50" s="4">
        <v>2228.1376169999999</v>
      </c>
      <c r="D50" s="4">
        <v>711.55771800000002</v>
      </c>
      <c r="E50" s="4">
        <v>1141.787235</v>
      </c>
      <c r="F50" s="4">
        <v>323.59080799999998</v>
      </c>
      <c r="H50" s="3"/>
      <c r="I50" s="4"/>
      <c r="J50" s="4"/>
      <c r="K50" s="3"/>
      <c r="L50" s="4"/>
      <c r="M50" s="4"/>
      <c r="N50" s="4"/>
      <c r="O50" s="4"/>
      <c r="P50" s="4"/>
      <c r="Q50" s="4"/>
    </row>
    <row r="51" spans="1:17" x14ac:dyDescent="0.3">
      <c r="A51" s="4" t="str">
        <v>02/28/2022</v>
      </c>
      <c r="B51" s="4">
        <v>2977.9539850000001</v>
      </c>
      <c r="C51" s="4">
        <v>2213.4242429999999</v>
      </c>
      <c r="D51" s="4">
        <v>698.02019499999994</v>
      </c>
      <c r="E51" s="4">
        <v>1171.3099159999999</v>
      </c>
      <c r="F51" s="4">
        <v>324.45828499999999</v>
      </c>
      <c r="H51" s="3"/>
      <c r="I51" s="4"/>
      <c r="J51" s="4"/>
      <c r="K51" s="3"/>
      <c r="L51" s="4"/>
      <c r="M51" s="4"/>
      <c r="N51" s="4"/>
      <c r="O51" s="4"/>
      <c r="P51" s="4"/>
      <c r="Q51" s="4"/>
    </row>
    <row r="52" spans="1:17" x14ac:dyDescent="0.3">
      <c r="A52" s="4" t="str">
        <v>01/31/2022</v>
      </c>
      <c r="B52" s="4">
        <v>3059.0471550000002</v>
      </c>
      <c r="C52" s="4">
        <v>2252.4133310000002</v>
      </c>
      <c r="D52" s="4">
        <v>717.37548200000003</v>
      </c>
      <c r="E52" s="4">
        <v>1208.2315639999999</v>
      </c>
      <c r="F52" s="4">
        <v>331.49260299999997</v>
      </c>
      <c r="H52" s="3"/>
      <c r="I52" s="4"/>
      <c r="J52" s="4"/>
      <c r="K52" s="3"/>
      <c r="L52" s="4"/>
      <c r="M52" s="4"/>
      <c r="N52" s="4"/>
      <c r="O52" s="4"/>
      <c r="P52" s="4"/>
      <c r="Q52" s="4"/>
    </row>
    <row r="53" spans="1:17" x14ac:dyDescent="0.3">
      <c r="A53" s="4" t="str">
        <v>12/31/2021</v>
      </c>
      <c r="B53" s="4">
        <v>3231.726975</v>
      </c>
      <c r="C53" s="4">
        <v>2357.5146119999999</v>
      </c>
      <c r="D53" s="4">
        <v>754.82811600000002</v>
      </c>
      <c r="E53" s="4">
        <v>1232.0078619999999</v>
      </c>
      <c r="F53" s="4">
        <v>344.326797</v>
      </c>
      <c r="H53" s="3"/>
      <c r="I53" s="4"/>
      <c r="J53" s="4"/>
      <c r="K53" s="3"/>
      <c r="L53" s="4"/>
      <c r="M53" s="4"/>
      <c r="N53" s="4"/>
      <c r="O53" s="4"/>
      <c r="P53" s="4"/>
      <c r="Q53" s="4"/>
    </row>
    <row r="54" spans="1:17" x14ac:dyDescent="0.3">
      <c r="A54" s="4" t="str">
        <v>11/30/2021</v>
      </c>
      <c r="B54" s="4">
        <v>3101.7958560000002</v>
      </c>
      <c r="C54" s="4">
        <v>2245.389283</v>
      </c>
      <c r="D54" s="4">
        <v>726.53144099999997</v>
      </c>
      <c r="E54" s="4">
        <v>1212.4177709999999</v>
      </c>
      <c r="F54" s="4">
        <v>331.101043</v>
      </c>
      <c r="H54" s="3"/>
      <c r="I54" s="4"/>
      <c r="J54" s="4"/>
      <c r="K54" s="3"/>
      <c r="L54" s="4"/>
      <c r="M54" s="4"/>
      <c r="N54" s="4"/>
      <c r="O54" s="4"/>
      <c r="P54" s="4"/>
      <c r="Q54" s="4"/>
    </row>
    <row r="55" spans="1:17" x14ac:dyDescent="0.3">
      <c r="A55" s="4" t="str">
        <v>10/29/2021</v>
      </c>
      <c r="B55" s="4">
        <v>3174.72534</v>
      </c>
      <c r="C55" s="4">
        <v>2358.9083179999998</v>
      </c>
      <c r="D55" s="4">
        <v>745.22862799999996</v>
      </c>
      <c r="E55" s="4">
        <v>1264.7541269999999</v>
      </c>
      <c r="F55" s="4">
        <v>347.12210800000003</v>
      </c>
      <c r="H55" s="3"/>
      <c r="I55" s="4"/>
      <c r="J55" s="4"/>
      <c r="K55" s="3"/>
      <c r="L55" s="4"/>
      <c r="M55" s="4"/>
      <c r="N55" s="4"/>
      <c r="O55" s="4"/>
      <c r="P55" s="4"/>
      <c r="Q55" s="4"/>
    </row>
    <row r="56" spans="1:17" x14ac:dyDescent="0.3">
      <c r="A56" s="4" t="str">
        <v>09/30/2021</v>
      </c>
      <c r="B56" s="4">
        <v>3006.604139</v>
      </c>
      <c r="C56" s="4">
        <v>2292.7708499999999</v>
      </c>
      <c r="D56" s="4">
        <v>709.51198699999998</v>
      </c>
      <c r="E56" s="4">
        <v>1253.0973429999999</v>
      </c>
      <c r="F56" s="4">
        <v>339.29739499999999</v>
      </c>
      <c r="H56" s="3"/>
      <c r="I56" s="4"/>
      <c r="J56" s="4"/>
      <c r="K56" s="3"/>
      <c r="L56" s="4"/>
      <c r="M56" s="4"/>
      <c r="N56" s="4"/>
      <c r="O56" s="4"/>
      <c r="P56" s="4"/>
      <c r="Q56" s="4"/>
    </row>
    <row r="57" spans="1:17" x14ac:dyDescent="0.3">
      <c r="A57" s="4" t="str">
        <v>08/31/2021</v>
      </c>
      <c r="B57" s="4">
        <v>3141.3509370000002</v>
      </c>
      <c r="C57" s="4">
        <v>2367.3176720000001</v>
      </c>
      <c r="D57" s="4">
        <v>741.270534</v>
      </c>
      <c r="E57" s="4">
        <v>1308.6704569999999</v>
      </c>
      <c r="F57" s="4">
        <v>351.517853</v>
      </c>
      <c r="H57" s="3"/>
      <c r="I57" s="4"/>
      <c r="J57" s="4"/>
      <c r="K57" s="3"/>
      <c r="L57" s="4"/>
      <c r="M57" s="4"/>
      <c r="N57" s="4"/>
      <c r="O57" s="4"/>
      <c r="P57" s="4"/>
      <c r="Q57" s="4"/>
    </row>
    <row r="58" spans="1:17" x14ac:dyDescent="0.3">
      <c r="A58" s="4" t="str">
        <v>07/30/2021</v>
      </c>
      <c r="B58" s="4">
        <v>3069.249002</v>
      </c>
      <c r="C58" s="4">
        <v>2335.232802</v>
      </c>
      <c r="D58" s="4">
        <v>724.208978</v>
      </c>
      <c r="E58" s="4">
        <v>1277.8049579999999</v>
      </c>
      <c r="F58" s="4">
        <v>345.71616899999998</v>
      </c>
      <c r="H58" s="3"/>
      <c r="I58" s="4"/>
      <c r="J58" s="4"/>
      <c r="K58" s="3"/>
      <c r="L58" s="4"/>
      <c r="M58" s="4"/>
      <c r="N58" s="4"/>
      <c r="O58" s="4"/>
      <c r="P58" s="4"/>
      <c r="Q58" s="4"/>
    </row>
    <row r="59" spans="1:17" x14ac:dyDescent="0.3">
      <c r="A59" s="4" t="str">
        <v>06/30/2021</v>
      </c>
      <c r="B59" s="4">
        <v>3017.2224030000002</v>
      </c>
      <c r="C59" s="4">
        <v>2321.283034</v>
      </c>
      <c r="D59" s="4">
        <v>719.96996100000001</v>
      </c>
      <c r="E59" s="4">
        <v>1374.6374029999999</v>
      </c>
      <c r="F59" s="4">
        <v>352.02552600000001</v>
      </c>
      <c r="H59" s="3"/>
      <c r="I59" s="4"/>
      <c r="J59" s="4"/>
      <c r="K59" s="3"/>
      <c r="L59" s="4"/>
      <c r="M59" s="4"/>
      <c r="N59" s="4"/>
      <c r="O59" s="4"/>
      <c r="P59" s="4"/>
      <c r="Q59" s="4"/>
    </row>
    <row r="60" spans="1:17" x14ac:dyDescent="0.3">
      <c r="A60" s="4" t="str">
        <v>05/28/2021</v>
      </c>
      <c r="B60" s="4">
        <v>2979.2971809999999</v>
      </c>
      <c r="C60" s="4">
        <v>2356.6101450000001</v>
      </c>
      <c r="D60" s="4">
        <v>711.15189299999997</v>
      </c>
      <c r="E60" s="4">
        <v>1360.782132</v>
      </c>
      <c r="F60" s="4">
        <v>354.59525500000001</v>
      </c>
      <c r="H60" s="3"/>
      <c r="I60" s="4"/>
      <c r="J60" s="4"/>
      <c r="K60" s="3"/>
      <c r="L60" s="4"/>
      <c r="M60" s="4"/>
      <c r="N60" s="4"/>
      <c r="O60" s="4"/>
      <c r="P60" s="4"/>
      <c r="Q60" s="4"/>
    </row>
    <row r="61" spans="1:17" x14ac:dyDescent="0.3">
      <c r="A61" s="4" t="str">
        <v>04/30/2021</v>
      </c>
      <c r="B61" s="4">
        <v>2938.763958</v>
      </c>
      <c r="C61" s="4">
        <v>2277.0093860000002</v>
      </c>
      <c r="D61" s="4">
        <v>701.83004800000003</v>
      </c>
      <c r="E61" s="4">
        <v>1347.6115380000001</v>
      </c>
      <c r="F61" s="4">
        <v>345.20514100000003</v>
      </c>
      <c r="H61" s="3"/>
      <c r="I61" s="4"/>
      <c r="J61" s="4"/>
      <c r="K61" s="3"/>
      <c r="L61" s="4"/>
      <c r="M61" s="4"/>
      <c r="N61" s="4"/>
      <c r="O61" s="4"/>
      <c r="P61" s="4"/>
      <c r="Q61" s="4"/>
    </row>
    <row r="62" spans="1:17" x14ac:dyDescent="0.3">
      <c r="A62" s="4" t="str">
        <v>03/31/2021</v>
      </c>
      <c r="B62" s="4">
        <v>2811.698918</v>
      </c>
      <c r="C62" s="4">
        <v>2213.4408990000002</v>
      </c>
      <c r="D62" s="4">
        <v>673.28772000000004</v>
      </c>
      <c r="E62" s="4">
        <v>1316.4253920000001</v>
      </c>
      <c r="F62" s="4">
        <v>336.07385399999998</v>
      </c>
      <c r="H62" s="3"/>
      <c r="I62" s="4"/>
      <c r="J62" s="4"/>
      <c r="K62" s="3"/>
      <c r="L62" s="4"/>
      <c r="M62" s="4"/>
      <c r="N62" s="4"/>
      <c r="O62" s="4"/>
      <c r="P62" s="4"/>
      <c r="Q62" s="4"/>
    </row>
    <row r="63" spans="1:17" x14ac:dyDescent="0.3">
      <c r="A63" s="4" t="str">
        <v>02/26/2021</v>
      </c>
      <c r="B63" s="4">
        <v>2726.9099190000002</v>
      </c>
      <c r="C63" s="4">
        <v>2168.0517949999999</v>
      </c>
      <c r="D63" s="4">
        <v>657.14623400000005</v>
      </c>
      <c r="E63" s="4">
        <v>1339.2586980000001</v>
      </c>
      <c r="F63" s="4">
        <v>333.105639</v>
      </c>
      <c r="H63" s="3"/>
      <c r="I63" s="4"/>
      <c r="J63" s="4"/>
      <c r="K63" s="3"/>
      <c r="L63" s="4"/>
      <c r="M63" s="4"/>
      <c r="N63" s="4"/>
      <c r="O63" s="4"/>
      <c r="P63" s="4"/>
      <c r="Q63" s="4"/>
    </row>
    <row r="64" spans="1:17" x14ac:dyDescent="0.3">
      <c r="A64" s="4" t="str">
        <v>01/29/2021</v>
      </c>
      <c r="B64" s="4">
        <v>2661.6905400000001</v>
      </c>
      <c r="C64" s="4">
        <v>2116.9551459999998</v>
      </c>
      <c r="D64" s="4">
        <v>642.906565</v>
      </c>
      <c r="E64" s="4">
        <v>1329.5657940000001</v>
      </c>
      <c r="F64" s="4">
        <v>326.968143</v>
      </c>
      <c r="H64" s="3"/>
      <c r="I64" s="4"/>
      <c r="J64" s="4"/>
      <c r="K64" s="3"/>
      <c r="L64" s="4"/>
      <c r="M64" s="4"/>
      <c r="N64" s="4"/>
      <c r="O64" s="4"/>
      <c r="P64" s="4"/>
      <c r="Q64" s="4"/>
    </row>
    <row r="65" spans="1:17" x14ac:dyDescent="0.3">
      <c r="A65" s="4" t="str">
        <v>12/31/2020</v>
      </c>
      <c r="B65" s="4">
        <v>2690.0441689999998</v>
      </c>
      <c r="C65" s="4">
        <v>2140.705997</v>
      </c>
      <c r="D65" s="4">
        <v>646.26834199999996</v>
      </c>
      <c r="E65" s="4">
        <v>1291.263514</v>
      </c>
      <c r="F65" s="4">
        <v>326.45729299999999</v>
      </c>
      <c r="H65" s="3"/>
      <c r="I65" s="4"/>
      <c r="J65" s="4"/>
      <c r="K65" s="3"/>
      <c r="L65" s="4"/>
      <c r="M65" s="4"/>
      <c r="N65" s="4"/>
      <c r="O65" s="4"/>
      <c r="P65" s="4"/>
      <c r="Q65" s="4"/>
    </row>
    <row r="66" spans="1:17" x14ac:dyDescent="0.3">
      <c r="A66" s="4" t="str">
        <v>11/30/2020</v>
      </c>
      <c r="B66" s="4">
        <v>2583.1433579999998</v>
      </c>
      <c r="C66" s="4">
        <v>2049.5371930000001</v>
      </c>
      <c r="D66" s="4">
        <v>618.26574100000005</v>
      </c>
      <c r="E66" s="4">
        <v>1205.0677410000001</v>
      </c>
      <c r="F66" s="4">
        <v>310.09845999999999</v>
      </c>
      <c r="H66" s="3"/>
      <c r="I66" s="4"/>
      <c r="J66" s="4"/>
      <c r="K66" s="3"/>
      <c r="L66" s="4"/>
      <c r="M66" s="4"/>
      <c r="N66" s="4"/>
      <c r="O66" s="4"/>
      <c r="P66" s="4"/>
      <c r="Q66" s="4"/>
    </row>
    <row r="67" spans="1:17" x14ac:dyDescent="0.3">
      <c r="A67" s="4" t="str">
        <v>10/30/2020</v>
      </c>
      <c r="B67" s="4">
        <v>2292.9254350000001</v>
      </c>
      <c r="C67" s="4">
        <v>1778.8869360000001</v>
      </c>
      <c r="D67" s="4">
        <v>550.99536000000001</v>
      </c>
      <c r="E67" s="4">
        <v>1103.458245</v>
      </c>
      <c r="F67" s="4">
        <v>273.574972</v>
      </c>
      <c r="H67" s="3"/>
      <c r="I67" s="4"/>
      <c r="J67" s="4"/>
      <c r="K67" s="3"/>
      <c r="L67" s="4"/>
      <c r="M67" s="4"/>
      <c r="N67" s="4"/>
      <c r="O67" s="4"/>
      <c r="P67" s="4"/>
      <c r="Q67" s="4"/>
    </row>
    <row r="68" spans="1:17" x14ac:dyDescent="0.3">
      <c r="A68" s="4" t="str">
        <v>09/30/2020</v>
      </c>
      <c r="B68" s="4">
        <v>2367.270462</v>
      </c>
      <c r="C68" s="4">
        <v>1853.140633</v>
      </c>
      <c r="D68" s="4">
        <v>565.14848199999994</v>
      </c>
      <c r="E68" s="4">
        <v>1081.996075</v>
      </c>
      <c r="F68" s="4">
        <v>279.802999</v>
      </c>
      <c r="H68" s="3"/>
      <c r="I68" s="4"/>
      <c r="J68" s="4"/>
      <c r="K68" s="3"/>
      <c r="L68" s="4"/>
      <c r="M68" s="4"/>
      <c r="N68" s="4"/>
      <c r="O68" s="4"/>
      <c r="P68" s="4"/>
      <c r="Q68" s="4"/>
    </row>
    <row r="69" spans="1:17" x14ac:dyDescent="0.3">
      <c r="A69" s="4" t="str">
        <v>08/31/2020</v>
      </c>
      <c r="B69" s="4">
        <v>2455.5121570000001</v>
      </c>
      <c r="C69" s="4">
        <v>1911.9458890000001</v>
      </c>
      <c r="D69" s="4">
        <v>584.86393399999997</v>
      </c>
      <c r="E69" s="4">
        <v>1101.4986650000001</v>
      </c>
      <c r="F69" s="4">
        <v>287.54155200000002</v>
      </c>
      <c r="H69" s="3"/>
      <c r="I69" s="4"/>
      <c r="J69" s="4"/>
      <c r="K69" s="3"/>
      <c r="L69" s="4"/>
      <c r="M69" s="4"/>
      <c r="N69" s="4"/>
      <c r="O69" s="4"/>
      <c r="P69" s="4"/>
      <c r="Q69" s="4"/>
    </row>
    <row r="70" spans="1:17" x14ac:dyDescent="0.3">
      <c r="A70" s="4" t="str">
        <v>07/31/2020</v>
      </c>
      <c r="B70" s="4">
        <v>2304.982465</v>
      </c>
      <c r="C70" s="4">
        <v>1821.676119</v>
      </c>
      <c r="D70" s="4">
        <v>551.89436699999999</v>
      </c>
      <c r="E70" s="4">
        <v>1078.918666</v>
      </c>
      <c r="F70" s="4">
        <v>276.21128900000002</v>
      </c>
      <c r="H70" s="3"/>
      <c r="I70" s="4"/>
      <c r="J70" s="4"/>
      <c r="K70" s="3"/>
      <c r="L70" s="4"/>
      <c r="M70" s="4"/>
      <c r="N70" s="4"/>
      <c r="O70" s="4"/>
      <c r="P70" s="4"/>
      <c r="Q70" s="4"/>
    </row>
    <row r="71" spans="1:17" x14ac:dyDescent="0.3">
      <c r="A71" s="4" t="str">
        <v>06/30/2020</v>
      </c>
      <c r="B71" s="4">
        <v>2201.788466</v>
      </c>
      <c r="C71" s="4">
        <v>1776.440732</v>
      </c>
      <c r="D71" s="4">
        <v>524.90763000000004</v>
      </c>
      <c r="E71" s="4">
        <v>995.09833200000003</v>
      </c>
      <c r="F71" s="4">
        <v>264.99951199999998</v>
      </c>
      <c r="H71" s="3"/>
      <c r="I71" s="4"/>
      <c r="J71" s="4"/>
      <c r="K71" s="3"/>
      <c r="L71" s="4"/>
      <c r="M71" s="4"/>
      <c r="N71" s="4"/>
      <c r="O71" s="4"/>
      <c r="P71" s="4"/>
      <c r="Q71" s="4"/>
    </row>
    <row r="72" spans="1:17" x14ac:dyDescent="0.3">
      <c r="A72" s="4" t="str">
        <v>05/29/2020</v>
      </c>
      <c r="B72" s="4">
        <v>2147.8820390000001</v>
      </c>
      <c r="C72" s="4">
        <v>1720.8536280000001</v>
      </c>
      <c r="D72" s="4">
        <v>509.47033900000002</v>
      </c>
      <c r="E72" s="4">
        <v>930.35377400000004</v>
      </c>
      <c r="F72" s="4">
        <v>254.14593500000001</v>
      </c>
      <c r="H72" s="3"/>
      <c r="I72" s="4"/>
      <c r="J72" s="4"/>
      <c r="K72" s="3"/>
      <c r="L72" s="4"/>
      <c r="M72" s="4"/>
      <c r="N72" s="4"/>
      <c r="O72" s="4"/>
      <c r="P72" s="4"/>
      <c r="Q72" s="4"/>
    </row>
    <row r="73" spans="1:17" x14ac:dyDescent="0.3">
      <c r="A73" s="4" t="str">
        <v>04/30/2020</v>
      </c>
      <c r="B73" s="4">
        <v>2052.8453220000001</v>
      </c>
      <c r="C73" s="4">
        <v>1655.0752709999999</v>
      </c>
      <c r="D73" s="4">
        <v>489.16866499999998</v>
      </c>
      <c r="E73" s="4">
        <v>924.93651199999999</v>
      </c>
      <c r="F73" s="4">
        <v>246.69165799999999</v>
      </c>
      <c r="H73" s="3"/>
      <c r="I73" s="4"/>
      <c r="J73" s="4"/>
      <c r="K73" s="3"/>
      <c r="L73" s="4"/>
      <c r="M73" s="4"/>
      <c r="N73" s="4"/>
      <c r="O73" s="4"/>
      <c r="P73" s="4"/>
      <c r="Q73" s="4"/>
    </row>
    <row r="74" spans="1:17" x14ac:dyDescent="0.3">
      <c r="A74" s="4" t="str">
        <v>03/31/2020</v>
      </c>
      <c r="B74" s="4">
        <v>1852.7266629999999</v>
      </c>
      <c r="C74" s="4">
        <v>1549.77954</v>
      </c>
      <c r="D74" s="4">
        <v>442.346476</v>
      </c>
      <c r="E74" s="4">
        <v>848.57692899999995</v>
      </c>
      <c r="F74" s="4">
        <v>229.68486200000001</v>
      </c>
      <c r="H74" s="3"/>
      <c r="I74" s="4"/>
      <c r="J74" s="4"/>
      <c r="K74" s="3"/>
      <c r="L74" s="4"/>
      <c r="M74" s="4"/>
      <c r="N74" s="4"/>
      <c r="O74" s="4"/>
      <c r="P74" s="4"/>
      <c r="Q74" s="4"/>
    </row>
    <row r="75" spans="1:17" x14ac:dyDescent="0.3">
      <c r="A75" s="4" t="str">
        <v>02/28/2020</v>
      </c>
      <c r="B75" s="4">
        <v>2141.123595</v>
      </c>
      <c r="C75" s="4">
        <v>1814.2068300000001</v>
      </c>
      <c r="D75" s="4">
        <v>512.75731499999995</v>
      </c>
      <c r="E75" s="4">
        <v>1005.515796</v>
      </c>
      <c r="F75" s="4">
        <v>269.784446</v>
      </c>
      <c r="H75" s="3"/>
      <c r="I75" s="4"/>
      <c r="J75" s="4"/>
      <c r="K75" s="3"/>
      <c r="L75" s="4"/>
      <c r="M75" s="4"/>
      <c r="N75" s="4"/>
      <c r="O75" s="4"/>
      <c r="P75" s="4"/>
      <c r="Q75" s="4"/>
    </row>
    <row r="76" spans="1:17" x14ac:dyDescent="0.3">
      <c r="A76" s="4" t="str">
        <v>01/31/2020</v>
      </c>
      <c r="B76" s="4">
        <v>2342.4135620000002</v>
      </c>
      <c r="C76" s="4">
        <v>1994.9848059999999</v>
      </c>
      <c r="D76" s="4">
        <v>558.62118499999997</v>
      </c>
      <c r="E76" s="4">
        <v>1062.342529</v>
      </c>
      <c r="F76" s="4">
        <v>293.43465900000001</v>
      </c>
      <c r="H76" s="3"/>
      <c r="I76" s="4"/>
      <c r="J76" s="4"/>
      <c r="K76" s="3"/>
      <c r="L76" s="4"/>
      <c r="M76" s="4"/>
      <c r="N76" s="4"/>
      <c r="O76" s="4"/>
      <c r="P76" s="4"/>
      <c r="Q76" s="4"/>
    </row>
    <row r="77" spans="1:17" x14ac:dyDescent="0.3">
      <c r="A77" s="4" t="str">
        <v>12/31/2019</v>
      </c>
      <c r="B77" s="4">
        <v>2358.4684379999999</v>
      </c>
      <c r="C77" s="4">
        <v>2035.3831520000001</v>
      </c>
      <c r="D77" s="4">
        <v>565.24390800000003</v>
      </c>
      <c r="E77" s="4">
        <v>1114.6598730000001</v>
      </c>
      <c r="F77" s="4">
        <v>301.67318499999999</v>
      </c>
      <c r="H77" s="3"/>
      <c r="I77" s="4"/>
      <c r="J77" s="4"/>
      <c r="K77" s="3"/>
      <c r="L77" s="4"/>
      <c r="M77" s="4"/>
      <c r="N77" s="4"/>
      <c r="O77" s="4"/>
      <c r="P77" s="4"/>
      <c r="Q77" s="4"/>
    </row>
    <row r="78" spans="1:17" x14ac:dyDescent="0.3">
      <c r="A78" s="4" t="str">
        <v>11/29/2019</v>
      </c>
      <c r="B78" s="4">
        <v>2292.2592049999998</v>
      </c>
      <c r="C78" s="4">
        <v>1974.3852730000001</v>
      </c>
      <c r="D78" s="4">
        <v>546.69499499999995</v>
      </c>
      <c r="E78" s="4">
        <v>1040.0453910000001</v>
      </c>
      <c r="F78" s="4">
        <v>289.56651599999998</v>
      </c>
      <c r="H78" s="3"/>
      <c r="I78" s="4"/>
      <c r="J78" s="4"/>
      <c r="K78" s="3"/>
      <c r="L78" s="4"/>
      <c r="M78" s="4"/>
      <c r="N78" s="4"/>
      <c r="O78" s="4"/>
      <c r="P78" s="4"/>
      <c r="Q78" s="4"/>
    </row>
    <row r="79" spans="1:17" x14ac:dyDescent="0.3">
      <c r="A79" s="4" t="str">
        <v>10/31/2019</v>
      </c>
      <c r="B79" s="4">
        <v>2233.525725</v>
      </c>
      <c r="C79" s="4">
        <v>1953.0372359999999</v>
      </c>
      <c r="D79" s="4">
        <v>534.411202</v>
      </c>
      <c r="E79" s="4">
        <v>1041.980986</v>
      </c>
      <c r="F79" s="4">
        <v>287.39826499999998</v>
      </c>
      <c r="H79" s="3"/>
      <c r="I79" s="4"/>
      <c r="J79" s="4"/>
      <c r="K79" s="3"/>
      <c r="L79" s="4"/>
      <c r="M79" s="4"/>
      <c r="N79" s="4"/>
      <c r="O79" s="4"/>
      <c r="P79" s="4"/>
      <c r="Q79" s="4"/>
    </row>
    <row r="80" spans="1:17" x14ac:dyDescent="0.3">
      <c r="A80" s="4" t="str">
        <v>09/30/2019</v>
      </c>
      <c r="B80" s="4">
        <v>2180.0182370000002</v>
      </c>
      <c r="C80" s="4">
        <v>1893.701955</v>
      </c>
      <c r="D80" s="4">
        <v>520.65088500000002</v>
      </c>
      <c r="E80" s="4">
        <v>1000.996227</v>
      </c>
      <c r="F80" s="4">
        <v>277.99296299999997</v>
      </c>
      <c r="H80" s="3"/>
      <c r="I80" s="4"/>
      <c r="J80" s="4"/>
      <c r="K80" s="3"/>
      <c r="L80" s="4"/>
      <c r="M80" s="4"/>
      <c r="N80" s="4"/>
      <c r="O80" s="4"/>
      <c r="P80" s="4"/>
      <c r="Q80" s="4"/>
    </row>
    <row r="81" spans="1:17" x14ac:dyDescent="0.3">
      <c r="A81" s="4" t="str">
        <v>08/30/2019</v>
      </c>
      <c r="B81" s="4">
        <v>2138.5211840000002</v>
      </c>
      <c r="C81" s="4">
        <v>1847.803758</v>
      </c>
      <c r="D81" s="4">
        <v>510.87707799999998</v>
      </c>
      <c r="E81" s="4">
        <v>984.33404800000005</v>
      </c>
      <c r="F81" s="4">
        <v>271.79886499999998</v>
      </c>
      <c r="H81" s="3"/>
      <c r="I81" s="4"/>
      <c r="J81" s="4"/>
      <c r="K81" s="3"/>
      <c r="L81" s="4"/>
      <c r="M81" s="4"/>
      <c r="N81" s="4"/>
      <c r="O81" s="4"/>
      <c r="P81" s="4"/>
      <c r="Q81" s="4"/>
    </row>
    <row r="82" spans="1:17" x14ac:dyDescent="0.3">
      <c r="A82" s="4" t="str">
        <v>07/31/2019</v>
      </c>
      <c r="B82" s="4">
        <v>2187.5635940000002</v>
      </c>
      <c r="C82" s="4">
        <v>1899.6714340000001</v>
      </c>
      <c r="D82" s="4">
        <v>524.35029499999996</v>
      </c>
      <c r="E82" s="4">
        <v>1037.0092649999999</v>
      </c>
      <c r="F82" s="4">
        <v>281.19946900000002</v>
      </c>
      <c r="H82" s="3"/>
      <c r="I82" s="4"/>
      <c r="J82" s="4"/>
      <c r="K82" s="3"/>
      <c r="L82" s="4"/>
      <c r="M82" s="4"/>
      <c r="N82" s="4"/>
      <c r="O82" s="4"/>
      <c r="P82" s="4"/>
      <c r="Q82" s="4"/>
    </row>
    <row r="83" spans="1:17" x14ac:dyDescent="0.3">
      <c r="A83" s="4" t="str">
        <v>06/28/2019</v>
      </c>
      <c r="B83" s="4">
        <v>2178.3465219999998</v>
      </c>
      <c r="C83" s="4">
        <v>1923.860946</v>
      </c>
      <c r="D83" s="4">
        <v>523.44203200000004</v>
      </c>
      <c r="E83" s="4">
        <v>1054.8558439999999</v>
      </c>
      <c r="F83" s="4">
        <v>285.11118099999999</v>
      </c>
      <c r="H83" s="3"/>
      <c r="I83" s="4"/>
      <c r="J83" s="4"/>
      <c r="K83" s="3"/>
      <c r="L83" s="4"/>
      <c r="M83" s="4"/>
      <c r="N83" s="4"/>
      <c r="O83" s="4"/>
      <c r="P83" s="4"/>
      <c r="Q83" s="4"/>
    </row>
    <row r="84" spans="1:17" x14ac:dyDescent="0.3">
      <c r="A84" s="4" t="str">
        <v>05/31/2019</v>
      </c>
      <c r="B84" s="4">
        <v>2046.2459369999999</v>
      </c>
      <c r="C84" s="4">
        <v>1818.88851</v>
      </c>
      <c r="D84" s="4">
        <v>492.115297</v>
      </c>
      <c r="E84" s="4">
        <v>997.99771299999998</v>
      </c>
      <c r="F84" s="4">
        <v>269.60335800000001</v>
      </c>
      <c r="H84" s="3"/>
      <c r="I84" s="4"/>
      <c r="J84" s="4"/>
      <c r="K84" s="3"/>
      <c r="L84" s="4"/>
      <c r="M84" s="4"/>
      <c r="N84" s="4"/>
      <c r="O84" s="4"/>
      <c r="P84" s="4"/>
      <c r="Q84" s="4"/>
    </row>
    <row r="85" spans="1:17" x14ac:dyDescent="0.3">
      <c r="A85" s="4" t="str">
        <v>04/30/2019</v>
      </c>
      <c r="B85" s="4">
        <v>2178.6742899999999</v>
      </c>
      <c r="C85" s="4">
        <v>1920.739615</v>
      </c>
      <c r="D85" s="4">
        <v>524.84380899999996</v>
      </c>
      <c r="E85" s="4">
        <v>1079.235079</v>
      </c>
      <c r="F85" s="4">
        <v>286.38957099999999</v>
      </c>
      <c r="H85" s="3"/>
      <c r="I85" s="4"/>
      <c r="J85" s="4"/>
      <c r="K85" s="3"/>
      <c r="L85" s="4"/>
      <c r="M85" s="4"/>
      <c r="N85" s="4"/>
      <c r="O85" s="4"/>
      <c r="P85" s="4"/>
      <c r="Q85" s="4"/>
    </row>
    <row r="86" spans="1:17" x14ac:dyDescent="0.3">
      <c r="A86" s="4" t="str">
        <v>03/29/2019</v>
      </c>
      <c r="B86" s="4">
        <v>2107.7421250000002</v>
      </c>
      <c r="C86" s="4">
        <v>1874.070387</v>
      </c>
      <c r="D86" s="4">
        <v>508.54849000000002</v>
      </c>
      <c r="E86" s="4">
        <v>1058.1271609999999</v>
      </c>
      <c r="F86" s="4">
        <v>279.78515399999998</v>
      </c>
      <c r="H86" s="3"/>
      <c r="I86" s="4"/>
      <c r="J86" s="4"/>
      <c r="K86" s="3"/>
      <c r="L86" s="4"/>
      <c r="M86" s="4"/>
      <c r="N86" s="4"/>
      <c r="O86" s="4"/>
      <c r="P86" s="4"/>
      <c r="Q86" s="4"/>
    </row>
    <row r="87" spans="1:17" x14ac:dyDescent="0.3">
      <c r="A87" s="4" t="str">
        <v>02/28/2019</v>
      </c>
      <c r="B87" s="4">
        <v>2085.8446349999999</v>
      </c>
      <c r="C87" s="4">
        <v>1874.152718</v>
      </c>
      <c r="D87" s="4">
        <v>503.480569</v>
      </c>
      <c r="E87" s="4">
        <v>1050.9507819999999</v>
      </c>
      <c r="F87" s="4">
        <v>279.29884600000003</v>
      </c>
      <c r="H87" s="3"/>
      <c r="I87" s="4"/>
      <c r="J87" s="4"/>
      <c r="K87" s="3"/>
      <c r="L87" s="4"/>
      <c r="M87" s="4"/>
      <c r="N87" s="4"/>
      <c r="O87" s="4"/>
      <c r="P87" s="4"/>
      <c r="Q87" s="4"/>
    </row>
    <row r="88" spans="1:17" x14ac:dyDescent="0.3">
      <c r="A88" s="4" t="str">
        <v>01/31/2019</v>
      </c>
      <c r="B88" s="4">
        <v>2028.492315</v>
      </c>
      <c r="C88" s="4">
        <v>1831.0214539999999</v>
      </c>
      <c r="D88" s="4">
        <v>491.19414399999999</v>
      </c>
      <c r="E88" s="4">
        <v>1049.9266379999999</v>
      </c>
      <c r="F88" s="4">
        <v>274.46119299999998</v>
      </c>
      <c r="H88" s="3"/>
      <c r="I88" s="4"/>
      <c r="J88" s="4"/>
      <c r="K88" s="3"/>
      <c r="L88" s="4"/>
      <c r="M88" s="4"/>
      <c r="N88" s="4"/>
      <c r="O88" s="4"/>
      <c r="P88" s="4"/>
      <c r="Q88" s="4"/>
    </row>
    <row r="89" spans="1:17" x14ac:dyDescent="0.3">
      <c r="A89" s="4" t="str">
        <v>12/31/2018</v>
      </c>
      <c r="B89" s="4">
        <v>1883.9013990000001</v>
      </c>
      <c r="C89" s="4">
        <v>1710.882961</v>
      </c>
      <c r="D89" s="4">
        <v>455.66217499999999</v>
      </c>
      <c r="E89" s="4">
        <v>965.77625799999998</v>
      </c>
      <c r="F89" s="4">
        <v>255.40697800000001</v>
      </c>
      <c r="H89" s="3"/>
      <c r="I89" s="4"/>
      <c r="J89" s="4"/>
      <c r="K89" s="3"/>
      <c r="L89" s="4"/>
      <c r="M89" s="4"/>
      <c r="N89" s="4"/>
      <c r="O89" s="4"/>
      <c r="P89" s="4"/>
      <c r="Q89" s="4"/>
    </row>
    <row r="90" spans="1:17" x14ac:dyDescent="0.3">
      <c r="A90" s="4" t="str">
        <v>11/30/2018</v>
      </c>
      <c r="B90" s="4">
        <v>2041.3586760000001</v>
      </c>
      <c r="C90" s="4">
        <v>1806.3231229999999</v>
      </c>
      <c r="D90" s="4">
        <v>490.857326</v>
      </c>
      <c r="E90" s="4">
        <v>994.71742900000004</v>
      </c>
      <c r="F90" s="4">
        <v>267.94264299999998</v>
      </c>
      <c r="H90" s="3"/>
      <c r="I90" s="4"/>
      <c r="J90" s="4"/>
      <c r="K90" s="3"/>
      <c r="L90" s="4"/>
      <c r="M90" s="4"/>
      <c r="N90" s="4"/>
      <c r="O90" s="4"/>
      <c r="P90" s="4"/>
      <c r="Q90" s="4"/>
    </row>
    <row r="91" spans="1:17" x14ac:dyDescent="0.3">
      <c r="A91" s="4" t="str">
        <v>10/31/2018</v>
      </c>
      <c r="B91" s="4">
        <v>2021.9822590000001</v>
      </c>
      <c r="C91" s="4">
        <v>1811.2729079999999</v>
      </c>
      <c r="D91" s="4">
        <v>484.570966</v>
      </c>
      <c r="E91" s="4">
        <v>955.92361000000005</v>
      </c>
      <c r="F91" s="4">
        <v>265.83585900000003</v>
      </c>
      <c r="H91" s="3"/>
      <c r="I91" s="4"/>
      <c r="J91" s="4"/>
      <c r="K91" s="3"/>
      <c r="L91" s="4"/>
      <c r="M91" s="4"/>
      <c r="N91" s="4"/>
      <c r="O91" s="4"/>
      <c r="P91" s="4"/>
      <c r="Q91" s="4"/>
    </row>
    <row r="92" spans="1:17" x14ac:dyDescent="0.3">
      <c r="A92" s="4" t="str">
        <v>09/28/2018</v>
      </c>
      <c r="B92" s="4">
        <v>2184.0088679999999</v>
      </c>
      <c r="C92" s="4">
        <v>1969.3317669999999</v>
      </c>
      <c r="D92" s="4">
        <v>524.25267099999996</v>
      </c>
      <c r="E92" s="4">
        <v>1047.9080710000001</v>
      </c>
      <c r="F92" s="4">
        <v>289.61608799999999</v>
      </c>
      <c r="H92" s="3"/>
      <c r="I92" s="4"/>
      <c r="J92" s="4"/>
      <c r="K92" s="3"/>
      <c r="L92" s="4"/>
      <c r="M92" s="4"/>
      <c r="N92" s="4"/>
      <c r="O92" s="4"/>
      <c r="P92" s="4"/>
      <c r="Q92" s="4"/>
    </row>
    <row r="93" spans="1:17" x14ac:dyDescent="0.3">
      <c r="A93" s="4" t="str">
        <v>08/31/2018</v>
      </c>
      <c r="B93" s="4">
        <v>2175.498067</v>
      </c>
      <c r="C93" s="4">
        <v>1959.3199830000001</v>
      </c>
      <c r="D93" s="4">
        <v>522.88100699999995</v>
      </c>
      <c r="E93" s="4">
        <v>1055.9598370000001</v>
      </c>
      <c r="F93" s="4">
        <v>289.05577499999998</v>
      </c>
      <c r="H93" s="3"/>
      <c r="I93" s="4"/>
      <c r="J93" s="4"/>
      <c r="K93" s="3"/>
      <c r="L93" s="4"/>
      <c r="M93" s="4"/>
      <c r="N93" s="4"/>
      <c r="O93" s="4"/>
      <c r="P93" s="4"/>
      <c r="Q93" s="4"/>
    </row>
    <row r="94" spans="1:17" x14ac:dyDescent="0.3">
      <c r="A94" s="4" t="str">
        <v>07/31/2018</v>
      </c>
      <c r="B94" s="4">
        <v>2153.0963569999999</v>
      </c>
      <c r="C94" s="4">
        <v>2002.2706820000001</v>
      </c>
      <c r="D94" s="4">
        <v>519.81793500000003</v>
      </c>
      <c r="E94" s="4">
        <v>1087.4558979999999</v>
      </c>
      <c r="F94" s="4">
        <v>295.95703099999997</v>
      </c>
      <c r="H94" s="3"/>
      <c r="I94" s="4"/>
      <c r="J94" s="4"/>
      <c r="K94" s="3"/>
      <c r="L94" s="4"/>
      <c r="M94" s="4"/>
      <c r="N94" s="4"/>
      <c r="O94" s="4"/>
      <c r="P94" s="4"/>
      <c r="Q94" s="4"/>
    </row>
    <row r="95" spans="1:17" x14ac:dyDescent="0.3">
      <c r="A95" s="4" t="str">
        <v>06/29/2018</v>
      </c>
      <c r="B95" s="4">
        <v>2089.3006500000001</v>
      </c>
      <c r="C95" s="4">
        <v>1955.2271169999999</v>
      </c>
      <c r="D95" s="4">
        <v>505.19823300000002</v>
      </c>
      <c r="E95" s="4">
        <v>1069.5172379999999</v>
      </c>
      <c r="F95" s="4">
        <v>289.51879600000001</v>
      </c>
      <c r="H95" s="3"/>
      <c r="I95" s="4"/>
      <c r="J95" s="4"/>
      <c r="K95" s="3"/>
      <c r="L95" s="4"/>
      <c r="M95" s="4"/>
      <c r="N95" s="4"/>
      <c r="O95" s="4"/>
      <c r="P95" s="4"/>
      <c r="Q95" s="4"/>
    </row>
    <row r="96" spans="1:17" x14ac:dyDescent="0.3">
      <c r="A96" s="4" t="str">
        <v>05/31/2018</v>
      </c>
      <c r="B96" s="4">
        <v>2092.9226079999999</v>
      </c>
      <c r="C96" s="4">
        <v>1980.3557479999999</v>
      </c>
      <c r="D96" s="4">
        <v>508.76903800000002</v>
      </c>
      <c r="E96" s="4">
        <v>1120.710137</v>
      </c>
      <c r="F96" s="4">
        <v>295.77019799999999</v>
      </c>
      <c r="H96" s="3"/>
      <c r="I96" s="4"/>
      <c r="J96" s="4"/>
      <c r="K96" s="3"/>
      <c r="L96" s="4"/>
      <c r="M96" s="4"/>
      <c r="N96" s="4"/>
      <c r="O96" s="4"/>
      <c r="P96" s="4"/>
      <c r="Q96" s="4"/>
    </row>
    <row r="97" spans="1:17" x14ac:dyDescent="0.3">
      <c r="A97" s="4" t="str">
        <v>04/30/2018</v>
      </c>
      <c r="B97" s="4">
        <v>2086.5138149999998</v>
      </c>
      <c r="C97" s="4">
        <v>2029.636851</v>
      </c>
      <c r="D97" s="4">
        <v>509.693782</v>
      </c>
      <c r="E97" s="4">
        <v>1164.4275849999999</v>
      </c>
      <c r="F97" s="4">
        <v>304.16581200000002</v>
      </c>
      <c r="H97" s="3"/>
      <c r="I97" s="4"/>
      <c r="J97" s="4"/>
      <c r="K97" s="3"/>
      <c r="L97" s="4"/>
      <c r="M97" s="4"/>
      <c r="N97" s="4"/>
      <c r="O97" s="4"/>
      <c r="P97" s="4"/>
      <c r="Q97" s="4"/>
    </row>
    <row r="98" spans="1:17" x14ac:dyDescent="0.3">
      <c r="A98" s="4" t="str">
        <v>03/29/2018</v>
      </c>
      <c r="B98" s="4">
        <v>2065.5292039999999</v>
      </c>
      <c r="C98" s="4">
        <v>1988.2587820000001</v>
      </c>
      <c r="D98" s="4">
        <v>505.44010500000002</v>
      </c>
      <c r="E98" s="4">
        <v>1169.2656449999999</v>
      </c>
      <c r="F98" s="4">
        <v>299.83700900000002</v>
      </c>
      <c r="H98" s="3"/>
      <c r="I98" s="4"/>
      <c r="J98" s="4"/>
      <c r="K98" s="3"/>
      <c r="L98" s="4"/>
      <c r="M98" s="4"/>
      <c r="N98" s="4"/>
      <c r="O98" s="4"/>
      <c r="P98" s="4"/>
      <c r="Q98" s="4"/>
    </row>
    <row r="99" spans="1:17" x14ac:dyDescent="0.3">
      <c r="A99" s="4" t="str">
        <v>02/28/2018</v>
      </c>
      <c r="B99" s="4">
        <v>2117.9932469999999</v>
      </c>
      <c r="C99" s="4">
        <v>2035.270505</v>
      </c>
      <c r="D99" s="4">
        <v>518.07910100000004</v>
      </c>
      <c r="E99" s="4">
        <v>1195.1928829999999</v>
      </c>
      <c r="F99" s="4">
        <v>306.81317799999999</v>
      </c>
      <c r="H99" s="3"/>
      <c r="I99" s="4"/>
      <c r="J99" s="4"/>
      <c r="K99" s="3"/>
      <c r="L99" s="4"/>
      <c r="M99" s="4"/>
      <c r="N99" s="4"/>
      <c r="O99" s="4"/>
      <c r="P99" s="4"/>
      <c r="Q99" s="4"/>
    </row>
    <row r="100" spans="1:17" x14ac:dyDescent="0.3">
      <c r="A100" s="4" t="str">
        <v>01/31/2018</v>
      </c>
      <c r="B100" s="4">
        <v>2213.2377470000001</v>
      </c>
      <c r="C100" s="4">
        <v>2140.968981</v>
      </c>
      <c r="D100" s="4">
        <v>541.67325700000004</v>
      </c>
      <c r="E100" s="4">
        <v>1254.587321</v>
      </c>
      <c r="F100" s="4">
        <v>322.57165700000002</v>
      </c>
      <c r="H100" s="3"/>
      <c r="I100" s="4"/>
      <c r="J100" s="4"/>
      <c r="K100" s="3"/>
      <c r="L100" s="4"/>
      <c r="M100" s="4"/>
      <c r="N100" s="4"/>
      <c r="O100" s="4"/>
      <c r="P100" s="4"/>
      <c r="Q100" s="4"/>
    </row>
    <row r="101" spans="1:17" x14ac:dyDescent="0.3">
      <c r="A101" s="4" t="str">
        <v>12/29/2017</v>
      </c>
      <c r="B101" s="4">
        <v>2103.4483409999998</v>
      </c>
      <c r="C101" s="4">
        <v>2046.4669120000001</v>
      </c>
      <c r="D101" s="4">
        <v>513.02594799999997</v>
      </c>
      <c r="E101" s="4">
        <v>1158.4541670000001</v>
      </c>
      <c r="F101" s="4">
        <v>305.66953100000001</v>
      </c>
      <c r="H101" s="3"/>
      <c r="I101" s="4"/>
      <c r="J101" s="4"/>
      <c r="K101" s="3"/>
      <c r="L101" s="4"/>
      <c r="M101" s="4"/>
      <c r="N101" s="4"/>
      <c r="O101" s="4"/>
      <c r="P101" s="4"/>
      <c r="Q101" s="4"/>
    </row>
    <row r="102" spans="1:17" x14ac:dyDescent="0.3">
      <c r="A102" s="4" t="str">
        <v>11/30/2017</v>
      </c>
      <c r="B102" s="4">
        <v>2077.3601210000002</v>
      </c>
      <c r="C102" s="4">
        <v>2012.3037979999999</v>
      </c>
      <c r="D102" s="4">
        <v>505.442384</v>
      </c>
      <c r="E102" s="4">
        <v>1120.7930229999999</v>
      </c>
      <c r="F102" s="4">
        <v>299.36995400000001</v>
      </c>
      <c r="H102" s="3"/>
      <c r="I102" s="4"/>
      <c r="J102" s="4"/>
      <c r="K102" s="3"/>
      <c r="L102" s="4"/>
      <c r="M102" s="4"/>
      <c r="N102" s="4"/>
      <c r="O102" s="4"/>
      <c r="P102" s="4"/>
      <c r="Q102" s="4"/>
    </row>
    <row r="103" spans="1:17" x14ac:dyDescent="0.3">
      <c r="A103" t="str">
        <v>10/31/2017</v>
      </c>
      <c r="B103">
        <v>2036.8044190000001</v>
      </c>
      <c r="C103">
        <v>1995.5077679999999</v>
      </c>
      <c r="D103">
        <v>496.62466899999998</v>
      </c>
      <c r="E103">
        <v>1119.0788090000001</v>
      </c>
      <c r="F103" s="4">
        <v>297.36878300000001</v>
      </c>
      <c r="H103" s="3"/>
      <c r="I103" s="4"/>
      <c r="J103" s="4"/>
      <c r="K103" s="3"/>
      <c r="L103" s="4"/>
      <c r="M103" s="4"/>
      <c r="N103" s="4"/>
      <c r="O103" s="4"/>
      <c r="P103" s="4"/>
      <c r="Q103" s="4"/>
    </row>
    <row r="104" spans="1:17" x14ac:dyDescent="0.3">
      <c r="A104" t="str">
        <v>09/29/2017</v>
      </c>
      <c r="B104">
        <v>2000.5527480000001</v>
      </c>
      <c r="C104">
        <v>1970.060663</v>
      </c>
      <c r="D104">
        <v>486.87867399999999</v>
      </c>
      <c r="E104">
        <v>1081.7217780000001</v>
      </c>
      <c r="F104" s="4">
        <v>292.07491800000003</v>
      </c>
      <c r="H104" s="3"/>
      <c r="I104" s="4"/>
      <c r="J104" s="4"/>
      <c r="K104" s="3"/>
      <c r="L104" s="4"/>
      <c r="M104" s="4"/>
      <c r="N104" s="4"/>
      <c r="O104" s="4"/>
      <c r="P104" s="4"/>
      <c r="Q104" s="4"/>
    </row>
    <row r="105" spans="1:17" x14ac:dyDescent="0.3">
      <c r="A105" t="str">
        <v>08/31/2017</v>
      </c>
      <c r="B105">
        <v>1959.7433960000001</v>
      </c>
      <c r="C105">
        <v>1925.04556</v>
      </c>
      <c r="D105">
        <v>478.40561500000001</v>
      </c>
      <c r="E105">
        <v>1087.6976090000001</v>
      </c>
      <c r="F105">
        <v>287.39925499999998</v>
      </c>
      <c r="H105" s="3"/>
      <c r="I105" s="4"/>
      <c r="J105" s="4"/>
      <c r="K105" s="3"/>
      <c r="L105" s="4"/>
      <c r="M105" s="4"/>
      <c r="N105" s="4"/>
      <c r="O105" s="4"/>
      <c r="P105" s="4"/>
      <c r="Q105" s="4"/>
    </row>
    <row r="106" spans="1:17" x14ac:dyDescent="0.3">
      <c r="A106" t="str">
        <v>07/31/2017</v>
      </c>
      <c r="B106">
        <v>1961.100222</v>
      </c>
      <c r="C106">
        <v>1930.6577339999999</v>
      </c>
      <c r="D106">
        <v>477.58346599999999</v>
      </c>
      <c r="E106">
        <v>1066.2333160000001</v>
      </c>
      <c r="F106">
        <v>286.63262600000002</v>
      </c>
      <c r="H106" s="6"/>
      <c r="J106" s="4"/>
      <c r="K106" s="3"/>
      <c r="L106" s="4"/>
      <c r="M106" s="4"/>
      <c r="N106" s="4"/>
      <c r="O106" s="4"/>
      <c r="P106" s="4"/>
      <c r="Q106" s="4"/>
    </row>
    <row r="107" spans="1:17" x14ac:dyDescent="0.3">
      <c r="A107" t="str">
        <v>06/30/2017</v>
      </c>
      <c r="B107">
        <v>1916.426269</v>
      </c>
      <c r="C107">
        <v>1875.647105</v>
      </c>
      <c r="D107">
        <v>465.08789899999999</v>
      </c>
      <c r="E107">
        <v>1010.800247</v>
      </c>
      <c r="F107">
        <v>276.83131100000003</v>
      </c>
      <c r="H107" s="6"/>
      <c r="J107" s="4"/>
      <c r="K107" s="3"/>
      <c r="L107" s="4"/>
      <c r="M107" s="4"/>
      <c r="N107" s="4"/>
      <c r="O107" s="4"/>
      <c r="P107" s="4"/>
      <c r="Q107" s="4"/>
    </row>
    <row r="108" spans="1:17" x14ac:dyDescent="0.3">
      <c r="A108" t="str">
        <v>05/31/2017</v>
      </c>
      <c r="B108">
        <v>1911.739593</v>
      </c>
      <c r="C108">
        <v>1877.475273</v>
      </c>
      <c r="D108">
        <v>463.79407200000003</v>
      </c>
      <c r="E108">
        <v>1005.325509</v>
      </c>
      <c r="F108">
        <v>276.67951399999998</v>
      </c>
      <c r="H108" s="6"/>
      <c r="J108" s="4"/>
      <c r="K108" s="3"/>
      <c r="L108" s="4"/>
      <c r="M108" s="4"/>
      <c r="N108" s="4"/>
      <c r="O108" s="4"/>
      <c r="P108" s="4"/>
      <c r="Q108" s="4"/>
    </row>
    <row r="109" spans="1:17" x14ac:dyDescent="0.3">
      <c r="A109" t="str">
        <v>04/28/2017</v>
      </c>
      <c r="B109">
        <v>1878.276124</v>
      </c>
      <c r="C109">
        <v>1826.758292</v>
      </c>
      <c r="D109">
        <v>455.17343899999997</v>
      </c>
      <c r="E109">
        <v>977.95850800000005</v>
      </c>
      <c r="F109">
        <v>269.19185599999997</v>
      </c>
      <c r="H109" s="6"/>
      <c r="J109" s="4"/>
      <c r="K109" s="3"/>
      <c r="L109" s="4"/>
      <c r="M109" s="4"/>
      <c r="N109" s="4"/>
      <c r="O109" s="4"/>
      <c r="P109" s="4"/>
      <c r="Q109" s="4"/>
    </row>
    <row r="110" spans="1:17" x14ac:dyDescent="0.3">
      <c r="A110" t="str">
        <v>03/31/2017</v>
      </c>
      <c r="B110">
        <v>1853.6899969999999</v>
      </c>
      <c r="C110">
        <v>1793.337892</v>
      </c>
      <c r="D110">
        <v>448.866378</v>
      </c>
      <c r="E110">
        <v>958.36855700000001</v>
      </c>
      <c r="F110">
        <v>264.15722499999998</v>
      </c>
      <c r="H110" s="6"/>
      <c r="J110" s="4"/>
      <c r="K110" s="3"/>
      <c r="L110" s="4"/>
      <c r="M110" s="4"/>
      <c r="N110" s="4"/>
      <c r="O110" s="4"/>
      <c r="P110" s="4"/>
      <c r="Q110" s="4"/>
    </row>
    <row r="111" spans="1:17" x14ac:dyDescent="0.3">
      <c r="A111" t="str">
        <v>02/28/2017</v>
      </c>
      <c r="B111">
        <v>1838.6990800000001</v>
      </c>
      <c r="C111">
        <v>1756.785989</v>
      </c>
      <c r="D111">
        <v>444.50330000000002</v>
      </c>
      <c r="E111">
        <v>936.37142800000004</v>
      </c>
      <c r="F111">
        <v>258.613293</v>
      </c>
      <c r="H111" s="6"/>
      <c r="J111" s="4"/>
      <c r="K111" s="3"/>
      <c r="L111" s="4"/>
      <c r="M111" s="4"/>
      <c r="N111" s="4"/>
      <c r="O111" s="4"/>
      <c r="P111" s="4"/>
      <c r="Q111" s="4"/>
    </row>
    <row r="112" spans="1:17" x14ac:dyDescent="0.3">
      <c r="A112" t="str">
        <v>01/31/2017</v>
      </c>
      <c r="B112">
        <v>1792.4029439999999</v>
      </c>
      <c r="C112">
        <v>1740.5446770000001</v>
      </c>
      <c r="D112">
        <v>433.12831899999998</v>
      </c>
      <c r="E112">
        <v>909.22819500000003</v>
      </c>
      <c r="F112">
        <v>255.02364299999999</v>
      </c>
      <c r="H112" s="6"/>
      <c r="J112" s="4"/>
      <c r="K112" s="3"/>
      <c r="L112" s="4"/>
      <c r="M112" s="4"/>
      <c r="N112" s="4"/>
    </row>
    <row r="113" spans="1:11" x14ac:dyDescent="0.3">
      <c r="A113" t="str">
        <v>12/30/2016</v>
      </c>
      <c r="B113">
        <v>1751.218957</v>
      </c>
      <c r="C113">
        <v>1690.9253510000001</v>
      </c>
      <c r="D113">
        <v>421.83940699999999</v>
      </c>
      <c r="E113">
        <v>862.27483800000005</v>
      </c>
      <c r="F113">
        <v>246.38952499999999</v>
      </c>
      <c r="H113" s="6"/>
      <c r="J113" s="4"/>
      <c r="K113" s="6"/>
    </row>
    <row r="114" spans="1:11" x14ac:dyDescent="0.3">
      <c r="A114" t="str">
        <v>11/30/2016</v>
      </c>
      <c r="B114">
        <v>1712.088792</v>
      </c>
      <c r="C114">
        <v>1638.9850200000001</v>
      </c>
      <c r="D114">
        <v>413.42969099999999</v>
      </c>
      <c r="E114">
        <v>862.83182399999998</v>
      </c>
      <c r="F114">
        <v>240.57415700000001</v>
      </c>
      <c r="H114" s="6"/>
      <c r="K114" s="6"/>
    </row>
    <row r="115" spans="1:11" x14ac:dyDescent="0.3">
      <c r="A115" t="str">
        <v>10/31/2016</v>
      </c>
      <c r="B115">
        <v>1690.921701</v>
      </c>
      <c r="C115">
        <v>1668.576478</v>
      </c>
      <c r="D115">
        <v>411.014994</v>
      </c>
      <c r="E115">
        <v>905.08944499999996</v>
      </c>
      <c r="F115">
        <v>246.63906600000001</v>
      </c>
      <c r="H115" s="6"/>
      <c r="K115" s="6"/>
    </row>
    <row r="116" spans="1:11" x14ac:dyDescent="0.3">
      <c r="A116" t="str">
        <v>09/30/2016</v>
      </c>
      <c r="B116">
        <v>1725.6652019999999</v>
      </c>
      <c r="C116">
        <v>1702.9784749999999</v>
      </c>
      <c r="D116">
        <v>418.43434999999999</v>
      </c>
      <c r="E116">
        <v>903.45973100000003</v>
      </c>
      <c r="F116">
        <v>250.420176</v>
      </c>
      <c r="H116" s="6"/>
      <c r="K116" s="6"/>
    </row>
    <row r="117" spans="1:11" x14ac:dyDescent="0.3">
      <c r="A117" t="str">
        <v>08/31/2016</v>
      </c>
      <c r="B117">
        <v>1719.523719</v>
      </c>
      <c r="C117">
        <v>1686.98747</v>
      </c>
      <c r="D117">
        <v>416.61346200000003</v>
      </c>
      <c r="E117">
        <v>893.67756999999995</v>
      </c>
      <c r="F117">
        <v>247.98446100000001</v>
      </c>
      <c r="H117" s="6"/>
      <c r="K117" s="6"/>
    </row>
    <row r="118" spans="1:11" x14ac:dyDescent="0.3">
      <c r="A118" t="str">
        <v>07/29/2016</v>
      </c>
      <c r="B118">
        <v>1721.787902</v>
      </c>
      <c r="C118">
        <v>1689.937578</v>
      </c>
      <c r="D118">
        <v>416.08836000000002</v>
      </c>
      <c r="E118">
        <v>873.47098600000004</v>
      </c>
      <c r="F118">
        <v>247.02857700000001</v>
      </c>
      <c r="H118" s="6"/>
      <c r="K118" s="6"/>
    </row>
    <row r="119" spans="1:11" x14ac:dyDescent="0.3">
      <c r="A119" t="str">
        <v>06/30/2016</v>
      </c>
      <c r="B119">
        <v>1653.229419</v>
      </c>
      <c r="C119">
        <v>1611.7002890000001</v>
      </c>
      <c r="D119">
        <v>399.28973100000002</v>
      </c>
      <c r="E119">
        <v>834.10296200000005</v>
      </c>
      <c r="F119">
        <v>235.65998999999999</v>
      </c>
      <c r="H119" s="6"/>
      <c r="K119" s="6"/>
    </row>
    <row r="120" spans="1:11" x14ac:dyDescent="0.3">
      <c r="A120" t="str">
        <v>05/31/2016</v>
      </c>
      <c r="B120">
        <v>1674.6128630000001</v>
      </c>
      <c r="C120">
        <v>1665.792375</v>
      </c>
      <c r="D120">
        <v>402.574386</v>
      </c>
      <c r="E120">
        <v>807.45402899999999</v>
      </c>
      <c r="F120">
        <v>240.080412</v>
      </c>
      <c r="H120" s="6"/>
      <c r="K120" s="6"/>
    </row>
    <row r="121" spans="1:11" x14ac:dyDescent="0.3">
      <c r="A121" t="str">
        <v>04/29/2016</v>
      </c>
      <c r="B121">
        <v>1670.7961459999999</v>
      </c>
      <c r="C121">
        <v>1694.2131139999999</v>
      </c>
      <c r="D121">
        <v>403.339675</v>
      </c>
      <c r="E121">
        <v>840.18996700000002</v>
      </c>
      <c r="F121">
        <v>245.36281600000001</v>
      </c>
      <c r="H121" s="6"/>
      <c r="K121" s="6"/>
    </row>
    <row r="122" spans="1:11" x14ac:dyDescent="0.3">
      <c r="A122" t="str">
        <v>03/31/2016</v>
      </c>
      <c r="B122">
        <v>1648.118461</v>
      </c>
      <c r="C122">
        <v>1647.6871430000001</v>
      </c>
      <c r="D122">
        <v>398.25548500000002</v>
      </c>
      <c r="E122">
        <v>836.80309599999998</v>
      </c>
      <c r="F122">
        <v>239.85596799999999</v>
      </c>
      <c r="H122" s="6"/>
      <c r="K122" s="6"/>
    </row>
    <row r="123" spans="1:11" x14ac:dyDescent="0.3">
      <c r="A123" t="str">
        <v>02/29/2016</v>
      </c>
      <c r="B123">
        <v>1547.1738330000001</v>
      </c>
      <c r="C123">
        <v>1549.6571510000001</v>
      </c>
      <c r="D123">
        <v>371.66232000000002</v>
      </c>
      <c r="E123">
        <v>740.32685100000003</v>
      </c>
      <c r="F123">
        <v>222.66325499999999</v>
      </c>
      <c r="H123" s="6"/>
      <c r="K123" s="6"/>
    </row>
    <row r="124" spans="1:11" x14ac:dyDescent="0.3">
      <c r="A124" t="str">
        <v>01/29/2016</v>
      </c>
      <c r="B124">
        <v>1562.178142</v>
      </c>
      <c r="C124">
        <v>1575.6008039999999</v>
      </c>
      <c r="D124">
        <v>375.01673699999998</v>
      </c>
      <c r="E124">
        <v>742.370947</v>
      </c>
      <c r="F124">
        <v>225.743246</v>
      </c>
      <c r="H124" s="6"/>
      <c r="K124" s="6"/>
    </row>
    <row r="125" spans="1:11" x14ac:dyDescent="0.3">
      <c r="A125" t="str">
        <v>12/31/2015</v>
      </c>
      <c r="B125">
        <v>1662.7943660000001</v>
      </c>
      <c r="C125">
        <v>1693.0550840000001</v>
      </c>
      <c r="D125">
        <v>399.36243300000001</v>
      </c>
      <c r="E125">
        <v>794.13937699999997</v>
      </c>
      <c r="F125">
        <v>242.34786399999999</v>
      </c>
      <c r="H125" s="6"/>
      <c r="K125" s="6"/>
    </row>
    <row r="126" spans="1:11" x14ac:dyDescent="0.3">
      <c r="A126" t="str">
        <v>11/30/2015</v>
      </c>
      <c r="B126">
        <v>1694.396624</v>
      </c>
      <c r="C126">
        <v>1725.475637</v>
      </c>
      <c r="D126">
        <v>407.19712600000003</v>
      </c>
      <c r="E126">
        <v>814.29696899999999</v>
      </c>
      <c r="F126">
        <v>247.298959</v>
      </c>
      <c r="H126" s="6"/>
      <c r="K126" s="6"/>
    </row>
    <row r="127" spans="1:11" x14ac:dyDescent="0.3">
      <c r="A127" t="str">
        <v>10/30/2015</v>
      </c>
      <c r="B127">
        <v>1705.8034740000001</v>
      </c>
      <c r="C127">
        <v>1756.448541</v>
      </c>
      <c r="D127">
        <v>411.24906099999998</v>
      </c>
      <c r="E127">
        <v>847.839247</v>
      </c>
      <c r="F127">
        <v>252.89250000000001</v>
      </c>
      <c r="H127" s="6"/>
      <c r="K127" s="6"/>
    </row>
    <row r="128" spans="1:11" x14ac:dyDescent="0.3">
      <c r="A128" t="str">
        <v>09/30/2015</v>
      </c>
      <c r="B128">
        <v>1581.9219009999999</v>
      </c>
      <c r="C128">
        <v>1634.9451730000001</v>
      </c>
      <c r="D128">
        <v>381.65119099999998</v>
      </c>
      <c r="E128">
        <v>792.04911900000002</v>
      </c>
      <c r="F128">
        <v>235.57145800000001</v>
      </c>
      <c r="H128" s="6"/>
      <c r="K128" s="6"/>
    </row>
    <row r="129" spans="1:11" x14ac:dyDescent="0.3">
      <c r="A129" t="str">
        <v>08/31/2015</v>
      </c>
      <c r="B129">
        <v>1645.4295750000001</v>
      </c>
      <c r="C129">
        <v>1726.219386</v>
      </c>
      <c r="D129">
        <v>396.73330600000003</v>
      </c>
      <c r="E129">
        <v>818.73034500000006</v>
      </c>
      <c r="F129">
        <v>247.65135900000001</v>
      </c>
      <c r="H129" s="6"/>
      <c r="K129" s="6"/>
    </row>
    <row r="130" spans="1:11" x14ac:dyDescent="0.3">
      <c r="A130" t="str">
        <v>07/31/2015</v>
      </c>
      <c r="B130">
        <v>1765.6037429999999</v>
      </c>
      <c r="C130">
        <v>1866.6422359999999</v>
      </c>
      <c r="D130">
        <v>426.78141699999998</v>
      </c>
      <c r="E130">
        <v>901.67636100000004</v>
      </c>
      <c r="F130">
        <v>268.79148800000002</v>
      </c>
      <c r="H130" s="6"/>
      <c r="K130" s="6"/>
    </row>
    <row r="131" spans="1:11" x14ac:dyDescent="0.3">
      <c r="A131" t="str">
        <v>06/30/2015</v>
      </c>
      <c r="B131">
        <v>1735.6134489999999</v>
      </c>
      <c r="C131">
        <v>1838.714665</v>
      </c>
      <c r="D131">
        <v>423.509388</v>
      </c>
      <c r="E131">
        <v>972.25448800000004</v>
      </c>
      <c r="F131">
        <v>269.88106199999999</v>
      </c>
      <c r="H131" s="6"/>
      <c r="K131" s="6"/>
    </row>
    <row r="132" spans="1:11" x14ac:dyDescent="0.3">
      <c r="A132" t="str">
        <v>05/29/2015</v>
      </c>
      <c r="B132">
        <v>1779.307339</v>
      </c>
      <c r="C132">
        <v>1895.3938700000001</v>
      </c>
      <c r="D132">
        <v>434.51475799999997</v>
      </c>
      <c r="E132">
        <v>1004.217517</v>
      </c>
      <c r="F132">
        <v>278.31936000000002</v>
      </c>
      <c r="H132" s="6"/>
      <c r="K132" s="6"/>
    </row>
    <row r="133" spans="1:11" x14ac:dyDescent="0.3">
      <c r="A133" t="str">
        <v>04/30/2015</v>
      </c>
      <c r="B133">
        <v>1778.4001209999999</v>
      </c>
      <c r="C133">
        <v>1920.9967650000001</v>
      </c>
      <c r="D133">
        <v>436.29609799999997</v>
      </c>
      <c r="E133">
        <v>1047.7808170000001</v>
      </c>
      <c r="F133">
        <v>283.87390099999999</v>
      </c>
      <c r="H133" s="6"/>
      <c r="K133" s="6"/>
    </row>
    <row r="134" spans="1:11" x14ac:dyDescent="0.3">
      <c r="A134" t="str">
        <v>03/31/2015</v>
      </c>
      <c r="B134">
        <v>1740.8136629999999</v>
      </c>
      <c r="C134">
        <v>1847.2667140000001</v>
      </c>
      <c r="D134">
        <v>424.75843800000001</v>
      </c>
      <c r="E134">
        <v>974.57162300000005</v>
      </c>
      <c r="F134">
        <v>271.00682699999999</v>
      </c>
      <c r="H134" s="6"/>
      <c r="K134" s="6"/>
    </row>
    <row r="135" spans="1:11" x14ac:dyDescent="0.3">
      <c r="A135" t="str">
        <v>02/27/2015</v>
      </c>
      <c r="B135">
        <v>1772.861889</v>
      </c>
      <c r="C135">
        <v>1886.6441199999999</v>
      </c>
      <c r="D135">
        <v>432.47430400000002</v>
      </c>
      <c r="E135">
        <v>990.27525900000001</v>
      </c>
      <c r="F135">
        <v>276.48044599999997</v>
      </c>
      <c r="H135" s="6"/>
      <c r="K135" s="6"/>
    </row>
    <row r="136" spans="1:11" x14ac:dyDescent="0.3">
      <c r="A136" t="str">
        <v>01/30/2015</v>
      </c>
      <c r="B136">
        <v>1677.5368430000001</v>
      </c>
      <c r="C136">
        <v>1783.0353270000001</v>
      </c>
      <c r="D136">
        <v>410.327879</v>
      </c>
      <c r="E136">
        <v>961.60525399999995</v>
      </c>
      <c r="F136">
        <v>262.83104200000002</v>
      </c>
      <c r="H136" s="6"/>
      <c r="K136" s="6"/>
    </row>
    <row r="137" spans="1:11" x14ac:dyDescent="0.3">
      <c r="A137" t="str">
        <v>12/31/2014</v>
      </c>
      <c r="B137">
        <v>1709.6721680000001</v>
      </c>
      <c r="C137">
        <v>1790.5350759999999</v>
      </c>
      <c r="D137">
        <v>417.12033500000001</v>
      </c>
      <c r="E137">
        <v>956.30780300000004</v>
      </c>
      <c r="F137">
        <v>263.37895200000003</v>
      </c>
      <c r="H137" s="6"/>
      <c r="K137" s="6"/>
    </row>
    <row r="138" spans="1:11" x14ac:dyDescent="0.3">
      <c r="A138" t="str">
        <v>11/28/2014</v>
      </c>
      <c r="B138">
        <v>1739.497106</v>
      </c>
      <c r="C138">
        <v>1853.541727</v>
      </c>
      <c r="D138">
        <v>425.82142499999998</v>
      </c>
      <c r="E138">
        <v>1004.715233</v>
      </c>
      <c r="F138">
        <v>273.52518900000001</v>
      </c>
      <c r="H138" s="6"/>
      <c r="K138" s="6"/>
    </row>
    <row r="139" spans="1:11" x14ac:dyDescent="0.3">
      <c r="A139" t="str">
        <v>10/31/2014</v>
      </c>
      <c r="B139">
        <v>1708.092283</v>
      </c>
      <c r="C139">
        <v>1834.240354</v>
      </c>
      <c r="D139">
        <v>419.45086099999997</v>
      </c>
      <c r="E139">
        <v>1016.071532</v>
      </c>
      <c r="F139">
        <v>271.969134</v>
      </c>
      <c r="H139" s="6"/>
      <c r="K139" s="6"/>
    </row>
    <row r="140" spans="1:11" x14ac:dyDescent="0.3">
      <c r="A140" t="str">
        <v>09/30/2014</v>
      </c>
      <c r="B140">
        <v>1698.40787</v>
      </c>
      <c r="C140">
        <v>1865.1187809999999</v>
      </c>
      <c r="D140">
        <v>416.85020800000001</v>
      </c>
      <c r="E140">
        <v>1005.325643</v>
      </c>
      <c r="F140">
        <v>274.89701700000001</v>
      </c>
      <c r="H140" s="6"/>
      <c r="K140" s="6"/>
    </row>
    <row r="141" spans="1:11" x14ac:dyDescent="0.3">
      <c r="A141" t="str">
        <v>08/29/2014</v>
      </c>
      <c r="B141">
        <v>1748.6880619999999</v>
      </c>
      <c r="C141">
        <v>1949.698345</v>
      </c>
      <c r="D141">
        <v>431.54944499999999</v>
      </c>
      <c r="E141">
        <v>1087.8800100000001</v>
      </c>
      <c r="F141">
        <v>289.55495999999999</v>
      </c>
      <c r="H141" s="6"/>
      <c r="K141" s="6"/>
    </row>
    <row r="142" spans="1:11" x14ac:dyDescent="0.3">
      <c r="A142" t="str">
        <v>07/31/2014</v>
      </c>
      <c r="B142">
        <v>1714.3534950000001</v>
      </c>
      <c r="C142">
        <v>1952.9860000000001</v>
      </c>
      <c r="D142">
        <v>423.04305599999998</v>
      </c>
      <c r="E142">
        <v>1065.7745279999999</v>
      </c>
      <c r="F142">
        <v>288.62782700000002</v>
      </c>
      <c r="H142" s="6"/>
      <c r="K142" s="6"/>
    </row>
    <row r="143" spans="1:11" x14ac:dyDescent="0.3">
      <c r="A143" t="str">
        <v>06/30/2014</v>
      </c>
      <c r="B143">
        <v>1743.4153659999999</v>
      </c>
      <c r="C143">
        <v>1989.427817</v>
      </c>
      <c r="D143">
        <v>428.74630300000001</v>
      </c>
      <c r="E143">
        <v>1050.7778390000001</v>
      </c>
      <c r="F143">
        <v>291.95094</v>
      </c>
      <c r="H143" s="6"/>
      <c r="K143" s="6"/>
    </row>
    <row r="144" spans="1:11" x14ac:dyDescent="0.3">
      <c r="A144" t="str">
        <v>05/30/2014</v>
      </c>
      <c r="B144">
        <v>1715.1844040000001</v>
      </c>
      <c r="C144">
        <v>1965.025361</v>
      </c>
      <c r="D144">
        <v>421.53415100000001</v>
      </c>
      <c r="E144">
        <v>1027.692992</v>
      </c>
      <c r="F144">
        <v>287.76615099999998</v>
      </c>
      <c r="H144" s="6"/>
      <c r="K144" s="6"/>
    </row>
    <row r="145" spans="1:11" x14ac:dyDescent="0.3">
      <c r="A145" t="str">
        <v>04/30/2014</v>
      </c>
      <c r="B145">
        <v>1687.7417519999999</v>
      </c>
      <c r="C145">
        <v>1945.6383820000001</v>
      </c>
      <c r="D145">
        <v>414.09401800000001</v>
      </c>
      <c r="E145">
        <v>995.28294600000004</v>
      </c>
      <c r="F145">
        <v>283.62747899999999</v>
      </c>
      <c r="H145" s="6"/>
      <c r="K145" s="6"/>
    </row>
    <row r="146" spans="1:11" x14ac:dyDescent="0.3">
      <c r="A146" t="str">
        <v>03/31/2014</v>
      </c>
      <c r="B146">
        <v>1673.8744899999999</v>
      </c>
      <c r="C146">
        <v>1921.734019</v>
      </c>
      <c r="D146">
        <v>411.02130799999998</v>
      </c>
      <c r="E146">
        <v>994.65268300000002</v>
      </c>
      <c r="F146">
        <v>280.82039500000002</v>
      </c>
      <c r="H146" s="6"/>
      <c r="K146" s="6"/>
    </row>
    <row r="147" spans="1:11" x14ac:dyDescent="0.3">
      <c r="A147" t="str">
        <v>02/28/2014</v>
      </c>
      <c r="B147">
        <v>1675.399772</v>
      </c>
      <c r="C147">
        <v>1938.00413</v>
      </c>
      <c r="D147">
        <v>410.12942199999998</v>
      </c>
      <c r="E147">
        <v>966.42076999999995</v>
      </c>
      <c r="F147">
        <v>281.06393700000001</v>
      </c>
      <c r="H147" s="6"/>
      <c r="K147" s="6"/>
    </row>
    <row r="148" spans="1:11" x14ac:dyDescent="0.3">
      <c r="A148" t="str">
        <v>01/31/2014</v>
      </c>
      <c r="B148">
        <v>1598.4561160000001</v>
      </c>
      <c r="C148">
        <v>1841.29883</v>
      </c>
      <c r="D148">
        <v>391.92108400000001</v>
      </c>
      <c r="E148">
        <v>936.52660400000002</v>
      </c>
      <c r="F148">
        <v>268.09927099999999</v>
      </c>
      <c r="H148" s="6"/>
      <c r="K148" s="6"/>
    </row>
    <row r="149" spans="1:11" x14ac:dyDescent="0.3">
      <c r="A149" t="str">
        <v>12/31/2013</v>
      </c>
      <c r="B149">
        <v>1661.0688210000001</v>
      </c>
      <c r="C149">
        <v>1919.916847</v>
      </c>
      <c r="D149">
        <v>408.548765</v>
      </c>
      <c r="E149">
        <v>1002.69277</v>
      </c>
      <c r="F149">
        <v>281.06337000000002</v>
      </c>
      <c r="H149" s="6"/>
      <c r="K149" s="6"/>
    </row>
    <row r="150" spans="1:11" x14ac:dyDescent="0.3">
      <c r="A150" t="str">
        <v>11/29/2013</v>
      </c>
      <c r="B150">
        <v>1628.4240279999999</v>
      </c>
      <c r="C150">
        <v>1893.1671240000001</v>
      </c>
      <c r="D150">
        <v>402.04749399999997</v>
      </c>
      <c r="E150">
        <v>1018.283733</v>
      </c>
      <c r="F150">
        <v>278.86067100000002</v>
      </c>
      <c r="H150" s="6"/>
      <c r="K150" s="6"/>
    </row>
    <row r="151" spans="1:11" x14ac:dyDescent="0.3">
      <c r="A151" t="str">
        <v>10/31/2013</v>
      </c>
      <c r="B151">
        <v>1602.860216</v>
      </c>
      <c r="C151">
        <v>1885.382059</v>
      </c>
      <c r="D151">
        <v>397.10935899999998</v>
      </c>
      <c r="E151">
        <v>1034.420003</v>
      </c>
      <c r="F151">
        <v>278.88021500000002</v>
      </c>
      <c r="H151" s="6"/>
      <c r="K151" s="6"/>
    </row>
    <row r="152" spans="1:11" x14ac:dyDescent="0.3">
      <c r="A152" t="str">
        <v>09/30/2013</v>
      </c>
      <c r="B152">
        <v>1543.6722139999999</v>
      </c>
      <c r="C152">
        <v>1825.327777</v>
      </c>
      <c r="D152">
        <v>382.069953</v>
      </c>
      <c r="E152">
        <v>987.45842300000004</v>
      </c>
      <c r="F152">
        <v>269.19125200000002</v>
      </c>
      <c r="H152" s="6"/>
      <c r="K152" s="6"/>
    </row>
    <row r="153" spans="1:11" x14ac:dyDescent="0.3">
      <c r="A153" t="str">
        <v>08/30/2013</v>
      </c>
      <c r="B153">
        <v>1472.738486</v>
      </c>
      <c r="C153">
        <v>1709.1304680000001</v>
      </c>
      <c r="D153">
        <v>363.97613699999999</v>
      </c>
      <c r="E153">
        <v>929.53636400000005</v>
      </c>
      <c r="F153">
        <v>252.33903900000001</v>
      </c>
      <c r="H153" s="6"/>
      <c r="K153" s="6"/>
    </row>
    <row r="154" spans="1:11" x14ac:dyDescent="0.3">
      <c r="A154" t="str">
        <v>07/31/2013</v>
      </c>
      <c r="B154">
        <v>1507.9129640000001</v>
      </c>
      <c r="C154">
        <v>1735.944465</v>
      </c>
      <c r="D154">
        <v>372.48979100000003</v>
      </c>
      <c r="E154">
        <v>947.55342099999996</v>
      </c>
      <c r="F154">
        <v>256.49564900000001</v>
      </c>
      <c r="H154" s="6"/>
      <c r="K154" s="6"/>
    </row>
    <row r="155" spans="1:11" x14ac:dyDescent="0.3">
      <c r="A155" t="str">
        <v>06/28/2013</v>
      </c>
      <c r="B155">
        <v>1433.547998</v>
      </c>
      <c r="C155">
        <v>1649.1220900000001</v>
      </c>
      <c r="D155">
        <v>355.81131099999999</v>
      </c>
      <c r="E155">
        <v>940.32950200000005</v>
      </c>
      <c r="F155">
        <v>245.97994600000001</v>
      </c>
      <c r="H155" s="6"/>
      <c r="K155" s="6"/>
    </row>
    <row r="156" spans="1:11" x14ac:dyDescent="0.3">
      <c r="A156" t="str">
        <v>05/31/2013</v>
      </c>
      <c r="B156">
        <v>1471.932853</v>
      </c>
      <c r="C156">
        <v>1716.3943549999999</v>
      </c>
      <c r="D156">
        <v>367.19479999999999</v>
      </c>
      <c r="E156">
        <v>1008.878469</v>
      </c>
      <c r="F156">
        <v>257.75344799999999</v>
      </c>
      <c r="H156" s="6"/>
      <c r="K156" s="6"/>
    </row>
    <row r="157" spans="1:11" x14ac:dyDescent="0.3">
      <c r="A157" t="str">
        <v>04/30/2013</v>
      </c>
      <c r="B157">
        <v>1476.139228</v>
      </c>
      <c r="C157">
        <v>1764.4293620000001</v>
      </c>
      <c r="D157">
        <v>369.42202700000001</v>
      </c>
      <c r="E157">
        <v>1039.4521219999999</v>
      </c>
      <c r="F157">
        <v>265.10137400000002</v>
      </c>
      <c r="H157" s="6"/>
      <c r="K157" s="6"/>
    </row>
    <row r="158" spans="1:11" x14ac:dyDescent="0.3">
      <c r="A158" t="str">
        <v>03/28/2013</v>
      </c>
      <c r="B158">
        <v>1434.6192390000001</v>
      </c>
      <c r="C158">
        <v>1695.005324</v>
      </c>
      <c r="D158">
        <v>359.98249299999998</v>
      </c>
      <c r="E158">
        <v>1032.615182</v>
      </c>
      <c r="F158">
        <v>256.62572599999999</v>
      </c>
      <c r="H158" s="6"/>
      <c r="K158" s="6"/>
    </row>
    <row r="159" spans="1:11" x14ac:dyDescent="0.3">
      <c r="A159" t="str">
        <v>02/28/2013</v>
      </c>
      <c r="B159">
        <v>1405.180433</v>
      </c>
      <c r="C159">
        <v>1688.3597199999999</v>
      </c>
      <c r="D159">
        <v>354.43035600000002</v>
      </c>
      <c r="E159">
        <v>1054.6158789999999</v>
      </c>
      <c r="F159">
        <v>257.11496399999999</v>
      </c>
      <c r="H159" s="6"/>
      <c r="K159" s="6"/>
    </row>
    <row r="160" spans="1:11" x14ac:dyDescent="0.3">
      <c r="A160" t="str">
        <v>01/31/2013</v>
      </c>
      <c r="B160">
        <v>1405.4662000000001</v>
      </c>
      <c r="C160">
        <v>1708.831144</v>
      </c>
      <c r="D160">
        <v>355.10160100000002</v>
      </c>
      <c r="E160">
        <v>1069.0097860000001</v>
      </c>
      <c r="F160">
        <v>260.324612</v>
      </c>
      <c r="H160" s="6"/>
      <c r="K160" s="6"/>
    </row>
    <row r="161" spans="1:11" x14ac:dyDescent="0.3">
      <c r="A161" t="str">
        <v>12/31/2012</v>
      </c>
      <c r="B161">
        <v>1338.4999359999999</v>
      </c>
      <c r="C161">
        <v>1630.094175</v>
      </c>
      <c r="D161">
        <v>339.74919199999999</v>
      </c>
      <c r="E161">
        <v>1055.1963430000001</v>
      </c>
      <c r="F161">
        <v>250.35622499999999</v>
      </c>
      <c r="H161" s="6"/>
      <c r="K161" s="6"/>
    </row>
    <row r="162" spans="1:11" x14ac:dyDescent="0.3">
      <c r="A162" t="str">
        <v>11/30/2012</v>
      </c>
      <c r="B162">
        <v>1315.4929870000001</v>
      </c>
      <c r="C162">
        <v>1583.972941</v>
      </c>
      <c r="D162">
        <v>332.64180900000002</v>
      </c>
      <c r="E162">
        <v>1007.022489</v>
      </c>
      <c r="F162">
        <v>242.22598500000001</v>
      </c>
      <c r="H162" s="6"/>
      <c r="K162" s="6"/>
    </row>
    <row r="163" spans="1:11" x14ac:dyDescent="0.3">
      <c r="A163" t="str">
        <v>10/31/2012</v>
      </c>
      <c r="B163">
        <v>1301.5217050000001</v>
      </c>
      <c r="C163">
        <v>1554.5176590000001</v>
      </c>
      <c r="D163">
        <v>329.067024</v>
      </c>
      <c r="E163">
        <v>995.32563300000004</v>
      </c>
      <c r="F163">
        <v>238.11899199999999</v>
      </c>
      <c r="H163" s="6"/>
      <c r="K163" s="6"/>
    </row>
    <row r="164" spans="1:11" x14ac:dyDescent="0.3">
      <c r="A164" t="str">
        <v>09/28/2012</v>
      </c>
      <c r="B164">
        <v>1311.504154</v>
      </c>
      <c r="C164">
        <v>1544.9679630000001</v>
      </c>
      <c r="D164">
        <v>331.57759499999997</v>
      </c>
      <c r="E164">
        <v>1002.656112</v>
      </c>
      <c r="F164">
        <v>237.415695</v>
      </c>
      <c r="H164" s="6"/>
      <c r="K164" s="6"/>
    </row>
    <row r="165" spans="1:11" x14ac:dyDescent="0.3">
      <c r="A165" t="str">
        <v>08/31/2012</v>
      </c>
      <c r="B165">
        <v>1279.208388</v>
      </c>
      <c r="C165">
        <v>1504.510211</v>
      </c>
      <c r="D165">
        <v>322.13655</v>
      </c>
      <c r="E165">
        <v>947.32838600000002</v>
      </c>
      <c r="F165">
        <v>229.55534299999999</v>
      </c>
      <c r="H165" s="6"/>
      <c r="K165" s="6"/>
    </row>
    <row r="166" spans="1:11" x14ac:dyDescent="0.3">
      <c r="A166" t="str">
        <v>07/31/2012</v>
      </c>
      <c r="B166">
        <v>1250.568816</v>
      </c>
      <c r="C166">
        <v>1467.19307</v>
      </c>
      <c r="D166">
        <v>316.02365500000002</v>
      </c>
      <c r="E166">
        <v>952.48751200000004</v>
      </c>
      <c r="F166">
        <v>225.48363699999999</v>
      </c>
      <c r="H166" s="6"/>
      <c r="K166" s="6"/>
    </row>
    <row r="167" spans="1:11" x14ac:dyDescent="0.3">
      <c r="A167" t="str">
        <v>06/29/2012</v>
      </c>
      <c r="B167">
        <v>1235.715571</v>
      </c>
      <c r="C167">
        <v>1450.255457</v>
      </c>
      <c r="D167">
        <v>312.11083600000001</v>
      </c>
      <c r="E167">
        <v>937.35386700000004</v>
      </c>
      <c r="F167">
        <v>222.646468</v>
      </c>
      <c r="H167" s="6"/>
      <c r="K167" s="6"/>
    </row>
    <row r="168" spans="1:11" x14ac:dyDescent="0.3">
      <c r="A168" t="str">
        <v>05/31/2012</v>
      </c>
      <c r="B168">
        <v>1177.644732</v>
      </c>
      <c r="C168">
        <v>1363.978347</v>
      </c>
      <c r="D168">
        <v>297.98461099999997</v>
      </c>
      <c r="E168">
        <v>906.29568200000006</v>
      </c>
      <c r="F168">
        <v>210.79887099999999</v>
      </c>
      <c r="H168" s="6"/>
      <c r="K168" s="6"/>
    </row>
    <row r="169" spans="1:11" x14ac:dyDescent="0.3">
      <c r="A169" t="str">
        <v>04/30/2012</v>
      </c>
      <c r="B169">
        <v>1293.991023</v>
      </c>
      <c r="C169">
        <v>1549.290698</v>
      </c>
      <c r="D169">
        <v>328.67259000000001</v>
      </c>
      <c r="E169">
        <v>1026.0155870000001</v>
      </c>
      <c r="F169">
        <v>239.246635</v>
      </c>
      <c r="H169" s="6"/>
      <c r="K169" s="6"/>
    </row>
    <row r="170" spans="1:11" x14ac:dyDescent="0.3">
      <c r="A170" t="str">
        <v>03/30/2012</v>
      </c>
      <c r="B170">
        <v>1312.0109950000001</v>
      </c>
      <c r="C170">
        <v>1582.6596500000001</v>
      </c>
      <c r="D170">
        <v>333.29731099999998</v>
      </c>
      <c r="E170">
        <v>1041.447461</v>
      </c>
      <c r="F170">
        <v>244.02477099999999</v>
      </c>
      <c r="H170" s="6"/>
      <c r="K170" s="6"/>
    </row>
    <row r="171" spans="1:11" x14ac:dyDescent="0.3">
      <c r="A171" t="str">
        <v>02/29/2012</v>
      </c>
      <c r="B171">
        <v>1298.7203239999999</v>
      </c>
      <c r="C171">
        <v>1601.2621079999999</v>
      </c>
      <c r="D171">
        <v>331.92742700000002</v>
      </c>
      <c r="E171">
        <v>1079.4433349999999</v>
      </c>
      <c r="F171">
        <v>248.34150199999999</v>
      </c>
      <c r="H171" s="6"/>
      <c r="K171" s="6"/>
    </row>
    <row r="172" spans="1:11" x14ac:dyDescent="0.3">
      <c r="A172" t="str">
        <v>01/31/2012</v>
      </c>
      <c r="B172">
        <v>1240.8935670000001</v>
      </c>
      <c r="C172">
        <v>1521.750783</v>
      </c>
      <c r="D172">
        <v>316.65485200000001</v>
      </c>
      <c r="E172">
        <v>1019.3944</v>
      </c>
      <c r="F172">
        <v>235.64761799999999</v>
      </c>
      <c r="H172" s="6"/>
      <c r="K172" s="6"/>
    </row>
    <row r="173" spans="1:11" x14ac:dyDescent="0.3">
      <c r="A173" t="str">
        <v>12/30/2011</v>
      </c>
      <c r="B173">
        <v>1182.5947639999999</v>
      </c>
      <c r="C173">
        <v>1445.0658330000001</v>
      </c>
      <c r="D173">
        <v>299.510738</v>
      </c>
      <c r="E173">
        <v>916.38681999999994</v>
      </c>
      <c r="F173">
        <v>220.871363</v>
      </c>
      <c r="H173" s="6"/>
      <c r="K173" s="6"/>
    </row>
    <row r="174" spans="1:11" x14ac:dyDescent="0.3">
      <c r="A174" t="str">
        <v>11/30/2011</v>
      </c>
      <c r="B174">
        <v>1184.6043440000001</v>
      </c>
      <c r="C174">
        <v>1462.4981069999999</v>
      </c>
      <c r="D174">
        <v>300.44674700000002</v>
      </c>
      <c r="E174">
        <v>928.32481800000005</v>
      </c>
      <c r="F174">
        <v>223.58599899999999</v>
      </c>
      <c r="H174" s="6"/>
      <c r="K174" s="6"/>
    </row>
    <row r="175" spans="1:11" x14ac:dyDescent="0.3">
      <c r="A175" t="str">
        <v>10/31/2011</v>
      </c>
      <c r="B175">
        <v>1217.2963549999999</v>
      </c>
      <c r="C175">
        <v>1538.102797</v>
      </c>
      <c r="D175">
        <v>310.43421499999999</v>
      </c>
      <c r="E175">
        <v>995.56245100000001</v>
      </c>
      <c r="F175">
        <v>236.218593</v>
      </c>
      <c r="H175" s="6"/>
      <c r="K175" s="6"/>
    </row>
    <row r="176" spans="1:11" x14ac:dyDescent="0.3">
      <c r="A176" t="str">
        <v>09/30/2011</v>
      </c>
      <c r="B176">
        <v>1104.0646099999999</v>
      </c>
      <c r="C176">
        <v>1402.6136710000001</v>
      </c>
      <c r="D176">
        <v>280.639409</v>
      </c>
      <c r="E176">
        <v>880.434214</v>
      </c>
      <c r="F176">
        <v>213.877657</v>
      </c>
      <c r="H176" s="6"/>
      <c r="K176" s="6"/>
    </row>
    <row r="177" spans="1:11" x14ac:dyDescent="0.3">
      <c r="A177" t="str">
        <v>08/31/2011</v>
      </c>
      <c r="B177">
        <v>1211.2241590000001</v>
      </c>
      <c r="C177">
        <v>1564.7152679999999</v>
      </c>
      <c r="D177">
        <v>310.61798199999998</v>
      </c>
      <c r="E177">
        <v>1033.14968</v>
      </c>
      <c r="F177">
        <v>241.44041200000001</v>
      </c>
      <c r="H177" s="6"/>
      <c r="K177" s="6"/>
    </row>
    <row r="178" spans="1:11" x14ac:dyDescent="0.3">
      <c r="A178" t="str">
        <v>07/29/2011</v>
      </c>
      <c r="B178">
        <v>1306.054128</v>
      </c>
      <c r="C178">
        <v>1714.0315419999999</v>
      </c>
      <c r="D178">
        <v>335.89606099999997</v>
      </c>
      <c r="E178">
        <v>1137.7312649999999</v>
      </c>
      <c r="F178">
        <v>264.81341600000002</v>
      </c>
      <c r="H178" s="6"/>
      <c r="K178" s="6"/>
    </row>
    <row r="179" spans="1:11" x14ac:dyDescent="0.3">
      <c r="A179" t="str">
        <v>06/30/2011</v>
      </c>
      <c r="B179">
        <v>1331.1822810000001</v>
      </c>
      <c r="C179">
        <v>1744.0374159999999</v>
      </c>
      <c r="D179">
        <v>341.81703599999997</v>
      </c>
      <c r="E179">
        <v>1146.2186200000001</v>
      </c>
      <c r="F179">
        <v>268.81540899999999</v>
      </c>
      <c r="H179" s="6"/>
      <c r="K179" s="6"/>
    </row>
    <row r="180" spans="1:11" x14ac:dyDescent="0.3">
      <c r="A180" t="str">
        <v>05/31/2011</v>
      </c>
      <c r="B180">
        <v>1354.607143</v>
      </c>
      <c r="C180">
        <v>1772.492139</v>
      </c>
      <c r="D180">
        <v>347.895734</v>
      </c>
      <c r="E180">
        <v>1167.972217</v>
      </c>
      <c r="F180">
        <v>273.37043299999999</v>
      </c>
      <c r="H180" s="6"/>
      <c r="K180" s="6"/>
    </row>
    <row r="181" spans="1:11" x14ac:dyDescent="0.3">
      <c r="A181" t="str">
        <v>04/29/2011</v>
      </c>
      <c r="B181">
        <v>1388.6202370000001</v>
      </c>
      <c r="C181">
        <v>1837.7754890000001</v>
      </c>
      <c r="D181">
        <v>356.90220699999998</v>
      </c>
      <c r="E181">
        <v>1204.0278330000001</v>
      </c>
      <c r="F181">
        <v>283.054551</v>
      </c>
      <c r="H181" s="6"/>
      <c r="K181" s="6"/>
    </row>
    <row r="182" spans="1:11" x14ac:dyDescent="0.3">
      <c r="A182" t="str">
        <v>03/31/2011</v>
      </c>
      <c r="B182">
        <v>1334.9250099999999</v>
      </c>
      <c r="C182">
        <v>1749.0157589999999</v>
      </c>
      <c r="D182">
        <v>343.64048100000002</v>
      </c>
      <c r="E182">
        <v>1170.8702330000001</v>
      </c>
      <c r="F182">
        <v>270.76549699999998</v>
      </c>
      <c r="H182" s="6"/>
      <c r="K182" s="6"/>
    </row>
    <row r="183" spans="1:11" x14ac:dyDescent="0.3">
      <c r="A183" t="str">
        <v>02/28/2011</v>
      </c>
      <c r="B183">
        <v>1351.6470790000001</v>
      </c>
      <c r="C183">
        <v>1791.8996830000001</v>
      </c>
      <c r="D183">
        <v>344.82257199999998</v>
      </c>
      <c r="E183">
        <v>1107.7673159999999</v>
      </c>
      <c r="F183">
        <v>272.32958400000001</v>
      </c>
      <c r="H183" s="6"/>
      <c r="K183" s="6"/>
    </row>
    <row r="184" spans="1:11" x14ac:dyDescent="0.3">
      <c r="A184" t="str">
        <v>01/31/2011</v>
      </c>
      <c r="B184">
        <v>1308.083425</v>
      </c>
      <c r="C184">
        <v>1730.9118109999999</v>
      </c>
      <c r="D184">
        <v>335.58085</v>
      </c>
      <c r="E184">
        <v>1119.0792730000001</v>
      </c>
      <c r="F184">
        <v>265.75413500000002</v>
      </c>
      <c r="H184" s="6"/>
      <c r="K184" s="6"/>
    </row>
    <row r="185" spans="1:11" x14ac:dyDescent="0.3">
      <c r="A185" t="str">
        <v>12/31/2010</v>
      </c>
      <c r="B185">
        <v>1280.0712619999999</v>
      </c>
      <c r="C185">
        <v>1695.575803</v>
      </c>
      <c r="D185">
        <v>330.63637999999997</v>
      </c>
      <c r="E185">
        <v>1151.3846610000001</v>
      </c>
      <c r="F185">
        <v>263.36146600000001</v>
      </c>
      <c r="H185" s="6"/>
      <c r="K185" s="6"/>
    </row>
    <row r="186" spans="1:11" x14ac:dyDescent="0.3">
      <c r="A186" t="str">
        <v>11/30/2010</v>
      </c>
      <c r="B186">
        <v>1193.5582019999999</v>
      </c>
      <c r="C186">
        <v>1570.528186</v>
      </c>
      <c r="D186">
        <v>308.381103</v>
      </c>
      <c r="E186">
        <v>1075.8532520000001</v>
      </c>
      <c r="F186">
        <v>244.45410699999999</v>
      </c>
      <c r="H186" s="6"/>
      <c r="K186" s="6"/>
    </row>
    <row r="187" spans="1:11" x14ac:dyDescent="0.3">
      <c r="A187" t="str">
        <v>10/29/2010</v>
      </c>
      <c r="B187">
        <v>1222.225592</v>
      </c>
      <c r="C187">
        <v>1643.51917</v>
      </c>
      <c r="D187">
        <v>315.94665300000003</v>
      </c>
      <c r="E187">
        <v>1105.7536090000001</v>
      </c>
      <c r="F187">
        <v>254.72432900000001</v>
      </c>
      <c r="H187" s="6"/>
      <c r="K187" s="6"/>
    </row>
    <row r="188" spans="1:11" x14ac:dyDescent="0.3">
      <c r="A188" t="str">
        <v>09/30/2010</v>
      </c>
      <c r="B188">
        <v>1179.194274</v>
      </c>
      <c r="C188">
        <v>1588.1191229999999</v>
      </c>
      <c r="D188">
        <v>305.16352499999999</v>
      </c>
      <c r="E188">
        <v>1075.5291139999999</v>
      </c>
      <c r="F188">
        <v>246.52068299999999</v>
      </c>
      <c r="H188" s="6"/>
      <c r="K188" s="6"/>
    </row>
    <row r="189" spans="1:11" x14ac:dyDescent="0.3">
      <c r="A189" t="str">
        <v>08/31/2010</v>
      </c>
      <c r="B189">
        <v>1080.699249</v>
      </c>
      <c r="C189">
        <v>1453.045472</v>
      </c>
      <c r="D189">
        <v>279.06426199999999</v>
      </c>
      <c r="E189">
        <v>970.04601700000001</v>
      </c>
      <c r="F189">
        <v>224.79524599999999</v>
      </c>
      <c r="H189" s="6"/>
      <c r="K189" s="6"/>
    </row>
    <row r="190" spans="1:11" x14ac:dyDescent="0.3">
      <c r="A190" t="str">
        <v>07/30/2010</v>
      </c>
      <c r="B190">
        <v>1124.8255770000001</v>
      </c>
      <c r="C190">
        <v>1501.2116249999999</v>
      </c>
      <c r="D190">
        <v>289.751058</v>
      </c>
      <c r="E190">
        <v>991.40970100000004</v>
      </c>
      <c r="F190">
        <v>231.665097</v>
      </c>
      <c r="H190" s="6"/>
      <c r="K190" s="6"/>
    </row>
    <row r="191" spans="1:11" x14ac:dyDescent="0.3">
      <c r="A191" t="str">
        <v>06/30/2010</v>
      </c>
      <c r="B191">
        <v>1041.3229429999999</v>
      </c>
      <c r="C191">
        <v>1375.3202080000001</v>
      </c>
      <c r="D191">
        <v>268.24729300000001</v>
      </c>
      <c r="E191">
        <v>917.985187</v>
      </c>
      <c r="F191">
        <v>212.76027400000001</v>
      </c>
      <c r="H191" s="6"/>
      <c r="K191" s="6"/>
    </row>
    <row r="192" spans="1:11" x14ac:dyDescent="0.3">
      <c r="A192" t="str">
        <v>05/28/2010</v>
      </c>
      <c r="B192">
        <v>1080.2975980000001</v>
      </c>
      <c r="C192">
        <v>1399.1302439999999</v>
      </c>
      <c r="D192">
        <v>276.92140599999999</v>
      </c>
      <c r="E192">
        <v>917.04658500000005</v>
      </c>
      <c r="F192">
        <v>215.537375</v>
      </c>
      <c r="H192" s="6"/>
      <c r="K192" s="6"/>
    </row>
    <row r="193" spans="1:11" x14ac:dyDescent="0.3">
      <c r="A193" t="str">
        <v>04/30/2010</v>
      </c>
      <c r="B193">
        <v>1198.5635609999999</v>
      </c>
      <c r="C193">
        <v>1580.340876</v>
      </c>
      <c r="D193">
        <v>307.34781900000002</v>
      </c>
      <c r="E193">
        <v>1020.033087</v>
      </c>
      <c r="F193">
        <v>242.59322</v>
      </c>
      <c r="H193" s="6"/>
      <c r="K193" s="6"/>
    </row>
    <row r="194" spans="1:11" x14ac:dyDescent="0.3">
      <c r="A194" t="str">
        <v>03/31/2010</v>
      </c>
      <c r="B194">
        <v>1200.530432</v>
      </c>
      <c r="C194">
        <v>1608.7940590000001</v>
      </c>
      <c r="D194">
        <v>307.40443399999998</v>
      </c>
      <c r="E194">
        <v>1010.333899</v>
      </c>
      <c r="F194">
        <v>245.41938400000001</v>
      </c>
      <c r="H194" s="6"/>
      <c r="K194" s="6"/>
    </row>
    <row r="195" spans="1:11" x14ac:dyDescent="0.3">
      <c r="A195" t="str">
        <v>02/26/2010</v>
      </c>
      <c r="B195">
        <v>1133.347606</v>
      </c>
      <c r="C195">
        <v>1517.4001270000001</v>
      </c>
      <c r="D195">
        <v>289.49738200000002</v>
      </c>
      <c r="E195">
        <v>935.92940999999996</v>
      </c>
      <c r="F195">
        <v>230.541887</v>
      </c>
      <c r="H195" s="6"/>
      <c r="K195" s="6"/>
    </row>
    <row r="196" spans="1:11" x14ac:dyDescent="0.3">
      <c r="A196" t="str">
        <v>01/29/2010</v>
      </c>
      <c r="B196">
        <v>1119.536891</v>
      </c>
      <c r="C196">
        <v>1521.729227</v>
      </c>
      <c r="D196">
        <v>286.32728700000001</v>
      </c>
      <c r="E196">
        <v>933.58967700000005</v>
      </c>
      <c r="F196">
        <v>230.92445499999999</v>
      </c>
      <c r="H196" s="6"/>
      <c r="K196" s="6"/>
    </row>
    <row r="197" spans="1:11" x14ac:dyDescent="0.3">
      <c r="A197" t="str">
        <v>12/31/2009</v>
      </c>
      <c r="B197">
        <v>1168.4679160000001</v>
      </c>
      <c r="C197">
        <v>1597.280622</v>
      </c>
      <c r="D197">
        <v>299.435157</v>
      </c>
      <c r="E197">
        <v>989.46945000000005</v>
      </c>
      <c r="F197">
        <v>242.91365200000001</v>
      </c>
      <c r="H197" s="6"/>
      <c r="K197" s="6"/>
    </row>
    <row r="198" spans="1:11" x14ac:dyDescent="0.3">
      <c r="A198" t="str">
        <v>11/30/2009</v>
      </c>
      <c r="B198">
        <v>1149.00684</v>
      </c>
      <c r="C198">
        <v>1573.6591309999999</v>
      </c>
      <c r="D198">
        <v>293.66663199999999</v>
      </c>
      <c r="E198">
        <v>953.12797799999998</v>
      </c>
      <c r="F198">
        <v>238.12839399999999</v>
      </c>
      <c r="H198" s="6"/>
      <c r="K198" s="6"/>
    </row>
    <row r="199" spans="1:11" x14ac:dyDescent="0.3">
      <c r="A199" t="str">
        <v>10/30/2009</v>
      </c>
      <c r="B199">
        <v>1106.1700519999999</v>
      </c>
      <c r="C199">
        <v>1539.3381059999999</v>
      </c>
      <c r="D199">
        <v>282.58849199999997</v>
      </c>
      <c r="E199">
        <v>914.25874599999997</v>
      </c>
      <c r="F199">
        <v>231.948341</v>
      </c>
      <c r="H199" s="6"/>
      <c r="K199" s="6"/>
    </row>
    <row r="200" spans="1:11" x14ac:dyDescent="0.3">
      <c r="A200" t="str">
        <v>09/30/2009</v>
      </c>
      <c r="B200">
        <v>1126.9845069999999</v>
      </c>
      <c r="C200">
        <v>1565.318254</v>
      </c>
      <c r="D200">
        <v>287.23241899999999</v>
      </c>
      <c r="E200">
        <v>914.04536399999995</v>
      </c>
      <c r="F200">
        <v>235.010392</v>
      </c>
      <c r="H200" s="6"/>
      <c r="K200" s="6"/>
    </row>
    <row r="201" spans="1:11" x14ac:dyDescent="0.3">
      <c r="A201" t="str">
        <v>08/31/2009</v>
      </c>
      <c r="B201">
        <v>1085.598716</v>
      </c>
      <c r="C201">
        <v>1506.64248</v>
      </c>
      <c r="D201">
        <v>275.09561000000002</v>
      </c>
      <c r="E201">
        <v>839.45971899999995</v>
      </c>
      <c r="F201">
        <v>224.00460899999999</v>
      </c>
      <c r="H201" s="6"/>
      <c r="K201" s="6"/>
    </row>
    <row r="202" spans="1:11" x14ac:dyDescent="0.3">
      <c r="A202" t="str">
        <v>07/31/2009</v>
      </c>
      <c r="B202">
        <v>1044.7533719999999</v>
      </c>
      <c r="C202">
        <v>1441.3282859999999</v>
      </c>
      <c r="D202">
        <v>266.14184</v>
      </c>
      <c r="E202">
        <v>844.02432899999997</v>
      </c>
      <c r="F202">
        <v>216.521188</v>
      </c>
      <c r="H202" s="6"/>
      <c r="K202" s="6"/>
    </row>
    <row r="203" spans="1:11" x14ac:dyDescent="0.3">
      <c r="A203" t="str">
        <v>06/30/2009</v>
      </c>
      <c r="B203">
        <v>964.04807900000003</v>
      </c>
      <c r="C203">
        <v>1318.7358099999999</v>
      </c>
      <c r="D203">
        <v>244.90490500000001</v>
      </c>
      <c r="E203">
        <v>761.29518099999996</v>
      </c>
      <c r="F203">
        <v>197.50967700000001</v>
      </c>
      <c r="H203" s="6"/>
      <c r="K203" s="6"/>
    </row>
    <row r="204" spans="1:11" x14ac:dyDescent="0.3">
      <c r="A204" t="str">
        <v>05/29/2009</v>
      </c>
      <c r="B204">
        <v>970.00365099999999</v>
      </c>
      <c r="C204">
        <v>1335.2242590000001</v>
      </c>
      <c r="D204">
        <v>246.693769</v>
      </c>
      <c r="E204">
        <v>773.12125700000001</v>
      </c>
      <c r="F204">
        <v>200.10551599999999</v>
      </c>
      <c r="H204" s="6"/>
      <c r="K204" s="6"/>
    </row>
    <row r="205" spans="1:11" x14ac:dyDescent="0.3">
      <c r="A205" t="str">
        <v>04/30/2009</v>
      </c>
      <c r="B205">
        <v>893.024719</v>
      </c>
      <c r="C205">
        <v>1192.715162</v>
      </c>
      <c r="D205">
        <v>225.24083400000001</v>
      </c>
      <c r="E205">
        <v>662.73042499999997</v>
      </c>
      <c r="F205">
        <v>177.25138999999999</v>
      </c>
      <c r="H205" s="6"/>
      <c r="K205" s="6"/>
    </row>
    <row r="206" spans="1:11" x14ac:dyDescent="0.3">
      <c r="A206" t="str">
        <v>03/31/2009</v>
      </c>
      <c r="B206">
        <v>805.21628599999997</v>
      </c>
      <c r="C206">
        <v>1061.2611629999999</v>
      </c>
      <c r="D206">
        <v>202.036078</v>
      </c>
      <c r="E206">
        <v>569.96660199999997</v>
      </c>
      <c r="F206">
        <v>156.656902</v>
      </c>
      <c r="H206" s="6"/>
      <c r="K206" s="6"/>
    </row>
    <row r="207" spans="1:11" x14ac:dyDescent="0.3">
      <c r="A207" t="str">
        <v>02/27/2009</v>
      </c>
      <c r="B207">
        <v>750.86282900000003</v>
      </c>
      <c r="C207">
        <v>999.87918999999999</v>
      </c>
      <c r="D207">
        <v>187.16764900000001</v>
      </c>
      <c r="E207">
        <v>499.30382300000002</v>
      </c>
      <c r="F207">
        <v>145.56652600000001</v>
      </c>
      <c r="H207" s="6"/>
      <c r="K207" s="6"/>
    </row>
    <row r="208" spans="1:11" x14ac:dyDescent="0.3">
      <c r="A208" t="str">
        <v>01/30/2009</v>
      </c>
      <c r="B208">
        <v>838.82699000000002</v>
      </c>
      <c r="C208">
        <v>1115.838771</v>
      </c>
      <c r="D208">
        <v>208.022741</v>
      </c>
      <c r="E208">
        <v>529.53210000000001</v>
      </c>
      <c r="F208">
        <v>160.96605600000001</v>
      </c>
      <c r="H208" s="6"/>
      <c r="K208" s="6"/>
    </row>
    <row r="209" spans="1:11" x14ac:dyDescent="0.3">
      <c r="A209" t="str">
        <v>12/31/2008</v>
      </c>
      <c r="B209">
        <v>920.22565099999997</v>
      </c>
      <c r="C209">
        <v>1231.7431120000001</v>
      </c>
      <c r="D209">
        <v>227.68340000000001</v>
      </c>
      <c r="E209">
        <v>567.04212099999995</v>
      </c>
      <c r="F209">
        <v>176.74883700000001</v>
      </c>
      <c r="H209" s="6"/>
      <c r="K209" s="6"/>
    </row>
    <row r="210" spans="1:11" x14ac:dyDescent="0.3">
      <c r="A210" t="str">
        <v>11/28/2008</v>
      </c>
      <c r="B210">
        <v>892.92578300000002</v>
      </c>
      <c r="C210">
        <v>1171.2179799999999</v>
      </c>
      <c r="D210">
        <v>220.04957300000001</v>
      </c>
      <c r="E210">
        <v>526.97212000000002</v>
      </c>
      <c r="F210">
        <v>167.409707</v>
      </c>
      <c r="H210" s="6"/>
      <c r="K210" s="6"/>
    </row>
    <row r="211" spans="1:11" x14ac:dyDescent="0.3">
      <c r="A211" t="str">
        <v>10/31/2008</v>
      </c>
      <c r="B211">
        <v>957.24520700000005</v>
      </c>
      <c r="C211">
        <v>1242.1124319999999</v>
      </c>
      <c r="D211">
        <v>236.11139800000001</v>
      </c>
      <c r="E211">
        <v>570.521254</v>
      </c>
      <c r="F211">
        <v>178.16823199999999</v>
      </c>
      <c r="H211" s="6"/>
      <c r="K211" s="6"/>
    </row>
    <row r="212" spans="1:11" x14ac:dyDescent="0.3">
      <c r="A212" t="str">
        <v>09/30/2008</v>
      </c>
      <c r="B212">
        <v>1182.4427450000001</v>
      </c>
      <c r="C212">
        <v>1569.7364689999999</v>
      </c>
      <c r="D212">
        <v>294.79028899999997</v>
      </c>
      <c r="E212">
        <v>786.92414900000006</v>
      </c>
      <c r="F212">
        <v>228.71334200000001</v>
      </c>
      <c r="H212" s="6"/>
      <c r="K212" s="6"/>
    </row>
    <row r="213" spans="1:11" x14ac:dyDescent="0.3">
      <c r="A213" t="str">
        <v>08/29/2008</v>
      </c>
      <c r="B213">
        <v>1344.864992</v>
      </c>
      <c r="C213">
        <v>1839.808912</v>
      </c>
      <c r="D213">
        <v>337.61202500000002</v>
      </c>
      <c r="E213">
        <v>956.25316899999996</v>
      </c>
      <c r="F213">
        <v>269.88853599999999</v>
      </c>
      <c r="H213" s="6"/>
      <c r="K213" s="6"/>
    </row>
    <row r="214" spans="1:11" x14ac:dyDescent="0.3">
      <c r="A214" t="str">
        <v>07/31/2008</v>
      </c>
      <c r="B214">
        <v>1366.699466</v>
      </c>
      <c r="C214">
        <v>1918.442337</v>
      </c>
      <c r="D214">
        <v>345.74552399999999</v>
      </c>
      <c r="E214">
        <v>1041.856372</v>
      </c>
      <c r="F214">
        <v>283.82692900000001</v>
      </c>
      <c r="H214" s="6"/>
      <c r="K214" s="6"/>
    </row>
    <row r="215" spans="1:11" x14ac:dyDescent="0.3">
      <c r="A215" t="str">
        <v>06/30/2008</v>
      </c>
      <c r="B215">
        <v>1402.128633</v>
      </c>
      <c r="C215">
        <v>1990.709754</v>
      </c>
      <c r="D215">
        <v>355.39797399999998</v>
      </c>
      <c r="E215">
        <v>1087.118872</v>
      </c>
      <c r="F215">
        <v>294.84042899999997</v>
      </c>
      <c r="H215" s="6"/>
      <c r="K215" s="6"/>
    </row>
    <row r="216" spans="1:11" x14ac:dyDescent="0.3">
      <c r="A216" t="str">
        <v>05/30/2008</v>
      </c>
      <c r="B216">
        <v>1525.725874</v>
      </c>
      <c r="C216">
        <v>2161.7563949999999</v>
      </c>
      <c r="D216">
        <v>387.74834800000002</v>
      </c>
      <c r="E216">
        <v>1209.869872</v>
      </c>
      <c r="F216">
        <v>321.75563799999998</v>
      </c>
      <c r="H216" s="6"/>
      <c r="K216" s="6"/>
    </row>
    <row r="217" spans="1:11" x14ac:dyDescent="0.3">
      <c r="A217" t="str">
        <v>04/30/2008</v>
      </c>
      <c r="B217">
        <v>1508.9877280000001</v>
      </c>
      <c r="C217">
        <v>2143.1818709999998</v>
      </c>
      <c r="D217">
        <v>383.29995300000002</v>
      </c>
      <c r="E217">
        <v>1191.365065</v>
      </c>
      <c r="F217">
        <v>318.56296200000003</v>
      </c>
      <c r="H217" s="6"/>
      <c r="K217" s="6"/>
    </row>
    <row r="218" spans="1:11" x14ac:dyDescent="0.3">
      <c r="A218" t="str">
        <v>03/31/2008</v>
      </c>
      <c r="B218">
        <v>1437.4026309999999</v>
      </c>
      <c r="C218">
        <v>2039.0007390000001</v>
      </c>
      <c r="D218">
        <v>363.98508199999998</v>
      </c>
      <c r="E218">
        <v>1104.4301439999999</v>
      </c>
      <c r="F218">
        <v>301.54507999999998</v>
      </c>
      <c r="H218" s="6"/>
      <c r="K218" s="6"/>
    </row>
    <row r="219" spans="1:11" x14ac:dyDescent="0.3">
      <c r="A219" t="str">
        <v>02/29/2008</v>
      </c>
      <c r="B219">
        <v>1455.560154</v>
      </c>
      <c r="C219">
        <v>2077.8531429999998</v>
      </c>
      <c r="D219">
        <v>370.41086999999999</v>
      </c>
      <c r="E219">
        <v>1167.4974749999999</v>
      </c>
      <c r="F219">
        <v>309.50855200000001</v>
      </c>
      <c r="H219" s="6"/>
      <c r="K219" s="6"/>
    </row>
    <row r="220" spans="1:11" x14ac:dyDescent="0.3">
      <c r="A220" t="str">
        <v>01/31/2008</v>
      </c>
      <c r="B220">
        <v>1466.346317</v>
      </c>
      <c r="C220">
        <v>2044.0917300000001</v>
      </c>
      <c r="D220">
        <v>369.93491399999999</v>
      </c>
      <c r="E220">
        <v>1088.5698480000001</v>
      </c>
      <c r="F220">
        <v>301.34080499999999</v>
      </c>
      <c r="H220" s="6"/>
      <c r="K220" s="6"/>
    </row>
    <row r="221" spans="1:11" x14ac:dyDescent="0.3">
      <c r="A221" t="str">
        <v>12/31/2007</v>
      </c>
      <c r="B221">
        <v>1588.8025</v>
      </c>
      <c r="C221">
        <v>2247.9670040000001</v>
      </c>
      <c r="D221">
        <v>403.25103100000001</v>
      </c>
      <c r="E221">
        <v>1245.422356</v>
      </c>
      <c r="F221">
        <v>333.921289</v>
      </c>
      <c r="H221" s="6"/>
      <c r="K221" s="6"/>
    </row>
    <row r="222" spans="1:11" x14ac:dyDescent="0.3">
      <c r="A222" t="str">
        <v>11/30/2007</v>
      </c>
      <c r="B222">
        <v>1610.941816</v>
      </c>
      <c r="C222">
        <v>2292.3214069999999</v>
      </c>
      <c r="D222">
        <v>408.104941</v>
      </c>
      <c r="E222">
        <v>1241.8693089999999</v>
      </c>
      <c r="F222">
        <v>339.04733800000002</v>
      </c>
      <c r="H222" s="6"/>
      <c r="K222" s="6"/>
    </row>
    <row r="223" spans="1:11" x14ac:dyDescent="0.3">
      <c r="A223" t="str">
        <v>10/31/2007</v>
      </c>
      <c r="B223">
        <v>1682.3514319999999</v>
      </c>
      <c r="C223">
        <v>2389.568769</v>
      </c>
      <c r="D223">
        <v>427.63422600000001</v>
      </c>
      <c r="E223">
        <v>1337.447993</v>
      </c>
      <c r="F223">
        <v>355.60225300000002</v>
      </c>
      <c r="H223" s="6"/>
      <c r="K223" s="6"/>
    </row>
    <row r="224" spans="1:11" x14ac:dyDescent="0.3">
      <c r="A224" t="str">
        <v>09/28/2007</v>
      </c>
      <c r="B224">
        <v>1633.576446</v>
      </c>
      <c r="C224">
        <v>2291.97811</v>
      </c>
      <c r="D224">
        <v>411.92273499999999</v>
      </c>
      <c r="E224">
        <v>1204.7397550000001</v>
      </c>
      <c r="F224">
        <v>337.15219999999999</v>
      </c>
      <c r="H224" s="6"/>
      <c r="K224" s="6"/>
    </row>
    <row r="225" spans="1:11" x14ac:dyDescent="0.3">
      <c r="A225" t="str">
        <v>08/31/2007</v>
      </c>
      <c r="B225">
        <v>1561.585133</v>
      </c>
      <c r="C225">
        <v>2172.444724</v>
      </c>
      <c r="D225">
        <v>391.49373200000002</v>
      </c>
      <c r="E225">
        <v>1086.8253219999999</v>
      </c>
      <c r="F225">
        <v>316.80941300000001</v>
      </c>
      <c r="H225" s="6"/>
      <c r="K225" s="6"/>
    </row>
    <row r="226" spans="1:11" x14ac:dyDescent="0.3">
      <c r="A226" t="str">
        <v>07/31/2007</v>
      </c>
      <c r="B226">
        <v>1565.8113149999999</v>
      </c>
      <c r="C226">
        <v>2209.6401430000001</v>
      </c>
      <c r="D226">
        <v>393.34398299999998</v>
      </c>
      <c r="E226">
        <v>1112.613824</v>
      </c>
      <c r="F226">
        <v>322.58606800000001</v>
      </c>
      <c r="H226" s="6"/>
      <c r="K226" s="6"/>
    </row>
    <row r="227" spans="1:11" x14ac:dyDescent="0.3">
      <c r="A227" t="str">
        <v>06/29/2007</v>
      </c>
      <c r="B227">
        <v>1602.359909</v>
      </c>
      <c r="C227">
        <v>2242.060277</v>
      </c>
      <c r="D227">
        <v>399.786765</v>
      </c>
      <c r="E227">
        <v>1059.5438819999999</v>
      </c>
      <c r="F227">
        <v>323.87989399999998</v>
      </c>
      <c r="H227" s="6"/>
      <c r="K227" s="6"/>
    </row>
    <row r="228" spans="1:11" x14ac:dyDescent="0.3">
      <c r="A228" t="str">
        <v>05/31/2007</v>
      </c>
      <c r="B228">
        <v>1616.8713760000001</v>
      </c>
      <c r="C228">
        <v>2243.5182789999999</v>
      </c>
      <c r="D228">
        <v>401.52006899999998</v>
      </c>
      <c r="E228">
        <v>1014.641244</v>
      </c>
      <c r="F228">
        <v>321.83308099999999</v>
      </c>
      <c r="H228" s="6"/>
      <c r="K228" s="6"/>
    </row>
    <row r="229" spans="1:11" x14ac:dyDescent="0.3">
      <c r="A229" t="str">
        <v>04/30/2007</v>
      </c>
      <c r="B229">
        <v>1577.8595949999999</v>
      </c>
      <c r="C229">
        <v>2205.2896500000002</v>
      </c>
      <c r="D229">
        <v>391.143711</v>
      </c>
      <c r="E229">
        <v>970.85625700000003</v>
      </c>
      <c r="F229">
        <v>315.01332400000001</v>
      </c>
      <c r="H229" s="6"/>
      <c r="K229" s="6"/>
    </row>
    <row r="230" spans="1:11" x14ac:dyDescent="0.3">
      <c r="A230" t="str">
        <v>03/30/2007</v>
      </c>
      <c r="B230">
        <v>1514.1806409999999</v>
      </c>
      <c r="C230">
        <v>2116.008511</v>
      </c>
      <c r="D230">
        <v>375.29950600000001</v>
      </c>
      <c r="E230">
        <v>928.903234</v>
      </c>
      <c r="F230">
        <v>302.18139000000002</v>
      </c>
      <c r="H230" s="6"/>
      <c r="K230" s="6"/>
    </row>
    <row r="231" spans="1:11" x14ac:dyDescent="0.3">
      <c r="A231" t="str">
        <v>02/28/2007</v>
      </c>
      <c r="B231">
        <v>1490.440282</v>
      </c>
      <c r="C231">
        <v>2070.8296209999999</v>
      </c>
      <c r="D231">
        <v>368.777039</v>
      </c>
      <c r="E231">
        <v>895.542327</v>
      </c>
      <c r="F231">
        <v>295.06937799999997</v>
      </c>
      <c r="H231" s="6"/>
      <c r="K231" s="6"/>
    </row>
    <row r="232" spans="1:11" x14ac:dyDescent="0.3">
      <c r="A232" t="str">
        <v>01/31/2007</v>
      </c>
      <c r="B232">
        <v>1500.231671</v>
      </c>
      <c r="C232">
        <v>2056.6089849999998</v>
      </c>
      <c r="D232">
        <v>371.20220899999998</v>
      </c>
      <c r="E232">
        <v>901.47725800000001</v>
      </c>
      <c r="F232">
        <v>293.62071100000003</v>
      </c>
      <c r="H232" s="6"/>
      <c r="K232" s="6"/>
    </row>
    <row r="233" spans="1:11" x14ac:dyDescent="0.3">
      <c r="A233" t="str">
        <v>12/29/2006</v>
      </c>
      <c r="B233">
        <v>1483.577994</v>
      </c>
      <c r="C233">
        <v>2045.0357630000001</v>
      </c>
      <c r="D233">
        <v>367.78380700000002</v>
      </c>
      <c r="E233">
        <v>912.64837899999998</v>
      </c>
      <c r="F233">
        <v>292.74355500000001</v>
      </c>
      <c r="H233" s="6"/>
      <c r="K233" s="6"/>
    </row>
    <row r="234" spans="1:11" x14ac:dyDescent="0.3">
      <c r="A234" t="str">
        <v>11/30/2006</v>
      </c>
      <c r="B234">
        <v>1455.165743</v>
      </c>
      <c r="C234">
        <v>1989.1629969999999</v>
      </c>
      <c r="D234">
        <v>360.04292900000002</v>
      </c>
      <c r="E234">
        <v>874.07980499999996</v>
      </c>
      <c r="F234">
        <v>284.09632800000003</v>
      </c>
      <c r="H234" s="6"/>
      <c r="K234" s="6"/>
    </row>
    <row r="235" spans="1:11" x14ac:dyDescent="0.3">
      <c r="A235" t="str">
        <v>10/31/2006</v>
      </c>
      <c r="B235">
        <v>1422.9264820000001</v>
      </c>
      <c r="C235">
        <v>1935.247204</v>
      </c>
      <c r="D235">
        <v>350.74954600000001</v>
      </c>
      <c r="E235">
        <v>814.43816600000002</v>
      </c>
      <c r="F235">
        <v>274.69512900000001</v>
      </c>
      <c r="H235" s="6"/>
      <c r="K235" s="6"/>
    </row>
    <row r="236" spans="1:11" x14ac:dyDescent="0.3">
      <c r="A236" t="str">
        <v>09/29/2006</v>
      </c>
      <c r="B236">
        <v>1373.3676720000001</v>
      </c>
      <c r="C236">
        <v>1862.5966860000001</v>
      </c>
      <c r="D236">
        <v>338.27588800000001</v>
      </c>
      <c r="E236">
        <v>778.16085499999997</v>
      </c>
      <c r="F236">
        <v>264.11456700000002</v>
      </c>
      <c r="H236" s="6"/>
      <c r="K236" s="6"/>
    </row>
    <row r="237" spans="1:11" x14ac:dyDescent="0.3">
      <c r="A237" t="str">
        <v>08/31/2006</v>
      </c>
      <c r="B237">
        <v>1358.8715810000001</v>
      </c>
      <c r="C237">
        <v>1867.1853739999999</v>
      </c>
      <c r="D237">
        <v>334.80904700000002</v>
      </c>
      <c r="E237">
        <v>773.12354400000004</v>
      </c>
      <c r="F237">
        <v>264.43769600000002</v>
      </c>
      <c r="H237" s="6"/>
      <c r="K237" s="6"/>
    </row>
    <row r="238" spans="1:11" x14ac:dyDescent="0.3">
      <c r="A238" t="str">
        <v>07/31/2006</v>
      </c>
      <c r="B238">
        <v>1327.2331589999999</v>
      </c>
      <c r="C238">
        <v>1820.0139529999999</v>
      </c>
      <c r="D238">
        <v>327.03680200000002</v>
      </c>
      <c r="E238">
        <v>755.83630600000004</v>
      </c>
      <c r="F238">
        <v>257.86047100000002</v>
      </c>
      <c r="H238" s="6"/>
      <c r="K238" s="6"/>
    </row>
    <row r="239" spans="1:11" x14ac:dyDescent="0.3">
      <c r="A239" t="str">
        <v>06/30/2006</v>
      </c>
      <c r="B239">
        <v>1319.9344799999999</v>
      </c>
      <c r="C239">
        <v>1804.388483</v>
      </c>
      <c r="D239">
        <v>325.10796699999997</v>
      </c>
      <c r="E239">
        <v>747.53943800000002</v>
      </c>
      <c r="F239">
        <v>255.563861</v>
      </c>
      <c r="H239" s="6"/>
      <c r="K239" s="6"/>
    </row>
    <row r="240" spans="1:11" x14ac:dyDescent="0.3">
      <c r="A240" t="str">
        <v>05/31/2006</v>
      </c>
      <c r="B240">
        <v>1322.2460570000001</v>
      </c>
      <c r="C240">
        <v>1810.3658270000001</v>
      </c>
      <c r="D240">
        <v>325.73817400000001</v>
      </c>
      <c r="E240">
        <v>750.99552600000004</v>
      </c>
      <c r="F240">
        <v>256.45016099999998</v>
      </c>
      <c r="H240" s="6"/>
      <c r="K240" s="6"/>
    </row>
    <row r="241" spans="1:11" x14ac:dyDescent="0.3">
      <c r="A241" t="str">
        <v>04/28/2006</v>
      </c>
      <c r="B241">
        <v>1373.383507</v>
      </c>
      <c r="C241">
        <v>1890.8959130000001</v>
      </c>
      <c r="D241">
        <v>340.189841</v>
      </c>
      <c r="E241">
        <v>841.58023200000002</v>
      </c>
      <c r="F241">
        <v>270.36455899999999</v>
      </c>
      <c r="H241" s="6"/>
      <c r="K241" s="6"/>
    </row>
    <row r="242" spans="1:11" x14ac:dyDescent="0.3">
      <c r="A242" t="str">
        <v>03/31/2006</v>
      </c>
      <c r="B242">
        <v>1335.0693120000001</v>
      </c>
      <c r="C242">
        <v>1808.8693330000001</v>
      </c>
      <c r="D242">
        <v>329.79066899999998</v>
      </c>
      <c r="E242">
        <v>787.80242799999996</v>
      </c>
      <c r="F242">
        <v>257.882251</v>
      </c>
      <c r="H242" s="6"/>
      <c r="K242" s="6"/>
    </row>
    <row r="243" spans="1:11" x14ac:dyDescent="0.3">
      <c r="A243" t="str">
        <v>02/28/2006</v>
      </c>
      <c r="B243">
        <v>1309.450996</v>
      </c>
      <c r="C243">
        <v>1759.9607579999999</v>
      </c>
      <c r="D243">
        <v>323.74461200000002</v>
      </c>
      <c r="E243">
        <v>782.10619799999995</v>
      </c>
      <c r="F243">
        <v>251.591161</v>
      </c>
      <c r="H243" s="6"/>
      <c r="K243" s="6"/>
    </row>
    <row r="244" spans="1:11" x14ac:dyDescent="0.3">
      <c r="A244" t="str">
        <v>01/31/2006</v>
      </c>
      <c r="B244">
        <v>1313.213624</v>
      </c>
      <c r="C244">
        <v>1768.043627</v>
      </c>
      <c r="D244">
        <v>324.65813300000002</v>
      </c>
      <c r="E244">
        <v>783.77147400000001</v>
      </c>
      <c r="F244">
        <v>252.66366400000001</v>
      </c>
      <c r="H244" s="6"/>
      <c r="K244" s="6"/>
    </row>
    <row r="245" spans="1:11" x14ac:dyDescent="0.3">
      <c r="A245" t="str">
        <v>12/30/2005</v>
      </c>
      <c r="B245">
        <v>1257.7753949999999</v>
      </c>
      <c r="C245">
        <v>1663.5434210000001</v>
      </c>
      <c r="D245">
        <v>309.63012099999997</v>
      </c>
      <c r="E245">
        <v>706.48329000000001</v>
      </c>
      <c r="F245">
        <v>236.375877</v>
      </c>
      <c r="H245" s="6"/>
      <c r="K245" s="6"/>
    </row>
    <row r="246" spans="1:11" x14ac:dyDescent="0.3">
      <c r="A246" t="str">
        <v>11/30/2005</v>
      </c>
      <c r="B246">
        <v>1231.4124139999999</v>
      </c>
      <c r="C246">
        <v>1590.651343</v>
      </c>
      <c r="D246">
        <v>302.43244399999998</v>
      </c>
      <c r="E246">
        <v>667.99423200000001</v>
      </c>
      <c r="F246">
        <v>225.68941100000001</v>
      </c>
      <c r="H246" s="6"/>
      <c r="K246" s="6"/>
    </row>
    <row r="247" spans="1:11" x14ac:dyDescent="0.3">
      <c r="A247" t="str">
        <v>10/31/2005</v>
      </c>
      <c r="B247">
        <v>1193.8801080000001</v>
      </c>
      <c r="C247">
        <v>1552.5563990000001</v>
      </c>
      <c r="D247">
        <v>292.31892399999998</v>
      </c>
      <c r="E247">
        <v>617.41188399999999</v>
      </c>
      <c r="F247">
        <v>218.78573399999999</v>
      </c>
      <c r="H247" s="6"/>
      <c r="K247" s="6"/>
    </row>
    <row r="248" spans="1:11" x14ac:dyDescent="0.3">
      <c r="A248" t="str">
        <v>09/30/2005</v>
      </c>
      <c r="B248">
        <v>1224.314012</v>
      </c>
      <c r="C248">
        <v>1605.146426</v>
      </c>
      <c r="D248">
        <v>300.60397</v>
      </c>
      <c r="E248">
        <v>661.31792800000005</v>
      </c>
      <c r="F248">
        <v>227.19131200000001</v>
      </c>
      <c r="H248" s="6"/>
      <c r="K248" s="6"/>
    </row>
    <row r="249" spans="1:11" x14ac:dyDescent="0.3">
      <c r="A249" t="str">
        <v>08/31/2005</v>
      </c>
      <c r="B249">
        <v>1194.807033</v>
      </c>
      <c r="C249">
        <v>1537.7059690000001</v>
      </c>
      <c r="D249">
        <v>292.20212299999997</v>
      </c>
      <c r="E249">
        <v>606.22992999999997</v>
      </c>
      <c r="F249">
        <v>216.466408</v>
      </c>
      <c r="H249" s="6"/>
      <c r="K249" s="6"/>
    </row>
    <row r="250" spans="1:11" x14ac:dyDescent="0.3">
      <c r="A250" t="str">
        <v>07/29/2005</v>
      </c>
      <c r="B250">
        <v>1188.164757</v>
      </c>
      <c r="C250">
        <v>1500.1093069999999</v>
      </c>
      <c r="D250">
        <v>290.57038699999998</v>
      </c>
      <c r="E250">
        <v>602.56365300000004</v>
      </c>
      <c r="F250">
        <v>211.65371999999999</v>
      </c>
      <c r="H250" s="6"/>
      <c r="K250" s="6"/>
    </row>
    <row r="251" spans="1:11" x14ac:dyDescent="0.3">
      <c r="A251" t="str">
        <v>06/30/2005</v>
      </c>
      <c r="B251">
        <v>1148.8130639999999</v>
      </c>
      <c r="C251">
        <v>1453.887553</v>
      </c>
      <c r="D251">
        <v>280.43791299999998</v>
      </c>
      <c r="E251">
        <v>565.16769399999998</v>
      </c>
      <c r="F251">
        <v>204.327687</v>
      </c>
      <c r="H251" s="6"/>
      <c r="K251" s="6"/>
    </row>
    <row r="252" spans="1:11" x14ac:dyDescent="0.3">
      <c r="A252" t="str">
        <v>05/31/2005</v>
      </c>
      <c r="B252">
        <v>1140.676843</v>
      </c>
      <c r="C252">
        <v>1433.364736</v>
      </c>
      <c r="D252">
        <v>278.07380799999999</v>
      </c>
      <c r="E252">
        <v>548.15487499999995</v>
      </c>
      <c r="F252">
        <v>201.05915999999999</v>
      </c>
      <c r="H252" s="6"/>
      <c r="K252" s="6"/>
    </row>
    <row r="253" spans="1:11" x14ac:dyDescent="0.3">
      <c r="A253" t="str">
        <v>04/29/2005</v>
      </c>
      <c r="B253">
        <v>1123.6416400000001</v>
      </c>
      <c r="C253">
        <v>1436.585186</v>
      </c>
      <c r="D253">
        <v>273.70221400000003</v>
      </c>
      <c r="E253">
        <v>531.98969299999999</v>
      </c>
      <c r="F253">
        <v>200.814086</v>
      </c>
      <c r="H253" s="6"/>
      <c r="K253" s="6"/>
    </row>
    <row r="254" spans="1:11" x14ac:dyDescent="0.3">
      <c r="A254" t="str">
        <v>03/31/2005</v>
      </c>
      <c r="B254">
        <v>1151.1837909999999</v>
      </c>
      <c r="C254">
        <v>1479.5704940000001</v>
      </c>
      <c r="D254">
        <v>280.51169099999998</v>
      </c>
      <c r="E254">
        <v>548.68938900000001</v>
      </c>
      <c r="F254">
        <v>206.854128</v>
      </c>
      <c r="H254" s="6"/>
      <c r="K254" s="6"/>
    </row>
    <row r="255" spans="1:11" x14ac:dyDescent="0.3">
      <c r="A255" t="str">
        <v>02/28/2005</v>
      </c>
      <c r="B255">
        <v>1176.702634</v>
      </c>
      <c r="C255">
        <v>1519.57431</v>
      </c>
      <c r="D255">
        <v>287.49405100000001</v>
      </c>
      <c r="E255">
        <v>588.681423</v>
      </c>
      <c r="F255">
        <v>213.45524399999999</v>
      </c>
      <c r="H255" s="6"/>
      <c r="K255" s="6"/>
    </row>
    <row r="256" spans="1:11" x14ac:dyDescent="0.3">
      <c r="A256" t="str">
        <v>01/31/2005</v>
      </c>
      <c r="B256">
        <v>1142.349958</v>
      </c>
      <c r="C256">
        <v>1457.2646460000001</v>
      </c>
      <c r="D256">
        <v>278.299376</v>
      </c>
      <c r="E256">
        <v>542.28191700000002</v>
      </c>
      <c r="F256">
        <v>203.80902499999999</v>
      </c>
      <c r="H256" s="6"/>
      <c r="K256" s="6"/>
    </row>
    <row r="257" spans="1:11" x14ac:dyDescent="0.3">
      <c r="A257" t="str">
        <v>12/31/2004</v>
      </c>
      <c r="B257">
        <v>1169.3406219999999</v>
      </c>
      <c r="C257">
        <v>1487.234457</v>
      </c>
      <c r="D257">
        <v>284.52052099999997</v>
      </c>
      <c r="E257">
        <v>542.17449099999999</v>
      </c>
      <c r="F257">
        <v>207.548799</v>
      </c>
      <c r="H257" s="6"/>
      <c r="K257" s="6"/>
    </row>
    <row r="258" spans="1:11" x14ac:dyDescent="0.3">
      <c r="A258" t="str">
        <v>11/30/2004</v>
      </c>
      <c r="B258">
        <v>1127.33914</v>
      </c>
      <c r="C258">
        <v>1427.833631</v>
      </c>
      <c r="D258">
        <v>274.17048299999999</v>
      </c>
      <c r="E258">
        <v>517.95019400000001</v>
      </c>
      <c r="F258">
        <v>199.156091</v>
      </c>
      <c r="H258" s="6"/>
      <c r="K258" s="6"/>
    </row>
    <row r="259" spans="1:11" x14ac:dyDescent="0.3">
      <c r="A259" t="str">
        <v>10/29/2004</v>
      </c>
      <c r="B259">
        <v>1072.698343</v>
      </c>
      <c r="C259">
        <v>1341.1969549999999</v>
      </c>
      <c r="D259">
        <v>260.37909400000001</v>
      </c>
      <c r="E259">
        <v>474.27121199999999</v>
      </c>
      <c r="F259">
        <v>186.58436</v>
      </c>
      <c r="H259" s="6"/>
      <c r="K259" s="6"/>
    </row>
    <row r="260" spans="1:11" x14ac:dyDescent="0.3">
      <c r="A260" t="str">
        <v>09/30/2004</v>
      </c>
      <c r="B260">
        <v>1047.8606259999999</v>
      </c>
      <c r="C260">
        <v>1295.4391129999999</v>
      </c>
      <c r="D260">
        <v>254.373356</v>
      </c>
      <c r="E260">
        <v>464.15104500000001</v>
      </c>
      <c r="F260">
        <v>180.45950300000001</v>
      </c>
      <c r="H260" s="6"/>
      <c r="K260" s="6"/>
    </row>
    <row r="261" spans="1:11" x14ac:dyDescent="0.3">
      <c r="A261" t="str">
        <v>08/31/2004</v>
      </c>
      <c r="B261">
        <v>1029.6307509999999</v>
      </c>
      <c r="C261">
        <v>1260.488983</v>
      </c>
      <c r="D261">
        <v>249.506809</v>
      </c>
      <c r="E261">
        <v>439.74643400000002</v>
      </c>
      <c r="F261">
        <v>175.11796899999999</v>
      </c>
      <c r="H261" s="6"/>
      <c r="K261" s="6"/>
    </row>
    <row r="262" spans="1:11" x14ac:dyDescent="0.3">
      <c r="A262" t="str">
        <v>07/30/2004</v>
      </c>
      <c r="B262">
        <v>1026.991246</v>
      </c>
      <c r="C262">
        <v>1258.460196</v>
      </c>
      <c r="D262">
        <v>248.45089300000001</v>
      </c>
      <c r="E262">
        <v>423.140287</v>
      </c>
      <c r="F262">
        <v>174.20569</v>
      </c>
      <c r="H262" s="6"/>
      <c r="K262" s="6"/>
    </row>
    <row r="263" spans="1:11" x14ac:dyDescent="0.3">
      <c r="A263" t="str">
        <v>06/30/2004</v>
      </c>
      <c r="B263">
        <v>1062.513508</v>
      </c>
      <c r="C263">
        <v>1298.989693</v>
      </c>
      <c r="D263">
        <v>256.89480500000002</v>
      </c>
      <c r="E263">
        <v>432.19962299999997</v>
      </c>
      <c r="F263">
        <v>179.63505699999999</v>
      </c>
      <c r="H263" s="6"/>
      <c r="K263" s="6"/>
    </row>
    <row r="264" spans="1:11" x14ac:dyDescent="0.3">
      <c r="A264" t="str">
        <v>05/28/2004</v>
      </c>
      <c r="B264">
        <v>1041.8453930000001</v>
      </c>
      <c r="C264">
        <v>1269.9825969999999</v>
      </c>
      <c r="D264">
        <v>252.17430300000001</v>
      </c>
      <c r="E264">
        <v>434.12594300000001</v>
      </c>
      <c r="F264">
        <v>176.08039400000001</v>
      </c>
      <c r="H264" s="6"/>
      <c r="K264" s="6"/>
    </row>
    <row r="265" spans="1:11" x14ac:dyDescent="0.3">
      <c r="A265" t="str">
        <v>04/30/2004</v>
      </c>
      <c r="B265">
        <v>1035.6573550000001</v>
      </c>
      <c r="C265">
        <v>1271.1161709999999</v>
      </c>
      <c r="D265">
        <v>250.93196599999999</v>
      </c>
      <c r="E265">
        <v>441.29851200000002</v>
      </c>
      <c r="F265">
        <v>176.49823799999999</v>
      </c>
      <c r="H265" s="6"/>
      <c r="K265" s="6"/>
    </row>
    <row r="266" spans="1:11" x14ac:dyDescent="0.3">
      <c r="A266" t="str">
        <v>03/31/2004</v>
      </c>
      <c r="B266">
        <v>1059.156753</v>
      </c>
      <c r="C266">
        <v>1309.0358450000001</v>
      </c>
      <c r="D266">
        <v>257.43038999999999</v>
      </c>
      <c r="E266">
        <v>482.06235199999998</v>
      </c>
      <c r="F266">
        <v>182.82363000000001</v>
      </c>
      <c r="H266" s="6"/>
      <c r="K266" s="6"/>
    </row>
    <row r="267" spans="1:11" x14ac:dyDescent="0.3">
      <c r="A267" t="str">
        <v>02/27/2004</v>
      </c>
      <c r="B267">
        <v>1068.647596</v>
      </c>
      <c r="C267">
        <v>1307.5681890000001</v>
      </c>
      <c r="D267">
        <v>259.51114899999999</v>
      </c>
      <c r="E267">
        <v>477.73243000000002</v>
      </c>
      <c r="F267">
        <v>182.47333699999999</v>
      </c>
      <c r="H267" s="6"/>
      <c r="K267" s="6"/>
    </row>
    <row r="268" spans="1:11" x14ac:dyDescent="0.3">
      <c r="A268" t="str">
        <v>01/30/2004</v>
      </c>
      <c r="B268">
        <v>1052.2885490000001</v>
      </c>
      <c r="C268">
        <v>1279.701908</v>
      </c>
      <c r="D268">
        <v>255.19500600000001</v>
      </c>
      <c r="E268">
        <v>457.19119699999999</v>
      </c>
      <c r="F268">
        <v>178.18926999999999</v>
      </c>
      <c r="H268" s="6"/>
      <c r="K268" s="6"/>
    </row>
    <row r="269" spans="1:11" x14ac:dyDescent="0.3">
      <c r="A269" t="str">
        <v>12/31/2003</v>
      </c>
      <c r="B269">
        <v>1036.3182650000001</v>
      </c>
      <c r="C269">
        <v>1262.7101540000001</v>
      </c>
      <c r="D269">
        <v>251.13111799999999</v>
      </c>
      <c r="E269">
        <v>442.77808399999998</v>
      </c>
      <c r="F269">
        <v>175.50892400000001</v>
      </c>
      <c r="H269" s="6"/>
      <c r="K269" s="6"/>
    </row>
    <row r="270" spans="1:11" x14ac:dyDescent="0.3">
      <c r="A270" t="str">
        <v>11/28/2003</v>
      </c>
      <c r="B270">
        <v>976.01902299999995</v>
      </c>
      <c r="C270">
        <v>1173.2854400000001</v>
      </c>
      <c r="D270">
        <v>236.42411000000001</v>
      </c>
      <c r="E270">
        <v>413.32528100000002</v>
      </c>
      <c r="F270">
        <v>163.15134399999999</v>
      </c>
      <c r="H270" s="6"/>
      <c r="K270" s="6"/>
    </row>
    <row r="271" spans="1:11" x14ac:dyDescent="0.3">
      <c r="A271" t="str">
        <v>10/31/2003</v>
      </c>
      <c r="B271">
        <v>962.70707400000003</v>
      </c>
      <c r="C271">
        <v>1148.8906010000001</v>
      </c>
      <c r="D271">
        <v>233.23615000000001</v>
      </c>
      <c r="E271">
        <v>409.11463199999997</v>
      </c>
      <c r="F271">
        <v>159.92475899999999</v>
      </c>
      <c r="H271" s="6"/>
      <c r="K271" s="6"/>
    </row>
    <row r="272" spans="1:11" x14ac:dyDescent="0.3">
      <c r="A272" t="str">
        <v>09/30/2003</v>
      </c>
      <c r="B272">
        <v>909.64133000000004</v>
      </c>
      <c r="C272">
        <v>1081.8447960000001</v>
      </c>
      <c r="D272">
        <v>220.151284</v>
      </c>
      <c r="E272">
        <v>377.63390500000003</v>
      </c>
      <c r="F272">
        <v>150.305038</v>
      </c>
      <c r="H272" s="6"/>
      <c r="K272" s="6"/>
    </row>
    <row r="273" spans="1:11" x14ac:dyDescent="0.3">
      <c r="A273" t="str">
        <v>08/29/2003</v>
      </c>
      <c r="B273">
        <v>905.323801</v>
      </c>
      <c r="C273">
        <v>1052.0103590000001</v>
      </c>
      <c r="D273">
        <v>219.09810200000001</v>
      </c>
      <c r="E273">
        <v>375.51842499999998</v>
      </c>
      <c r="F273">
        <v>146.47288399999999</v>
      </c>
      <c r="H273" s="6"/>
      <c r="K273" s="6"/>
    </row>
    <row r="274" spans="1:11" x14ac:dyDescent="0.3">
      <c r="A274" t="str">
        <v>07/31/2003</v>
      </c>
      <c r="B274">
        <v>887.780441</v>
      </c>
      <c r="C274">
        <v>1028.06194</v>
      </c>
      <c r="D274">
        <v>214.45512400000001</v>
      </c>
      <c r="E274">
        <v>352.62414899999999</v>
      </c>
      <c r="F274">
        <v>142.599752</v>
      </c>
      <c r="H274" s="6"/>
      <c r="K274" s="6"/>
    </row>
    <row r="275" spans="1:11" x14ac:dyDescent="0.3">
      <c r="A275" t="str">
        <v>06/30/2003</v>
      </c>
      <c r="B275">
        <v>871.06570799999997</v>
      </c>
      <c r="C275">
        <v>1006.031259</v>
      </c>
      <c r="D275">
        <v>210.07926</v>
      </c>
      <c r="E275">
        <v>332.68415499999998</v>
      </c>
      <c r="F275">
        <v>139.07914600000001</v>
      </c>
      <c r="H275" s="6"/>
      <c r="K275" s="6"/>
    </row>
    <row r="276" spans="1:11" x14ac:dyDescent="0.3">
      <c r="A276" t="str">
        <v>05/30/2003</v>
      </c>
      <c r="B276">
        <v>857.64903300000003</v>
      </c>
      <c r="C276">
        <v>984.339157</v>
      </c>
      <c r="D276">
        <v>206.535303</v>
      </c>
      <c r="E276">
        <v>315.43559299999998</v>
      </c>
      <c r="F276">
        <v>135.702282</v>
      </c>
      <c r="H276" s="6"/>
      <c r="K276" s="6"/>
    </row>
    <row r="277" spans="1:11" x14ac:dyDescent="0.3">
      <c r="A277" t="str">
        <v>04/30/2003</v>
      </c>
      <c r="B277">
        <v>813.30245200000002</v>
      </c>
      <c r="C277">
        <v>930.24677999999994</v>
      </c>
      <c r="D277">
        <v>195.75280100000001</v>
      </c>
      <c r="E277">
        <v>295.16590300000001</v>
      </c>
      <c r="F277">
        <v>128.13363200000001</v>
      </c>
      <c r="H277" s="6"/>
      <c r="K277" s="6"/>
    </row>
    <row r="278" spans="1:11" x14ac:dyDescent="0.3">
      <c r="A278" t="str">
        <v>03/31/2003</v>
      </c>
      <c r="B278">
        <v>748.62800000000004</v>
      </c>
      <c r="C278">
        <v>851.89200000000005</v>
      </c>
      <c r="D278">
        <v>180.20099999999999</v>
      </c>
      <c r="E278">
        <v>272.267</v>
      </c>
      <c r="F278">
        <v>117.41500000000001</v>
      </c>
      <c r="H278" s="6"/>
      <c r="K278" s="6"/>
    </row>
    <row r="279" spans="1:11" x14ac:dyDescent="0.3">
      <c r="A279" t="str">
        <v>02/28/2003</v>
      </c>
      <c r="B279">
        <v>752.86400000000003</v>
      </c>
      <c r="C279">
        <v>872.29300000000001</v>
      </c>
      <c r="D279">
        <v>181.416</v>
      </c>
      <c r="E279">
        <v>281.28800000000001</v>
      </c>
      <c r="F279">
        <v>120.321</v>
      </c>
      <c r="H279" s="6"/>
      <c r="K279" s="6"/>
    </row>
    <row r="280" spans="1:11" x14ac:dyDescent="0.3">
      <c r="A280" t="str">
        <v>01/31/2003</v>
      </c>
      <c r="B280">
        <v>767.47799999999995</v>
      </c>
      <c r="C280">
        <v>891.43899999999996</v>
      </c>
      <c r="D280">
        <v>185.03299999999999</v>
      </c>
      <c r="E280">
        <v>290.43799999999999</v>
      </c>
      <c r="F280">
        <v>123.075</v>
      </c>
      <c r="H280" s="6"/>
      <c r="K280" s="6"/>
    </row>
    <row r="281" spans="1:11" x14ac:dyDescent="0.3">
      <c r="A281" t="str">
        <v>12/31/2002</v>
      </c>
      <c r="B281">
        <v>792.21500000000003</v>
      </c>
      <c r="C281">
        <v>927.27800000000002</v>
      </c>
      <c r="D281">
        <v>190.797</v>
      </c>
      <c r="E281">
        <v>292.08999999999997</v>
      </c>
      <c r="F281">
        <v>127.64400000000001</v>
      </c>
      <c r="H281" s="6"/>
      <c r="K281" s="6"/>
    </row>
    <row r="282" spans="1:11" x14ac:dyDescent="0.3">
      <c r="A282" t="str">
        <v>11/29/2002</v>
      </c>
      <c r="B282">
        <v>833.471</v>
      </c>
      <c r="C282">
        <v>958.85900000000004</v>
      </c>
      <c r="D282">
        <v>200.60400000000001</v>
      </c>
      <c r="E282">
        <v>302.358</v>
      </c>
      <c r="F282">
        <v>132.00299999999999</v>
      </c>
      <c r="H282" s="6"/>
      <c r="K282" s="6"/>
    </row>
    <row r="283" spans="1:11" x14ac:dyDescent="0.3">
      <c r="A283" t="str">
        <v>10/31/2002</v>
      </c>
      <c r="B283">
        <v>791.88300000000004</v>
      </c>
      <c r="C283">
        <v>917.69100000000003</v>
      </c>
      <c r="D283">
        <v>190.489</v>
      </c>
      <c r="E283">
        <v>283.161</v>
      </c>
      <c r="F283">
        <v>126.10299999999999</v>
      </c>
      <c r="H283" s="6"/>
      <c r="K283" s="6"/>
    </row>
    <row r="284" spans="1:11" x14ac:dyDescent="0.3">
      <c r="A284" t="str">
        <v>09/30/2002</v>
      </c>
      <c r="B284">
        <v>738.17899999999997</v>
      </c>
      <c r="C284">
        <v>872.49300000000005</v>
      </c>
      <c r="D284">
        <v>177.625</v>
      </c>
      <c r="E284">
        <v>266.10599999999999</v>
      </c>
      <c r="F284">
        <v>119.77500000000001</v>
      </c>
      <c r="H284" s="6"/>
      <c r="K284" s="6"/>
    </row>
    <row r="285" spans="1:11" x14ac:dyDescent="0.3">
      <c r="A285" t="str">
        <v>08/30/2002</v>
      </c>
      <c r="B285">
        <v>830.58199999999999</v>
      </c>
      <c r="C285">
        <v>977.54600000000005</v>
      </c>
      <c r="D285">
        <v>199.846</v>
      </c>
      <c r="E285">
        <v>298.88600000000002</v>
      </c>
      <c r="F285">
        <v>134.22399999999999</v>
      </c>
      <c r="H285" s="6"/>
      <c r="K285" s="6"/>
    </row>
    <row r="286" spans="1:11" x14ac:dyDescent="0.3">
      <c r="A286" t="str">
        <v>07/31/2002</v>
      </c>
      <c r="B286">
        <v>830.54899999999998</v>
      </c>
      <c r="C286">
        <v>981.42100000000005</v>
      </c>
      <c r="D286">
        <v>199.72900000000001</v>
      </c>
      <c r="E286">
        <v>294.62299999999999</v>
      </c>
      <c r="F286">
        <v>134.55199999999999</v>
      </c>
      <c r="H286" s="6"/>
      <c r="K286" s="6"/>
    </row>
    <row r="287" spans="1:11" x14ac:dyDescent="0.3">
      <c r="A287" t="str">
        <v>06/28/2002</v>
      </c>
      <c r="B287">
        <v>907.81</v>
      </c>
      <c r="C287">
        <v>1090.626</v>
      </c>
      <c r="D287">
        <v>218.25200000000001</v>
      </c>
      <c r="E287">
        <v>319.75200000000001</v>
      </c>
      <c r="F287">
        <v>149.23699999999999</v>
      </c>
      <c r="H287" s="6"/>
      <c r="K287" s="6"/>
    </row>
    <row r="288" spans="1:11" x14ac:dyDescent="0.3">
      <c r="A288" t="str">
        <v>05/31/2002</v>
      </c>
      <c r="B288">
        <v>967.84699999999998</v>
      </c>
      <c r="C288">
        <v>1138.761</v>
      </c>
      <c r="D288">
        <v>232.82400000000001</v>
      </c>
      <c r="E288">
        <v>346.28</v>
      </c>
      <c r="F288">
        <v>156.28800000000001</v>
      </c>
      <c r="H288" s="6"/>
      <c r="K288" s="6"/>
    </row>
    <row r="289" spans="1:11" x14ac:dyDescent="0.3">
      <c r="A289" t="str">
        <v>04/30/2002</v>
      </c>
      <c r="B289">
        <v>968.25</v>
      </c>
      <c r="C289">
        <v>1127.691</v>
      </c>
      <c r="D289">
        <v>233.131</v>
      </c>
      <c r="E289">
        <v>352.83800000000002</v>
      </c>
      <c r="F289">
        <v>155.21899999999999</v>
      </c>
      <c r="H289" s="6"/>
      <c r="K289" s="6"/>
    </row>
    <row r="290" spans="1:11" x14ac:dyDescent="0.3">
      <c r="A290" t="str">
        <v>03/28/2002</v>
      </c>
      <c r="B290">
        <v>1005.522</v>
      </c>
      <c r="C290">
        <v>1128.3309999999999</v>
      </c>
      <c r="D290">
        <v>241.613</v>
      </c>
      <c r="E290">
        <v>351.46100000000001</v>
      </c>
      <c r="F290">
        <v>155.23599999999999</v>
      </c>
      <c r="H290" s="6"/>
      <c r="K290" s="6"/>
    </row>
    <row r="291" spans="1:11" x14ac:dyDescent="0.3">
      <c r="A291" t="str">
        <v>02/28/2002</v>
      </c>
      <c r="B291">
        <v>962.73199999999997</v>
      </c>
      <c r="C291">
        <v>1069.6500000000001</v>
      </c>
      <c r="D291">
        <v>231.208</v>
      </c>
      <c r="E291">
        <v>332.76499999999999</v>
      </c>
      <c r="F291">
        <v>147.143</v>
      </c>
      <c r="H291" s="6"/>
      <c r="K291" s="6"/>
    </row>
    <row r="292" spans="1:11" x14ac:dyDescent="0.3">
      <c r="A292" t="str">
        <v>01/31/2002</v>
      </c>
      <c r="B292">
        <v>972.41800000000001</v>
      </c>
      <c r="C292">
        <v>1064.4960000000001</v>
      </c>
      <c r="D292">
        <v>233.25800000000001</v>
      </c>
      <c r="E292">
        <v>327.74599999999998</v>
      </c>
      <c r="F292">
        <v>146.279</v>
      </c>
      <c r="H292" s="6"/>
      <c r="K292" s="6"/>
    </row>
    <row r="293" spans="1:11" x14ac:dyDescent="0.3">
      <c r="A293" t="str">
        <v>12/31/2001</v>
      </c>
      <c r="B293">
        <v>1003.516</v>
      </c>
      <c r="C293">
        <v>1122.0509999999999</v>
      </c>
      <c r="D293">
        <v>240.03299999999999</v>
      </c>
      <c r="E293">
        <v>317.39999999999998</v>
      </c>
      <c r="F293">
        <v>152.91800000000001</v>
      </c>
      <c r="H293" s="6"/>
      <c r="K293" s="6"/>
    </row>
    <row r="294" spans="1:11" x14ac:dyDescent="0.3">
      <c r="A294" t="str">
        <v>11/30/2001</v>
      </c>
      <c r="B294">
        <v>997.928</v>
      </c>
      <c r="C294">
        <v>1115.1790000000001</v>
      </c>
      <c r="D294">
        <v>238</v>
      </c>
      <c r="E294">
        <v>294.42599999999999</v>
      </c>
      <c r="F294">
        <v>151.03</v>
      </c>
      <c r="H294" s="6"/>
      <c r="K294" s="6"/>
    </row>
    <row r="295" spans="1:11" x14ac:dyDescent="0.3">
      <c r="A295" t="str">
        <v>10/31/2001</v>
      </c>
      <c r="B295">
        <v>943.2</v>
      </c>
      <c r="C295">
        <v>1073.807</v>
      </c>
      <c r="D295">
        <v>224.482</v>
      </c>
      <c r="E295">
        <v>266.86099999999999</v>
      </c>
      <c r="F295">
        <v>144.547</v>
      </c>
      <c r="H295" s="6"/>
      <c r="K295" s="6"/>
    </row>
    <row r="296" spans="1:11" x14ac:dyDescent="0.3">
      <c r="A296" t="str">
        <v>09/28/2001</v>
      </c>
      <c r="B296">
        <v>926.02300000000002</v>
      </c>
      <c r="C296">
        <v>1048.444</v>
      </c>
      <c r="D296">
        <v>219.96100000000001</v>
      </c>
      <c r="E296">
        <v>251.39500000000001</v>
      </c>
      <c r="F296">
        <v>140.648</v>
      </c>
      <c r="H296" s="6"/>
      <c r="K296" s="6"/>
    </row>
    <row r="297" spans="1:11" x14ac:dyDescent="0.3">
      <c r="A297" t="str">
        <v>08/31/2001</v>
      </c>
      <c r="B297">
        <v>1016.732</v>
      </c>
      <c r="C297">
        <v>1167.798</v>
      </c>
      <c r="D297">
        <v>242.41399999999999</v>
      </c>
      <c r="E297">
        <v>298.16899999999998</v>
      </c>
      <c r="F297">
        <v>157.61799999999999</v>
      </c>
      <c r="H297" s="6"/>
      <c r="K297" s="6"/>
    </row>
    <row r="298" spans="1:11" x14ac:dyDescent="0.3">
      <c r="A298" t="str">
        <v>07/31/2001</v>
      </c>
      <c r="B298">
        <v>1069.6690000000001</v>
      </c>
      <c r="C298">
        <v>1201.9449999999999</v>
      </c>
      <c r="D298">
        <v>254.542</v>
      </c>
      <c r="E298">
        <v>301.666</v>
      </c>
      <c r="F298">
        <v>161.94999999999999</v>
      </c>
      <c r="H298" s="6"/>
      <c r="K298" s="6"/>
    </row>
    <row r="299" spans="1:11" x14ac:dyDescent="0.3">
      <c r="A299" t="str">
        <v>06/29/2001</v>
      </c>
      <c r="B299">
        <v>1084.788</v>
      </c>
      <c r="C299">
        <v>1223.9639999999999</v>
      </c>
      <c r="D299">
        <v>258.84399999999999</v>
      </c>
      <c r="E299">
        <v>322.88799999999998</v>
      </c>
      <c r="F299">
        <v>165.75899999999999</v>
      </c>
      <c r="H299" s="6"/>
      <c r="K299" s="6"/>
    </row>
    <row r="300" spans="1:11" x14ac:dyDescent="0.3">
      <c r="A300" t="str">
        <v>05/31/2001</v>
      </c>
      <c r="B300">
        <v>1121.088</v>
      </c>
      <c r="C300">
        <v>1277.8800000000001</v>
      </c>
      <c r="D300">
        <v>267.37400000000002</v>
      </c>
      <c r="E300">
        <v>330.54500000000002</v>
      </c>
      <c r="F300">
        <v>172.70699999999999</v>
      </c>
      <c r="H300" s="6"/>
      <c r="K300" s="6"/>
    </row>
    <row r="301" spans="1:11" x14ac:dyDescent="0.3">
      <c r="A301" t="str">
        <v>04/30/2001</v>
      </c>
      <c r="B301">
        <v>1138.087</v>
      </c>
      <c r="C301">
        <v>1325.2049999999999</v>
      </c>
      <c r="D301">
        <v>271.089</v>
      </c>
      <c r="E301">
        <v>327.709</v>
      </c>
      <c r="F301">
        <v>178.261</v>
      </c>
      <c r="H301" s="6"/>
      <c r="K301" s="6"/>
    </row>
    <row r="302" spans="1:11" x14ac:dyDescent="0.3">
      <c r="A302" t="str">
        <v>03/30/2001</v>
      </c>
      <c r="B302">
        <v>1061.2619999999999</v>
      </c>
      <c r="C302">
        <v>1241.3340000000001</v>
      </c>
      <c r="D302">
        <v>253.11699999999999</v>
      </c>
      <c r="E302">
        <v>313.13799999999998</v>
      </c>
      <c r="F302">
        <v>167.32499999999999</v>
      </c>
      <c r="H302" s="6"/>
      <c r="K302" s="6"/>
    </row>
    <row r="303" spans="1:11" x14ac:dyDescent="0.3">
      <c r="A303" t="str">
        <v>02/28/2001</v>
      </c>
      <c r="B303">
        <v>1137.8789999999999</v>
      </c>
      <c r="C303">
        <v>1335.0229999999999</v>
      </c>
      <c r="D303">
        <v>271.96800000000002</v>
      </c>
      <c r="E303">
        <v>349.024</v>
      </c>
      <c r="F303">
        <v>180.63900000000001</v>
      </c>
      <c r="H303" s="6"/>
      <c r="K303" s="6"/>
    </row>
    <row r="304" spans="1:11" x14ac:dyDescent="0.3">
      <c r="A304" t="str">
        <v>01/31/2001</v>
      </c>
      <c r="B304">
        <v>1244.222</v>
      </c>
      <c r="C304">
        <v>1451.202</v>
      </c>
      <c r="D304">
        <v>297.27100000000002</v>
      </c>
      <c r="E304">
        <v>379.02199999999999</v>
      </c>
      <c r="F304">
        <v>196.33799999999999</v>
      </c>
      <c r="H304" s="6"/>
      <c r="K304" s="6"/>
    </row>
    <row r="305" spans="1:11" x14ac:dyDescent="0.3">
      <c r="A305" t="str">
        <v>12/29/2000</v>
      </c>
      <c r="B305">
        <v>1221.2529999999999</v>
      </c>
      <c r="C305">
        <v>1448.8879999999999</v>
      </c>
      <c r="D305">
        <v>290.113</v>
      </c>
      <c r="E305">
        <v>333.79300000000001</v>
      </c>
      <c r="F305">
        <v>193.52500000000001</v>
      </c>
      <c r="H305" s="6"/>
      <c r="K305" s="6"/>
    </row>
    <row r="306" spans="1:11" x14ac:dyDescent="0.3">
      <c r="A306" t="str">
        <v>11/30/2000</v>
      </c>
      <c r="B306">
        <v>1203.0540000000001</v>
      </c>
      <c r="C306">
        <v>1401.3889999999999</v>
      </c>
      <c r="D306">
        <v>285.68200000000002</v>
      </c>
      <c r="E306">
        <v>326.35599999999999</v>
      </c>
      <c r="F306">
        <v>187.376</v>
      </c>
      <c r="H306" s="6"/>
      <c r="K306" s="6"/>
    </row>
    <row r="307" spans="1:11" x14ac:dyDescent="0.3">
      <c r="A307" t="str">
        <v>10/31/2000</v>
      </c>
      <c r="B307">
        <v>1282.1379999999999</v>
      </c>
      <c r="C307">
        <v>1461.7919999999999</v>
      </c>
      <c r="D307">
        <v>304.89499999999998</v>
      </c>
      <c r="E307">
        <v>357.84699999999998</v>
      </c>
      <c r="F307">
        <v>196.417</v>
      </c>
      <c r="H307" s="6"/>
      <c r="K307" s="6"/>
    </row>
    <row r="308" spans="1:11" x14ac:dyDescent="0.3">
      <c r="A308" t="str">
        <v>09/29/2000</v>
      </c>
      <c r="B308">
        <v>1305.2449999999999</v>
      </c>
      <c r="C308">
        <v>1504.2940000000001</v>
      </c>
      <c r="D308">
        <v>311.30900000000003</v>
      </c>
      <c r="E308">
        <v>386.03100000000001</v>
      </c>
      <c r="F308">
        <v>203.09899999999999</v>
      </c>
      <c r="H308" s="6"/>
      <c r="K308" s="6"/>
    </row>
    <row r="309" spans="1:11" x14ac:dyDescent="0.3">
      <c r="A309" t="str">
        <v>08/31/2000</v>
      </c>
      <c r="B309">
        <v>1379.87</v>
      </c>
      <c r="C309">
        <v>1588.1110000000001</v>
      </c>
      <c r="D309">
        <v>329.76100000000002</v>
      </c>
      <c r="E309">
        <v>423.56</v>
      </c>
      <c r="F309">
        <v>215.292</v>
      </c>
      <c r="H309" s="6"/>
      <c r="K309" s="6"/>
    </row>
    <row r="310" spans="1:11" x14ac:dyDescent="0.3">
      <c r="A310" t="str">
        <v>07/31/2000</v>
      </c>
      <c r="B310">
        <v>1337.6469999999999</v>
      </c>
      <c r="C310">
        <v>1569.162</v>
      </c>
      <c r="D310">
        <v>320.16000000000003</v>
      </c>
      <c r="E310">
        <v>422.08199999999999</v>
      </c>
      <c r="F310">
        <v>212.91499999999999</v>
      </c>
      <c r="H310" s="6"/>
      <c r="K310" s="6"/>
    </row>
    <row r="311" spans="1:11" x14ac:dyDescent="0.3">
      <c r="A311" t="str">
        <v>06/30/2000</v>
      </c>
      <c r="B311">
        <v>1377.722</v>
      </c>
      <c r="C311">
        <v>1633.145</v>
      </c>
      <c r="D311">
        <v>330.209</v>
      </c>
      <c r="E311">
        <v>445.51799999999997</v>
      </c>
      <c r="F311">
        <v>221.93</v>
      </c>
      <c r="H311" s="6"/>
      <c r="K311" s="6"/>
    </row>
    <row r="312" spans="1:11" x14ac:dyDescent="0.3">
      <c r="A312" t="str">
        <v>05/31/2000</v>
      </c>
      <c r="B312">
        <v>1334.136</v>
      </c>
      <c r="C312">
        <v>1567.088</v>
      </c>
      <c r="D312">
        <v>319.77600000000001</v>
      </c>
      <c r="E312">
        <v>431.70299999999997</v>
      </c>
      <c r="F312">
        <v>213.179</v>
      </c>
      <c r="H312" s="6"/>
      <c r="K312" s="6"/>
    </row>
    <row r="313" spans="1:11" x14ac:dyDescent="0.3">
      <c r="A313" t="str">
        <v>04/28/2000</v>
      </c>
      <c r="B313">
        <v>1370.1079999999999</v>
      </c>
      <c r="C313">
        <v>1607.6010000000001</v>
      </c>
      <c r="D313">
        <v>328.68400000000003</v>
      </c>
      <c r="E313">
        <v>451.35899999999998</v>
      </c>
      <c r="F313">
        <v>219.07400000000001</v>
      </c>
      <c r="H313" s="6"/>
      <c r="K313" s="6"/>
    </row>
    <row r="314" spans="1:11" x14ac:dyDescent="0.3">
      <c r="A314" t="str">
        <v>03/31/2000</v>
      </c>
      <c r="B314">
        <v>1431.9380000000001</v>
      </c>
      <c r="C314">
        <v>1697.192</v>
      </c>
      <c r="D314">
        <v>344.49799999999999</v>
      </c>
      <c r="E314">
        <v>499.404</v>
      </c>
      <c r="F314">
        <v>232.31100000000001</v>
      </c>
      <c r="H314" s="6"/>
      <c r="K314" s="6"/>
    </row>
    <row r="315" spans="1:11" x14ac:dyDescent="0.3">
      <c r="A315" t="str">
        <v>02/29/2000</v>
      </c>
      <c r="B315">
        <v>1340.5830000000001</v>
      </c>
      <c r="C315">
        <v>1631.8119999999999</v>
      </c>
      <c r="D315">
        <v>323.59199999999998</v>
      </c>
      <c r="E315">
        <v>497.74099999999999</v>
      </c>
      <c r="F315">
        <v>224.15100000000001</v>
      </c>
      <c r="H315" s="6"/>
      <c r="K315" s="6"/>
    </row>
    <row r="316" spans="1:11" x14ac:dyDescent="0.3">
      <c r="A316" t="str">
        <v>01/31/2000</v>
      </c>
      <c r="B316">
        <v>1338.2460000000001</v>
      </c>
      <c r="C316">
        <v>1588.3230000000001</v>
      </c>
      <c r="D316">
        <v>322.834</v>
      </c>
      <c r="E316">
        <v>491.39299999999997</v>
      </c>
      <c r="F316">
        <v>218.488</v>
      </c>
      <c r="H316" s="6"/>
      <c r="K316" s="6"/>
    </row>
    <row r="317" spans="1:11" x14ac:dyDescent="0.3">
      <c r="B317" s="6"/>
      <c r="H317" s="6"/>
      <c r="K317" s="6"/>
    </row>
    <row r="318" spans="1:11" x14ac:dyDescent="0.3">
      <c r="B318" s="6"/>
      <c r="K318" s="6"/>
    </row>
    <row r="319" spans="1:11" x14ac:dyDescent="0.3">
      <c r="B319" s="6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6"/>
  <sheetViews>
    <sheetView workbookViewId="0">
      <selection activeCell="H6" sqref="H6"/>
    </sheetView>
  </sheetViews>
  <sheetFormatPr defaultRowHeight="16.5" x14ac:dyDescent="0.3"/>
  <cols>
    <col min="8" max="8" width="9" customWidth="1"/>
  </cols>
  <sheetData>
    <row r="1" spans="1:12" x14ac:dyDescent="0.3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322</v>
      </c>
    </row>
    <row r="2" spans="1:12" x14ac:dyDescent="0.3">
      <c r="A2" t="s">
        <v>2</v>
      </c>
      <c r="B2">
        <v>4387.326865</v>
      </c>
      <c r="C2">
        <v>3017.4544019999998</v>
      </c>
      <c r="D2">
        <v>1013.05454</v>
      </c>
      <c r="E2">
        <v>1495.4311479999999</v>
      </c>
      <c r="F2">
        <v>434.94113099999998</v>
      </c>
    </row>
    <row r="3" spans="1:12" x14ac:dyDescent="0.3">
      <c r="A3" t="s">
        <v>1</v>
      </c>
      <c r="B3">
        <v>4556.7895680000001</v>
      </c>
      <c r="C3">
        <v>3244.7559679999999</v>
      </c>
      <c r="D3">
        <v>1056.764821</v>
      </c>
      <c r="E3">
        <v>1610.7005039999999</v>
      </c>
      <c r="F3">
        <v>467.94547599999999</v>
      </c>
    </row>
    <row r="4" spans="1:12" x14ac:dyDescent="0.3">
      <c r="A4" t="s">
        <v>8</v>
      </c>
      <c r="B4">
        <v>4527.5890870000003</v>
      </c>
      <c r="C4">
        <v>3099.5763870000001</v>
      </c>
      <c r="D4">
        <v>1044.2570639999999</v>
      </c>
      <c r="E4">
        <v>1528.08557</v>
      </c>
      <c r="F4">
        <v>446.04245800000001</v>
      </c>
    </row>
    <row r="5" spans="1:12" x14ac:dyDescent="0.3">
      <c r="A5" t="s">
        <v>9</v>
      </c>
      <c r="B5">
        <v>4430.3813309999996</v>
      </c>
      <c r="C5">
        <v>2961.0805959999998</v>
      </c>
      <c r="D5">
        <v>1014.623331</v>
      </c>
      <c r="E5">
        <v>1404.3746960000001</v>
      </c>
      <c r="F5">
        <v>421.03953799999999</v>
      </c>
    </row>
    <row r="6" spans="1:12" x14ac:dyDescent="0.3">
      <c r="A6" t="s">
        <v>10</v>
      </c>
      <c r="B6">
        <v>4398.4356969999999</v>
      </c>
      <c r="C6">
        <v>2877.3387659999999</v>
      </c>
      <c r="D6">
        <v>1005.138919</v>
      </c>
      <c r="E6">
        <v>1366.924047</v>
      </c>
      <c r="F6">
        <v>409.33881200000002</v>
      </c>
    </row>
    <row r="7" spans="1:12" x14ac:dyDescent="0.3">
      <c r="A7" t="s">
        <v>11</v>
      </c>
      <c r="B7">
        <v>4390.4220809999997</v>
      </c>
      <c r="C7">
        <v>2851.936459</v>
      </c>
      <c r="D7">
        <v>1006.23243</v>
      </c>
      <c r="E7">
        <v>1401.546163</v>
      </c>
      <c r="F7">
        <v>409.97709900000001</v>
      </c>
    </row>
    <row r="8" spans="1:12" x14ac:dyDescent="0.3">
      <c r="A8" t="s">
        <v>12</v>
      </c>
      <c r="B8">
        <v>4306.7038350000003</v>
      </c>
      <c r="C8">
        <v>2823.832778</v>
      </c>
      <c r="D8">
        <v>984.78126899999995</v>
      </c>
      <c r="E8">
        <v>1346.045887</v>
      </c>
      <c r="F8">
        <v>402.14755700000001</v>
      </c>
      <c r="I8" s="4"/>
      <c r="J8" s="4"/>
      <c r="K8" s="4"/>
      <c r="L8" s="4"/>
    </row>
    <row r="9" spans="1:12" x14ac:dyDescent="0.3">
      <c r="A9" t="s">
        <v>13</v>
      </c>
      <c r="B9">
        <v>4177.7161219999998</v>
      </c>
      <c r="C9">
        <v>2772.2758260000001</v>
      </c>
      <c r="D9">
        <v>951.56781999999998</v>
      </c>
      <c r="E9">
        <v>1258.4389189999999</v>
      </c>
      <c r="F9">
        <v>389.07820900000002</v>
      </c>
      <c r="H9" s="4"/>
      <c r="I9" s="4"/>
      <c r="J9" s="4"/>
      <c r="K9" s="4"/>
      <c r="L9" s="4"/>
    </row>
    <row r="10" spans="1:12" x14ac:dyDescent="0.3">
      <c r="A10" t="s">
        <v>14</v>
      </c>
      <c r="B10">
        <v>4076.0380460000001</v>
      </c>
      <c r="C10">
        <v>2660.3540320000002</v>
      </c>
      <c r="D10">
        <v>929.620497</v>
      </c>
      <c r="E10">
        <v>1243.2277790000001</v>
      </c>
      <c r="F10">
        <v>376.59659900000003</v>
      </c>
      <c r="H10" s="4"/>
      <c r="I10" s="4"/>
      <c r="J10" s="4"/>
      <c r="K10" s="4"/>
      <c r="L10" s="4"/>
    </row>
    <row r="11" spans="1:12" x14ac:dyDescent="0.3">
      <c r="A11" t="s">
        <v>15</v>
      </c>
      <c r="B11">
        <v>4026.4434379999998</v>
      </c>
      <c r="C11">
        <v>2694.580821</v>
      </c>
      <c r="D11">
        <v>917.89302299999997</v>
      </c>
      <c r="E11">
        <v>1222.778785</v>
      </c>
      <c r="F11">
        <v>378.14507600000002</v>
      </c>
      <c r="H11" s="4"/>
      <c r="I11" s="4"/>
      <c r="J11" s="4"/>
      <c r="K11" s="4"/>
      <c r="L11" s="4"/>
    </row>
    <row r="12" spans="1:12" x14ac:dyDescent="0.3">
      <c r="A12" t="s">
        <v>16</v>
      </c>
      <c r="B12">
        <v>3863.4832230000002</v>
      </c>
      <c r="C12">
        <v>2635.9719879999998</v>
      </c>
      <c r="D12">
        <v>879.495992</v>
      </c>
      <c r="E12">
        <v>1157.3385479999999</v>
      </c>
      <c r="F12">
        <v>366.407286</v>
      </c>
      <c r="H12" s="4"/>
      <c r="I12" s="4"/>
      <c r="J12" s="4"/>
      <c r="K12" s="4"/>
      <c r="L12" s="4"/>
    </row>
    <row r="13" spans="1:12" x14ac:dyDescent="0.3">
      <c r="A13" t="s">
        <v>17</v>
      </c>
      <c r="B13">
        <v>3655.5238330000002</v>
      </c>
      <c r="C13">
        <v>2530.8370460000001</v>
      </c>
      <c r="D13">
        <v>833.53752799999995</v>
      </c>
      <c r="E13">
        <v>1112.841711</v>
      </c>
      <c r="F13">
        <v>351.94256899999999</v>
      </c>
      <c r="H13" s="4"/>
      <c r="I13" s="4"/>
      <c r="J13" s="4"/>
      <c r="K13" s="4"/>
      <c r="L13" s="4"/>
    </row>
    <row r="14" spans="1:12" x14ac:dyDescent="0.3">
      <c r="A14" t="s">
        <v>18</v>
      </c>
      <c r="B14">
        <v>3628.6422750000002</v>
      </c>
      <c r="C14">
        <v>2429.4296859999999</v>
      </c>
      <c r="D14">
        <v>827.15460299999995</v>
      </c>
      <c r="E14">
        <v>1101.3995010000001</v>
      </c>
      <c r="F14">
        <v>340.832605</v>
      </c>
      <c r="H14" s="4"/>
      <c r="I14" s="4"/>
      <c r="J14" s="4"/>
      <c r="K14" s="4"/>
      <c r="L14" s="4"/>
    </row>
    <row r="15" spans="1:12" x14ac:dyDescent="0.3">
      <c r="A15" t="s">
        <v>19</v>
      </c>
      <c r="B15">
        <v>3805.3258259999998</v>
      </c>
      <c r="C15">
        <v>2455.1392940000001</v>
      </c>
      <c r="D15">
        <v>862.94898599999999</v>
      </c>
      <c r="E15">
        <v>1097.253995</v>
      </c>
      <c r="F15">
        <v>343.01397800000001</v>
      </c>
      <c r="H15" s="4"/>
      <c r="I15" s="4"/>
      <c r="J15" s="4"/>
      <c r="K15" s="4"/>
      <c r="L15" s="4"/>
    </row>
    <row r="16" spans="1:12" x14ac:dyDescent="0.3">
      <c r="A16" t="s">
        <v>20</v>
      </c>
      <c r="B16">
        <v>3836.5834589999999</v>
      </c>
      <c r="C16">
        <v>2415.9237410000001</v>
      </c>
      <c r="D16">
        <v>869.03982099999996</v>
      </c>
      <c r="E16">
        <v>1093.3654610000001</v>
      </c>
      <c r="F16">
        <v>338.75906800000001</v>
      </c>
      <c r="H16" s="4"/>
      <c r="I16" s="4"/>
      <c r="J16" s="4"/>
      <c r="K16" s="4"/>
      <c r="L16" s="4"/>
    </row>
    <row r="17" spans="1:12" x14ac:dyDescent="0.3">
      <c r="A17" t="s">
        <v>21</v>
      </c>
      <c r="B17">
        <v>3707.8373860000002</v>
      </c>
      <c r="C17">
        <v>2302.710493</v>
      </c>
      <c r="D17">
        <v>841.33207200000004</v>
      </c>
      <c r="E17">
        <v>1075.4751200000001</v>
      </c>
      <c r="F17">
        <v>325.87875100000002</v>
      </c>
      <c r="H17" s="4"/>
      <c r="I17" s="4"/>
      <c r="J17" s="4"/>
      <c r="K17" s="4"/>
      <c r="L17" s="4"/>
    </row>
    <row r="18" spans="1:12" x14ac:dyDescent="0.3">
      <c r="A18" t="s">
        <v>22</v>
      </c>
      <c r="B18">
        <v>3810.1412690000002</v>
      </c>
      <c r="C18">
        <v>2368.0333430000001</v>
      </c>
      <c r="D18">
        <v>862.48888399999998</v>
      </c>
      <c r="E18">
        <v>1078.5695250000001</v>
      </c>
      <c r="F18">
        <v>332.66185200000001</v>
      </c>
      <c r="H18" s="4"/>
      <c r="I18" s="4"/>
      <c r="J18" s="4"/>
      <c r="K18" s="4"/>
      <c r="L18" s="4"/>
    </row>
    <row r="19" spans="1:12" x14ac:dyDescent="0.3">
      <c r="A19" t="s">
        <v>23</v>
      </c>
      <c r="B19">
        <v>3647.1373469999999</v>
      </c>
      <c r="C19">
        <v>2366.3256740000002</v>
      </c>
      <c r="D19">
        <v>832.30282299999999</v>
      </c>
      <c r="E19">
        <v>1119.5221959999999</v>
      </c>
      <c r="F19">
        <v>336.16176000000002</v>
      </c>
      <c r="H19" s="4"/>
      <c r="I19" s="4"/>
      <c r="J19" s="4"/>
      <c r="K19" s="4"/>
      <c r="L19" s="4"/>
    </row>
    <row r="20" spans="1:12" x14ac:dyDescent="0.3">
      <c r="A20" t="s">
        <v>24</v>
      </c>
      <c r="B20">
        <v>3723.0321049999998</v>
      </c>
      <c r="C20">
        <v>2495.3214050000001</v>
      </c>
      <c r="D20">
        <v>851.78313800000001</v>
      </c>
      <c r="E20">
        <v>1170.853143</v>
      </c>
      <c r="F20">
        <v>353.62161600000002</v>
      </c>
      <c r="H20" s="4"/>
      <c r="I20" s="4"/>
      <c r="J20" s="4"/>
      <c r="K20" s="4"/>
      <c r="L20" s="4"/>
    </row>
    <row r="21" spans="1:12" x14ac:dyDescent="0.3">
      <c r="A21" t="s">
        <v>25</v>
      </c>
      <c r="B21">
        <v>3661.2412220000001</v>
      </c>
      <c r="C21">
        <v>2475.2516049999999</v>
      </c>
      <c r="D21">
        <v>833.68183099999999</v>
      </c>
      <c r="E21">
        <v>1099.92266</v>
      </c>
      <c r="F21">
        <v>345.280036</v>
      </c>
      <c r="H21" s="4"/>
      <c r="I21" s="4"/>
      <c r="J21" s="4"/>
      <c r="K21" s="4"/>
      <c r="L21" s="4"/>
    </row>
    <row r="22" spans="1:12" x14ac:dyDescent="0.3">
      <c r="A22" t="s">
        <v>26</v>
      </c>
      <c r="B22">
        <v>3571.5746629999999</v>
      </c>
      <c r="C22">
        <v>2400.4661000000001</v>
      </c>
      <c r="D22">
        <v>814.15537200000006</v>
      </c>
      <c r="E22">
        <v>1084.7694839999999</v>
      </c>
      <c r="F22">
        <v>336.43902800000001</v>
      </c>
      <c r="H22" s="4"/>
      <c r="I22" s="4"/>
      <c r="J22" s="4"/>
      <c r="K22" s="4"/>
      <c r="L22" s="4"/>
    </row>
    <row r="23" spans="1:12" x14ac:dyDescent="0.3">
      <c r="A23" t="s">
        <v>27</v>
      </c>
      <c r="B23">
        <v>3511.7818010000001</v>
      </c>
      <c r="C23">
        <v>2328.8503930000002</v>
      </c>
      <c r="D23">
        <v>802.00985900000001</v>
      </c>
      <c r="E23">
        <v>1086.24999</v>
      </c>
      <c r="F23">
        <v>329.378559</v>
      </c>
      <c r="H23" s="4"/>
      <c r="I23" s="4"/>
      <c r="J23" s="4"/>
      <c r="K23" s="4"/>
      <c r="L23" s="4"/>
    </row>
    <row r="24" spans="1:12" x14ac:dyDescent="0.3">
      <c r="A24" t="s">
        <v>28</v>
      </c>
      <c r="B24">
        <v>3445.1724490000001</v>
      </c>
      <c r="C24">
        <v>2371.4639069999998</v>
      </c>
      <c r="D24">
        <v>785.536924</v>
      </c>
      <c r="E24">
        <v>1048.9622569999999</v>
      </c>
      <c r="F24">
        <v>330.38011299999999</v>
      </c>
      <c r="H24" s="4"/>
      <c r="I24" s="4"/>
      <c r="J24" s="4"/>
      <c r="K24" s="4"/>
      <c r="L24" s="4"/>
    </row>
    <row r="25" spans="1:12" x14ac:dyDescent="0.3">
      <c r="A25" t="s">
        <v>29</v>
      </c>
      <c r="B25">
        <v>3305.2959430000001</v>
      </c>
      <c r="C25">
        <v>2295.938134</v>
      </c>
      <c r="D25">
        <v>756.60888599999998</v>
      </c>
      <c r="E25">
        <v>1045.9478999999999</v>
      </c>
      <c r="F25">
        <v>322.50402800000001</v>
      </c>
      <c r="H25" s="4"/>
      <c r="I25" s="4"/>
      <c r="J25" s="4"/>
      <c r="K25" s="4"/>
      <c r="L25" s="4"/>
    </row>
    <row r="26" spans="1:12" x14ac:dyDescent="0.3">
      <c r="A26" t="s">
        <v>30</v>
      </c>
      <c r="B26">
        <v>3436.7805549999998</v>
      </c>
      <c r="C26">
        <v>2364.6555509999998</v>
      </c>
      <c r="D26">
        <v>783.17213400000003</v>
      </c>
      <c r="E26">
        <v>1040.393012</v>
      </c>
      <c r="F26">
        <v>328.94629200000003</v>
      </c>
      <c r="H26" s="4"/>
      <c r="I26" s="4"/>
      <c r="J26" s="4"/>
      <c r="K26" s="4"/>
      <c r="L26" s="4"/>
    </row>
    <row r="27" spans="1:12" x14ac:dyDescent="0.3">
      <c r="A27" t="s">
        <v>31</v>
      </c>
      <c r="B27">
        <v>3337.2044959999998</v>
      </c>
      <c r="C27">
        <v>2300.5588670000002</v>
      </c>
      <c r="D27">
        <v>761.28204600000004</v>
      </c>
      <c r="E27">
        <v>1020.939696</v>
      </c>
      <c r="F27">
        <v>320.791697</v>
      </c>
      <c r="H27" s="4"/>
      <c r="I27" s="4"/>
      <c r="J27" s="4"/>
      <c r="K27" s="4"/>
      <c r="L27" s="4"/>
    </row>
    <row r="28" spans="1:12" x14ac:dyDescent="0.3">
      <c r="A28" t="s">
        <v>32</v>
      </c>
      <c r="B28">
        <v>3205.3167939999998</v>
      </c>
      <c r="C28">
        <v>2265.2853490000002</v>
      </c>
      <c r="D28">
        <v>730.838256</v>
      </c>
      <c r="E28">
        <v>975.79865400000006</v>
      </c>
      <c r="F28">
        <v>313.31363900000002</v>
      </c>
      <c r="H28" s="4"/>
      <c r="I28" s="4"/>
      <c r="J28" s="4"/>
      <c r="K28" s="4"/>
      <c r="L28" s="4"/>
    </row>
    <row r="29" spans="1:12" x14ac:dyDescent="0.3">
      <c r="A29" t="s">
        <v>33</v>
      </c>
      <c r="B29">
        <v>3169.1796290000002</v>
      </c>
      <c r="C29">
        <v>2256.807538</v>
      </c>
      <c r="D29">
        <v>726.995723</v>
      </c>
      <c r="E29">
        <v>1023.740854</v>
      </c>
      <c r="F29">
        <v>316.61906199999999</v>
      </c>
      <c r="H29" s="4"/>
      <c r="I29" s="4"/>
      <c r="J29" s="4"/>
      <c r="K29" s="4"/>
      <c r="L29" s="4"/>
    </row>
    <row r="30" spans="1:12" x14ac:dyDescent="0.3">
      <c r="A30" t="s">
        <v>34</v>
      </c>
      <c r="B30">
        <v>3023.629602</v>
      </c>
      <c r="C30">
        <v>2141.7382510000002</v>
      </c>
      <c r="D30">
        <v>694.37987499999997</v>
      </c>
      <c r="E30">
        <v>987.099289</v>
      </c>
      <c r="F30">
        <v>301.82524100000001</v>
      </c>
      <c r="H30" s="4"/>
      <c r="I30" s="4"/>
      <c r="J30" s="4"/>
      <c r="K30" s="4"/>
      <c r="L30" s="4"/>
    </row>
    <row r="31" spans="1:12" x14ac:dyDescent="0.3">
      <c r="A31" t="s">
        <v>35</v>
      </c>
      <c r="B31">
        <v>2768.6212799999998</v>
      </c>
      <c r="C31">
        <v>1961.285429</v>
      </c>
      <c r="D31">
        <v>636.65458799999999</v>
      </c>
      <c r="E31">
        <v>915.19631800000002</v>
      </c>
      <c r="F31">
        <v>277.36458900000002</v>
      </c>
      <c r="H31" s="4"/>
      <c r="I31" s="4"/>
      <c r="J31" s="4"/>
      <c r="K31" s="4"/>
      <c r="L31" s="4"/>
    </row>
    <row r="32" spans="1:12" x14ac:dyDescent="0.3">
      <c r="A32" t="s">
        <v>36</v>
      </c>
      <c r="B32">
        <v>2853.2352150000002</v>
      </c>
      <c r="C32">
        <v>2049.0374069999998</v>
      </c>
      <c r="D32">
        <v>656.82013300000006</v>
      </c>
      <c r="E32">
        <v>952.78405399999997</v>
      </c>
      <c r="F32">
        <v>289.485185</v>
      </c>
      <c r="H32" s="4"/>
      <c r="I32" s="4"/>
      <c r="J32" s="4"/>
      <c r="K32" s="4"/>
      <c r="L32" s="4"/>
    </row>
    <row r="33" spans="1:12" x14ac:dyDescent="0.3">
      <c r="A33" t="s">
        <v>37</v>
      </c>
      <c r="B33">
        <v>2986.023244</v>
      </c>
      <c r="C33">
        <v>2126.5850169999999</v>
      </c>
      <c r="D33">
        <v>686.15039300000001</v>
      </c>
      <c r="E33">
        <v>980.32525599999997</v>
      </c>
      <c r="F33">
        <v>299.70814899999999</v>
      </c>
      <c r="H33" s="4"/>
      <c r="I33" s="4"/>
      <c r="J33" s="4"/>
      <c r="K33" s="4"/>
      <c r="L33" s="4"/>
    </row>
    <row r="34" spans="1:12" x14ac:dyDescent="0.3">
      <c r="A34" t="s">
        <v>38</v>
      </c>
      <c r="B34">
        <v>3064.2967229999999</v>
      </c>
      <c r="C34">
        <v>2218.204749</v>
      </c>
      <c r="D34">
        <v>707.10943099999997</v>
      </c>
      <c r="E34">
        <v>1046.911652</v>
      </c>
      <c r="F34">
        <v>314.69100700000001</v>
      </c>
      <c r="H34" s="4"/>
      <c r="I34" s="4"/>
      <c r="J34" s="4"/>
      <c r="K34" s="4"/>
      <c r="L34" s="4"/>
    </row>
    <row r="35" spans="1:12" x14ac:dyDescent="0.3">
      <c r="A35" t="s">
        <v>39</v>
      </c>
      <c r="B35">
        <v>2966.7239850000001</v>
      </c>
      <c r="C35">
        <v>2150.2906320000002</v>
      </c>
      <c r="D35">
        <v>682.84134200000005</v>
      </c>
      <c r="E35">
        <v>989.47508000000005</v>
      </c>
      <c r="F35">
        <v>302.89783199999999</v>
      </c>
      <c r="H35" s="4"/>
      <c r="I35" s="4"/>
      <c r="J35" s="4"/>
      <c r="K35" s="4"/>
      <c r="L35" s="4"/>
    </row>
    <row r="36" spans="1:12" x14ac:dyDescent="0.3">
      <c r="A36" t="s">
        <v>40</v>
      </c>
      <c r="B36">
        <v>2800.5570509999998</v>
      </c>
      <c r="C36">
        <v>2055.807315</v>
      </c>
      <c r="D36">
        <v>646.37466300000006</v>
      </c>
      <c r="E36">
        <v>958.52720399999998</v>
      </c>
      <c r="F36">
        <v>290.65395799999999</v>
      </c>
      <c r="H36" s="4"/>
      <c r="I36" s="4"/>
      <c r="J36" s="4"/>
      <c r="K36" s="4"/>
      <c r="L36" s="4"/>
    </row>
    <row r="37" spans="1:12" x14ac:dyDescent="0.3">
      <c r="A37" t="s">
        <v>41</v>
      </c>
      <c r="B37">
        <v>2835.9280220000001</v>
      </c>
      <c r="C37">
        <v>2160.609692</v>
      </c>
      <c r="D37">
        <v>654.99670400000002</v>
      </c>
      <c r="E37">
        <v>977.04626099999996</v>
      </c>
      <c r="F37">
        <v>302.93112200000002</v>
      </c>
      <c r="H37" s="4"/>
      <c r="I37" s="4"/>
      <c r="J37" s="4"/>
      <c r="K37" s="4"/>
      <c r="L37" s="4"/>
    </row>
    <row r="38" spans="1:12" x14ac:dyDescent="0.3">
      <c r="A38" t="s">
        <v>42</v>
      </c>
      <c r="B38">
        <v>2791.4382890000002</v>
      </c>
      <c r="C38">
        <v>2108.2562969999999</v>
      </c>
      <c r="D38">
        <v>646.76207599999998</v>
      </c>
      <c r="E38">
        <v>990.284402</v>
      </c>
      <c r="F38">
        <v>298.67913299999998</v>
      </c>
      <c r="H38" s="4"/>
      <c r="I38" s="4"/>
      <c r="J38" s="4"/>
      <c r="K38" s="4"/>
      <c r="L38" s="4"/>
    </row>
    <row r="39" spans="1:12" x14ac:dyDescent="0.3">
      <c r="A39" t="s">
        <v>43</v>
      </c>
      <c r="B39">
        <v>2714.5711019999999</v>
      </c>
      <c r="C39">
        <v>2073.6082369999999</v>
      </c>
      <c r="D39">
        <v>629.02288699999997</v>
      </c>
      <c r="E39">
        <v>964.00557200000003</v>
      </c>
      <c r="F39">
        <v>292.93310700000001</v>
      </c>
      <c r="H39" s="4"/>
      <c r="I39" s="4"/>
      <c r="J39" s="4"/>
      <c r="K39" s="4"/>
      <c r="L39" s="4"/>
    </row>
    <row r="40" spans="1:12" x14ac:dyDescent="0.3">
      <c r="A40" t="s">
        <v>44</v>
      </c>
      <c r="B40">
        <v>2784.9952790000002</v>
      </c>
      <c r="C40">
        <v>2126.172509</v>
      </c>
      <c r="D40">
        <v>648.36528799999996</v>
      </c>
      <c r="E40">
        <v>1031.497108</v>
      </c>
      <c r="F40">
        <v>303.95252299999999</v>
      </c>
      <c r="H40" s="4"/>
      <c r="I40" s="4"/>
      <c r="J40" s="4"/>
      <c r="K40" s="4"/>
      <c r="L40" s="4"/>
    </row>
    <row r="41" spans="1:12" x14ac:dyDescent="0.3">
      <c r="A41" t="s">
        <v>45</v>
      </c>
      <c r="B41">
        <v>2602.6850220000001</v>
      </c>
      <c r="C41">
        <v>1966.3358029999999</v>
      </c>
      <c r="D41">
        <v>605.38233200000002</v>
      </c>
      <c r="E41">
        <v>956.37760300000002</v>
      </c>
      <c r="F41">
        <v>281.30514699999998</v>
      </c>
      <c r="H41" s="4"/>
      <c r="I41" s="4"/>
      <c r="J41" s="4"/>
      <c r="K41" s="4"/>
      <c r="L41" s="4"/>
    </row>
    <row r="42" spans="1:12" x14ac:dyDescent="0.3">
      <c r="A42" t="s">
        <v>46</v>
      </c>
      <c r="B42">
        <v>2720.8886739999998</v>
      </c>
      <c r="C42">
        <v>1977.9397630000001</v>
      </c>
      <c r="D42">
        <v>630.91839000000004</v>
      </c>
      <c r="E42">
        <v>972.28533700000003</v>
      </c>
      <c r="F42">
        <v>283.82130000000001</v>
      </c>
      <c r="H42" s="4"/>
      <c r="I42" s="4"/>
      <c r="J42" s="4"/>
      <c r="K42" s="4"/>
      <c r="L42" s="4"/>
    </row>
    <row r="43" spans="1:12" x14ac:dyDescent="0.3">
      <c r="A43" t="s">
        <v>47</v>
      </c>
      <c r="B43">
        <v>2547.715764</v>
      </c>
      <c r="C43">
        <v>1790.4477569999999</v>
      </c>
      <c r="D43">
        <v>586.37446</v>
      </c>
      <c r="E43">
        <v>848.16283399999998</v>
      </c>
      <c r="F43">
        <v>254.27256499999999</v>
      </c>
      <c r="H43" s="4"/>
      <c r="I43" s="4"/>
      <c r="J43" s="4"/>
      <c r="K43" s="4"/>
      <c r="L43" s="4"/>
    </row>
    <row r="44" spans="1:12" x14ac:dyDescent="0.3">
      <c r="A44" t="s">
        <v>48</v>
      </c>
      <c r="B44">
        <v>2378.6452840000002</v>
      </c>
      <c r="C44">
        <v>1698.0225089999999</v>
      </c>
      <c r="D44">
        <v>553.37127899999996</v>
      </c>
      <c r="E44">
        <v>875.78565000000003</v>
      </c>
      <c r="F44">
        <v>247.046851</v>
      </c>
      <c r="H44" s="4"/>
      <c r="I44" s="4"/>
      <c r="J44" s="4"/>
      <c r="K44" s="4"/>
      <c r="L44" s="4"/>
    </row>
    <row r="45" spans="1:12" x14ac:dyDescent="0.3">
      <c r="A45" t="s">
        <v>49</v>
      </c>
      <c r="B45">
        <v>2627.3209529999999</v>
      </c>
      <c r="C45">
        <v>1878.578274</v>
      </c>
      <c r="D45">
        <v>613.10671600000001</v>
      </c>
      <c r="E45">
        <v>994.11438799999996</v>
      </c>
      <c r="F45">
        <v>275.39861200000001</v>
      </c>
      <c r="H45" s="4"/>
      <c r="I45" s="4"/>
      <c r="J45" s="4"/>
      <c r="K45" s="4"/>
      <c r="L45" s="4"/>
    </row>
    <row r="46" spans="1:12" x14ac:dyDescent="0.3">
      <c r="A46" t="s">
        <v>50</v>
      </c>
      <c r="B46">
        <v>2746.3645660000002</v>
      </c>
      <c r="C46">
        <v>1975.688116</v>
      </c>
      <c r="D46">
        <v>637.71712100000002</v>
      </c>
      <c r="E46">
        <v>993.78156300000001</v>
      </c>
      <c r="F46">
        <v>285.38343500000002</v>
      </c>
      <c r="H46" s="4"/>
      <c r="I46" s="4"/>
      <c r="J46" s="4"/>
      <c r="K46" s="4"/>
      <c r="L46" s="4"/>
    </row>
    <row r="47" spans="1:12" x14ac:dyDescent="0.3">
      <c r="A47" t="s">
        <v>51</v>
      </c>
      <c r="B47">
        <v>2546.1853270000001</v>
      </c>
      <c r="C47">
        <v>1883.42902</v>
      </c>
      <c r="D47">
        <v>596.77393300000006</v>
      </c>
      <c r="E47">
        <v>1000.668125</v>
      </c>
      <c r="F47">
        <v>276.43572799999998</v>
      </c>
      <c r="H47" s="4"/>
      <c r="I47" s="4"/>
      <c r="J47" s="4"/>
      <c r="K47" s="4"/>
      <c r="L47" s="4"/>
    </row>
    <row r="48" spans="1:12" x14ac:dyDescent="0.3">
      <c r="A48" t="s">
        <v>52</v>
      </c>
      <c r="B48">
        <v>2791.0127120000002</v>
      </c>
      <c r="C48">
        <v>2082.1054410000002</v>
      </c>
      <c r="D48">
        <v>652.81421699999999</v>
      </c>
      <c r="E48">
        <v>1077.6658849999999</v>
      </c>
      <c r="F48">
        <v>303.25054499999999</v>
      </c>
      <c r="H48" s="4"/>
      <c r="I48" s="4"/>
      <c r="J48" s="4"/>
      <c r="K48" s="4"/>
      <c r="L48" s="4"/>
    </row>
    <row r="49" spans="1:12" x14ac:dyDescent="0.3">
      <c r="A49" t="s">
        <v>53</v>
      </c>
      <c r="B49">
        <v>2795.6153060000001</v>
      </c>
      <c r="C49">
        <v>2075.2832100000001</v>
      </c>
      <c r="D49">
        <v>653.66704100000004</v>
      </c>
      <c r="E49">
        <v>1076.1899780000001</v>
      </c>
      <c r="F49">
        <v>302.42338799999999</v>
      </c>
      <c r="H49" s="4"/>
      <c r="I49" s="4"/>
      <c r="J49" s="4"/>
      <c r="K49" s="4"/>
      <c r="L49" s="4"/>
    </row>
    <row r="50" spans="1:12" x14ac:dyDescent="0.3">
      <c r="A50" t="s">
        <v>54</v>
      </c>
      <c r="B50">
        <v>3053.07008</v>
      </c>
      <c r="C50">
        <v>2228.1376169999999</v>
      </c>
      <c r="D50">
        <v>711.55771800000002</v>
      </c>
      <c r="E50">
        <v>1141.787235</v>
      </c>
      <c r="F50">
        <v>323.59080799999998</v>
      </c>
      <c r="H50" s="4"/>
      <c r="I50" s="4"/>
      <c r="J50" s="4"/>
      <c r="K50" s="4"/>
      <c r="L50" s="4"/>
    </row>
    <row r="51" spans="1:12" x14ac:dyDescent="0.3">
      <c r="A51" t="s">
        <v>55</v>
      </c>
      <c r="B51">
        <v>2977.9539850000001</v>
      </c>
      <c r="C51">
        <v>2213.4242429999999</v>
      </c>
      <c r="D51">
        <v>698.02019499999994</v>
      </c>
      <c r="E51">
        <v>1171.3099159999999</v>
      </c>
      <c r="F51">
        <v>324.45828499999999</v>
      </c>
      <c r="H51" s="4"/>
      <c r="I51" s="4"/>
      <c r="J51" s="4"/>
      <c r="K51" s="4"/>
      <c r="L51" s="4"/>
    </row>
    <row r="52" spans="1:12" x14ac:dyDescent="0.3">
      <c r="A52" t="s">
        <v>56</v>
      </c>
      <c r="B52">
        <v>3059.0471550000002</v>
      </c>
      <c r="C52">
        <v>2252.4133310000002</v>
      </c>
      <c r="D52">
        <v>717.37548200000003</v>
      </c>
      <c r="E52">
        <v>1208.2315639999999</v>
      </c>
      <c r="F52">
        <v>331.49260299999997</v>
      </c>
      <c r="H52" s="4"/>
      <c r="I52" s="4"/>
      <c r="J52" s="4"/>
      <c r="K52" s="4"/>
      <c r="L52" s="4"/>
    </row>
    <row r="53" spans="1:12" x14ac:dyDescent="0.3">
      <c r="A53" t="s">
        <v>57</v>
      </c>
      <c r="B53">
        <v>3231.726975</v>
      </c>
      <c r="C53">
        <v>2357.5146119999999</v>
      </c>
      <c r="D53">
        <v>754.82811600000002</v>
      </c>
      <c r="E53">
        <v>1232.0078619999999</v>
      </c>
      <c r="F53">
        <v>344.326797</v>
      </c>
      <c r="H53" s="4"/>
      <c r="I53" s="4"/>
      <c r="J53" s="4"/>
      <c r="K53" s="4"/>
      <c r="L53" s="4"/>
    </row>
    <row r="54" spans="1:12" x14ac:dyDescent="0.3">
      <c r="A54" t="s">
        <v>58</v>
      </c>
      <c r="B54">
        <v>3101.7958560000002</v>
      </c>
      <c r="C54">
        <v>2245.389283</v>
      </c>
      <c r="D54">
        <v>726.53144099999997</v>
      </c>
      <c r="E54">
        <v>1212.4177709999999</v>
      </c>
      <c r="F54">
        <v>331.101043</v>
      </c>
      <c r="H54" s="4"/>
      <c r="I54" s="4"/>
      <c r="J54" s="4"/>
      <c r="K54" s="4"/>
      <c r="L54" s="4"/>
    </row>
    <row r="55" spans="1:12" x14ac:dyDescent="0.3">
      <c r="A55" t="s">
        <v>59</v>
      </c>
      <c r="B55">
        <v>3174.72534</v>
      </c>
      <c r="C55">
        <v>2358.9083179999998</v>
      </c>
      <c r="D55">
        <v>745.22862799999996</v>
      </c>
      <c r="E55">
        <v>1264.7541269999999</v>
      </c>
      <c r="F55">
        <v>347.12210800000003</v>
      </c>
      <c r="H55" s="4"/>
      <c r="I55" s="4"/>
      <c r="J55" s="4"/>
      <c r="K55" s="4"/>
      <c r="L55" s="4"/>
    </row>
    <row r="56" spans="1:12" x14ac:dyDescent="0.3">
      <c r="A56" t="s">
        <v>60</v>
      </c>
      <c r="B56">
        <v>3006.604139</v>
      </c>
      <c r="C56">
        <v>2292.7708499999999</v>
      </c>
      <c r="D56">
        <v>709.51198699999998</v>
      </c>
      <c r="E56">
        <v>1253.0973429999999</v>
      </c>
      <c r="F56">
        <v>339.29739499999999</v>
      </c>
      <c r="H56" s="4"/>
      <c r="I56" s="4"/>
      <c r="J56" s="4"/>
      <c r="K56" s="4"/>
      <c r="L56" s="4"/>
    </row>
    <row r="57" spans="1:12" x14ac:dyDescent="0.3">
      <c r="A57" t="s">
        <v>61</v>
      </c>
      <c r="B57">
        <v>3141.3509370000002</v>
      </c>
      <c r="C57">
        <v>2367.3176720000001</v>
      </c>
      <c r="D57">
        <v>741.270534</v>
      </c>
      <c r="E57">
        <v>1308.6704569999999</v>
      </c>
      <c r="F57">
        <v>351.517853</v>
      </c>
      <c r="H57" s="4"/>
      <c r="I57" s="4"/>
      <c r="J57" s="4"/>
      <c r="K57" s="4"/>
      <c r="L57" s="4"/>
    </row>
    <row r="58" spans="1:12" x14ac:dyDescent="0.3">
      <c r="A58" t="s">
        <v>62</v>
      </c>
      <c r="B58">
        <v>3069.249002</v>
      </c>
      <c r="C58">
        <v>2335.232802</v>
      </c>
      <c r="D58">
        <v>724.208978</v>
      </c>
      <c r="E58">
        <v>1277.8049579999999</v>
      </c>
      <c r="F58">
        <v>345.71616899999998</v>
      </c>
      <c r="H58" s="4"/>
      <c r="I58" s="4"/>
      <c r="J58" s="4"/>
      <c r="K58" s="4"/>
      <c r="L58" s="4"/>
    </row>
    <row r="59" spans="1:12" x14ac:dyDescent="0.3">
      <c r="A59" t="s">
        <v>63</v>
      </c>
      <c r="B59">
        <v>3017.2224030000002</v>
      </c>
      <c r="C59">
        <v>2321.283034</v>
      </c>
      <c r="D59">
        <v>719.96996100000001</v>
      </c>
      <c r="E59">
        <v>1374.6374029999999</v>
      </c>
      <c r="F59">
        <v>352.02552600000001</v>
      </c>
      <c r="H59" s="4"/>
      <c r="I59" s="4"/>
      <c r="J59" s="4"/>
      <c r="K59" s="4"/>
      <c r="L59" s="4"/>
    </row>
    <row r="60" spans="1:12" x14ac:dyDescent="0.3">
      <c r="A60" t="s">
        <v>64</v>
      </c>
      <c r="B60">
        <v>2979.2971809999999</v>
      </c>
      <c r="C60">
        <v>2356.6101450000001</v>
      </c>
      <c r="D60">
        <v>711.15189299999997</v>
      </c>
      <c r="E60">
        <v>1360.782132</v>
      </c>
      <c r="F60">
        <v>354.59525500000001</v>
      </c>
      <c r="H60" s="4"/>
      <c r="I60" s="4"/>
      <c r="J60" s="4"/>
      <c r="K60" s="4"/>
      <c r="L60" s="4"/>
    </row>
    <row r="61" spans="1:12" x14ac:dyDescent="0.3">
      <c r="A61" t="s">
        <v>65</v>
      </c>
      <c r="B61">
        <v>2938.763958</v>
      </c>
      <c r="C61">
        <v>2277.0093860000002</v>
      </c>
      <c r="D61">
        <v>701.83004800000003</v>
      </c>
      <c r="E61">
        <v>1347.6115380000001</v>
      </c>
      <c r="F61">
        <v>345.20514100000003</v>
      </c>
      <c r="H61" s="4"/>
      <c r="I61" s="4"/>
      <c r="J61" s="4"/>
      <c r="K61" s="4"/>
      <c r="L61" s="4"/>
    </row>
    <row r="62" spans="1:12" x14ac:dyDescent="0.3">
      <c r="A62" t="s">
        <v>66</v>
      </c>
      <c r="B62">
        <v>2811.698918</v>
      </c>
      <c r="C62">
        <v>2213.4408990000002</v>
      </c>
      <c r="D62">
        <v>673.28772000000004</v>
      </c>
      <c r="E62">
        <v>1316.4253920000001</v>
      </c>
      <c r="F62">
        <v>336.07385399999998</v>
      </c>
      <c r="H62" s="4"/>
      <c r="I62" s="4"/>
      <c r="J62" s="4"/>
      <c r="K62" s="4"/>
      <c r="L62" s="4"/>
    </row>
    <row r="63" spans="1:12" x14ac:dyDescent="0.3">
      <c r="A63" t="s">
        <v>67</v>
      </c>
      <c r="B63">
        <v>2726.9099190000002</v>
      </c>
      <c r="C63">
        <v>2168.0517949999999</v>
      </c>
      <c r="D63">
        <v>657.14623400000005</v>
      </c>
      <c r="E63">
        <v>1339.2586980000001</v>
      </c>
      <c r="F63">
        <v>333.105639</v>
      </c>
      <c r="H63" s="4"/>
      <c r="I63" s="4"/>
      <c r="J63" s="4"/>
      <c r="K63" s="4"/>
      <c r="L63" s="4"/>
    </row>
    <row r="64" spans="1:12" x14ac:dyDescent="0.3">
      <c r="A64" t="s">
        <v>68</v>
      </c>
      <c r="B64">
        <v>2661.6905400000001</v>
      </c>
      <c r="C64">
        <v>2116.9551459999998</v>
      </c>
      <c r="D64">
        <v>642.906565</v>
      </c>
      <c r="E64">
        <v>1329.5657940000001</v>
      </c>
      <c r="F64">
        <v>326.968143</v>
      </c>
      <c r="H64" s="4"/>
      <c r="I64" s="4"/>
      <c r="J64" s="4"/>
      <c r="K64" s="4"/>
      <c r="L64" s="4"/>
    </row>
    <row r="65" spans="1:12" x14ac:dyDescent="0.3">
      <c r="A65" t="s">
        <v>69</v>
      </c>
      <c r="B65">
        <v>2690.0441689999998</v>
      </c>
      <c r="C65">
        <v>2140.705997</v>
      </c>
      <c r="D65">
        <v>646.26834199999996</v>
      </c>
      <c r="E65">
        <v>1291.263514</v>
      </c>
      <c r="F65">
        <v>326.45729299999999</v>
      </c>
      <c r="H65" s="4"/>
      <c r="I65" s="4"/>
      <c r="J65" s="4"/>
      <c r="K65" s="4"/>
      <c r="L65" s="4"/>
    </row>
    <row r="66" spans="1:12" x14ac:dyDescent="0.3">
      <c r="A66" t="s">
        <v>70</v>
      </c>
      <c r="B66">
        <v>2583.1433579999998</v>
      </c>
      <c r="C66">
        <v>2049.5371930000001</v>
      </c>
      <c r="D66">
        <v>618.26574100000005</v>
      </c>
      <c r="E66">
        <v>1205.0677410000001</v>
      </c>
      <c r="F66">
        <v>310.09845999999999</v>
      </c>
      <c r="H66" s="4"/>
      <c r="I66" s="4"/>
      <c r="J66" s="4"/>
      <c r="K66" s="4"/>
      <c r="L66" s="4"/>
    </row>
    <row r="67" spans="1:12" x14ac:dyDescent="0.3">
      <c r="A67" t="s">
        <v>71</v>
      </c>
      <c r="B67">
        <v>2292.9254350000001</v>
      </c>
      <c r="C67">
        <v>1778.8869360000001</v>
      </c>
      <c r="D67">
        <v>550.99536000000001</v>
      </c>
      <c r="E67">
        <v>1103.458245</v>
      </c>
      <c r="F67">
        <v>273.574972</v>
      </c>
      <c r="H67" s="4"/>
      <c r="I67" s="4"/>
      <c r="J67" s="4"/>
      <c r="K67" s="4"/>
      <c r="L67" s="4"/>
    </row>
    <row r="68" spans="1:12" x14ac:dyDescent="0.3">
      <c r="A68" t="s">
        <v>72</v>
      </c>
      <c r="B68">
        <v>2367.270462</v>
      </c>
      <c r="C68">
        <v>1853.140633</v>
      </c>
      <c r="D68">
        <v>565.14848199999994</v>
      </c>
      <c r="E68">
        <v>1081.996075</v>
      </c>
      <c r="F68">
        <v>279.802999</v>
      </c>
      <c r="H68" s="4"/>
      <c r="I68" s="4"/>
      <c r="J68" s="4"/>
      <c r="K68" s="4"/>
      <c r="L68" s="4"/>
    </row>
    <row r="69" spans="1:12" x14ac:dyDescent="0.3">
      <c r="A69" t="s">
        <v>73</v>
      </c>
      <c r="B69">
        <v>2455.5121570000001</v>
      </c>
      <c r="C69">
        <v>1911.9458890000001</v>
      </c>
      <c r="D69">
        <v>584.86393399999997</v>
      </c>
      <c r="E69">
        <v>1101.4986650000001</v>
      </c>
      <c r="F69">
        <v>287.54155200000002</v>
      </c>
      <c r="H69" s="4"/>
      <c r="I69" s="4"/>
      <c r="J69" s="4"/>
      <c r="K69" s="4"/>
      <c r="L69" s="4"/>
    </row>
    <row r="70" spans="1:12" x14ac:dyDescent="0.3">
      <c r="A70" t="s">
        <v>74</v>
      </c>
      <c r="B70">
        <v>2304.982465</v>
      </c>
      <c r="C70">
        <v>1821.676119</v>
      </c>
      <c r="D70">
        <v>551.89436699999999</v>
      </c>
      <c r="E70">
        <v>1078.918666</v>
      </c>
      <c r="F70">
        <v>276.21128900000002</v>
      </c>
      <c r="H70" s="4"/>
      <c r="I70" s="4"/>
      <c r="J70" s="4"/>
      <c r="K70" s="4"/>
      <c r="L70" s="4"/>
    </row>
    <row r="71" spans="1:12" x14ac:dyDescent="0.3">
      <c r="A71" t="s">
        <v>75</v>
      </c>
      <c r="B71">
        <v>2201.788466</v>
      </c>
      <c r="C71">
        <v>1776.440732</v>
      </c>
      <c r="D71">
        <v>524.90763000000004</v>
      </c>
      <c r="E71">
        <v>995.09833200000003</v>
      </c>
      <c r="F71">
        <v>264.99951199999998</v>
      </c>
      <c r="H71" s="4"/>
      <c r="I71" s="4"/>
      <c r="J71" s="4"/>
      <c r="K71" s="4"/>
      <c r="L71" s="4"/>
    </row>
    <row r="72" spans="1:12" x14ac:dyDescent="0.3">
      <c r="A72" t="s">
        <v>76</v>
      </c>
      <c r="B72">
        <v>2147.8820390000001</v>
      </c>
      <c r="C72">
        <v>1720.8536280000001</v>
      </c>
      <c r="D72">
        <v>509.47033900000002</v>
      </c>
      <c r="E72">
        <v>930.35377400000004</v>
      </c>
      <c r="F72">
        <v>254.14593500000001</v>
      </c>
      <c r="H72" s="4"/>
      <c r="I72" s="4"/>
      <c r="J72" s="4"/>
      <c r="K72" s="4"/>
      <c r="L72" s="4"/>
    </row>
    <row r="73" spans="1:12" x14ac:dyDescent="0.3">
      <c r="A73" t="s">
        <v>77</v>
      </c>
      <c r="B73">
        <v>2052.8453220000001</v>
      </c>
      <c r="C73">
        <v>1655.0752709999999</v>
      </c>
      <c r="D73">
        <v>489.16866499999998</v>
      </c>
      <c r="E73">
        <v>924.93651199999999</v>
      </c>
      <c r="F73">
        <v>246.69165799999999</v>
      </c>
      <c r="H73" s="4"/>
      <c r="I73" s="4"/>
      <c r="J73" s="4"/>
      <c r="K73" s="4"/>
      <c r="L73" s="4"/>
    </row>
    <row r="74" spans="1:12" x14ac:dyDescent="0.3">
      <c r="A74" t="s">
        <v>78</v>
      </c>
      <c r="B74">
        <v>1852.7266629999999</v>
      </c>
      <c r="C74">
        <v>1549.77954</v>
      </c>
      <c r="D74">
        <v>442.346476</v>
      </c>
      <c r="E74">
        <v>848.57692899999995</v>
      </c>
      <c r="F74">
        <v>229.68486200000001</v>
      </c>
      <c r="H74" s="4"/>
      <c r="I74" s="4"/>
      <c r="J74" s="4"/>
      <c r="K74" s="4"/>
      <c r="L74" s="4"/>
    </row>
    <row r="75" spans="1:12" x14ac:dyDescent="0.3">
      <c r="A75" t="s">
        <v>79</v>
      </c>
      <c r="B75">
        <v>2141.123595</v>
      </c>
      <c r="C75">
        <v>1814.2068300000001</v>
      </c>
      <c r="D75">
        <v>512.75731499999995</v>
      </c>
      <c r="E75">
        <v>1005.515796</v>
      </c>
      <c r="F75">
        <v>269.784446</v>
      </c>
      <c r="H75" s="4"/>
      <c r="I75" s="4"/>
      <c r="J75" s="4"/>
      <c r="K75" s="4"/>
      <c r="L75" s="4"/>
    </row>
    <row r="76" spans="1:12" x14ac:dyDescent="0.3">
      <c r="A76" t="s">
        <v>80</v>
      </c>
      <c r="B76">
        <v>2342.4135620000002</v>
      </c>
      <c r="C76">
        <v>1994.9848059999999</v>
      </c>
      <c r="D76">
        <v>558.62118499999997</v>
      </c>
      <c r="E76">
        <v>1062.342529</v>
      </c>
      <c r="F76">
        <v>293.43465900000001</v>
      </c>
      <c r="H76" s="4"/>
      <c r="I76" s="4"/>
      <c r="J76" s="4"/>
      <c r="K76" s="4"/>
      <c r="L76" s="4"/>
    </row>
    <row r="77" spans="1:12" x14ac:dyDescent="0.3">
      <c r="A77" t="s">
        <v>81</v>
      </c>
      <c r="B77">
        <v>2358.4684379999999</v>
      </c>
      <c r="C77">
        <v>2035.3831520000001</v>
      </c>
      <c r="D77">
        <v>565.24390800000003</v>
      </c>
      <c r="E77">
        <v>1114.6598730000001</v>
      </c>
      <c r="F77">
        <v>301.67318499999999</v>
      </c>
      <c r="H77" s="4"/>
      <c r="I77" s="4"/>
      <c r="J77" s="4"/>
      <c r="K77" s="4"/>
      <c r="L77" s="4"/>
    </row>
    <row r="78" spans="1:12" x14ac:dyDescent="0.3">
      <c r="A78" t="s">
        <v>82</v>
      </c>
      <c r="B78">
        <v>2292.2592049999998</v>
      </c>
      <c r="C78">
        <v>1974.3852730000001</v>
      </c>
      <c r="D78">
        <v>546.69499499999995</v>
      </c>
      <c r="E78">
        <v>1040.0453910000001</v>
      </c>
      <c r="F78">
        <v>289.56651599999998</v>
      </c>
      <c r="H78" s="4"/>
      <c r="I78" s="4"/>
      <c r="J78" s="4"/>
      <c r="K78" s="4"/>
      <c r="L78" s="4"/>
    </row>
    <row r="79" spans="1:12" x14ac:dyDescent="0.3">
      <c r="A79" t="s">
        <v>83</v>
      </c>
      <c r="B79">
        <v>2233.525725</v>
      </c>
      <c r="C79">
        <v>1953.0372359999999</v>
      </c>
      <c r="D79">
        <v>534.411202</v>
      </c>
      <c r="E79">
        <v>1041.980986</v>
      </c>
      <c r="F79">
        <v>287.39826499999998</v>
      </c>
      <c r="H79" s="4"/>
      <c r="I79" s="4"/>
      <c r="J79" s="4"/>
      <c r="K79" s="4"/>
      <c r="L79" s="4"/>
    </row>
    <row r="80" spans="1:12" x14ac:dyDescent="0.3">
      <c r="A80" t="s">
        <v>84</v>
      </c>
      <c r="B80">
        <v>2180.0182370000002</v>
      </c>
      <c r="C80">
        <v>1893.701955</v>
      </c>
      <c r="D80">
        <v>520.65088500000002</v>
      </c>
      <c r="E80">
        <v>1000.996227</v>
      </c>
      <c r="F80">
        <v>277.99296299999997</v>
      </c>
      <c r="H80" s="4"/>
      <c r="I80" s="4"/>
      <c r="J80" s="4"/>
      <c r="K80" s="4"/>
      <c r="L80" s="4"/>
    </row>
    <row r="81" spans="1:12" x14ac:dyDescent="0.3">
      <c r="A81" t="s">
        <v>85</v>
      </c>
      <c r="B81">
        <v>2138.5211840000002</v>
      </c>
      <c r="C81">
        <v>1847.803758</v>
      </c>
      <c r="D81">
        <v>510.87707799999998</v>
      </c>
      <c r="E81">
        <v>984.33404800000005</v>
      </c>
      <c r="F81">
        <v>271.79886499999998</v>
      </c>
      <c r="H81" s="4"/>
      <c r="I81" s="4"/>
      <c r="J81" s="4"/>
      <c r="K81" s="4"/>
      <c r="L81" s="4"/>
    </row>
    <row r="82" spans="1:12" x14ac:dyDescent="0.3">
      <c r="A82" t="s">
        <v>86</v>
      </c>
      <c r="B82">
        <v>2187.5635940000002</v>
      </c>
      <c r="C82">
        <v>1899.6714340000001</v>
      </c>
      <c r="D82">
        <v>524.35029499999996</v>
      </c>
      <c r="E82">
        <v>1037.0092649999999</v>
      </c>
      <c r="F82">
        <v>281.19946900000002</v>
      </c>
      <c r="H82" s="4"/>
      <c r="I82" s="4"/>
      <c r="J82" s="4"/>
      <c r="K82" s="4"/>
      <c r="L82" s="4"/>
    </row>
    <row r="83" spans="1:12" x14ac:dyDescent="0.3">
      <c r="A83" t="s">
        <v>87</v>
      </c>
      <c r="B83">
        <v>2178.3465219999998</v>
      </c>
      <c r="C83">
        <v>1923.860946</v>
      </c>
      <c r="D83">
        <v>523.44203200000004</v>
      </c>
      <c r="E83">
        <v>1054.8558439999999</v>
      </c>
      <c r="F83">
        <v>285.11118099999999</v>
      </c>
      <c r="H83" s="4"/>
      <c r="I83" s="4"/>
      <c r="J83" s="4"/>
      <c r="K83" s="4"/>
      <c r="L83" s="4"/>
    </row>
    <row r="84" spans="1:12" x14ac:dyDescent="0.3">
      <c r="A84" t="s">
        <v>88</v>
      </c>
      <c r="B84">
        <v>2046.2459369999999</v>
      </c>
      <c r="C84">
        <v>1818.88851</v>
      </c>
      <c r="D84">
        <v>492.115297</v>
      </c>
      <c r="E84">
        <v>997.99771299999998</v>
      </c>
      <c r="F84">
        <v>269.60335800000001</v>
      </c>
      <c r="H84" s="4"/>
      <c r="I84" s="4"/>
      <c r="J84" s="4"/>
      <c r="K84" s="4"/>
      <c r="L84" s="4"/>
    </row>
    <row r="85" spans="1:12" x14ac:dyDescent="0.3">
      <c r="A85" t="s">
        <v>89</v>
      </c>
      <c r="B85">
        <v>2178.6742899999999</v>
      </c>
      <c r="C85">
        <v>1920.739615</v>
      </c>
      <c r="D85">
        <v>524.84380899999996</v>
      </c>
      <c r="E85">
        <v>1079.235079</v>
      </c>
      <c r="F85">
        <v>286.38957099999999</v>
      </c>
      <c r="H85" s="4"/>
      <c r="I85" s="4"/>
      <c r="J85" s="4"/>
      <c r="K85" s="4"/>
      <c r="L85" s="4"/>
    </row>
    <row r="86" spans="1:12" x14ac:dyDescent="0.3">
      <c r="A86" t="s">
        <v>90</v>
      </c>
      <c r="B86">
        <v>2107.7421250000002</v>
      </c>
      <c r="C86">
        <v>1874.070387</v>
      </c>
      <c r="D86">
        <v>508.54849000000002</v>
      </c>
      <c r="E86">
        <v>1058.1271609999999</v>
      </c>
      <c r="F86">
        <v>279.78515399999998</v>
      </c>
      <c r="H86" s="4"/>
      <c r="I86" s="4"/>
      <c r="J86" s="4"/>
      <c r="K86" s="4"/>
      <c r="L86" s="4"/>
    </row>
    <row r="87" spans="1:12" x14ac:dyDescent="0.3">
      <c r="A87" t="s">
        <v>91</v>
      </c>
      <c r="B87">
        <v>2085.8446349999999</v>
      </c>
      <c r="C87">
        <v>1874.152718</v>
      </c>
      <c r="D87">
        <v>503.480569</v>
      </c>
      <c r="E87">
        <v>1050.9507819999999</v>
      </c>
      <c r="F87">
        <v>279.29884600000003</v>
      </c>
      <c r="H87" s="4"/>
      <c r="I87" s="4"/>
      <c r="J87" s="4"/>
      <c r="K87" s="4"/>
      <c r="L87" s="4"/>
    </row>
    <row r="88" spans="1:12" x14ac:dyDescent="0.3">
      <c r="A88" t="s">
        <v>92</v>
      </c>
      <c r="B88">
        <v>2028.492315</v>
      </c>
      <c r="C88">
        <v>1831.0214539999999</v>
      </c>
      <c r="D88">
        <v>491.19414399999999</v>
      </c>
      <c r="E88">
        <v>1049.9266379999999</v>
      </c>
      <c r="F88">
        <v>274.46119299999998</v>
      </c>
      <c r="H88" s="4"/>
      <c r="I88" s="4"/>
      <c r="J88" s="4"/>
      <c r="K88" s="4"/>
      <c r="L88" s="4"/>
    </row>
    <row r="89" spans="1:12" x14ac:dyDescent="0.3">
      <c r="A89" t="s">
        <v>93</v>
      </c>
      <c r="B89">
        <v>1883.9013990000001</v>
      </c>
      <c r="C89">
        <v>1710.882961</v>
      </c>
      <c r="D89">
        <v>455.66217499999999</v>
      </c>
      <c r="E89">
        <v>965.77625799999998</v>
      </c>
      <c r="F89">
        <v>255.40697800000001</v>
      </c>
      <c r="H89" s="4"/>
      <c r="I89" s="4"/>
      <c r="J89" s="4"/>
      <c r="K89" s="4"/>
      <c r="L89" s="4"/>
    </row>
    <row r="90" spans="1:12" x14ac:dyDescent="0.3">
      <c r="A90" t="s">
        <v>94</v>
      </c>
      <c r="B90">
        <v>2041.3586760000001</v>
      </c>
      <c r="C90">
        <v>1806.3231229999999</v>
      </c>
      <c r="D90">
        <v>490.857326</v>
      </c>
      <c r="E90">
        <v>994.71742900000004</v>
      </c>
      <c r="F90">
        <v>267.94264299999998</v>
      </c>
      <c r="H90" s="4"/>
      <c r="I90" s="4"/>
      <c r="J90" s="4"/>
      <c r="K90" s="4"/>
      <c r="L90" s="4"/>
    </row>
    <row r="91" spans="1:12" x14ac:dyDescent="0.3">
      <c r="A91" t="s">
        <v>95</v>
      </c>
      <c r="B91">
        <v>2021.9822590000001</v>
      </c>
      <c r="C91">
        <v>1811.2729079999999</v>
      </c>
      <c r="D91">
        <v>484.570966</v>
      </c>
      <c r="E91">
        <v>955.92361000000005</v>
      </c>
      <c r="F91">
        <v>265.83585900000003</v>
      </c>
      <c r="H91" s="4"/>
      <c r="I91" s="4"/>
      <c r="J91" s="4"/>
      <c r="K91" s="4"/>
      <c r="L91" s="4"/>
    </row>
    <row r="92" spans="1:12" x14ac:dyDescent="0.3">
      <c r="A92" t="s">
        <v>96</v>
      </c>
      <c r="B92">
        <v>2184.0088679999999</v>
      </c>
      <c r="C92">
        <v>1969.3317669999999</v>
      </c>
      <c r="D92">
        <v>524.25267099999996</v>
      </c>
      <c r="E92">
        <v>1047.9080710000001</v>
      </c>
      <c r="F92">
        <v>289.61608799999999</v>
      </c>
      <c r="H92" s="4"/>
      <c r="I92" s="4"/>
      <c r="J92" s="4"/>
      <c r="K92" s="4"/>
      <c r="L92" s="4"/>
    </row>
    <row r="93" spans="1:12" x14ac:dyDescent="0.3">
      <c r="A93" t="s">
        <v>97</v>
      </c>
      <c r="B93">
        <v>2175.498067</v>
      </c>
      <c r="C93">
        <v>1959.3199830000001</v>
      </c>
      <c r="D93">
        <v>522.88100699999995</v>
      </c>
      <c r="E93">
        <v>1055.9598370000001</v>
      </c>
      <c r="F93">
        <v>289.05577499999998</v>
      </c>
      <c r="H93" s="4"/>
      <c r="I93" s="4"/>
      <c r="J93" s="4"/>
      <c r="K93" s="4"/>
      <c r="L93" s="4"/>
    </row>
    <row r="94" spans="1:12" x14ac:dyDescent="0.3">
      <c r="A94" t="s">
        <v>98</v>
      </c>
      <c r="B94">
        <v>2153.0963569999999</v>
      </c>
      <c r="C94">
        <v>2002.2706820000001</v>
      </c>
      <c r="D94">
        <v>519.81793500000003</v>
      </c>
      <c r="E94">
        <v>1087.4558979999999</v>
      </c>
      <c r="F94">
        <v>295.95703099999997</v>
      </c>
      <c r="H94" s="4"/>
      <c r="I94" s="4"/>
      <c r="J94" s="4"/>
      <c r="K94" s="4"/>
      <c r="L94" s="4"/>
    </row>
    <row r="95" spans="1:12" x14ac:dyDescent="0.3">
      <c r="A95" t="s">
        <v>99</v>
      </c>
      <c r="B95">
        <v>2089.3006500000001</v>
      </c>
      <c r="C95">
        <v>1955.2271169999999</v>
      </c>
      <c r="D95">
        <v>505.19823300000002</v>
      </c>
      <c r="E95">
        <v>1069.5172379999999</v>
      </c>
      <c r="F95">
        <v>289.51879600000001</v>
      </c>
      <c r="H95" s="4"/>
      <c r="I95" s="4"/>
      <c r="J95" s="4"/>
      <c r="K95" s="4"/>
      <c r="L95" s="4"/>
    </row>
    <row r="96" spans="1:12" x14ac:dyDescent="0.3">
      <c r="A96" t="s">
        <v>100</v>
      </c>
      <c r="B96">
        <v>2092.9226079999999</v>
      </c>
      <c r="C96">
        <v>1980.3557479999999</v>
      </c>
      <c r="D96">
        <v>508.76903800000002</v>
      </c>
      <c r="E96">
        <v>1120.710137</v>
      </c>
      <c r="F96">
        <v>295.77019799999999</v>
      </c>
      <c r="H96" s="4"/>
      <c r="I96" s="4"/>
      <c r="J96" s="4"/>
      <c r="K96" s="4"/>
      <c r="L96" s="4"/>
    </row>
    <row r="97" spans="1:12" x14ac:dyDescent="0.3">
      <c r="A97" t="s">
        <v>101</v>
      </c>
      <c r="B97">
        <v>2086.5138149999998</v>
      </c>
      <c r="C97">
        <v>2029.636851</v>
      </c>
      <c r="D97">
        <v>509.693782</v>
      </c>
      <c r="E97">
        <v>1164.4275849999999</v>
      </c>
      <c r="F97">
        <v>304.16581200000002</v>
      </c>
      <c r="H97" s="4"/>
      <c r="I97" s="4"/>
      <c r="J97" s="4"/>
      <c r="K97" s="4"/>
      <c r="L97" s="4"/>
    </row>
    <row r="98" spans="1:12" x14ac:dyDescent="0.3">
      <c r="A98" t="s">
        <v>102</v>
      </c>
      <c r="B98">
        <v>2065.5292039999999</v>
      </c>
      <c r="C98">
        <v>1988.2587820000001</v>
      </c>
      <c r="D98">
        <v>505.44010500000002</v>
      </c>
      <c r="E98">
        <v>1169.2656449999999</v>
      </c>
      <c r="F98">
        <v>299.83700900000002</v>
      </c>
      <c r="H98" s="4"/>
      <c r="I98" s="4"/>
      <c r="J98" s="4"/>
      <c r="K98" s="4"/>
      <c r="L98" s="4"/>
    </row>
    <row r="99" spans="1:12" x14ac:dyDescent="0.3">
      <c r="A99" t="s">
        <v>103</v>
      </c>
      <c r="B99">
        <v>2117.9932469999999</v>
      </c>
      <c r="C99">
        <v>2035.270505</v>
      </c>
      <c r="D99">
        <v>518.07910100000004</v>
      </c>
      <c r="E99">
        <v>1195.1928829999999</v>
      </c>
      <c r="F99">
        <v>306.81317799999999</v>
      </c>
      <c r="H99" s="4"/>
      <c r="I99" s="4"/>
      <c r="J99" s="4"/>
      <c r="K99" s="4"/>
      <c r="L99" s="4"/>
    </row>
    <row r="100" spans="1:12" x14ac:dyDescent="0.3">
      <c r="A100" t="s">
        <v>104</v>
      </c>
      <c r="B100">
        <v>2213.2377470000001</v>
      </c>
      <c r="C100">
        <v>2140.968981</v>
      </c>
      <c r="D100">
        <v>541.67325700000004</v>
      </c>
      <c r="E100">
        <v>1254.587321</v>
      </c>
      <c r="F100">
        <v>322.57165700000002</v>
      </c>
      <c r="H100" s="4"/>
      <c r="I100" s="4"/>
      <c r="J100" s="4"/>
      <c r="K100" s="4"/>
      <c r="L100" s="4"/>
    </row>
    <row r="101" spans="1:12" x14ac:dyDescent="0.3">
      <c r="A101" t="s">
        <v>105</v>
      </c>
      <c r="B101">
        <v>2103.4483409999998</v>
      </c>
      <c r="C101">
        <v>2046.4669120000001</v>
      </c>
      <c r="D101">
        <v>513.02594799999997</v>
      </c>
      <c r="E101">
        <v>1158.4541670000001</v>
      </c>
      <c r="F101">
        <v>305.66953100000001</v>
      </c>
      <c r="H101" s="4"/>
      <c r="I101" s="4"/>
      <c r="J101" s="4"/>
      <c r="K101" s="4"/>
      <c r="L101" s="4"/>
    </row>
    <row r="102" spans="1:12" x14ac:dyDescent="0.3">
      <c r="A102" t="s">
        <v>106</v>
      </c>
      <c r="B102">
        <v>2077.3601210000002</v>
      </c>
      <c r="C102">
        <v>2012.3037979999999</v>
      </c>
      <c r="D102">
        <v>505.442384</v>
      </c>
      <c r="E102">
        <v>1120.7930229999999</v>
      </c>
      <c r="F102">
        <v>299.36995400000001</v>
      </c>
      <c r="H102" s="4"/>
      <c r="I102" s="4"/>
      <c r="J102" s="4"/>
      <c r="K102" s="4"/>
      <c r="L102" s="4"/>
    </row>
    <row r="103" spans="1:12" x14ac:dyDescent="0.3">
      <c r="A103" t="s">
        <v>107</v>
      </c>
      <c r="B103">
        <v>2036.8044190000001</v>
      </c>
      <c r="C103">
        <v>1995.5077679999999</v>
      </c>
      <c r="D103">
        <v>496.62466899999998</v>
      </c>
      <c r="E103">
        <v>1119.0788090000001</v>
      </c>
      <c r="F103">
        <v>297.36878300000001</v>
      </c>
      <c r="H103" s="4"/>
      <c r="I103" s="4"/>
      <c r="J103" s="4"/>
      <c r="K103" s="4"/>
      <c r="L103" s="4"/>
    </row>
    <row r="104" spans="1:12" x14ac:dyDescent="0.3">
      <c r="A104" t="s">
        <v>108</v>
      </c>
      <c r="B104">
        <v>2000.5527480000001</v>
      </c>
      <c r="C104">
        <v>1970.060663</v>
      </c>
      <c r="D104">
        <v>486.87867399999999</v>
      </c>
      <c r="E104">
        <v>1081.7217780000001</v>
      </c>
      <c r="F104">
        <v>292.07491800000003</v>
      </c>
      <c r="H104" s="4"/>
      <c r="I104" s="4"/>
      <c r="J104" s="4"/>
      <c r="K104" s="4"/>
      <c r="L104" s="4"/>
    </row>
    <row r="105" spans="1:12" x14ac:dyDescent="0.3">
      <c r="A105" t="s">
        <v>109</v>
      </c>
      <c r="B105">
        <v>1959.7433960000001</v>
      </c>
      <c r="C105">
        <v>1925.04556</v>
      </c>
      <c r="D105">
        <v>478.40561500000001</v>
      </c>
      <c r="E105">
        <v>1087.6976090000001</v>
      </c>
      <c r="F105">
        <v>287.39925499999998</v>
      </c>
      <c r="H105" s="4"/>
      <c r="I105" s="4"/>
      <c r="J105" s="4"/>
      <c r="K105" s="4"/>
      <c r="L105" s="4"/>
    </row>
    <row r="106" spans="1:12" x14ac:dyDescent="0.3">
      <c r="A106" t="s">
        <v>110</v>
      </c>
      <c r="B106">
        <v>1961.100222</v>
      </c>
      <c r="C106">
        <v>1930.6577339999999</v>
      </c>
      <c r="D106">
        <v>477.58346599999999</v>
      </c>
      <c r="E106">
        <v>1066.2333160000001</v>
      </c>
      <c r="F106">
        <v>286.63262600000002</v>
      </c>
      <c r="H106" s="4"/>
      <c r="I106" s="4"/>
      <c r="J106" s="4"/>
      <c r="K106" s="4"/>
      <c r="L106" s="4"/>
    </row>
    <row r="107" spans="1:12" x14ac:dyDescent="0.3">
      <c r="A107" t="s">
        <v>111</v>
      </c>
      <c r="B107">
        <v>1916.426269</v>
      </c>
      <c r="C107">
        <v>1875.647105</v>
      </c>
      <c r="D107">
        <v>465.08789899999999</v>
      </c>
      <c r="E107">
        <v>1010.800247</v>
      </c>
      <c r="F107">
        <v>276.83131100000003</v>
      </c>
      <c r="H107" s="4"/>
      <c r="I107" s="4"/>
      <c r="J107" s="4"/>
      <c r="K107" s="4"/>
      <c r="L107" s="4"/>
    </row>
    <row r="108" spans="1:12" x14ac:dyDescent="0.3">
      <c r="A108" t="s">
        <v>112</v>
      </c>
      <c r="B108">
        <v>1911.739593</v>
      </c>
      <c r="C108">
        <v>1877.475273</v>
      </c>
      <c r="D108">
        <v>463.79407200000003</v>
      </c>
      <c r="E108">
        <v>1005.325509</v>
      </c>
      <c r="F108">
        <v>276.67951399999998</v>
      </c>
      <c r="H108" s="4"/>
      <c r="I108" s="4"/>
      <c r="J108" s="4"/>
      <c r="K108" s="4"/>
      <c r="L108" s="4"/>
    </row>
    <row r="109" spans="1:12" x14ac:dyDescent="0.3">
      <c r="A109" t="s">
        <v>113</v>
      </c>
      <c r="B109">
        <v>1878.276124</v>
      </c>
      <c r="C109">
        <v>1826.758292</v>
      </c>
      <c r="D109">
        <v>455.17343899999997</v>
      </c>
      <c r="E109">
        <v>977.95850800000005</v>
      </c>
      <c r="F109">
        <v>269.19185599999997</v>
      </c>
      <c r="H109" s="4"/>
    </row>
    <row r="110" spans="1:12" x14ac:dyDescent="0.3">
      <c r="A110" t="s">
        <v>114</v>
      </c>
      <c r="B110">
        <v>1853.6899969999999</v>
      </c>
      <c r="C110">
        <v>1793.337892</v>
      </c>
      <c r="D110">
        <v>448.866378</v>
      </c>
      <c r="E110">
        <v>958.36855700000001</v>
      </c>
      <c r="F110">
        <v>264.15722499999998</v>
      </c>
    </row>
    <row r="111" spans="1:12" x14ac:dyDescent="0.3">
      <c r="A111" t="s">
        <v>115</v>
      </c>
      <c r="B111">
        <v>1838.6990800000001</v>
      </c>
      <c r="C111">
        <v>1756.785989</v>
      </c>
      <c r="D111">
        <v>444.50330000000002</v>
      </c>
      <c r="E111">
        <v>936.37142800000004</v>
      </c>
      <c r="F111">
        <v>258.613293</v>
      </c>
    </row>
    <row r="112" spans="1:12" x14ac:dyDescent="0.3">
      <c r="A112" t="s">
        <v>116</v>
      </c>
      <c r="B112">
        <v>1792.4029439999999</v>
      </c>
      <c r="C112">
        <v>1740.5446770000001</v>
      </c>
      <c r="D112">
        <v>433.12831899999998</v>
      </c>
      <c r="E112">
        <v>909.22819500000003</v>
      </c>
      <c r="F112">
        <v>255.02364299999999</v>
      </c>
    </row>
    <row r="113" spans="1:6" x14ac:dyDescent="0.3">
      <c r="A113" t="s">
        <v>117</v>
      </c>
      <c r="B113">
        <v>1751.218957</v>
      </c>
      <c r="C113">
        <v>1690.9253510000001</v>
      </c>
      <c r="D113">
        <v>421.83940699999999</v>
      </c>
      <c r="E113">
        <v>862.27483800000005</v>
      </c>
      <c r="F113">
        <v>246.38952499999999</v>
      </c>
    </row>
    <row r="114" spans="1:6" x14ac:dyDescent="0.3">
      <c r="A114" t="s">
        <v>118</v>
      </c>
      <c r="B114">
        <v>1712.088792</v>
      </c>
      <c r="C114">
        <v>1638.9850200000001</v>
      </c>
      <c r="D114">
        <v>413.42969099999999</v>
      </c>
      <c r="E114">
        <v>862.83182399999998</v>
      </c>
      <c r="F114">
        <v>240.57415700000001</v>
      </c>
    </row>
    <row r="115" spans="1:6" x14ac:dyDescent="0.3">
      <c r="A115" t="s">
        <v>119</v>
      </c>
      <c r="B115">
        <v>1690.921701</v>
      </c>
      <c r="C115">
        <v>1668.576478</v>
      </c>
      <c r="D115">
        <v>411.014994</v>
      </c>
      <c r="E115">
        <v>905.08944499999996</v>
      </c>
      <c r="F115">
        <v>246.63906600000001</v>
      </c>
    </row>
    <row r="116" spans="1:6" x14ac:dyDescent="0.3">
      <c r="A116" t="s">
        <v>120</v>
      </c>
      <c r="B116">
        <v>1725.6652019999999</v>
      </c>
      <c r="C116">
        <v>1702.9784749999999</v>
      </c>
      <c r="D116">
        <v>418.43434999999999</v>
      </c>
      <c r="E116">
        <v>903.45973100000003</v>
      </c>
      <c r="F116">
        <v>250.420176</v>
      </c>
    </row>
    <row r="117" spans="1:6" x14ac:dyDescent="0.3">
      <c r="A117" t="s">
        <v>121</v>
      </c>
      <c r="B117">
        <v>1719.523719</v>
      </c>
      <c r="C117">
        <v>1686.98747</v>
      </c>
      <c r="D117">
        <v>416.61346200000003</v>
      </c>
      <c r="E117">
        <v>893.67756999999995</v>
      </c>
      <c r="F117">
        <v>247.98446100000001</v>
      </c>
    </row>
    <row r="118" spans="1:6" x14ac:dyDescent="0.3">
      <c r="A118" t="s">
        <v>122</v>
      </c>
      <c r="B118">
        <v>1721.787902</v>
      </c>
      <c r="C118">
        <v>1689.937578</v>
      </c>
      <c r="D118">
        <v>416.08836000000002</v>
      </c>
      <c r="E118">
        <v>873.47098600000004</v>
      </c>
      <c r="F118">
        <v>247.02857700000001</v>
      </c>
    </row>
    <row r="119" spans="1:6" x14ac:dyDescent="0.3">
      <c r="A119" t="s">
        <v>123</v>
      </c>
      <c r="B119">
        <v>1653.229419</v>
      </c>
      <c r="C119">
        <v>1611.7002890000001</v>
      </c>
      <c r="D119">
        <v>399.28973100000002</v>
      </c>
      <c r="E119">
        <v>834.10296200000005</v>
      </c>
      <c r="F119">
        <v>235.65998999999999</v>
      </c>
    </row>
    <row r="120" spans="1:6" x14ac:dyDescent="0.3">
      <c r="A120" t="s">
        <v>124</v>
      </c>
      <c r="B120">
        <v>1674.6128630000001</v>
      </c>
      <c r="C120">
        <v>1665.792375</v>
      </c>
      <c r="D120">
        <v>402.574386</v>
      </c>
      <c r="E120">
        <v>807.45402899999999</v>
      </c>
      <c r="F120">
        <v>240.080412</v>
      </c>
    </row>
    <row r="121" spans="1:6" x14ac:dyDescent="0.3">
      <c r="A121" t="s">
        <v>125</v>
      </c>
      <c r="B121">
        <v>1670.7961459999999</v>
      </c>
      <c r="C121">
        <v>1694.2131139999999</v>
      </c>
      <c r="D121">
        <v>403.339675</v>
      </c>
      <c r="E121">
        <v>840.18996700000002</v>
      </c>
      <c r="F121">
        <v>245.36281600000001</v>
      </c>
    </row>
    <row r="122" spans="1:6" x14ac:dyDescent="0.3">
      <c r="A122" t="s">
        <v>126</v>
      </c>
      <c r="B122">
        <v>1648.118461</v>
      </c>
      <c r="C122">
        <v>1647.6871430000001</v>
      </c>
      <c r="D122">
        <v>398.25548500000002</v>
      </c>
      <c r="E122">
        <v>836.80309599999998</v>
      </c>
      <c r="F122">
        <v>239.85596799999999</v>
      </c>
    </row>
    <row r="123" spans="1:6" x14ac:dyDescent="0.3">
      <c r="A123" t="s">
        <v>127</v>
      </c>
      <c r="B123">
        <v>1547.1738330000001</v>
      </c>
      <c r="C123">
        <v>1549.6571510000001</v>
      </c>
      <c r="D123">
        <v>371.66232000000002</v>
      </c>
      <c r="E123">
        <v>740.32685100000003</v>
      </c>
      <c r="F123">
        <v>222.66325499999999</v>
      </c>
    </row>
    <row r="124" spans="1:6" x14ac:dyDescent="0.3">
      <c r="A124" t="s">
        <v>128</v>
      </c>
      <c r="B124">
        <v>1562.178142</v>
      </c>
      <c r="C124">
        <v>1575.6008039999999</v>
      </c>
      <c r="D124">
        <v>375.01673699999998</v>
      </c>
      <c r="E124">
        <v>742.370947</v>
      </c>
      <c r="F124">
        <v>225.743246</v>
      </c>
    </row>
    <row r="125" spans="1:6" x14ac:dyDescent="0.3">
      <c r="A125" t="s">
        <v>129</v>
      </c>
      <c r="B125">
        <v>1662.7943660000001</v>
      </c>
      <c r="C125">
        <v>1693.0550840000001</v>
      </c>
      <c r="D125">
        <v>399.36243300000001</v>
      </c>
      <c r="E125">
        <v>794.13937699999997</v>
      </c>
      <c r="F125">
        <v>242.34786399999999</v>
      </c>
    </row>
    <row r="126" spans="1:6" x14ac:dyDescent="0.3">
      <c r="A126" t="s">
        <v>130</v>
      </c>
      <c r="B126">
        <v>1694.396624</v>
      </c>
      <c r="C126">
        <v>1725.475637</v>
      </c>
      <c r="D126">
        <v>407.19712600000003</v>
      </c>
      <c r="E126">
        <v>814.29696899999999</v>
      </c>
      <c r="F126">
        <v>247.298959</v>
      </c>
    </row>
    <row r="127" spans="1:6" x14ac:dyDescent="0.3">
      <c r="A127" t="s">
        <v>131</v>
      </c>
      <c r="B127">
        <v>1705.8034740000001</v>
      </c>
      <c r="C127">
        <v>1756.448541</v>
      </c>
      <c r="D127">
        <v>411.24906099999998</v>
      </c>
      <c r="E127">
        <v>847.839247</v>
      </c>
      <c r="F127">
        <v>252.89250000000001</v>
      </c>
    </row>
    <row r="128" spans="1:6" x14ac:dyDescent="0.3">
      <c r="A128" t="s">
        <v>132</v>
      </c>
      <c r="B128">
        <v>1581.9219009999999</v>
      </c>
      <c r="C128">
        <v>1634.9451730000001</v>
      </c>
      <c r="D128">
        <v>381.65119099999998</v>
      </c>
      <c r="E128">
        <v>792.04911900000002</v>
      </c>
      <c r="F128">
        <v>235.57145800000001</v>
      </c>
    </row>
    <row r="129" spans="1:6" x14ac:dyDescent="0.3">
      <c r="A129" t="s">
        <v>133</v>
      </c>
      <c r="B129">
        <v>1645.4295750000001</v>
      </c>
      <c r="C129">
        <v>1726.219386</v>
      </c>
      <c r="D129">
        <v>396.73330600000003</v>
      </c>
      <c r="E129">
        <v>818.73034500000006</v>
      </c>
      <c r="F129">
        <v>247.65135900000001</v>
      </c>
    </row>
    <row r="130" spans="1:6" x14ac:dyDescent="0.3">
      <c r="A130" t="s">
        <v>134</v>
      </c>
      <c r="B130">
        <v>1765.6037429999999</v>
      </c>
      <c r="C130">
        <v>1866.6422359999999</v>
      </c>
      <c r="D130">
        <v>426.78141699999998</v>
      </c>
      <c r="E130">
        <v>901.67636100000004</v>
      </c>
      <c r="F130">
        <v>268.79148800000002</v>
      </c>
    </row>
    <row r="131" spans="1:6" x14ac:dyDescent="0.3">
      <c r="A131" t="s">
        <v>135</v>
      </c>
      <c r="B131">
        <v>1735.6134489999999</v>
      </c>
      <c r="C131">
        <v>1838.714665</v>
      </c>
      <c r="D131">
        <v>423.509388</v>
      </c>
      <c r="E131">
        <v>972.25448800000004</v>
      </c>
      <c r="F131">
        <v>269.88106199999999</v>
      </c>
    </row>
    <row r="132" spans="1:6" x14ac:dyDescent="0.3">
      <c r="A132" t="s">
        <v>136</v>
      </c>
      <c r="B132">
        <v>1779.307339</v>
      </c>
      <c r="C132">
        <v>1895.3938700000001</v>
      </c>
      <c r="D132">
        <v>434.51475799999997</v>
      </c>
      <c r="E132">
        <v>1004.217517</v>
      </c>
      <c r="F132">
        <v>278.31936000000002</v>
      </c>
    </row>
    <row r="133" spans="1:6" x14ac:dyDescent="0.3">
      <c r="A133" t="s">
        <v>137</v>
      </c>
      <c r="B133">
        <v>1778.4001209999999</v>
      </c>
      <c r="C133">
        <v>1920.9967650000001</v>
      </c>
      <c r="D133">
        <v>436.29609799999997</v>
      </c>
      <c r="E133">
        <v>1047.7808170000001</v>
      </c>
      <c r="F133">
        <v>283.87390099999999</v>
      </c>
    </row>
    <row r="134" spans="1:6" x14ac:dyDescent="0.3">
      <c r="A134" t="s">
        <v>138</v>
      </c>
      <c r="B134">
        <v>1740.8136629999999</v>
      </c>
      <c r="C134">
        <v>1847.2667140000001</v>
      </c>
      <c r="D134">
        <v>424.75843800000001</v>
      </c>
      <c r="E134">
        <v>974.57162300000005</v>
      </c>
      <c r="F134">
        <v>271.00682699999999</v>
      </c>
    </row>
    <row r="135" spans="1:6" x14ac:dyDescent="0.3">
      <c r="A135" t="s">
        <v>139</v>
      </c>
      <c r="B135">
        <v>1772.861889</v>
      </c>
      <c r="C135">
        <v>1886.6441199999999</v>
      </c>
      <c r="D135">
        <v>432.47430400000002</v>
      </c>
      <c r="E135">
        <v>990.27525900000001</v>
      </c>
      <c r="F135">
        <v>276.48044599999997</v>
      </c>
    </row>
    <row r="136" spans="1:6" x14ac:dyDescent="0.3">
      <c r="A136" t="s">
        <v>140</v>
      </c>
      <c r="B136">
        <v>1677.5368430000001</v>
      </c>
      <c r="C136">
        <v>1783.0353270000001</v>
      </c>
      <c r="D136">
        <v>410.327879</v>
      </c>
      <c r="E136">
        <v>961.60525399999995</v>
      </c>
      <c r="F136">
        <v>262.83104200000002</v>
      </c>
    </row>
    <row r="137" spans="1:6" x14ac:dyDescent="0.3">
      <c r="A137" t="s">
        <v>141</v>
      </c>
      <c r="B137">
        <v>1709.6721680000001</v>
      </c>
      <c r="C137">
        <v>1790.5350759999999</v>
      </c>
      <c r="D137">
        <v>417.12033500000001</v>
      </c>
      <c r="E137">
        <v>956.30780300000004</v>
      </c>
      <c r="F137">
        <v>263.37895200000003</v>
      </c>
    </row>
    <row r="138" spans="1:6" x14ac:dyDescent="0.3">
      <c r="A138" t="s">
        <v>142</v>
      </c>
      <c r="B138">
        <v>1739.497106</v>
      </c>
      <c r="C138">
        <v>1853.541727</v>
      </c>
      <c r="D138">
        <v>425.82142499999998</v>
      </c>
      <c r="E138">
        <v>1004.715233</v>
      </c>
      <c r="F138">
        <v>273.52518900000001</v>
      </c>
    </row>
    <row r="139" spans="1:6" x14ac:dyDescent="0.3">
      <c r="A139" t="s">
        <v>143</v>
      </c>
      <c r="B139">
        <v>1708.092283</v>
      </c>
      <c r="C139">
        <v>1834.240354</v>
      </c>
      <c r="D139">
        <v>419.45086099999997</v>
      </c>
      <c r="E139">
        <v>1016.071532</v>
      </c>
      <c r="F139">
        <v>271.969134</v>
      </c>
    </row>
    <row r="140" spans="1:6" x14ac:dyDescent="0.3">
      <c r="A140" t="s">
        <v>144</v>
      </c>
      <c r="B140">
        <v>1698.40787</v>
      </c>
      <c r="C140">
        <v>1865.1187809999999</v>
      </c>
      <c r="D140">
        <v>416.85020800000001</v>
      </c>
      <c r="E140">
        <v>1005.325643</v>
      </c>
      <c r="F140">
        <v>274.89701700000001</v>
      </c>
    </row>
    <row r="141" spans="1:6" x14ac:dyDescent="0.3">
      <c r="A141" t="s">
        <v>145</v>
      </c>
      <c r="B141">
        <v>1748.6880619999999</v>
      </c>
      <c r="C141">
        <v>1949.698345</v>
      </c>
      <c r="D141">
        <v>431.54944499999999</v>
      </c>
      <c r="E141">
        <v>1087.8800100000001</v>
      </c>
      <c r="F141">
        <v>289.55495999999999</v>
      </c>
    </row>
    <row r="142" spans="1:6" x14ac:dyDescent="0.3">
      <c r="A142" t="s">
        <v>146</v>
      </c>
      <c r="B142">
        <v>1714.3534950000001</v>
      </c>
      <c r="C142">
        <v>1952.9860000000001</v>
      </c>
      <c r="D142">
        <v>423.04305599999998</v>
      </c>
      <c r="E142">
        <v>1065.7745279999999</v>
      </c>
      <c r="F142">
        <v>288.62782700000002</v>
      </c>
    </row>
    <row r="143" spans="1:6" x14ac:dyDescent="0.3">
      <c r="A143" t="s">
        <v>147</v>
      </c>
      <c r="B143">
        <v>1743.4153659999999</v>
      </c>
      <c r="C143">
        <v>1989.427817</v>
      </c>
      <c r="D143">
        <v>428.74630300000001</v>
      </c>
      <c r="E143">
        <v>1050.7778390000001</v>
      </c>
      <c r="F143">
        <v>291.95094</v>
      </c>
    </row>
    <row r="144" spans="1:6" x14ac:dyDescent="0.3">
      <c r="A144" t="s">
        <v>148</v>
      </c>
      <c r="B144">
        <v>1715.1844040000001</v>
      </c>
      <c r="C144">
        <v>1965.025361</v>
      </c>
      <c r="D144">
        <v>421.53415100000001</v>
      </c>
      <c r="E144">
        <v>1027.692992</v>
      </c>
      <c r="F144">
        <v>287.76615099999998</v>
      </c>
    </row>
    <row r="145" spans="1:6" x14ac:dyDescent="0.3">
      <c r="A145" t="s">
        <v>149</v>
      </c>
      <c r="B145">
        <v>1687.7417519999999</v>
      </c>
      <c r="C145">
        <v>1945.6383820000001</v>
      </c>
      <c r="D145">
        <v>414.09401800000001</v>
      </c>
      <c r="E145">
        <v>995.28294600000004</v>
      </c>
      <c r="F145">
        <v>283.62747899999999</v>
      </c>
    </row>
    <row r="146" spans="1:6" x14ac:dyDescent="0.3">
      <c r="A146" t="s">
        <v>150</v>
      </c>
      <c r="B146">
        <v>1673.8744899999999</v>
      </c>
      <c r="C146">
        <v>1921.734019</v>
      </c>
      <c r="D146">
        <v>411.02130799999998</v>
      </c>
      <c r="E146">
        <v>994.65268300000002</v>
      </c>
      <c r="F146">
        <v>280.82039500000002</v>
      </c>
    </row>
    <row r="147" spans="1:6" x14ac:dyDescent="0.3">
      <c r="A147" t="s">
        <v>151</v>
      </c>
      <c r="B147">
        <v>1675.399772</v>
      </c>
      <c r="C147">
        <v>1938.00413</v>
      </c>
      <c r="D147">
        <v>410.12942199999998</v>
      </c>
      <c r="E147">
        <v>966.42076999999995</v>
      </c>
      <c r="F147">
        <v>281.06393700000001</v>
      </c>
    </row>
    <row r="148" spans="1:6" x14ac:dyDescent="0.3">
      <c r="A148" t="s">
        <v>152</v>
      </c>
      <c r="B148">
        <v>1598.4561160000001</v>
      </c>
      <c r="C148">
        <v>1841.29883</v>
      </c>
      <c r="D148">
        <v>391.92108400000001</v>
      </c>
      <c r="E148">
        <v>936.52660400000002</v>
      </c>
      <c r="F148">
        <v>268.09927099999999</v>
      </c>
    </row>
    <row r="149" spans="1:6" x14ac:dyDescent="0.3">
      <c r="A149" t="s">
        <v>153</v>
      </c>
      <c r="B149">
        <v>1661.0688210000001</v>
      </c>
      <c r="C149">
        <v>1919.916847</v>
      </c>
      <c r="D149">
        <v>408.548765</v>
      </c>
      <c r="E149">
        <v>1002.69277</v>
      </c>
      <c r="F149">
        <v>281.06337000000002</v>
      </c>
    </row>
    <row r="150" spans="1:6" x14ac:dyDescent="0.3">
      <c r="A150" t="s">
        <v>154</v>
      </c>
      <c r="B150">
        <v>1628.4240279999999</v>
      </c>
      <c r="C150">
        <v>1893.1671240000001</v>
      </c>
      <c r="D150">
        <v>402.04749399999997</v>
      </c>
      <c r="E150">
        <v>1018.283733</v>
      </c>
      <c r="F150">
        <v>278.86067100000002</v>
      </c>
    </row>
    <row r="151" spans="1:6" x14ac:dyDescent="0.3">
      <c r="A151" t="s">
        <v>155</v>
      </c>
      <c r="B151">
        <v>1602.860216</v>
      </c>
      <c r="C151">
        <v>1885.382059</v>
      </c>
      <c r="D151">
        <v>397.10935899999998</v>
      </c>
      <c r="E151">
        <v>1034.420003</v>
      </c>
      <c r="F151">
        <v>278.88021500000002</v>
      </c>
    </row>
    <row r="152" spans="1:6" x14ac:dyDescent="0.3">
      <c r="A152" t="s">
        <v>156</v>
      </c>
      <c r="B152">
        <v>1543.6722139999999</v>
      </c>
      <c r="C152">
        <v>1825.327777</v>
      </c>
      <c r="D152">
        <v>382.069953</v>
      </c>
      <c r="E152">
        <v>987.45842300000004</v>
      </c>
      <c r="F152">
        <v>269.19125200000002</v>
      </c>
    </row>
    <row r="153" spans="1:6" x14ac:dyDescent="0.3">
      <c r="A153" t="s">
        <v>157</v>
      </c>
      <c r="B153">
        <v>1472.738486</v>
      </c>
      <c r="C153">
        <v>1709.1304680000001</v>
      </c>
      <c r="D153">
        <v>363.97613699999999</v>
      </c>
      <c r="E153">
        <v>929.53636400000005</v>
      </c>
      <c r="F153">
        <v>252.33903900000001</v>
      </c>
    </row>
    <row r="154" spans="1:6" x14ac:dyDescent="0.3">
      <c r="A154" t="s">
        <v>158</v>
      </c>
      <c r="B154">
        <v>1507.9129640000001</v>
      </c>
      <c r="C154">
        <v>1735.944465</v>
      </c>
      <c r="D154">
        <v>372.48979100000003</v>
      </c>
      <c r="E154">
        <v>947.55342099999996</v>
      </c>
      <c r="F154">
        <v>256.49564900000001</v>
      </c>
    </row>
    <row r="155" spans="1:6" x14ac:dyDescent="0.3">
      <c r="A155" t="s">
        <v>159</v>
      </c>
      <c r="B155">
        <v>1433.547998</v>
      </c>
      <c r="C155">
        <v>1649.1220900000001</v>
      </c>
      <c r="D155">
        <v>355.81131099999999</v>
      </c>
      <c r="E155">
        <v>940.32950200000005</v>
      </c>
      <c r="F155">
        <v>245.97994600000001</v>
      </c>
    </row>
    <row r="156" spans="1:6" x14ac:dyDescent="0.3">
      <c r="A156" t="s">
        <v>160</v>
      </c>
      <c r="B156">
        <v>1471.932853</v>
      </c>
      <c r="C156">
        <v>1716.3943549999999</v>
      </c>
      <c r="D156">
        <v>367.19479999999999</v>
      </c>
      <c r="E156">
        <v>1008.878469</v>
      </c>
      <c r="F156">
        <v>257.75344799999999</v>
      </c>
    </row>
    <row r="157" spans="1:6" x14ac:dyDescent="0.3">
      <c r="A157" t="s">
        <v>161</v>
      </c>
      <c r="B157">
        <v>1476.139228</v>
      </c>
      <c r="C157">
        <v>1764.4293620000001</v>
      </c>
      <c r="D157">
        <v>369.42202700000001</v>
      </c>
      <c r="E157">
        <v>1039.4521219999999</v>
      </c>
      <c r="F157">
        <v>265.10137400000002</v>
      </c>
    </row>
    <row r="158" spans="1:6" x14ac:dyDescent="0.3">
      <c r="A158" t="s">
        <v>162</v>
      </c>
      <c r="B158">
        <v>1434.6192390000001</v>
      </c>
      <c r="C158">
        <v>1695.005324</v>
      </c>
      <c r="D158">
        <v>359.98249299999998</v>
      </c>
      <c r="E158">
        <v>1032.615182</v>
      </c>
      <c r="F158">
        <v>256.62572599999999</v>
      </c>
    </row>
    <row r="159" spans="1:6" x14ac:dyDescent="0.3">
      <c r="A159" t="s">
        <v>163</v>
      </c>
      <c r="B159">
        <v>1405.180433</v>
      </c>
      <c r="C159">
        <v>1688.3597199999999</v>
      </c>
      <c r="D159">
        <v>354.43035600000002</v>
      </c>
      <c r="E159">
        <v>1054.6158789999999</v>
      </c>
      <c r="F159">
        <v>257.11496399999999</v>
      </c>
    </row>
    <row r="160" spans="1:6" x14ac:dyDescent="0.3">
      <c r="A160" t="s">
        <v>164</v>
      </c>
      <c r="B160">
        <v>1405.4662000000001</v>
      </c>
      <c r="C160">
        <v>1708.831144</v>
      </c>
      <c r="D160">
        <v>355.10160100000002</v>
      </c>
      <c r="E160">
        <v>1069.0097860000001</v>
      </c>
      <c r="F160">
        <v>260.324612</v>
      </c>
    </row>
    <row r="161" spans="1:6" x14ac:dyDescent="0.3">
      <c r="A161" t="s">
        <v>165</v>
      </c>
      <c r="B161">
        <v>1338.4999359999999</v>
      </c>
      <c r="C161">
        <v>1630.094175</v>
      </c>
      <c r="D161">
        <v>339.74919199999999</v>
      </c>
      <c r="E161">
        <v>1055.1963430000001</v>
      </c>
      <c r="F161">
        <v>250.35622499999999</v>
      </c>
    </row>
    <row r="162" spans="1:6" x14ac:dyDescent="0.3">
      <c r="A162" t="s">
        <v>166</v>
      </c>
      <c r="B162">
        <v>1315.4929870000001</v>
      </c>
      <c r="C162">
        <v>1583.972941</v>
      </c>
      <c r="D162">
        <v>332.64180900000002</v>
      </c>
      <c r="E162">
        <v>1007.022489</v>
      </c>
      <c r="F162">
        <v>242.22598500000001</v>
      </c>
    </row>
    <row r="163" spans="1:6" x14ac:dyDescent="0.3">
      <c r="A163" t="s">
        <v>167</v>
      </c>
      <c r="B163">
        <v>1301.5217050000001</v>
      </c>
      <c r="C163">
        <v>1554.5176590000001</v>
      </c>
      <c r="D163">
        <v>329.067024</v>
      </c>
      <c r="E163">
        <v>995.32563300000004</v>
      </c>
      <c r="F163">
        <v>238.11899199999999</v>
      </c>
    </row>
    <row r="164" spans="1:6" x14ac:dyDescent="0.3">
      <c r="A164" t="s">
        <v>168</v>
      </c>
      <c r="B164">
        <v>1311.504154</v>
      </c>
      <c r="C164">
        <v>1544.9679630000001</v>
      </c>
      <c r="D164">
        <v>331.57759499999997</v>
      </c>
      <c r="E164">
        <v>1002.656112</v>
      </c>
      <c r="F164">
        <v>237.415695</v>
      </c>
    </row>
    <row r="165" spans="1:6" x14ac:dyDescent="0.3">
      <c r="A165" t="s">
        <v>169</v>
      </c>
      <c r="B165">
        <v>1279.208388</v>
      </c>
      <c r="C165">
        <v>1504.510211</v>
      </c>
      <c r="D165">
        <v>322.13655</v>
      </c>
      <c r="E165">
        <v>947.32838600000002</v>
      </c>
      <c r="F165">
        <v>229.55534299999999</v>
      </c>
    </row>
    <row r="166" spans="1:6" x14ac:dyDescent="0.3">
      <c r="A166" t="s">
        <v>170</v>
      </c>
      <c r="B166">
        <v>1250.568816</v>
      </c>
      <c r="C166">
        <v>1467.19307</v>
      </c>
      <c r="D166">
        <v>316.02365500000002</v>
      </c>
      <c r="E166">
        <v>952.48751200000004</v>
      </c>
      <c r="F166">
        <v>225.48363699999999</v>
      </c>
    </row>
    <row r="167" spans="1:6" x14ac:dyDescent="0.3">
      <c r="A167" t="s">
        <v>171</v>
      </c>
      <c r="B167">
        <v>1235.715571</v>
      </c>
      <c r="C167">
        <v>1450.255457</v>
      </c>
      <c r="D167">
        <v>312.11083600000001</v>
      </c>
      <c r="E167">
        <v>937.35386700000004</v>
      </c>
      <c r="F167">
        <v>222.646468</v>
      </c>
    </row>
    <row r="168" spans="1:6" x14ac:dyDescent="0.3">
      <c r="A168" t="s">
        <v>172</v>
      </c>
      <c r="B168">
        <v>1177.644732</v>
      </c>
      <c r="C168">
        <v>1363.978347</v>
      </c>
      <c r="D168">
        <v>297.98461099999997</v>
      </c>
      <c r="E168">
        <v>906.29568200000006</v>
      </c>
      <c r="F168">
        <v>210.79887099999999</v>
      </c>
    </row>
    <row r="169" spans="1:6" x14ac:dyDescent="0.3">
      <c r="A169" t="s">
        <v>173</v>
      </c>
      <c r="B169">
        <v>1293.991023</v>
      </c>
      <c r="C169">
        <v>1549.290698</v>
      </c>
      <c r="D169">
        <v>328.67259000000001</v>
      </c>
      <c r="E169">
        <v>1026.0155870000001</v>
      </c>
      <c r="F169">
        <v>239.246635</v>
      </c>
    </row>
    <row r="170" spans="1:6" x14ac:dyDescent="0.3">
      <c r="A170" t="s">
        <v>174</v>
      </c>
      <c r="B170">
        <v>1312.0109950000001</v>
      </c>
      <c r="C170">
        <v>1582.6596500000001</v>
      </c>
      <c r="D170">
        <v>333.29731099999998</v>
      </c>
      <c r="E170">
        <v>1041.447461</v>
      </c>
      <c r="F170">
        <v>244.02477099999999</v>
      </c>
    </row>
    <row r="171" spans="1:6" x14ac:dyDescent="0.3">
      <c r="A171" t="s">
        <v>175</v>
      </c>
      <c r="B171">
        <v>1298.7203239999999</v>
      </c>
      <c r="C171">
        <v>1601.2621079999999</v>
      </c>
      <c r="D171">
        <v>331.92742700000002</v>
      </c>
      <c r="E171">
        <v>1079.4433349999999</v>
      </c>
      <c r="F171">
        <v>248.34150199999999</v>
      </c>
    </row>
    <row r="172" spans="1:6" x14ac:dyDescent="0.3">
      <c r="A172" t="s">
        <v>176</v>
      </c>
      <c r="B172">
        <v>1240.8935670000001</v>
      </c>
      <c r="C172">
        <v>1521.750783</v>
      </c>
      <c r="D172">
        <v>316.65485200000001</v>
      </c>
      <c r="E172">
        <v>1019.3944</v>
      </c>
      <c r="F172">
        <v>235.64761799999999</v>
      </c>
    </row>
    <row r="173" spans="1:6" x14ac:dyDescent="0.3">
      <c r="A173" t="s">
        <v>177</v>
      </c>
      <c r="B173">
        <v>1182.5947639999999</v>
      </c>
      <c r="C173">
        <v>1445.0658330000001</v>
      </c>
      <c r="D173">
        <v>299.510738</v>
      </c>
      <c r="E173">
        <v>916.38681999999994</v>
      </c>
      <c r="F173">
        <v>220.871363</v>
      </c>
    </row>
    <row r="174" spans="1:6" x14ac:dyDescent="0.3">
      <c r="A174" t="s">
        <v>178</v>
      </c>
      <c r="B174">
        <v>1184.6043440000001</v>
      </c>
      <c r="C174">
        <v>1462.4981069999999</v>
      </c>
      <c r="D174">
        <v>300.44674700000002</v>
      </c>
      <c r="E174">
        <v>928.32481800000005</v>
      </c>
      <c r="F174">
        <v>223.58599899999999</v>
      </c>
    </row>
    <row r="175" spans="1:6" x14ac:dyDescent="0.3">
      <c r="A175" t="s">
        <v>179</v>
      </c>
      <c r="B175">
        <v>1217.2963549999999</v>
      </c>
      <c r="C175">
        <v>1538.102797</v>
      </c>
      <c r="D175">
        <v>310.43421499999999</v>
      </c>
      <c r="E175">
        <v>995.56245100000001</v>
      </c>
      <c r="F175">
        <v>236.218593</v>
      </c>
    </row>
    <row r="176" spans="1:6" x14ac:dyDescent="0.3">
      <c r="A176" t="s">
        <v>180</v>
      </c>
      <c r="B176">
        <v>1104.0646099999999</v>
      </c>
      <c r="C176">
        <v>1402.6136710000001</v>
      </c>
      <c r="D176">
        <v>280.639409</v>
      </c>
      <c r="E176">
        <v>880.434214</v>
      </c>
      <c r="F176">
        <v>213.877657</v>
      </c>
    </row>
    <row r="177" spans="1:6" x14ac:dyDescent="0.3">
      <c r="A177" t="s">
        <v>181</v>
      </c>
      <c r="B177">
        <v>1211.2241590000001</v>
      </c>
      <c r="C177">
        <v>1564.7152679999999</v>
      </c>
      <c r="D177">
        <v>310.61798199999998</v>
      </c>
      <c r="E177">
        <v>1033.14968</v>
      </c>
      <c r="F177">
        <v>241.44041200000001</v>
      </c>
    </row>
    <row r="178" spans="1:6" x14ac:dyDescent="0.3">
      <c r="A178" t="s">
        <v>182</v>
      </c>
      <c r="B178">
        <v>1306.054128</v>
      </c>
      <c r="C178">
        <v>1714.0315419999999</v>
      </c>
      <c r="D178">
        <v>335.89606099999997</v>
      </c>
      <c r="E178">
        <v>1137.7312649999999</v>
      </c>
      <c r="F178">
        <v>264.81341600000002</v>
      </c>
    </row>
    <row r="179" spans="1:6" x14ac:dyDescent="0.3">
      <c r="A179" t="s">
        <v>183</v>
      </c>
      <c r="B179">
        <v>1331.1822810000001</v>
      </c>
      <c r="C179">
        <v>1744.0374159999999</v>
      </c>
      <c r="D179">
        <v>341.81703599999997</v>
      </c>
      <c r="E179">
        <v>1146.2186200000001</v>
      </c>
      <c r="F179">
        <v>268.81540899999999</v>
      </c>
    </row>
    <row r="180" spans="1:6" x14ac:dyDescent="0.3">
      <c r="A180" t="s">
        <v>184</v>
      </c>
      <c r="B180">
        <v>1354.607143</v>
      </c>
      <c r="C180">
        <v>1772.492139</v>
      </c>
      <c r="D180">
        <v>347.895734</v>
      </c>
      <c r="E180">
        <v>1167.972217</v>
      </c>
      <c r="F180">
        <v>273.37043299999999</v>
      </c>
    </row>
    <row r="181" spans="1:6" x14ac:dyDescent="0.3">
      <c r="A181" t="s">
        <v>185</v>
      </c>
      <c r="B181">
        <v>1388.6202370000001</v>
      </c>
      <c r="C181">
        <v>1837.7754890000001</v>
      </c>
      <c r="D181">
        <v>356.90220699999998</v>
      </c>
      <c r="E181">
        <v>1204.0278330000001</v>
      </c>
      <c r="F181">
        <v>283.054551</v>
      </c>
    </row>
    <row r="182" spans="1:6" x14ac:dyDescent="0.3">
      <c r="A182" t="s">
        <v>186</v>
      </c>
      <c r="B182">
        <v>1334.9250099999999</v>
      </c>
      <c r="C182">
        <v>1749.0157589999999</v>
      </c>
      <c r="D182">
        <v>343.64048100000002</v>
      </c>
      <c r="E182">
        <v>1170.8702330000001</v>
      </c>
      <c r="F182">
        <v>270.76549699999998</v>
      </c>
    </row>
    <row r="183" spans="1:6" x14ac:dyDescent="0.3">
      <c r="A183" t="s">
        <v>187</v>
      </c>
      <c r="B183">
        <v>1351.6470790000001</v>
      </c>
      <c r="C183">
        <v>1791.8996830000001</v>
      </c>
      <c r="D183">
        <v>344.82257199999998</v>
      </c>
      <c r="E183">
        <v>1107.7673159999999</v>
      </c>
      <c r="F183">
        <v>272.32958400000001</v>
      </c>
    </row>
    <row r="184" spans="1:6" x14ac:dyDescent="0.3">
      <c r="A184" t="s">
        <v>188</v>
      </c>
      <c r="B184">
        <v>1308.083425</v>
      </c>
      <c r="C184">
        <v>1730.9118109999999</v>
      </c>
      <c r="D184">
        <v>335.58085</v>
      </c>
      <c r="E184">
        <v>1119.0792730000001</v>
      </c>
      <c r="F184">
        <v>265.75413500000002</v>
      </c>
    </row>
    <row r="185" spans="1:6" x14ac:dyDescent="0.3">
      <c r="A185" t="s">
        <v>189</v>
      </c>
      <c r="B185">
        <v>1280.0712619999999</v>
      </c>
      <c r="C185">
        <v>1695.575803</v>
      </c>
      <c r="D185">
        <v>330.63637999999997</v>
      </c>
      <c r="E185">
        <v>1151.3846610000001</v>
      </c>
      <c r="F185">
        <v>263.36146600000001</v>
      </c>
    </row>
    <row r="186" spans="1:6" x14ac:dyDescent="0.3">
      <c r="A186" t="s">
        <v>190</v>
      </c>
      <c r="B186">
        <v>1193.5582019999999</v>
      </c>
      <c r="C186">
        <v>1570.528186</v>
      </c>
      <c r="D186">
        <v>308.381103</v>
      </c>
      <c r="E186">
        <v>1075.8532520000001</v>
      </c>
      <c r="F186">
        <v>244.45410699999999</v>
      </c>
    </row>
    <row r="187" spans="1:6" x14ac:dyDescent="0.3">
      <c r="A187" t="s">
        <v>191</v>
      </c>
      <c r="B187">
        <v>1222.225592</v>
      </c>
      <c r="C187">
        <v>1643.51917</v>
      </c>
      <c r="D187">
        <v>315.94665300000003</v>
      </c>
      <c r="E187">
        <v>1105.7536090000001</v>
      </c>
      <c r="F187">
        <v>254.72432900000001</v>
      </c>
    </row>
    <row r="188" spans="1:6" x14ac:dyDescent="0.3">
      <c r="A188" t="s">
        <v>192</v>
      </c>
      <c r="B188">
        <v>1179.194274</v>
      </c>
      <c r="C188">
        <v>1588.1191229999999</v>
      </c>
      <c r="D188">
        <v>305.16352499999999</v>
      </c>
      <c r="E188">
        <v>1075.5291139999999</v>
      </c>
      <c r="F188">
        <v>246.52068299999999</v>
      </c>
    </row>
    <row r="189" spans="1:6" x14ac:dyDescent="0.3">
      <c r="A189" t="s">
        <v>193</v>
      </c>
      <c r="B189">
        <v>1080.699249</v>
      </c>
      <c r="C189">
        <v>1453.045472</v>
      </c>
      <c r="D189">
        <v>279.06426199999999</v>
      </c>
      <c r="E189">
        <v>970.04601700000001</v>
      </c>
      <c r="F189">
        <v>224.79524599999999</v>
      </c>
    </row>
    <row r="190" spans="1:6" x14ac:dyDescent="0.3">
      <c r="A190" t="s">
        <v>194</v>
      </c>
      <c r="B190">
        <v>1124.8255770000001</v>
      </c>
      <c r="C190">
        <v>1501.2116249999999</v>
      </c>
      <c r="D190">
        <v>289.751058</v>
      </c>
      <c r="E190">
        <v>991.40970100000004</v>
      </c>
      <c r="F190">
        <v>231.665097</v>
      </c>
    </row>
    <row r="191" spans="1:6" x14ac:dyDescent="0.3">
      <c r="A191" t="s">
        <v>195</v>
      </c>
      <c r="B191">
        <v>1041.3229429999999</v>
      </c>
      <c r="C191">
        <v>1375.3202080000001</v>
      </c>
      <c r="D191">
        <v>268.24729300000001</v>
      </c>
      <c r="E191">
        <v>917.985187</v>
      </c>
      <c r="F191">
        <v>212.76027400000001</v>
      </c>
    </row>
    <row r="192" spans="1:6" x14ac:dyDescent="0.3">
      <c r="A192" t="s">
        <v>196</v>
      </c>
      <c r="B192">
        <v>1080.2975980000001</v>
      </c>
      <c r="C192">
        <v>1399.1302439999999</v>
      </c>
      <c r="D192">
        <v>276.92140599999999</v>
      </c>
      <c r="E192">
        <v>917.04658500000005</v>
      </c>
      <c r="F192">
        <v>215.537375</v>
      </c>
    </row>
    <row r="193" spans="1:6" x14ac:dyDescent="0.3">
      <c r="A193" t="s">
        <v>197</v>
      </c>
      <c r="B193">
        <v>1198.5635609999999</v>
      </c>
      <c r="C193">
        <v>1580.340876</v>
      </c>
      <c r="D193">
        <v>307.34781900000002</v>
      </c>
      <c r="E193">
        <v>1020.033087</v>
      </c>
      <c r="F193">
        <v>242.59322</v>
      </c>
    </row>
    <row r="194" spans="1:6" x14ac:dyDescent="0.3">
      <c r="A194" t="s">
        <v>198</v>
      </c>
      <c r="B194">
        <v>1200.530432</v>
      </c>
      <c r="C194">
        <v>1608.7940590000001</v>
      </c>
      <c r="D194">
        <v>307.40443399999998</v>
      </c>
      <c r="E194">
        <v>1010.333899</v>
      </c>
      <c r="F194">
        <v>245.41938400000001</v>
      </c>
    </row>
    <row r="195" spans="1:6" x14ac:dyDescent="0.3">
      <c r="A195" t="s">
        <v>199</v>
      </c>
      <c r="B195">
        <v>1133.347606</v>
      </c>
      <c r="C195">
        <v>1517.4001270000001</v>
      </c>
      <c r="D195">
        <v>289.49738200000002</v>
      </c>
      <c r="E195">
        <v>935.92940999999996</v>
      </c>
      <c r="F195">
        <v>230.541887</v>
      </c>
    </row>
    <row r="196" spans="1:6" x14ac:dyDescent="0.3">
      <c r="A196" t="s">
        <v>200</v>
      </c>
      <c r="B196">
        <v>1119.536891</v>
      </c>
      <c r="C196">
        <v>1521.729227</v>
      </c>
      <c r="D196">
        <v>286.32728700000001</v>
      </c>
      <c r="E196">
        <v>933.58967700000005</v>
      </c>
      <c r="F196">
        <v>230.92445499999999</v>
      </c>
    </row>
    <row r="197" spans="1:6" x14ac:dyDescent="0.3">
      <c r="A197" t="s">
        <v>201</v>
      </c>
      <c r="B197">
        <v>1168.4679160000001</v>
      </c>
      <c r="C197">
        <v>1597.280622</v>
      </c>
      <c r="D197">
        <v>299.435157</v>
      </c>
      <c r="E197">
        <v>989.46945000000005</v>
      </c>
      <c r="F197">
        <v>242.91365200000001</v>
      </c>
    </row>
    <row r="198" spans="1:6" x14ac:dyDescent="0.3">
      <c r="A198" t="s">
        <v>202</v>
      </c>
      <c r="B198">
        <v>1149.00684</v>
      </c>
      <c r="C198">
        <v>1573.6591309999999</v>
      </c>
      <c r="D198">
        <v>293.66663199999999</v>
      </c>
      <c r="E198">
        <v>953.12797799999998</v>
      </c>
      <c r="F198">
        <v>238.12839399999999</v>
      </c>
    </row>
    <row r="199" spans="1:6" x14ac:dyDescent="0.3">
      <c r="A199" t="s">
        <v>203</v>
      </c>
      <c r="B199">
        <v>1106.1700519999999</v>
      </c>
      <c r="C199">
        <v>1539.3381059999999</v>
      </c>
      <c r="D199">
        <v>282.58849199999997</v>
      </c>
      <c r="E199">
        <v>914.25874599999997</v>
      </c>
      <c r="F199">
        <v>231.948341</v>
      </c>
    </row>
    <row r="200" spans="1:6" x14ac:dyDescent="0.3">
      <c r="A200" t="s">
        <v>204</v>
      </c>
      <c r="B200">
        <v>1126.9845069999999</v>
      </c>
      <c r="C200">
        <v>1565.318254</v>
      </c>
      <c r="D200">
        <v>287.23241899999999</v>
      </c>
      <c r="E200">
        <v>914.04536399999995</v>
      </c>
      <c r="F200">
        <v>235.010392</v>
      </c>
    </row>
    <row r="201" spans="1:6" x14ac:dyDescent="0.3">
      <c r="A201" t="s">
        <v>205</v>
      </c>
      <c r="B201">
        <v>1085.598716</v>
      </c>
      <c r="C201">
        <v>1506.64248</v>
      </c>
      <c r="D201">
        <v>275.09561000000002</v>
      </c>
      <c r="E201">
        <v>839.45971899999995</v>
      </c>
      <c r="F201">
        <v>224.00460899999999</v>
      </c>
    </row>
    <row r="202" spans="1:6" x14ac:dyDescent="0.3">
      <c r="A202" t="s">
        <v>206</v>
      </c>
      <c r="B202">
        <v>1044.7533719999999</v>
      </c>
      <c r="C202">
        <v>1441.3282859999999</v>
      </c>
      <c r="D202">
        <v>266.14184</v>
      </c>
      <c r="E202">
        <v>844.02432899999997</v>
      </c>
      <c r="F202">
        <v>216.521188</v>
      </c>
    </row>
    <row r="203" spans="1:6" x14ac:dyDescent="0.3">
      <c r="A203" t="s">
        <v>207</v>
      </c>
      <c r="B203">
        <v>964.04807900000003</v>
      </c>
      <c r="C203">
        <v>1318.7358099999999</v>
      </c>
      <c r="D203">
        <v>244.90490500000001</v>
      </c>
      <c r="E203">
        <v>761.29518099999996</v>
      </c>
      <c r="F203">
        <v>197.50967700000001</v>
      </c>
    </row>
    <row r="204" spans="1:6" x14ac:dyDescent="0.3">
      <c r="A204" t="s">
        <v>208</v>
      </c>
      <c r="B204">
        <v>970.00365099999999</v>
      </c>
      <c r="C204">
        <v>1335.2242590000001</v>
      </c>
      <c r="D204">
        <v>246.693769</v>
      </c>
      <c r="E204">
        <v>773.12125700000001</v>
      </c>
      <c r="F204">
        <v>200.10551599999999</v>
      </c>
    </row>
    <row r="205" spans="1:6" x14ac:dyDescent="0.3">
      <c r="A205" t="s">
        <v>209</v>
      </c>
      <c r="B205">
        <v>893.024719</v>
      </c>
      <c r="C205">
        <v>1192.715162</v>
      </c>
      <c r="D205">
        <v>225.24083400000001</v>
      </c>
      <c r="E205">
        <v>662.73042499999997</v>
      </c>
      <c r="F205">
        <v>177.25138999999999</v>
      </c>
    </row>
    <row r="206" spans="1:6" x14ac:dyDescent="0.3">
      <c r="A206" t="s">
        <v>210</v>
      </c>
      <c r="B206">
        <v>805.21628599999997</v>
      </c>
      <c r="C206">
        <v>1061.2611629999999</v>
      </c>
      <c r="D206">
        <v>202.036078</v>
      </c>
      <c r="E206">
        <v>569.96660199999997</v>
      </c>
      <c r="F206">
        <v>156.656902</v>
      </c>
    </row>
    <row r="207" spans="1:6" x14ac:dyDescent="0.3">
      <c r="A207" t="s">
        <v>211</v>
      </c>
      <c r="B207">
        <v>750.86282900000003</v>
      </c>
      <c r="C207">
        <v>999.87918999999999</v>
      </c>
      <c r="D207">
        <v>187.16764900000001</v>
      </c>
      <c r="E207">
        <v>499.30382300000002</v>
      </c>
      <c r="F207">
        <v>145.56652600000001</v>
      </c>
    </row>
    <row r="208" spans="1:6" x14ac:dyDescent="0.3">
      <c r="A208" t="s">
        <v>212</v>
      </c>
      <c r="B208">
        <v>838.82699000000002</v>
      </c>
      <c r="C208">
        <v>1115.838771</v>
      </c>
      <c r="D208">
        <v>208.022741</v>
      </c>
      <c r="E208">
        <v>529.53210000000001</v>
      </c>
      <c r="F208">
        <v>160.96605600000001</v>
      </c>
    </row>
    <row r="209" spans="1:6" x14ac:dyDescent="0.3">
      <c r="A209" t="s">
        <v>213</v>
      </c>
      <c r="B209">
        <v>920.22565099999997</v>
      </c>
      <c r="C209">
        <v>1231.7431120000001</v>
      </c>
      <c r="D209">
        <v>227.68340000000001</v>
      </c>
      <c r="E209">
        <v>567.04212099999995</v>
      </c>
      <c r="F209">
        <v>176.74883700000001</v>
      </c>
    </row>
    <row r="210" spans="1:6" x14ac:dyDescent="0.3">
      <c r="A210" t="s">
        <v>214</v>
      </c>
      <c r="B210">
        <v>892.92578300000002</v>
      </c>
      <c r="C210">
        <v>1171.2179799999999</v>
      </c>
      <c r="D210">
        <v>220.04957300000001</v>
      </c>
      <c r="E210">
        <v>526.97212000000002</v>
      </c>
      <c r="F210">
        <v>167.409707</v>
      </c>
    </row>
    <row r="211" spans="1:6" x14ac:dyDescent="0.3">
      <c r="A211" t="s">
        <v>215</v>
      </c>
      <c r="B211">
        <v>957.24520700000005</v>
      </c>
      <c r="C211">
        <v>1242.1124319999999</v>
      </c>
      <c r="D211">
        <v>236.11139800000001</v>
      </c>
      <c r="E211">
        <v>570.521254</v>
      </c>
      <c r="F211">
        <v>178.16823199999999</v>
      </c>
    </row>
    <row r="212" spans="1:6" x14ac:dyDescent="0.3">
      <c r="A212" t="s">
        <v>216</v>
      </c>
      <c r="B212">
        <v>1182.4427450000001</v>
      </c>
      <c r="C212">
        <v>1569.7364689999999</v>
      </c>
      <c r="D212">
        <v>294.79028899999997</v>
      </c>
      <c r="E212">
        <v>786.92414900000006</v>
      </c>
      <c r="F212">
        <v>228.71334200000001</v>
      </c>
    </row>
    <row r="213" spans="1:6" x14ac:dyDescent="0.3">
      <c r="A213" t="s">
        <v>217</v>
      </c>
      <c r="B213">
        <v>1344.864992</v>
      </c>
      <c r="C213">
        <v>1839.808912</v>
      </c>
      <c r="D213">
        <v>337.61202500000002</v>
      </c>
      <c r="E213">
        <v>956.25316899999996</v>
      </c>
      <c r="F213">
        <v>269.88853599999999</v>
      </c>
    </row>
    <row r="214" spans="1:6" x14ac:dyDescent="0.3">
      <c r="A214" t="s">
        <v>218</v>
      </c>
      <c r="B214">
        <v>1366.699466</v>
      </c>
      <c r="C214">
        <v>1918.442337</v>
      </c>
      <c r="D214">
        <v>345.74552399999999</v>
      </c>
      <c r="E214">
        <v>1041.856372</v>
      </c>
      <c r="F214">
        <v>283.82692900000001</v>
      </c>
    </row>
    <row r="215" spans="1:6" x14ac:dyDescent="0.3">
      <c r="A215" t="s">
        <v>219</v>
      </c>
      <c r="B215">
        <v>1402.128633</v>
      </c>
      <c r="C215">
        <v>1990.709754</v>
      </c>
      <c r="D215">
        <v>355.39797399999998</v>
      </c>
      <c r="E215">
        <v>1087.118872</v>
      </c>
      <c r="F215">
        <v>294.84042899999997</v>
      </c>
    </row>
    <row r="216" spans="1:6" x14ac:dyDescent="0.3">
      <c r="A216" t="s">
        <v>220</v>
      </c>
      <c r="B216">
        <v>1525.725874</v>
      </c>
      <c r="C216">
        <v>2161.7563949999999</v>
      </c>
      <c r="D216">
        <v>387.74834800000002</v>
      </c>
      <c r="E216">
        <v>1209.869872</v>
      </c>
      <c r="F216">
        <v>321.75563799999998</v>
      </c>
    </row>
    <row r="217" spans="1:6" x14ac:dyDescent="0.3">
      <c r="A217" t="s">
        <v>221</v>
      </c>
      <c r="B217">
        <v>1508.9877280000001</v>
      </c>
      <c r="C217">
        <v>2143.1818709999998</v>
      </c>
      <c r="D217">
        <v>383.29995300000002</v>
      </c>
      <c r="E217">
        <v>1191.365065</v>
      </c>
      <c r="F217">
        <v>318.56296200000003</v>
      </c>
    </row>
    <row r="218" spans="1:6" x14ac:dyDescent="0.3">
      <c r="A218" t="s">
        <v>222</v>
      </c>
      <c r="B218">
        <v>1437.4026309999999</v>
      </c>
      <c r="C218">
        <v>2039.0007390000001</v>
      </c>
      <c r="D218">
        <v>363.98508199999998</v>
      </c>
      <c r="E218">
        <v>1104.4301439999999</v>
      </c>
      <c r="F218">
        <v>301.54507999999998</v>
      </c>
    </row>
    <row r="219" spans="1:6" x14ac:dyDescent="0.3">
      <c r="A219" t="s">
        <v>223</v>
      </c>
      <c r="B219">
        <v>1455.560154</v>
      </c>
      <c r="C219">
        <v>2077.8531429999998</v>
      </c>
      <c r="D219">
        <v>370.41086999999999</v>
      </c>
      <c r="E219">
        <v>1167.4974749999999</v>
      </c>
      <c r="F219">
        <v>309.50855200000001</v>
      </c>
    </row>
    <row r="220" spans="1:6" x14ac:dyDescent="0.3">
      <c r="A220" t="s">
        <v>224</v>
      </c>
      <c r="B220">
        <v>1466.346317</v>
      </c>
      <c r="C220">
        <v>2044.0917300000001</v>
      </c>
      <c r="D220">
        <v>369.93491399999999</v>
      </c>
      <c r="E220">
        <v>1088.5698480000001</v>
      </c>
      <c r="F220">
        <v>301.34080499999999</v>
      </c>
    </row>
    <row r="221" spans="1:6" x14ac:dyDescent="0.3">
      <c r="A221" t="s">
        <v>225</v>
      </c>
      <c r="B221">
        <v>1588.8025</v>
      </c>
      <c r="C221">
        <v>2247.9670040000001</v>
      </c>
      <c r="D221">
        <v>403.25103100000001</v>
      </c>
      <c r="E221">
        <v>1245.422356</v>
      </c>
      <c r="F221">
        <v>333.921289</v>
      </c>
    </row>
    <row r="222" spans="1:6" x14ac:dyDescent="0.3">
      <c r="A222" t="s">
        <v>226</v>
      </c>
      <c r="B222">
        <v>1610.941816</v>
      </c>
      <c r="C222">
        <v>2292.3214069999999</v>
      </c>
      <c r="D222">
        <v>408.104941</v>
      </c>
      <c r="E222">
        <v>1241.8693089999999</v>
      </c>
      <c r="F222">
        <v>339.04733800000002</v>
      </c>
    </row>
    <row r="223" spans="1:6" x14ac:dyDescent="0.3">
      <c r="A223" t="s">
        <v>227</v>
      </c>
      <c r="B223">
        <v>1682.3514319999999</v>
      </c>
      <c r="C223">
        <v>2389.568769</v>
      </c>
      <c r="D223">
        <v>427.63422600000001</v>
      </c>
      <c r="E223">
        <v>1337.447993</v>
      </c>
      <c r="F223">
        <v>355.60225300000002</v>
      </c>
    </row>
    <row r="224" spans="1:6" x14ac:dyDescent="0.3">
      <c r="A224" t="s">
        <v>228</v>
      </c>
      <c r="B224">
        <v>1633.576446</v>
      </c>
      <c r="C224">
        <v>2291.97811</v>
      </c>
      <c r="D224">
        <v>411.92273499999999</v>
      </c>
      <c r="E224">
        <v>1204.7397550000001</v>
      </c>
      <c r="F224">
        <v>337.15219999999999</v>
      </c>
    </row>
    <row r="225" spans="1:6" x14ac:dyDescent="0.3">
      <c r="A225" t="s">
        <v>229</v>
      </c>
      <c r="B225">
        <v>1561.585133</v>
      </c>
      <c r="C225">
        <v>2172.444724</v>
      </c>
      <c r="D225">
        <v>391.49373200000002</v>
      </c>
      <c r="E225">
        <v>1086.8253219999999</v>
      </c>
      <c r="F225">
        <v>316.80941300000001</v>
      </c>
    </row>
    <row r="226" spans="1:6" x14ac:dyDescent="0.3">
      <c r="A226" t="s">
        <v>230</v>
      </c>
      <c r="B226">
        <v>1565.8113149999999</v>
      </c>
      <c r="C226">
        <v>2209.6401430000001</v>
      </c>
      <c r="D226">
        <v>393.34398299999998</v>
      </c>
      <c r="E226">
        <v>1112.613824</v>
      </c>
      <c r="F226">
        <v>322.58606800000001</v>
      </c>
    </row>
    <row r="227" spans="1:6" x14ac:dyDescent="0.3">
      <c r="A227" t="s">
        <v>231</v>
      </c>
      <c r="B227">
        <v>1602.359909</v>
      </c>
      <c r="C227">
        <v>2242.060277</v>
      </c>
      <c r="D227">
        <v>399.786765</v>
      </c>
      <c r="E227">
        <v>1059.5438819999999</v>
      </c>
      <c r="F227">
        <v>323.87989399999998</v>
      </c>
    </row>
    <row r="228" spans="1:6" x14ac:dyDescent="0.3">
      <c r="A228" t="s">
        <v>232</v>
      </c>
      <c r="B228">
        <v>1616.8713760000001</v>
      </c>
      <c r="C228">
        <v>2243.5182789999999</v>
      </c>
      <c r="D228">
        <v>401.52006899999998</v>
      </c>
      <c r="E228">
        <v>1014.641244</v>
      </c>
      <c r="F228">
        <v>321.83308099999999</v>
      </c>
    </row>
    <row r="229" spans="1:6" x14ac:dyDescent="0.3">
      <c r="A229" t="s">
        <v>233</v>
      </c>
      <c r="B229">
        <v>1577.8595949999999</v>
      </c>
      <c r="C229">
        <v>2205.2896500000002</v>
      </c>
      <c r="D229">
        <v>391.143711</v>
      </c>
      <c r="E229">
        <v>970.85625700000003</v>
      </c>
      <c r="F229">
        <v>315.01332400000001</v>
      </c>
    </row>
    <row r="230" spans="1:6" x14ac:dyDescent="0.3">
      <c r="A230" t="s">
        <v>234</v>
      </c>
      <c r="B230">
        <v>1514.1806409999999</v>
      </c>
      <c r="C230">
        <v>2116.008511</v>
      </c>
      <c r="D230">
        <v>375.29950600000001</v>
      </c>
      <c r="E230">
        <v>928.903234</v>
      </c>
      <c r="F230">
        <v>302.18139000000002</v>
      </c>
    </row>
    <row r="231" spans="1:6" x14ac:dyDescent="0.3">
      <c r="A231" t="s">
        <v>235</v>
      </c>
      <c r="B231">
        <v>1490.440282</v>
      </c>
      <c r="C231">
        <v>2070.8296209999999</v>
      </c>
      <c r="D231">
        <v>368.777039</v>
      </c>
      <c r="E231">
        <v>895.542327</v>
      </c>
      <c r="F231">
        <v>295.06937799999997</v>
      </c>
    </row>
    <row r="232" spans="1:6" x14ac:dyDescent="0.3">
      <c r="A232" t="s">
        <v>236</v>
      </c>
      <c r="B232">
        <v>1500.231671</v>
      </c>
      <c r="C232">
        <v>2056.6089849999998</v>
      </c>
      <c r="D232">
        <v>371.20220899999998</v>
      </c>
      <c r="E232">
        <v>901.47725800000001</v>
      </c>
      <c r="F232">
        <v>293.62071100000003</v>
      </c>
    </row>
    <row r="233" spans="1:6" x14ac:dyDescent="0.3">
      <c r="A233" t="s">
        <v>237</v>
      </c>
      <c r="B233">
        <v>1483.577994</v>
      </c>
      <c r="C233">
        <v>2045.0357630000001</v>
      </c>
      <c r="D233">
        <v>367.78380700000002</v>
      </c>
      <c r="E233">
        <v>912.64837899999998</v>
      </c>
      <c r="F233">
        <v>292.74355500000001</v>
      </c>
    </row>
    <row r="234" spans="1:6" x14ac:dyDescent="0.3">
      <c r="A234" t="s">
        <v>238</v>
      </c>
      <c r="B234">
        <v>1455.165743</v>
      </c>
      <c r="C234">
        <v>1989.1629969999999</v>
      </c>
      <c r="D234">
        <v>360.04292900000002</v>
      </c>
      <c r="E234">
        <v>874.07980499999996</v>
      </c>
      <c r="F234">
        <v>284.09632800000003</v>
      </c>
    </row>
    <row r="235" spans="1:6" x14ac:dyDescent="0.3">
      <c r="A235" t="s">
        <v>239</v>
      </c>
      <c r="B235">
        <v>1422.9264820000001</v>
      </c>
      <c r="C235">
        <v>1935.247204</v>
      </c>
      <c r="D235">
        <v>350.74954600000001</v>
      </c>
      <c r="E235">
        <v>814.43816600000002</v>
      </c>
      <c r="F235">
        <v>274.69512900000001</v>
      </c>
    </row>
    <row r="236" spans="1:6" x14ac:dyDescent="0.3">
      <c r="A236" t="s">
        <v>240</v>
      </c>
      <c r="B236">
        <v>1373.3676720000001</v>
      </c>
      <c r="C236">
        <v>1862.5966860000001</v>
      </c>
      <c r="D236">
        <v>338.27588800000001</v>
      </c>
      <c r="E236">
        <v>778.16085499999997</v>
      </c>
      <c r="F236">
        <v>264.11456700000002</v>
      </c>
    </row>
    <row r="237" spans="1:6" x14ac:dyDescent="0.3">
      <c r="A237" t="s">
        <v>241</v>
      </c>
      <c r="B237">
        <v>1358.8715810000001</v>
      </c>
      <c r="C237">
        <v>1867.1853739999999</v>
      </c>
      <c r="D237">
        <v>334.80904700000002</v>
      </c>
      <c r="E237">
        <v>773.12354400000004</v>
      </c>
      <c r="F237">
        <v>264.43769600000002</v>
      </c>
    </row>
    <row r="238" spans="1:6" x14ac:dyDescent="0.3">
      <c r="A238" t="s">
        <v>242</v>
      </c>
      <c r="B238">
        <v>1327.2331589999999</v>
      </c>
      <c r="C238">
        <v>1820.0139529999999</v>
      </c>
      <c r="D238">
        <v>327.03680200000002</v>
      </c>
      <c r="E238">
        <v>755.83630600000004</v>
      </c>
      <c r="F238">
        <v>257.86047100000002</v>
      </c>
    </row>
    <row r="239" spans="1:6" x14ac:dyDescent="0.3">
      <c r="A239" t="s">
        <v>243</v>
      </c>
      <c r="B239">
        <v>1319.9344799999999</v>
      </c>
      <c r="C239">
        <v>1804.388483</v>
      </c>
      <c r="D239">
        <v>325.10796699999997</v>
      </c>
      <c r="E239">
        <v>747.53943800000002</v>
      </c>
      <c r="F239">
        <v>255.563861</v>
      </c>
    </row>
    <row r="240" spans="1:6" x14ac:dyDescent="0.3">
      <c r="A240" t="s">
        <v>244</v>
      </c>
      <c r="B240">
        <v>1322.2460570000001</v>
      </c>
      <c r="C240">
        <v>1810.3658270000001</v>
      </c>
      <c r="D240">
        <v>325.73817400000001</v>
      </c>
      <c r="E240">
        <v>750.99552600000004</v>
      </c>
      <c r="F240">
        <v>256.45016099999998</v>
      </c>
    </row>
    <row r="241" spans="1:6" x14ac:dyDescent="0.3">
      <c r="A241" t="s">
        <v>245</v>
      </c>
      <c r="B241">
        <v>1373.383507</v>
      </c>
      <c r="C241">
        <v>1890.8959130000001</v>
      </c>
      <c r="D241">
        <v>340.189841</v>
      </c>
      <c r="E241">
        <v>841.58023200000002</v>
      </c>
      <c r="F241">
        <v>270.36455899999999</v>
      </c>
    </row>
    <row r="242" spans="1:6" x14ac:dyDescent="0.3">
      <c r="A242" t="s">
        <v>246</v>
      </c>
      <c r="B242">
        <v>1335.0693120000001</v>
      </c>
      <c r="C242">
        <v>1808.8693330000001</v>
      </c>
      <c r="D242">
        <v>329.79066899999998</v>
      </c>
      <c r="E242">
        <v>787.80242799999996</v>
      </c>
      <c r="F242">
        <v>257.882251</v>
      </c>
    </row>
    <row r="243" spans="1:6" x14ac:dyDescent="0.3">
      <c r="A243" t="s">
        <v>247</v>
      </c>
      <c r="B243">
        <v>1309.450996</v>
      </c>
      <c r="C243">
        <v>1759.9607579999999</v>
      </c>
      <c r="D243">
        <v>323.74461200000002</v>
      </c>
      <c r="E243">
        <v>782.10619799999995</v>
      </c>
      <c r="F243">
        <v>251.591161</v>
      </c>
    </row>
    <row r="244" spans="1:6" x14ac:dyDescent="0.3">
      <c r="A244" t="s">
        <v>248</v>
      </c>
      <c r="B244">
        <v>1313.213624</v>
      </c>
      <c r="C244">
        <v>1768.043627</v>
      </c>
      <c r="D244">
        <v>324.65813300000002</v>
      </c>
      <c r="E244">
        <v>783.77147400000001</v>
      </c>
      <c r="F244">
        <v>252.66366400000001</v>
      </c>
    </row>
    <row r="245" spans="1:6" x14ac:dyDescent="0.3">
      <c r="A245" t="s">
        <v>249</v>
      </c>
      <c r="B245">
        <v>1257.7753949999999</v>
      </c>
      <c r="C245">
        <v>1663.5434210000001</v>
      </c>
      <c r="D245">
        <v>309.63012099999997</v>
      </c>
      <c r="E245">
        <v>706.48329000000001</v>
      </c>
      <c r="F245">
        <v>236.375877</v>
      </c>
    </row>
    <row r="246" spans="1:6" x14ac:dyDescent="0.3">
      <c r="A246" t="s">
        <v>250</v>
      </c>
      <c r="B246">
        <v>1231.4124139999999</v>
      </c>
      <c r="C246">
        <v>1590.651343</v>
      </c>
      <c r="D246">
        <v>302.43244399999998</v>
      </c>
      <c r="E246">
        <v>667.99423200000001</v>
      </c>
      <c r="F246">
        <v>225.68941100000001</v>
      </c>
    </row>
    <row r="247" spans="1:6" x14ac:dyDescent="0.3">
      <c r="A247" t="s">
        <v>251</v>
      </c>
      <c r="B247">
        <v>1193.8801080000001</v>
      </c>
      <c r="C247">
        <v>1552.5563990000001</v>
      </c>
      <c r="D247">
        <v>292.31892399999998</v>
      </c>
      <c r="E247">
        <v>617.41188399999999</v>
      </c>
      <c r="F247">
        <v>218.78573399999999</v>
      </c>
    </row>
    <row r="248" spans="1:6" x14ac:dyDescent="0.3">
      <c r="A248" t="s">
        <v>252</v>
      </c>
      <c r="B248">
        <v>1224.314012</v>
      </c>
      <c r="C248">
        <v>1605.146426</v>
      </c>
      <c r="D248">
        <v>300.60397</v>
      </c>
      <c r="E248">
        <v>661.31792800000005</v>
      </c>
      <c r="F248">
        <v>227.19131200000001</v>
      </c>
    </row>
    <row r="249" spans="1:6" x14ac:dyDescent="0.3">
      <c r="A249" t="s">
        <v>253</v>
      </c>
      <c r="B249">
        <v>1194.807033</v>
      </c>
      <c r="C249">
        <v>1537.7059690000001</v>
      </c>
      <c r="D249">
        <v>292.20212299999997</v>
      </c>
      <c r="E249">
        <v>606.22992999999997</v>
      </c>
      <c r="F249">
        <v>216.466408</v>
      </c>
    </row>
    <row r="250" spans="1:6" x14ac:dyDescent="0.3">
      <c r="A250" t="s">
        <v>254</v>
      </c>
      <c r="B250">
        <v>1188.164757</v>
      </c>
      <c r="C250">
        <v>1500.1093069999999</v>
      </c>
      <c r="D250">
        <v>290.57038699999998</v>
      </c>
      <c r="E250">
        <v>602.56365300000004</v>
      </c>
      <c r="F250">
        <v>211.65371999999999</v>
      </c>
    </row>
    <row r="251" spans="1:6" x14ac:dyDescent="0.3">
      <c r="A251" t="s">
        <v>255</v>
      </c>
      <c r="B251">
        <v>1148.8130639999999</v>
      </c>
      <c r="C251">
        <v>1453.887553</v>
      </c>
      <c r="D251">
        <v>280.43791299999998</v>
      </c>
      <c r="E251">
        <v>565.16769399999998</v>
      </c>
      <c r="F251">
        <v>204.327687</v>
      </c>
    </row>
    <row r="252" spans="1:6" x14ac:dyDescent="0.3">
      <c r="A252" t="s">
        <v>256</v>
      </c>
      <c r="B252">
        <v>1140.676843</v>
      </c>
      <c r="C252">
        <v>1433.364736</v>
      </c>
      <c r="D252">
        <v>278.07380799999999</v>
      </c>
      <c r="E252">
        <v>548.15487499999995</v>
      </c>
      <c r="F252">
        <v>201.05915999999999</v>
      </c>
    </row>
    <row r="253" spans="1:6" x14ac:dyDescent="0.3">
      <c r="A253" t="s">
        <v>257</v>
      </c>
      <c r="B253">
        <v>1123.6416400000001</v>
      </c>
      <c r="C253">
        <v>1436.585186</v>
      </c>
      <c r="D253">
        <v>273.70221400000003</v>
      </c>
      <c r="E253">
        <v>531.98969299999999</v>
      </c>
      <c r="F253">
        <v>200.814086</v>
      </c>
    </row>
    <row r="254" spans="1:6" x14ac:dyDescent="0.3">
      <c r="A254" t="s">
        <v>258</v>
      </c>
      <c r="B254">
        <v>1151.1837909999999</v>
      </c>
      <c r="C254">
        <v>1479.5704940000001</v>
      </c>
      <c r="D254">
        <v>280.51169099999998</v>
      </c>
      <c r="E254">
        <v>548.68938900000001</v>
      </c>
      <c r="F254">
        <v>206.854128</v>
      </c>
    </row>
    <row r="255" spans="1:6" x14ac:dyDescent="0.3">
      <c r="A255" t="s">
        <v>259</v>
      </c>
      <c r="B255">
        <v>1176.702634</v>
      </c>
      <c r="C255">
        <v>1519.57431</v>
      </c>
      <c r="D255">
        <v>287.49405100000001</v>
      </c>
      <c r="E255">
        <v>588.681423</v>
      </c>
      <c r="F255">
        <v>213.45524399999999</v>
      </c>
    </row>
    <row r="256" spans="1:6" x14ac:dyDescent="0.3">
      <c r="A256" t="s">
        <v>260</v>
      </c>
      <c r="B256">
        <v>1142.349958</v>
      </c>
      <c r="C256">
        <v>1457.2646460000001</v>
      </c>
      <c r="D256">
        <v>278.299376</v>
      </c>
      <c r="E256">
        <v>542.28191700000002</v>
      </c>
      <c r="F256">
        <v>203.80902499999999</v>
      </c>
    </row>
    <row r="257" spans="1:6" x14ac:dyDescent="0.3">
      <c r="A257" t="s">
        <v>261</v>
      </c>
      <c r="B257">
        <v>1169.3406219999999</v>
      </c>
      <c r="C257">
        <v>1487.234457</v>
      </c>
      <c r="D257">
        <v>284.52052099999997</v>
      </c>
      <c r="E257">
        <v>542.17449099999999</v>
      </c>
      <c r="F257">
        <v>207.548799</v>
      </c>
    </row>
    <row r="258" spans="1:6" x14ac:dyDescent="0.3">
      <c r="A258" t="s">
        <v>262</v>
      </c>
      <c r="B258">
        <v>1127.33914</v>
      </c>
      <c r="C258">
        <v>1427.833631</v>
      </c>
      <c r="D258">
        <v>274.17048299999999</v>
      </c>
      <c r="E258">
        <v>517.95019400000001</v>
      </c>
      <c r="F258">
        <v>199.156091</v>
      </c>
    </row>
    <row r="259" spans="1:6" x14ac:dyDescent="0.3">
      <c r="A259" t="s">
        <v>263</v>
      </c>
      <c r="B259">
        <v>1072.698343</v>
      </c>
      <c r="C259">
        <v>1341.1969549999999</v>
      </c>
      <c r="D259">
        <v>260.37909400000001</v>
      </c>
      <c r="E259">
        <v>474.27121199999999</v>
      </c>
      <c r="F259">
        <v>186.58436</v>
      </c>
    </row>
    <row r="260" spans="1:6" x14ac:dyDescent="0.3">
      <c r="A260" t="s">
        <v>264</v>
      </c>
      <c r="B260">
        <v>1047.8606259999999</v>
      </c>
      <c r="C260">
        <v>1295.4391129999999</v>
      </c>
      <c r="D260">
        <v>254.373356</v>
      </c>
      <c r="E260">
        <v>464.15104500000001</v>
      </c>
      <c r="F260">
        <v>180.45950300000001</v>
      </c>
    </row>
    <row r="261" spans="1:6" x14ac:dyDescent="0.3">
      <c r="A261" t="s">
        <v>265</v>
      </c>
      <c r="B261">
        <v>1029.6307509999999</v>
      </c>
      <c r="C261">
        <v>1260.488983</v>
      </c>
      <c r="D261">
        <v>249.506809</v>
      </c>
      <c r="E261">
        <v>439.74643400000002</v>
      </c>
      <c r="F261">
        <v>175.11796899999999</v>
      </c>
    </row>
    <row r="262" spans="1:6" x14ac:dyDescent="0.3">
      <c r="A262" t="s">
        <v>266</v>
      </c>
      <c r="B262">
        <v>1026.991246</v>
      </c>
      <c r="C262">
        <v>1258.460196</v>
      </c>
      <c r="D262">
        <v>248.45089300000001</v>
      </c>
      <c r="E262">
        <v>423.140287</v>
      </c>
      <c r="F262">
        <v>174.20569</v>
      </c>
    </row>
    <row r="263" spans="1:6" x14ac:dyDescent="0.3">
      <c r="A263" t="s">
        <v>267</v>
      </c>
      <c r="B263">
        <v>1062.513508</v>
      </c>
      <c r="C263">
        <v>1298.989693</v>
      </c>
      <c r="D263">
        <v>256.89480500000002</v>
      </c>
      <c r="E263">
        <v>432.19962299999997</v>
      </c>
      <c r="F263">
        <v>179.63505699999999</v>
      </c>
    </row>
    <row r="264" spans="1:6" x14ac:dyDescent="0.3">
      <c r="A264" t="s">
        <v>268</v>
      </c>
      <c r="B264">
        <v>1041.8453930000001</v>
      </c>
      <c r="C264">
        <v>1269.9825969999999</v>
      </c>
      <c r="D264">
        <v>252.17430300000001</v>
      </c>
      <c r="E264">
        <v>434.12594300000001</v>
      </c>
      <c r="F264">
        <v>176.08039400000001</v>
      </c>
    </row>
    <row r="265" spans="1:6" x14ac:dyDescent="0.3">
      <c r="A265" t="s">
        <v>269</v>
      </c>
      <c r="B265">
        <v>1035.6573550000001</v>
      </c>
      <c r="C265">
        <v>1271.1161709999999</v>
      </c>
      <c r="D265">
        <v>250.93196599999999</v>
      </c>
      <c r="E265">
        <v>441.29851200000002</v>
      </c>
      <c r="F265">
        <v>176.49823799999999</v>
      </c>
    </row>
    <row r="266" spans="1:6" x14ac:dyDescent="0.3">
      <c r="A266" t="s">
        <v>270</v>
      </c>
      <c r="B266">
        <v>1059.156753</v>
      </c>
      <c r="C266">
        <v>1309.0358450000001</v>
      </c>
      <c r="D266">
        <v>257.43038999999999</v>
      </c>
      <c r="E266">
        <v>482.06235199999998</v>
      </c>
      <c r="F266">
        <v>182.82363000000001</v>
      </c>
    </row>
    <row r="267" spans="1:6" x14ac:dyDescent="0.3">
      <c r="A267" t="s">
        <v>271</v>
      </c>
      <c r="B267">
        <v>1068.647596</v>
      </c>
      <c r="C267">
        <v>1307.5681890000001</v>
      </c>
      <c r="D267">
        <v>259.51114899999999</v>
      </c>
      <c r="E267">
        <v>477.73243000000002</v>
      </c>
      <c r="F267">
        <v>182.47333699999999</v>
      </c>
    </row>
    <row r="268" spans="1:6" x14ac:dyDescent="0.3">
      <c r="A268" t="s">
        <v>272</v>
      </c>
      <c r="B268">
        <v>1052.2885490000001</v>
      </c>
      <c r="C268">
        <v>1279.701908</v>
      </c>
      <c r="D268">
        <v>255.19500600000001</v>
      </c>
      <c r="E268">
        <v>457.19119699999999</v>
      </c>
      <c r="F268">
        <v>178.18926999999999</v>
      </c>
    </row>
    <row r="269" spans="1:6" x14ac:dyDescent="0.3">
      <c r="A269" t="s">
        <v>273</v>
      </c>
      <c r="B269">
        <v>1036.3182650000001</v>
      </c>
      <c r="C269">
        <v>1262.7101540000001</v>
      </c>
      <c r="D269">
        <v>251.13111799999999</v>
      </c>
      <c r="E269">
        <v>442.77808399999998</v>
      </c>
      <c r="F269">
        <v>175.50892400000001</v>
      </c>
    </row>
    <row r="270" spans="1:6" x14ac:dyDescent="0.3">
      <c r="A270" t="s">
        <v>274</v>
      </c>
      <c r="B270">
        <v>976.01902299999995</v>
      </c>
      <c r="C270">
        <v>1173.2854400000001</v>
      </c>
      <c r="D270">
        <v>236.42411000000001</v>
      </c>
      <c r="E270">
        <v>413.32528100000002</v>
      </c>
      <c r="F270">
        <v>163.15134399999999</v>
      </c>
    </row>
    <row r="271" spans="1:6" x14ac:dyDescent="0.3">
      <c r="A271" t="s">
        <v>275</v>
      </c>
      <c r="B271">
        <v>962.70707400000003</v>
      </c>
      <c r="C271">
        <v>1148.8906010000001</v>
      </c>
      <c r="D271">
        <v>233.23615000000001</v>
      </c>
      <c r="E271">
        <v>409.11463199999997</v>
      </c>
      <c r="F271">
        <v>159.92475899999999</v>
      </c>
    </row>
    <row r="272" spans="1:6" x14ac:dyDescent="0.3">
      <c r="A272" t="s">
        <v>276</v>
      </c>
      <c r="B272">
        <v>909.64133000000004</v>
      </c>
      <c r="C272">
        <v>1081.8447960000001</v>
      </c>
      <c r="D272">
        <v>220.151284</v>
      </c>
      <c r="E272">
        <v>377.63390500000003</v>
      </c>
      <c r="F272">
        <v>150.305038</v>
      </c>
    </row>
    <row r="273" spans="1:6" x14ac:dyDescent="0.3">
      <c r="A273" t="s">
        <v>277</v>
      </c>
      <c r="B273">
        <v>905.323801</v>
      </c>
      <c r="C273">
        <v>1052.0103590000001</v>
      </c>
      <c r="D273">
        <v>219.09810200000001</v>
      </c>
      <c r="E273">
        <v>375.51842499999998</v>
      </c>
      <c r="F273">
        <v>146.47288399999999</v>
      </c>
    </row>
    <row r="274" spans="1:6" x14ac:dyDescent="0.3">
      <c r="A274" t="s">
        <v>278</v>
      </c>
      <c r="B274">
        <v>887.780441</v>
      </c>
      <c r="C274">
        <v>1028.06194</v>
      </c>
      <c r="D274">
        <v>214.45512400000001</v>
      </c>
      <c r="E274">
        <v>352.62414899999999</v>
      </c>
      <c r="F274">
        <v>142.599752</v>
      </c>
    </row>
    <row r="275" spans="1:6" x14ac:dyDescent="0.3">
      <c r="A275" t="s">
        <v>279</v>
      </c>
      <c r="B275">
        <v>871.06570799999997</v>
      </c>
      <c r="C275">
        <v>1006.031259</v>
      </c>
      <c r="D275">
        <v>210.07926</v>
      </c>
      <c r="E275">
        <v>332.68415499999998</v>
      </c>
      <c r="F275">
        <v>139.07914600000001</v>
      </c>
    </row>
    <row r="276" spans="1:6" x14ac:dyDescent="0.3">
      <c r="A276" t="s">
        <v>280</v>
      </c>
      <c r="B276">
        <v>857.64903300000003</v>
      </c>
      <c r="C276">
        <v>984.339157</v>
      </c>
      <c r="D276">
        <v>206.535303</v>
      </c>
      <c r="E276">
        <v>315.43559299999998</v>
      </c>
      <c r="F276">
        <v>135.702282</v>
      </c>
    </row>
    <row r="277" spans="1:6" x14ac:dyDescent="0.3">
      <c r="A277" t="s">
        <v>281</v>
      </c>
      <c r="B277">
        <v>813.30245200000002</v>
      </c>
      <c r="C277">
        <v>930.24677999999994</v>
      </c>
      <c r="D277">
        <v>195.75280100000001</v>
      </c>
      <c r="E277">
        <v>295.16590300000001</v>
      </c>
      <c r="F277">
        <v>128.13363200000001</v>
      </c>
    </row>
    <row r="278" spans="1:6" x14ac:dyDescent="0.3">
      <c r="A278" t="s">
        <v>282</v>
      </c>
      <c r="B278">
        <v>748.62800000000004</v>
      </c>
      <c r="C278">
        <v>851.89200000000005</v>
      </c>
      <c r="D278">
        <v>180.20099999999999</v>
      </c>
      <c r="E278">
        <v>272.267</v>
      </c>
      <c r="F278">
        <v>117.41500000000001</v>
      </c>
    </row>
    <row r="279" spans="1:6" x14ac:dyDescent="0.3">
      <c r="A279" t="s">
        <v>283</v>
      </c>
      <c r="B279">
        <v>752.86400000000003</v>
      </c>
      <c r="C279">
        <v>872.29300000000001</v>
      </c>
      <c r="D279">
        <v>181.416</v>
      </c>
      <c r="E279">
        <v>281.28800000000001</v>
      </c>
      <c r="F279">
        <v>120.321</v>
      </c>
    </row>
    <row r="280" spans="1:6" x14ac:dyDescent="0.3">
      <c r="A280" t="s">
        <v>284</v>
      </c>
      <c r="B280">
        <v>767.47799999999995</v>
      </c>
      <c r="C280">
        <v>891.43899999999996</v>
      </c>
      <c r="D280">
        <v>185.03299999999999</v>
      </c>
      <c r="E280">
        <v>290.43799999999999</v>
      </c>
      <c r="F280">
        <v>123.075</v>
      </c>
    </row>
    <row r="281" spans="1:6" x14ac:dyDescent="0.3">
      <c r="A281" t="s">
        <v>285</v>
      </c>
      <c r="B281">
        <v>792.21500000000003</v>
      </c>
      <c r="C281">
        <v>927.27800000000002</v>
      </c>
      <c r="D281">
        <v>190.797</v>
      </c>
      <c r="E281">
        <v>292.08999999999997</v>
      </c>
      <c r="F281">
        <v>127.64400000000001</v>
      </c>
    </row>
    <row r="282" spans="1:6" x14ac:dyDescent="0.3">
      <c r="A282" t="s">
        <v>286</v>
      </c>
      <c r="B282">
        <v>833.471</v>
      </c>
      <c r="C282">
        <v>958.85900000000004</v>
      </c>
      <c r="D282">
        <v>200.60400000000001</v>
      </c>
      <c r="E282">
        <v>302.358</v>
      </c>
      <c r="F282">
        <v>132.00299999999999</v>
      </c>
    </row>
    <row r="283" spans="1:6" x14ac:dyDescent="0.3">
      <c r="A283" t="s">
        <v>287</v>
      </c>
      <c r="B283">
        <v>791.88300000000004</v>
      </c>
      <c r="C283">
        <v>917.69100000000003</v>
      </c>
      <c r="D283">
        <v>190.489</v>
      </c>
      <c r="E283">
        <v>283.161</v>
      </c>
      <c r="F283">
        <v>126.10299999999999</v>
      </c>
    </row>
    <row r="284" spans="1:6" x14ac:dyDescent="0.3">
      <c r="A284" t="s">
        <v>288</v>
      </c>
      <c r="B284">
        <v>738.17899999999997</v>
      </c>
      <c r="C284">
        <v>872.49300000000005</v>
      </c>
      <c r="D284">
        <v>177.625</v>
      </c>
      <c r="E284">
        <v>266.10599999999999</v>
      </c>
      <c r="F284">
        <v>119.77500000000001</v>
      </c>
    </row>
    <row r="285" spans="1:6" x14ac:dyDescent="0.3">
      <c r="A285" t="s">
        <v>289</v>
      </c>
      <c r="B285">
        <v>830.58199999999999</v>
      </c>
      <c r="C285">
        <v>977.54600000000005</v>
      </c>
      <c r="D285">
        <v>199.846</v>
      </c>
      <c r="E285">
        <v>298.88600000000002</v>
      </c>
      <c r="F285">
        <v>134.22399999999999</v>
      </c>
    </row>
    <row r="286" spans="1:6" x14ac:dyDescent="0.3">
      <c r="A286" t="s">
        <v>290</v>
      </c>
      <c r="B286">
        <v>830.54899999999998</v>
      </c>
      <c r="C286">
        <v>981.42100000000005</v>
      </c>
      <c r="D286">
        <v>199.72900000000001</v>
      </c>
      <c r="E286">
        <v>294.62299999999999</v>
      </c>
      <c r="F286">
        <v>134.55199999999999</v>
      </c>
    </row>
    <row r="287" spans="1:6" x14ac:dyDescent="0.3">
      <c r="A287" t="s">
        <v>291</v>
      </c>
      <c r="B287">
        <v>907.81</v>
      </c>
      <c r="C287">
        <v>1090.626</v>
      </c>
      <c r="D287">
        <v>218.25200000000001</v>
      </c>
      <c r="E287">
        <v>319.75200000000001</v>
      </c>
      <c r="F287">
        <v>149.23699999999999</v>
      </c>
    </row>
    <row r="288" spans="1:6" x14ac:dyDescent="0.3">
      <c r="A288" t="s">
        <v>292</v>
      </c>
      <c r="B288">
        <v>967.84699999999998</v>
      </c>
      <c r="C288">
        <v>1138.761</v>
      </c>
      <c r="D288">
        <v>232.82400000000001</v>
      </c>
      <c r="E288">
        <v>346.28</v>
      </c>
      <c r="F288">
        <v>156.28800000000001</v>
      </c>
    </row>
    <row r="289" spans="1:6" x14ac:dyDescent="0.3">
      <c r="A289" t="s">
        <v>293</v>
      </c>
      <c r="B289">
        <v>968.25</v>
      </c>
      <c r="C289">
        <v>1127.691</v>
      </c>
      <c r="D289">
        <v>233.131</v>
      </c>
      <c r="E289">
        <v>352.83800000000002</v>
      </c>
      <c r="F289">
        <v>155.21899999999999</v>
      </c>
    </row>
    <row r="290" spans="1:6" x14ac:dyDescent="0.3">
      <c r="A290" t="s">
        <v>294</v>
      </c>
      <c r="B290">
        <v>1005.522</v>
      </c>
      <c r="C290">
        <v>1128.3309999999999</v>
      </c>
      <c r="D290">
        <v>241.613</v>
      </c>
      <c r="E290">
        <v>351.46100000000001</v>
      </c>
      <c r="F290">
        <v>155.23599999999999</v>
      </c>
    </row>
    <row r="291" spans="1:6" x14ac:dyDescent="0.3">
      <c r="A291" t="s">
        <v>295</v>
      </c>
      <c r="B291">
        <v>962.73199999999997</v>
      </c>
      <c r="C291">
        <v>1069.6500000000001</v>
      </c>
      <c r="D291">
        <v>231.208</v>
      </c>
      <c r="E291">
        <v>332.76499999999999</v>
      </c>
      <c r="F291">
        <v>147.143</v>
      </c>
    </row>
    <row r="292" spans="1:6" x14ac:dyDescent="0.3">
      <c r="A292" t="s">
        <v>296</v>
      </c>
      <c r="B292">
        <v>972.41800000000001</v>
      </c>
      <c r="C292">
        <v>1064.4960000000001</v>
      </c>
      <c r="D292">
        <v>233.25800000000001</v>
      </c>
      <c r="E292">
        <v>327.74599999999998</v>
      </c>
      <c r="F292">
        <v>146.279</v>
      </c>
    </row>
    <row r="293" spans="1:6" x14ac:dyDescent="0.3">
      <c r="A293" t="s">
        <v>297</v>
      </c>
      <c r="B293">
        <v>1003.516</v>
      </c>
      <c r="C293">
        <v>1122.0509999999999</v>
      </c>
      <c r="D293">
        <v>240.03299999999999</v>
      </c>
      <c r="E293">
        <v>317.39999999999998</v>
      </c>
      <c r="F293">
        <v>152.91800000000001</v>
      </c>
    </row>
    <row r="294" spans="1:6" x14ac:dyDescent="0.3">
      <c r="A294" t="s">
        <v>298</v>
      </c>
      <c r="B294">
        <v>997.928</v>
      </c>
      <c r="C294">
        <v>1115.1790000000001</v>
      </c>
      <c r="D294">
        <v>238</v>
      </c>
      <c r="E294">
        <v>294.42599999999999</v>
      </c>
      <c r="F294">
        <v>151.03</v>
      </c>
    </row>
    <row r="295" spans="1:6" x14ac:dyDescent="0.3">
      <c r="A295" t="s">
        <v>299</v>
      </c>
      <c r="B295">
        <v>943.2</v>
      </c>
      <c r="C295">
        <v>1073.807</v>
      </c>
      <c r="D295">
        <v>224.482</v>
      </c>
      <c r="E295">
        <v>266.86099999999999</v>
      </c>
      <c r="F295">
        <v>144.547</v>
      </c>
    </row>
    <row r="296" spans="1:6" x14ac:dyDescent="0.3">
      <c r="A296" t="s">
        <v>300</v>
      </c>
      <c r="B296">
        <v>926.02300000000002</v>
      </c>
      <c r="C296">
        <v>1048.444</v>
      </c>
      <c r="D296">
        <v>219.96100000000001</v>
      </c>
      <c r="E296">
        <v>251.39500000000001</v>
      </c>
      <c r="F296">
        <v>140.648</v>
      </c>
    </row>
    <row r="297" spans="1:6" x14ac:dyDescent="0.3">
      <c r="A297" t="s">
        <v>301</v>
      </c>
      <c r="B297">
        <v>1016.732</v>
      </c>
      <c r="C297">
        <v>1167.798</v>
      </c>
      <c r="D297">
        <v>242.41399999999999</v>
      </c>
      <c r="E297">
        <v>298.16899999999998</v>
      </c>
      <c r="F297">
        <v>157.61799999999999</v>
      </c>
    </row>
    <row r="298" spans="1:6" x14ac:dyDescent="0.3">
      <c r="A298" t="s">
        <v>302</v>
      </c>
      <c r="B298">
        <v>1069.6690000000001</v>
      </c>
      <c r="C298">
        <v>1201.9449999999999</v>
      </c>
      <c r="D298">
        <v>254.542</v>
      </c>
      <c r="E298">
        <v>301.666</v>
      </c>
      <c r="F298">
        <v>161.94999999999999</v>
      </c>
    </row>
    <row r="299" spans="1:6" x14ac:dyDescent="0.3">
      <c r="A299" t="s">
        <v>303</v>
      </c>
      <c r="B299">
        <v>1084.788</v>
      </c>
      <c r="C299">
        <v>1223.9639999999999</v>
      </c>
      <c r="D299">
        <v>258.84399999999999</v>
      </c>
      <c r="E299">
        <v>322.88799999999998</v>
      </c>
      <c r="F299">
        <v>165.75899999999999</v>
      </c>
    </row>
    <row r="300" spans="1:6" x14ac:dyDescent="0.3">
      <c r="A300" t="s">
        <v>304</v>
      </c>
      <c r="B300">
        <v>1121.088</v>
      </c>
      <c r="C300">
        <v>1277.8800000000001</v>
      </c>
      <c r="D300">
        <v>267.37400000000002</v>
      </c>
      <c r="E300">
        <v>330.54500000000002</v>
      </c>
      <c r="F300">
        <v>172.70699999999999</v>
      </c>
    </row>
    <row r="301" spans="1:6" x14ac:dyDescent="0.3">
      <c r="A301" t="s">
        <v>305</v>
      </c>
      <c r="B301">
        <v>1138.087</v>
      </c>
      <c r="C301">
        <v>1325.2049999999999</v>
      </c>
      <c r="D301">
        <v>271.089</v>
      </c>
      <c r="E301">
        <v>327.709</v>
      </c>
      <c r="F301">
        <v>178.261</v>
      </c>
    </row>
    <row r="302" spans="1:6" x14ac:dyDescent="0.3">
      <c r="A302" t="s">
        <v>306</v>
      </c>
      <c r="B302">
        <v>1061.2619999999999</v>
      </c>
      <c r="C302">
        <v>1241.3340000000001</v>
      </c>
      <c r="D302">
        <v>253.11699999999999</v>
      </c>
      <c r="E302">
        <v>313.13799999999998</v>
      </c>
      <c r="F302">
        <v>167.32499999999999</v>
      </c>
    </row>
    <row r="303" spans="1:6" x14ac:dyDescent="0.3">
      <c r="A303" t="s">
        <v>307</v>
      </c>
      <c r="B303">
        <v>1137.8789999999999</v>
      </c>
      <c r="C303">
        <v>1335.0229999999999</v>
      </c>
      <c r="D303">
        <v>271.96800000000002</v>
      </c>
      <c r="E303">
        <v>349.024</v>
      </c>
      <c r="F303">
        <v>180.63900000000001</v>
      </c>
    </row>
    <row r="304" spans="1:6" x14ac:dyDescent="0.3">
      <c r="A304" t="s">
        <v>308</v>
      </c>
      <c r="B304">
        <v>1244.222</v>
      </c>
      <c r="C304">
        <v>1451.202</v>
      </c>
      <c r="D304">
        <v>297.27100000000002</v>
      </c>
      <c r="E304">
        <v>379.02199999999999</v>
      </c>
      <c r="F304">
        <v>196.33799999999999</v>
      </c>
    </row>
    <row r="305" spans="1:6" x14ac:dyDescent="0.3">
      <c r="A305" t="s">
        <v>309</v>
      </c>
      <c r="B305">
        <v>1221.2529999999999</v>
      </c>
      <c r="C305">
        <v>1448.8879999999999</v>
      </c>
      <c r="D305">
        <v>290.113</v>
      </c>
      <c r="E305">
        <v>333.79300000000001</v>
      </c>
      <c r="F305">
        <v>193.52500000000001</v>
      </c>
    </row>
    <row r="306" spans="1:6" x14ac:dyDescent="0.3">
      <c r="A306" t="s">
        <v>310</v>
      </c>
      <c r="B306">
        <v>1203.0540000000001</v>
      </c>
      <c r="C306">
        <v>1401.3889999999999</v>
      </c>
      <c r="D306">
        <v>285.68200000000002</v>
      </c>
      <c r="E306">
        <v>326.35599999999999</v>
      </c>
      <c r="F306">
        <v>187.376</v>
      </c>
    </row>
    <row r="307" spans="1:6" x14ac:dyDescent="0.3">
      <c r="A307" t="s">
        <v>311</v>
      </c>
      <c r="B307">
        <v>1282.1379999999999</v>
      </c>
      <c r="C307">
        <v>1461.7919999999999</v>
      </c>
      <c r="D307">
        <v>304.89499999999998</v>
      </c>
      <c r="E307">
        <v>357.84699999999998</v>
      </c>
      <c r="F307">
        <v>196.417</v>
      </c>
    </row>
    <row r="308" spans="1:6" x14ac:dyDescent="0.3">
      <c r="A308" t="s">
        <v>312</v>
      </c>
      <c r="B308">
        <v>1305.2449999999999</v>
      </c>
      <c r="C308">
        <v>1504.2940000000001</v>
      </c>
      <c r="D308">
        <v>311.30900000000003</v>
      </c>
      <c r="E308">
        <v>386.03100000000001</v>
      </c>
      <c r="F308">
        <v>203.09899999999999</v>
      </c>
    </row>
    <row r="309" spans="1:6" x14ac:dyDescent="0.3">
      <c r="A309" t="s">
        <v>313</v>
      </c>
      <c r="B309">
        <v>1379.87</v>
      </c>
      <c r="C309">
        <v>1588.1110000000001</v>
      </c>
      <c r="D309">
        <v>329.76100000000002</v>
      </c>
      <c r="E309">
        <v>423.56</v>
      </c>
      <c r="F309">
        <v>215.292</v>
      </c>
    </row>
    <row r="310" spans="1:6" x14ac:dyDescent="0.3">
      <c r="A310" t="s">
        <v>314</v>
      </c>
      <c r="B310">
        <v>1337.6469999999999</v>
      </c>
      <c r="C310">
        <v>1569.162</v>
      </c>
      <c r="D310">
        <v>320.16000000000003</v>
      </c>
      <c r="E310">
        <v>422.08199999999999</v>
      </c>
      <c r="F310">
        <v>212.91499999999999</v>
      </c>
    </row>
    <row r="311" spans="1:6" x14ac:dyDescent="0.3">
      <c r="A311" t="s">
        <v>315</v>
      </c>
      <c r="B311">
        <v>1377.722</v>
      </c>
      <c r="C311">
        <v>1633.145</v>
      </c>
      <c r="D311">
        <v>330.209</v>
      </c>
      <c r="E311">
        <v>445.51799999999997</v>
      </c>
      <c r="F311">
        <v>221.93</v>
      </c>
    </row>
    <row r="312" spans="1:6" x14ac:dyDescent="0.3">
      <c r="A312" t="s">
        <v>316</v>
      </c>
      <c r="B312">
        <v>1334.136</v>
      </c>
      <c r="C312">
        <v>1567.088</v>
      </c>
      <c r="D312">
        <v>319.77600000000001</v>
      </c>
      <c r="E312">
        <v>431.70299999999997</v>
      </c>
      <c r="F312">
        <v>213.179</v>
      </c>
    </row>
    <row r="313" spans="1:6" x14ac:dyDescent="0.3">
      <c r="A313" t="s">
        <v>317</v>
      </c>
      <c r="B313">
        <v>1370.1079999999999</v>
      </c>
      <c r="C313">
        <v>1607.6010000000001</v>
      </c>
      <c r="D313">
        <v>328.68400000000003</v>
      </c>
      <c r="E313">
        <v>451.35899999999998</v>
      </c>
      <c r="F313">
        <v>219.07400000000001</v>
      </c>
    </row>
    <row r="314" spans="1:6" x14ac:dyDescent="0.3">
      <c r="A314" t="s">
        <v>318</v>
      </c>
      <c r="B314">
        <v>1431.9380000000001</v>
      </c>
      <c r="C314">
        <v>1697.192</v>
      </c>
      <c r="D314">
        <v>344.49799999999999</v>
      </c>
      <c r="E314">
        <v>499.404</v>
      </c>
      <c r="F314">
        <v>232.31100000000001</v>
      </c>
    </row>
    <row r="315" spans="1:6" x14ac:dyDescent="0.3">
      <c r="A315" t="s">
        <v>319</v>
      </c>
      <c r="B315">
        <v>1340.5830000000001</v>
      </c>
      <c r="C315">
        <v>1631.8119999999999</v>
      </c>
      <c r="D315">
        <v>323.59199999999998</v>
      </c>
      <c r="E315">
        <v>497.74099999999999</v>
      </c>
      <c r="F315">
        <v>224.15100000000001</v>
      </c>
    </row>
    <row r="316" spans="1:6" x14ac:dyDescent="0.3">
      <c r="A316" t="s">
        <v>320</v>
      </c>
      <c r="B316">
        <v>1338.2460000000001</v>
      </c>
      <c r="C316">
        <v>1588.3230000000001</v>
      </c>
      <c r="D316">
        <v>322.834</v>
      </c>
      <c r="E316">
        <v>491.39299999999997</v>
      </c>
      <c r="F316">
        <v>218.488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19"/>
  <sheetViews>
    <sheetView topLeftCell="A282" workbookViewId="0">
      <selection activeCell="F1" sqref="F1:F315"/>
    </sheetView>
  </sheetViews>
  <sheetFormatPr defaultRowHeight="16.5" x14ac:dyDescent="0.3"/>
  <cols>
    <col min="1" max="2" width="10.625" customWidth="1"/>
    <col min="6" max="8" width="10.625" customWidth="1"/>
    <col min="12" max="12" width="9" customWidth="1"/>
  </cols>
  <sheetData>
    <row r="1" spans="1:15" x14ac:dyDescent="0.3">
      <c r="A1" s="5"/>
      <c r="B1" s="4" t="str">
        <f>_xll.FDS("990100","FG_COMPANY_NAME()")</f>
        <v>MSCI World Index</v>
      </c>
      <c r="C1" s="5" t="str">
        <f>_xll.FDS("991000","FG_COMPANY_NAME()")</f>
        <v>MSCI World ex USA</v>
      </c>
      <c r="D1" s="5" t="str">
        <f>_xll.FDS("892400","FG_COMPANY_NAME()")</f>
        <v>MSCI AC World</v>
      </c>
      <c r="E1" s="5" t="str">
        <f>_xll.FDS("891800","FG_COMPANY_NAME()")</f>
        <v>MSCI EM (Emerging Markets)</v>
      </c>
      <c r="F1" s="4" t="str">
        <f>_xll.FDS("899901","FG_COMPANY_NAME()")</f>
        <v>MSCI AC World ex USA</v>
      </c>
      <c r="G1" s="4"/>
      <c r="H1" s="4"/>
      <c r="I1" s="4"/>
      <c r="J1" s="4"/>
    </row>
    <row r="2" spans="1:15" x14ac:dyDescent="0.3">
      <c r="A2" s="2">
        <f t="array" ref="A2:A315">_xll.FDS("990100","JULIAN(MSCI_TOTAL_RET_IDX(2/27/2026,1/31/2000,M,USD,""GROSS"").dates)")</f>
        <v>46080</v>
      </c>
      <c r="B2" s="5">
        <f t="array" ref="B2:B315">_xll.FDS("990100","MSCI_TOTAL_RET_IDX(2/27/2026,1/31/2000,M,USD,""GROSS"")")</f>
        <v>21740.407476</v>
      </c>
      <c r="C2" s="5">
        <f t="array" ref="C2:C315">_xll.FDS("991000","MSCI_TOTAL_RET_IDX(2/27/2026,1/31/2000,M,USD,""GROSS"")")</f>
        <v>16701.067371000001</v>
      </c>
      <c r="D2" s="5">
        <f t="array" ref="D2:D315">_xll.FDS("892400","MSCI_TOTAL_RET_IDX(2/27/2026,1/31/2000,M,USD,""GROSS"")")</f>
        <v>2503.4044090000002</v>
      </c>
      <c r="E2" s="5">
        <f t="array" ref="E2:E315">_xll.FDS("891800","MSCI_TOTAL_RET_IDX(2/27/2026,1/31/2000,M,USD,""GROSS"")")</f>
        <v>4403.3908709999996</v>
      </c>
      <c r="F2" s="4">
        <f t="array" ref="F2:F315">_xll.FDS("899901","MSCI_TOTAL_RET_IDX(2/27/2026,1/31/2000,M,USD,""GROSS"")")</f>
        <v>1242.3421350000001</v>
      </c>
      <c r="G2" s="3"/>
      <c r="H2" s="4"/>
      <c r="I2" s="4"/>
      <c r="J2" s="4"/>
    </row>
    <row r="3" spans="1:15" x14ac:dyDescent="0.3">
      <c r="A3" s="3">
        <v>46052</v>
      </c>
      <c r="B3" s="4">
        <v>21576.661757999998</v>
      </c>
      <c r="C3" s="4">
        <v>15933.089904</v>
      </c>
      <c r="D3" s="4">
        <v>2471.0112519999998</v>
      </c>
      <c r="E3" s="4">
        <v>4173.3340520000002</v>
      </c>
      <c r="F3" s="4">
        <v>1182.760859</v>
      </c>
      <c r="H3" s="4"/>
      <c r="I3" s="4"/>
      <c r="J3" s="4"/>
      <c r="K3" s="4"/>
      <c r="M3" s="4"/>
      <c r="N3" s="4"/>
      <c r="O3" s="4"/>
    </row>
    <row r="4" spans="1:15" x14ac:dyDescent="0.3">
      <c r="A4" s="3">
        <v>46022</v>
      </c>
      <c r="B4" s="4">
        <v>21100.067425000001</v>
      </c>
      <c r="C4" s="4">
        <v>15213.283573999999</v>
      </c>
      <c r="D4" s="4">
        <v>2399.4132570000002</v>
      </c>
      <c r="E4" s="4">
        <v>3833.6160190000001</v>
      </c>
      <c r="F4" s="4">
        <v>1115.89552</v>
      </c>
      <c r="H4" s="4"/>
      <c r="I4" s="4"/>
      <c r="J4" s="4"/>
      <c r="K4" s="4"/>
      <c r="L4" s="4"/>
      <c r="M4" s="4"/>
      <c r="N4" s="4"/>
      <c r="O4" s="4"/>
    </row>
    <row r="5" spans="1:15" x14ac:dyDescent="0.3">
      <c r="A5" s="3">
        <v>45989</v>
      </c>
      <c r="B5" s="4">
        <v>20924.659060000002</v>
      </c>
      <c r="C5" s="4">
        <v>14767.227199000001</v>
      </c>
      <c r="D5" s="4">
        <v>2373.919656</v>
      </c>
      <c r="E5" s="4">
        <v>3721.0817419999998</v>
      </c>
      <c r="F5" s="4">
        <v>1083.165076</v>
      </c>
      <c r="H5" s="3"/>
      <c r="I5" s="4"/>
      <c r="J5" s="4"/>
      <c r="K5" s="4"/>
    </row>
    <row r="6" spans="1:15" x14ac:dyDescent="0.3">
      <c r="A6" s="3">
        <v>45961</v>
      </c>
      <c r="B6" s="4">
        <v>20859.465155999998</v>
      </c>
      <c r="C6" s="4">
        <v>14611.543301</v>
      </c>
      <c r="D6" s="4">
        <v>2373.519839</v>
      </c>
      <c r="E6" s="4">
        <v>3811.8175590000001</v>
      </c>
      <c r="F6" s="4">
        <v>1083.247359</v>
      </c>
      <c r="H6" s="3"/>
      <c r="I6" s="4"/>
      <c r="J6" s="4"/>
    </row>
    <row r="7" spans="1:15" x14ac:dyDescent="0.3">
      <c r="A7" s="3">
        <v>45930</v>
      </c>
      <c r="B7" s="4">
        <v>20445.915186999999</v>
      </c>
      <c r="C7" s="4">
        <v>14453.291464</v>
      </c>
      <c r="D7" s="4">
        <v>2321.1645709999998</v>
      </c>
      <c r="E7" s="4">
        <v>3658.5784140000001</v>
      </c>
      <c r="F7" s="4">
        <v>1061.6303969999999</v>
      </c>
      <c r="H7" s="3"/>
      <c r="I7" s="4"/>
      <c r="J7" s="4"/>
    </row>
    <row r="8" spans="1:15" x14ac:dyDescent="0.3">
      <c r="A8" s="3">
        <v>45898</v>
      </c>
      <c r="B8" s="4">
        <v>19801.961522000001</v>
      </c>
      <c r="C8" s="4">
        <v>14146.105670999999</v>
      </c>
      <c r="D8" s="4">
        <v>2239.1934980000001</v>
      </c>
      <c r="E8" s="4">
        <v>3413.4084010000001</v>
      </c>
      <c r="F8" s="4">
        <v>1024.304214</v>
      </c>
      <c r="H8" s="3"/>
      <c r="I8" s="4"/>
      <c r="J8" s="4"/>
    </row>
    <row r="9" spans="1:15" x14ac:dyDescent="0.3">
      <c r="A9" s="3">
        <v>45869</v>
      </c>
      <c r="B9" s="4">
        <v>19293.050929000001</v>
      </c>
      <c r="C9" s="4">
        <v>13547.520597999999</v>
      </c>
      <c r="D9" s="4">
        <v>2184.265977</v>
      </c>
      <c r="E9" s="4">
        <v>3364.072146</v>
      </c>
      <c r="F9" s="4">
        <v>989.32881399999997</v>
      </c>
      <c r="H9" s="3"/>
      <c r="I9" s="4"/>
      <c r="J9" s="4"/>
    </row>
    <row r="10" spans="1:15" x14ac:dyDescent="0.3">
      <c r="A10" s="3">
        <v>45838</v>
      </c>
      <c r="B10" s="4">
        <v>19044.007433999999</v>
      </c>
      <c r="C10" s="4">
        <v>13711.209525</v>
      </c>
      <c r="D10" s="4">
        <v>2154.502262</v>
      </c>
      <c r="E10" s="4">
        <v>3297.6048150000001</v>
      </c>
      <c r="F10" s="4">
        <v>991.86924699999997</v>
      </c>
      <c r="H10" s="3"/>
      <c r="I10" s="4"/>
      <c r="J10" s="4"/>
    </row>
    <row r="11" spans="1:15" x14ac:dyDescent="0.3">
      <c r="A11" s="3">
        <v>45807</v>
      </c>
      <c r="B11" s="4">
        <v>18250.358313000001</v>
      </c>
      <c r="C11" s="4">
        <v>13393.555204</v>
      </c>
      <c r="D11" s="4">
        <v>2061.073367</v>
      </c>
      <c r="E11" s="4">
        <v>3106.883601</v>
      </c>
      <c r="F11" s="4">
        <v>958.81665799999996</v>
      </c>
      <c r="H11" s="3"/>
      <c r="I11" s="4"/>
      <c r="J11" s="4"/>
    </row>
    <row r="12" spans="1:15" x14ac:dyDescent="0.3">
      <c r="A12" s="3">
        <v>45777</v>
      </c>
      <c r="B12" s="4">
        <v>17219.319837999999</v>
      </c>
      <c r="C12" s="4">
        <v>12774.843287</v>
      </c>
      <c r="D12" s="4">
        <v>1947.8373529999999</v>
      </c>
      <c r="E12" s="4">
        <v>2978.610459</v>
      </c>
      <c r="F12" s="4">
        <v>915.87443499999995</v>
      </c>
      <c r="H12" s="3"/>
      <c r="I12" s="4"/>
      <c r="J12" s="4"/>
    </row>
    <row r="13" spans="1:15" x14ac:dyDescent="0.3">
      <c r="A13" s="3">
        <v>45747</v>
      </c>
      <c r="B13" s="4">
        <v>17059.748792999999</v>
      </c>
      <c r="C13" s="4">
        <v>12206.171318999999</v>
      </c>
      <c r="D13" s="4">
        <v>1928.9803710000001</v>
      </c>
      <c r="E13" s="4">
        <v>2939.1009439999998</v>
      </c>
      <c r="F13" s="4">
        <v>883.26105399999994</v>
      </c>
      <c r="H13" s="3"/>
      <c r="I13" s="4"/>
      <c r="J13" s="4"/>
    </row>
    <row r="14" spans="1:15" x14ac:dyDescent="0.3">
      <c r="A14" s="3">
        <v>45716</v>
      </c>
      <c r="B14" s="4">
        <v>17844.251037999999</v>
      </c>
      <c r="C14" s="4">
        <v>12263.381894</v>
      </c>
      <c r="D14" s="4">
        <v>2007.191047</v>
      </c>
      <c r="E14" s="4">
        <v>2919.510135</v>
      </c>
      <c r="F14" s="4">
        <v>884.48255500000005</v>
      </c>
      <c r="H14" s="3"/>
      <c r="I14" s="4"/>
      <c r="J14" s="4"/>
    </row>
    <row r="15" spans="1:15" x14ac:dyDescent="0.3">
      <c r="A15" s="3">
        <v>45688</v>
      </c>
      <c r="B15" s="4">
        <v>17968.349835000001</v>
      </c>
      <c r="C15" s="4">
        <v>12049.969684</v>
      </c>
      <c r="D15" s="4">
        <v>2018.7866180000001</v>
      </c>
      <c r="E15" s="4">
        <v>2904.9021170000001</v>
      </c>
      <c r="F15" s="4">
        <v>872.238384</v>
      </c>
      <c r="H15" s="3"/>
      <c r="I15" s="4"/>
      <c r="J15" s="4"/>
    </row>
    <row r="16" spans="1:15" x14ac:dyDescent="0.3">
      <c r="A16" s="3">
        <v>45657</v>
      </c>
      <c r="B16" s="4">
        <v>17352.115351</v>
      </c>
      <c r="C16" s="4">
        <v>11477.426659999999</v>
      </c>
      <c r="D16" s="4">
        <v>1952.803514</v>
      </c>
      <c r="E16" s="4">
        <v>2853.3296209999999</v>
      </c>
      <c r="F16" s="4">
        <v>838.31877099999997</v>
      </c>
      <c r="H16" s="3"/>
      <c r="I16" s="4"/>
      <c r="J16" s="4"/>
    </row>
    <row r="17" spans="1:10" x14ac:dyDescent="0.3">
      <c r="A17" s="3">
        <v>45625</v>
      </c>
      <c r="B17" s="4">
        <v>17810.635170000001</v>
      </c>
      <c r="C17" s="4">
        <v>11790.820522</v>
      </c>
      <c r="D17" s="4">
        <v>1999.474831</v>
      </c>
      <c r="E17" s="4">
        <v>2855.9489039999999</v>
      </c>
      <c r="F17" s="4">
        <v>854.64954699999998</v>
      </c>
      <c r="H17" s="3"/>
      <c r="I17" s="4"/>
      <c r="J17" s="4"/>
    </row>
    <row r="18" spans="1:10" x14ac:dyDescent="0.3">
      <c r="A18" s="3">
        <v>45596</v>
      </c>
      <c r="B18" s="4">
        <v>17023.445476000001</v>
      </c>
      <c r="C18" s="4">
        <v>11760.301464</v>
      </c>
      <c r="D18" s="4">
        <v>1926.7761869999999</v>
      </c>
      <c r="E18" s="4">
        <v>2962.1041620000001</v>
      </c>
      <c r="F18" s="4">
        <v>862.30794100000003</v>
      </c>
      <c r="H18" s="3"/>
      <c r="I18" s="4"/>
      <c r="J18" s="4"/>
    </row>
    <row r="19" spans="1:10" x14ac:dyDescent="0.3">
      <c r="A19" s="3">
        <v>45565</v>
      </c>
      <c r="B19" s="4">
        <v>17364.011736</v>
      </c>
      <c r="C19" s="4">
        <v>12389.856062999999</v>
      </c>
      <c r="D19" s="4">
        <v>1970.352877</v>
      </c>
      <c r="E19" s="4">
        <v>3095.9516290000001</v>
      </c>
      <c r="F19" s="4">
        <v>906.33129399999996</v>
      </c>
      <c r="H19" s="3"/>
      <c r="I19" s="4"/>
      <c r="J19" s="4"/>
    </row>
    <row r="20" spans="1:10" x14ac:dyDescent="0.3">
      <c r="A20" s="3">
        <v>45534</v>
      </c>
      <c r="B20" s="4">
        <v>17045.470265</v>
      </c>
      <c r="C20" s="4">
        <v>12248.585142</v>
      </c>
      <c r="D20" s="4">
        <v>1924.9071140000001</v>
      </c>
      <c r="E20" s="4">
        <v>2901.013872</v>
      </c>
      <c r="F20" s="4">
        <v>882.18088699999998</v>
      </c>
      <c r="H20" s="3"/>
      <c r="I20" s="4"/>
      <c r="J20" s="4"/>
    </row>
    <row r="21" spans="1:10" x14ac:dyDescent="0.3">
      <c r="A21" s="3">
        <v>45504</v>
      </c>
      <c r="B21" s="4">
        <v>16601.012475</v>
      </c>
      <c r="C21" s="4">
        <v>11851.326351</v>
      </c>
      <c r="D21" s="4">
        <v>1876.6063389999999</v>
      </c>
      <c r="E21" s="4">
        <v>2853.9797739999999</v>
      </c>
      <c r="F21" s="4">
        <v>857.578171</v>
      </c>
      <c r="H21" s="3"/>
      <c r="I21" s="4"/>
      <c r="J21" s="4"/>
    </row>
    <row r="22" spans="1:10" x14ac:dyDescent="0.3">
      <c r="A22" s="3">
        <v>45471</v>
      </c>
      <c r="B22" s="4">
        <v>16309.886618</v>
      </c>
      <c r="C22" s="4">
        <v>11488.944057000001</v>
      </c>
      <c r="D22" s="4">
        <v>1846.320461</v>
      </c>
      <c r="E22" s="4">
        <v>2843.5332130000002</v>
      </c>
      <c r="F22" s="4">
        <v>837.90504999999996</v>
      </c>
      <c r="H22" s="3"/>
      <c r="I22" s="4"/>
      <c r="J22" s="4"/>
    </row>
    <row r="23" spans="1:10" x14ac:dyDescent="0.3">
      <c r="A23" s="3">
        <v>45443</v>
      </c>
      <c r="B23" s="4">
        <v>15979.455491000001</v>
      </c>
      <c r="C23" s="4">
        <v>11679.265208999999</v>
      </c>
      <c r="D23" s="4">
        <v>1805.4571659999999</v>
      </c>
      <c r="E23" s="4">
        <v>2733.9607070000002</v>
      </c>
      <c r="F23" s="4">
        <v>838.38345100000004</v>
      </c>
      <c r="H23" s="3"/>
      <c r="I23" s="4"/>
      <c r="J23" s="4"/>
    </row>
    <row r="24" spans="1:10" x14ac:dyDescent="0.3">
      <c r="A24" s="3">
        <v>45412</v>
      </c>
      <c r="B24" s="4">
        <v>15286.59151</v>
      </c>
      <c r="C24" s="4">
        <v>11236.003441000001</v>
      </c>
      <c r="D24" s="4">
        <v>1733.93893</v>
      </c>
      <c r="E24" s="4">
        <v>2717.8136060000002</v>
      </c>
      <c r="F24" s="4">
        <v>813.99008800000001</v>
      </c>
      <c r="H24" s="3"/>
      <c r="I24" s="4"/>
      <c r="J24" s="4"/>
    </row>
    <row r="25" spans="1:10" x14ac:dyDescent="0.3">
      <c r="A25" s="3">
        <v>45379</v>
      </c>
      <c r="B25" s="4">
        <v>15864.367263</v>
      </c>
      <c r="C25" s="4">
        <v>11518.702213</v>
      </c>
      <c r="D25" s="4">
        <v>1791.359283</v>
      </c>
      <c r="E25" s="4">
        <v>2697.7559879999999</v>
      </c>
      <c r="F25" s="4">
        <v>826.99772399999995</v>
      </c>
      <c r="H25" s="3"/>
      <c r="I25" s="4"/>
      <c r="J25" s="4"/>
    </row>
    <row r="26" spans="1:10" x14ac:dyDescent="0.3">
      <c r="A26" s="3">
        <v>45351</v>
      </c>
      <c r="B26" s="4">
        <v>15366.381971000001</v>
      </c>
      <c r="C26" s="4">
        <v>11141.519899999999</v>
      </c>
      <c r="D26" s="4">
        <v>1736.815265</v>
      </c>
      <c r="E26" s="4">
        <v>2638.610103</v>
      </c>
      <c r="F26" s="4">
        <v>802.37662499999999</v>
      </c>
      <c r="H26" s="3"/>
      <c r="I26" s="4"/>
      <c r="J26" s="4"/>
    </row>
    <row r="27" spans="1:10" x14ac:dyDescent="0.3">
      <c r="A27" s="3">
        <v>45322</v>
      </c>
      <c r="B27" s="4">
        <v>14735.888913999999</v>
      </c>
      <c r="C27" s="4">
        <v>10952.679796</v>
      </c>
      <c r="D27" s="4">
        <v>1664.7630919999999</v>
      </c>
      <c r="E27" s="4">
        <v>2518.3620139999998</v>
      </c>
      <c r="F27" s="4">
        <v>782.43390599999998</v>
      </c>
      <c r="H27" s="3"/>
      <c r="I27" s="4"/>
      <c r="J27" s="4"/>
    </row>
    <row r="28" spans="1:10" x14ac:dyDescent="0.3">
      <c r="A28" s="3">
        <v>45289</v>
      </c>
      <c r="B28" s="4">
        <v>14557.826422</v>
      </c>
      <c r="C28" s="4">
        <v>10904.028068</v>
      </c>
      <c r="D28" s="4">
        <v>1654.705023</v>
      </c>
      <c r="E28" s="4">
        <v>2640.7359550000001</v>
      </c>
      <c r="F28" s="4">
        <v>790.17383700000005</v>
      </c>
      <c r="H28" s="3"/>
      <c r="I28" s="4"/>
      <c r="J28" s="4"/>
    </row>
    <row r="29" spans="1:10" x14ac:dyDescent="0.3">
      <c r="A29" s="3">
        <v>45260</v>
      </c>
      <c r="B29" s="4">
        <v>13871.961001</v>
      </c>
      <c r="C29" s="4">
        <v>10336.634217999999</v>
      </c>
      <c r="D29" s="4">
        <v>1578.338665</v>
      </c>
      <c r="E29" s="4">
        <v>2540.486922</v>
      </c>
      <c r="F29" s="4">
        <v>752.18235500000003</v>
      </c>
      <c r="H29" s="3"/>
      <c r="I29" s="4"/>
      <c r="J29" s="4"/>
    </row>
    <row r="30" spans="1:10" x14ac:dyDescent="0.3">
      <c r="A30" s="3">
        <v>45230</v>
      </c>
      <c r="B30" s="4">
        <v>12676.970282</v>
      </c>
      <c r="C30" s="4">
        <v>9446.7642799999994</v>
      </c>
      <c r="D30" s="4">
        <v>1444.344327</v>
      </c>
      <c r="E30" s="4">
        <v>2351.8719620000002</v>
      </c>
      <c r="F30" s="4">
        <v>689.93568700000003</v>
      </c>
      <c r="H30" s="3"/>
      <c r="I30" s="4"/>
      <c r="J30" s="4"/>
    </row>
    <row r="31" spans="1:10" x14ac:dyDescent="0.3">
      <c r="A31" s="3">
        <v>45198</v>
      </c>
      <c r="B31" s="4">
        <v>13052.604114</v>
      </c>
      <c r="C31" s="4">
        <v>9861.5183390000002</v>
      </c>
      <c r="D31" s="4">
        <v>1488.7739340000001</v>
      </c>
      <c r="E31" s="4">
        <v>2446.667019</v>
      </c>
      <c r="F31" s="4">
        <v>719.52163099999996</v>
      </c>
      <c r="H31" s="3"/>
      <c r="I31" s="4"/>
      <c r="J31" s="4"/>
    </row>
    <row r="32" spans="1:10" x14ac:dyDescent="0.3">
      <c r="A32" s="3">
        <v>45169</v>
      </c>
      <c r="B32" s="4">
        <v>13636.081474000001</v>
      </c>
      <c r="C32" s="4">
        <v>10200.610242000001</v>
      </c>
      <c r="D32" s="4">
        <v>1552.4169019999999</v>
      </c>
      <c r="E32" s="4">
        <v>2511.3325930000001</v>
      </c>
      <c r="F32" s="4">
        <v>742.64100800000006</v>
      </c>
      <c r="H32" s="3"/>
      <c r="I32" s="4"/>
      <c r="J32" s="4"/>
    </row>
    <row r="33" spans="1:10" x14ac:dyDescent="0.3">
      <c r="A33" s="3">
        <v>45138</v>
      </c>
      <c r="B33" s="4">
        <v>13963.885805</v>
      </c>
      <c r="C33" s="4">
        <v>10609.188693</v>
      </c>
      <c r="D33" s="4">
        <v>1596.3918610000001</v>
      </c>
      <c r="E33" s="4">
        <v>2675.364039</v>
      </c>
      <c r="F33" s="4">
        <v>777.60262999999998</v>
      </c>
      <c r="H33" s="3"/>
      <c r="I33" s="4"/>
      <c r="J33" s="4"/>
    </row>
    <row r="34" spans="1:10" x14ac:dyDescent="0.3">
      <c r="A34" s="3">
        <v>45107</v>
      </c>
      <c r="B34" s="4">
        <v>13506.744492</v>
      </c>
      <c r="C34" s="4">
        <v>10274.879215999999</v>
      </c>
      <c r="D34" s="4">
        <v>1539.5734749999999</v>
      </c>
      <c r="E34" s="4">
        <v>2516.9632609999999</v>
      </c>
      <c r="F34" s="4">
        <v>746.99621400000001</v>
      </c>
      <c r="H34" s="3"/>
      <c r="I34" s="4"/>
      <c r="J34" s="4"/>
    </row>
    <row r="35" spans="1:10" x14ac:dyDescent="0.3">
      <c r="A35" s="3">
        <v>45077</v>
      </c>
      <c r="B35" s="4">
        <v>12731.907782</v>
      </c>
      <c r="C35" s="4">
        <v>9805.1883550000002</v>
      </c>
      <c r="D35" s="4">
        <v>1454.4817840000001</v>
      </c>
      <c r="E35" s="4">
        <v>2422.6756460000001</v>
      </c>
      <c r="F35" s="4">
        <v>714.55789000000004</v>
      </c>
      <c r="H35" s="3"/>
      <c r="I35" s="4"/>
      <c r="J35" s="4"/>
    </row>
    <row r="36" spans="1:10" x14ac:dyDescent="0.3">
      <c r="A36" s="3">
        <v>45044</v>
      </c>
      <c r="B36" s="4">
        <v>12850.378508</v>
      </c>
      <c r="C36" s="4">
        <v>10239.246504999999</v>
      </c>
      <c r="D36" s="4">
        <v>1469.169928</v>
      </c>
      <c r="E36" s="4">
        <v>2463.338835</v>
      </c>
      <c r="F36" s="4">
        <v>740.77229799999998</v>
      </c>
      <c r="H36" s="3"/>
      <c r="I36" s="4"/>
      <c r="J36" s="4"/>
    </row>
    <row r="37" spans="1:10" x14ac:dyDescent="0.3">
      <c r="A37" s="3">
        <v>45016</v>
      </c>
      <c r="B37" s="4">
        <v>12622.659609</v>
      </c>
      <c r="C37" s="4">
        <v>9946.8922920000005</v>
      </c>
      <c r="D37" s="4">
        <v>1447.674908</v>
      </c>
      <c r="E37" s="4">
        <v>2491.0962939999999</v>
      </c>
      <c r="F37" s="4">
        <v>727.57050700000002</v>
      </c>
      <c r="H37" s="3"/>
      <c r="I37" s="4"/>
      <c r="J37" s="4"/>
    </row>
    <row r="38" spans="1:10" x14ac:dyDescent="0.3">
      <c r="A38" s="3">
        <v>44985</v>
      </c>
      <c r="B38" s="4">
        <v>12235.685754</v>
      </c>
      <c r="C38" s="4">
        <v>9718.8794130000006</v>
      </c>
      <c r="D38" s="4">
        <v>1403.4293029999999</v>
      </c>
      <c r="E38" s="4">
        <v>2416.8559310000001</v>
      </c>
      <c r="F38" s="4">
        <v>709.50643200000002</v>
      </c>
      <c r="H38" s="3"/>
      <c r="I38" s="4"/>
      <c r="J38" s="4"/>
    </row>
    <row r="39" spans="1:10" x14ac:dyDescent="0.3">
      <c r="A39" s="3">
        <v>44957</v>
      </c>
      <c r="B39" s="4">
        <v>12532.085435000001</v>
      </c>
      <c r="C39" s="4">
        <v>9949.604002</v>
      </c>
      <c r="D39" s="4">
        <v>1444.315908</v>
      </c>
      <c r="E39" s="4">
        <v>2584.2301889999999</v>
      </c>
      <c r="F39" s="4">
        <v>735.21706800000004</v>
      </c>
      <c r="H39" s="3"/>
      <c r="I39" s="4"/>
      <c r="J39" s="4"/>
    </row>
    <row r="40" spans="1:10" x14ac:dyDescent="0.3">
      <c r="A40" s="3">
        <v>44925</v>
      </c>
      <c r="B40" s="4">
        <v>11700.992418</v>
      </c>
      <c r="C40" s="4">
        <v>9194.272363</v>
      </c>
      <c r="D40" s="4">
        <v>1347.3998690000001</v>
      </c>
      <c r="E40" s="4">
        <v>2394.8979869999998</v>
      </c>
      <c r="F40" s="4">
        <v>679.95518900000002</v>
      </c>
      <c r="H40" s="3"/>
      <c r="I40" s="4"/>
      <c r="J40" s="4"/>
    </row>
    <row r="41" spans="1:10" x14ac:dyDescent="0.3">
      <c r="A41" s="3">
        <v>44895</v>
      </c>
      <c r="B41" s="4">
        <v>12215.105868000001</v>
      </c>
      <c r="C41" s="4">
        <v>9235.9132219999992</v>
      </c>
      <c r="D41" s="4">
        <v>1402.0131919999999</v>
      </c>
      <c r="E41" s="4">
        <v>2427.7074459999999</v>
      </c>
      <c r="F41" s="4">
        <v>684.80355099999997</v>
      </c>
      <c r="H41" s="3"/>
      <c r="I41" s="4"/>
      <c r="J41" s="4"/>
    </row>
    <row r="42" spans="1:10" x14ac:dyDescent="0.3">
      <c r="A42" s="3">
        <v>44865</v>
      </c>
      <c r="B42" s="4">
        <v>11415.734483</v>
      </c>
      <c r="C42" s="4">
        <v>8345.2636540000003</v>
      </c>
      <c r="D42" s="4">
        <v>1300.5419899999999</v>
      </c>
      <c r="E42" s="4">
        <v>2113.8588279999999</v>
      </c>
      <c r="F42" s="4">
        <v>612.39050899999995</v>
      </c>
      <c r="H42" s="3"/>
      <c r="I42" s="4"/>
      <c r="J42" s="4"/>
    </row>
    <row r="43" spans="1:10" x14ac:dyDescent="0.3">
      <c r="A43" s="3">
        <v>44834</v>
      </c>
      <c r="B43" s="4">
        <v>10648.162536</v>
      </c>
      <c r="C43" s="4">
        <v>7908.0898379999999</v>
      </c>
      <c r="D43" s="4">
        <v>1226.229237</v>
      </c>
      <c r="E43" s="4">
        <v>2181.2972220000001</v>
      </c>
      <c r="F43" s="4">
        <v>594.53448400000002</v>
      </c>
      <c r="H43" s="3"/>
      <c r="I43" s="4"/>
      <c r="J43" s="4"/>
    </row>
    <row r="44" spans="1:10" x14ac:dyDescent="0.3">
      <c r="A44" s="3">
        <v>44804</v>
      </c>
      <c r="B44" s="4">
        <v>11734.160889000001</v>
      </c>
      <c r="C44" s="4">
        <v>8710.0339710000007</v>
      </c>
      <c r="D44" s="4">
        <v>1355.4129660000001</v>
      </c>
      <c r="E44" s="4">
        <v>2469.5843799999998</v>
      </c>
      <c r="F44" s="4">
        <v>660.17749700000002</v>
      </c>
      <c r="H44" s="3"/>
      <c r="I44" s="4"/>
      <c r="J44" s="4"/>
    </row>
    <row r="45" spans="1:10" x14ac:dyDescent="0.3">
      <c r="A45" s="3">
        <v>44771</v>
      </c>
      <c r="B45" s="4">
        <v>12241.139674</v>
      </c>
      <c r="C45" s="4">
        <v>9135.1282059999994</v>
      </c>
      <c r="D45" s="4">
        <v>1406.6502780000001</v>
      </c>
      <c r="E45" s="4">
        <v>2458.39894</v>
      </c>
      <c r="F45" s="4">
        <v>681.95033999999998</v>
      </c>
      <c r="H45" s="3"/>
      <c r="I45" s="4"/>
      <c r="J45" s="4"/>
    </row>
    <row r="46" spans="1:10" x14ac:dyDescent="0.3">
      <c r="A46" s="3">
        <v>44742</v>
      </c>
      <c r="B46" s="4">
        <v>11337.723549</v>
      </c>
      <c r="C46" s="4">
        <v>8701.0406199999998</v>
      </c>
      <c r="D46" s="4">
        <v>1314.3976540000001</v>
      </c>
      <c r="E46" s="4">
        <v>2462.3854000000001</v>
      </c>
      <c r="F46" s="4">
        <v>659.13908300000003</v>
      </c>
      <c r="H46" s="3"/>
      <c r="I46" s="4"/>
      <c r="J46" s="4"/>
    </row>
    <row r="47" spans="1:10" x14ac:dyDescent="0.3">
      <c r="A47" s="3">
        <v>44712</v>
      </c>
      <c r="B47" s="4">
        <v>12408.089771000001</v>
      </c>
      <c r="C47" s="4">
        <v>9601.8669680000003</v>
      </c>
      <c r="D47" s="4">
        <v>1434.750855</v>
      </c>
      <c r="E47" s="4">
        <v>2635.3333990000001</v>
      </c>
      <c r="F47" s="4">
        <v>720.83743600000003</v>
      </c>
      <c r="H47" s="3"/>
      <c r="I47" s="4"/>
      <c r="J47" s="4"/>
    </row>
    <row r="48" spans="1:10" x14ac:dyDescent="0.3">
      <c r="A48" s="3">
        <v>44680</v>
      </c>
      <c r="B48" s="4">
        <v>12389.188861000001</v>
      </c>
      <c r="C48" s="4">
        <v>9510.2993860000006</v>
      </c>
      <c r="D48" s="4">
        <v>1432.0572560000001</v>
      </c>
      <c r="E48" s="4">
        <v>2623.1274400000002</v>
      </c>
      <c r="F48" s="4">
        <v>714.97771299999999</v>
      </c>
      <c r="H48" s="3"/>
      <c r="I48" s="4"/>
      <c r="J48" s="4"/>
    </row>
    <row r="49" spans="1:10" x14ac:dyDescent="0.3">
      <c r="A49" s="3">
        <v>44651</v>
      </c>
      <c r="B49" s="4">
        <v>13505.741311</v>
      </c>
      <c r="C49" s="4">
        <v>10169.893855</v>
      </c>
      <c r="D49" s="4">
        <v>1556.0220039999999</v>
      </c>
      <c r="E49" s="4">
        <v>2777.1922249999998</v>
      </c>
      <c r="F49" s="4">
        <v>762.37336100000005</v>
      </c>
      <c r="H49" s="3"/>
      <c r="I49" s="4"/>
      <c r="J49" s="4"/>
    </row>
    <row r="50" spans="1:10" x14ac:dyDescent="0.3">
      <c r="A50" s="3">
        <v>44620</v>
      </c>
      <c r="B50" s="4">
        <v>13137.03442</v>
      </c>
      <c r="C50" s="4">
        <v>10042.166185</v>
      </c>
      <c r="D50" s="4">
        <v>1522.1551239999999</v>
      </c>
      <c r="E50" s="4">
        <v>2840.3592789999998</v>
      </c>
      <c r="F50" s="4">
        <v>760.48567200000002</v>
      </c>
      <c r="H50" s="3"/>
      <c r="I50" s="4"/>
      <c r="J50" s="4"/>
    </row>
    <row r="51" spans="1:10" x14ac:dyDescent="0.3">
      <c r="A51" s="3">
        <v>44592</v>
      </c>
      <c r="B51" s="4">
        <v>13473.4354</v>
      </c>
      <c r="C51" s="4">
        <v>10199.549231999999</v>
      </c>
      <c r="D51" s="4">
        <v>1562.0302280000001</v>
      </c>
      <c r="E51" s="4">
        <v>2927.5108810000002</v>
      </c>
      <c r="F51" s="4">
        <v>775.74257</v>
      </c>
      <c r="H51" s="3"/>
      <c r="I51" s="4"/>
      <c r="J51" s="4"/>
    </row>
    <row r="52" spans="1:10" x14ac:dyDescent="0.3">
      <c r="A52" s="3">
        <v>44561</v>
      </c>
      <c r="B52" s="4">
        <v>14223.136794</v>
      </c>
      <c r="C52" s="4">
        <v>10669.128965</v>
      </c>
      <c r="D52" s="4">
        <v>1642.3845530000001</v>
      </c>
      <c r="E52" s="4">
        <v>2983.7658590000001</v>
      </c>
      <c r="F52" s="4">
        <v>805.33103500000004</v>
      </c>
      <c r="H52" s="3"/>
      <c r="I52" s="4"/>
      <c r="J52" s="4"/>
    </row>
    <row r="53" spans="1:10" x14ac:dyDescent="0.3">
      <c r="A53" s="3">
        <v>44530</v>
      </c>
      <c r="B53" s="4">
        <v>13636.233448999999</v>
      </c>
      <c r="C53" s="4">
        <v>10151.676661</v>
      </c>
      <c r="D53" s="4">
        <v>1578.7287100000001</v>
      </c>
      <c r="E53" s="4">
        <v>2927.4174379999999</v>
      </c>
      <c r="F53" s="4">
        <v>773.17260699999997</v>
      </c>
      <c r="H53" s="3"/>
      <c r="I53" s="4"/>
      <c r="J53" s="4"/>
    </row>
    <row r="54" spans="1:10" x14ac:dyDescent="0.3">
      <c r="A54" s="3">
        <v>44498</v>
      </c>
      <c r="B54" s="4">
        <v>13936.992021</v>
      </c>
      <c r="C54" s="4">
        <v>10648.115621999999</v>
      </c>
      <c r="D54" s="4">
        <v>1617.179623</v>
      </c>
      <c r="E54" s="4">
        <v>3051.5261329999998</v>
      </c>
      <c r="F54" s="4">
        <v>809.50551199999995</v>
      </c>
      <c r="H54" s="3"/>
      <c r="I54" s="4"/>
      <c r="J54" s="4"/>
    </row>
    <row r="55" spans="1:10" x14ac:dyDescent="0.3">
      <c r="A55" s="3">
        <v>44469</v>
      </c>
      <c r="B55" s="4">
        <v>13186.526695</v>
      </c>
      <c r="C55" s="4">
        <v>10337.593878</v>
      </c>
      <c r="D55" s="4">
        <v>1538.2672930000001</v>
      </c>
      <c r="E55" s="4">
        <v>3021.2830429999999</v>
      </c>
      <c r="F55" s="4">
        <v>790.447945</v>
      </c>
      <c r="H55" s="3"/>
      <c r="I55" s="4"/>
      <c r="J55" s="4"/>
    </row>
    <row r="56" spans="1:10" x14ac:dyDescent="0.3">
      <c r="A56" s="3">
        <v>44439</v>
      </c>
      <c r="B56" s="4">
        <v>13751.460508</v>
      </c>
      <c r="C56" s="4">
        <v>10635.435002</v>
      </c>
      <c r="D56" s="4">
        <v>1603.834282</v>
      </c>
      <c r="E56" s="4">
        <v>3145.1689860000001</v>
      </c>
      <c r="F56" s="4">
        <v>816.07675400000005</v>
      </c>
      <c r="H56" s="3"/>
      <c r="I56" s="4"/>
      <c r="J56" s="4"/>
    </row>
    <row r="57" spans="1:10" x14ac:dyDescent="0.3">
      <c r="A57" s="3">
        <v>44407</v>
      </c>
      <c r="B57" s="4">
        <v>13413.449833000001</v>
      </c>
      <c r="C57" s="4">
        <v>10466.110788</v>
      </c>
      <c r="D57" s="4">
        <v>1564.196162</v>
      </c>
      <c r="E57" s="4">
        <v>3064.0041179999998</v>
      </c>
      <c r="F57" s="4">
        <v>800.71006599999998</v>
      </c>
      <c r="H57" s="3"/>
      <c r="I57" s="4"/>
      <c r="J57" s="4"/>
    </row>
    <row r="58" spans="1:10" x14ac:dyDescent="0.3">
      <c r="A58" s="3">
        <v>44377</v>
      </c>
      <c r="B58" s="4">
        <v>13174.25099</v>
      </c>
      <c r="C58" s="4">
        <v>10395.547350000001</v>
      </c>
      <c r="D58" s="4">
        <v>1553.044934</v>
      </c>
      <c r="E58" s="4">
        <v>3283.022669</v>
      </c>
      <c r="F58" s="4">
        <v>813.89003100000002</v>
      </c>
      <c r="H58" s="3"/>
      <c r="I58" s="4"/>
      <c r="J58" s="4"/>
    </row>
    <row r="59" spans="1:10" x14ac:dyDescent="0.3">
      <c r="A59" s="3">
        <v>44344</v>
      </c>
      <c r="B59" s="4">
        <v>12992.178030999999</v>
      </c>
      <c r="C59" s="4">
        <v>10536.753819</v>
      </c>
      <c r="D59" s="4">
        <v>1531.634491</v>
      </c>
      <c r="E59" s="4">
        <v>3238.5432860000001</v>
      </c>
      <c r="F59" s="4">
        <v>818.029629</v>
      </c>
      <c r="H59" s="3"/>
      <c r="I59" s="4"/>
      <c r="J59" s="4"/>
    </row>
    <row r="60" spans="1:10" x14ac:dyDescent="0.3">
      <c r="A60" s="3">
        <v>44316</v>
      </c>
      <c r="B60" s="4">
        <v>12784.973298999999</v>
      </c>
      <c r="C60" s="4">
        <v>10137.524475</v>
      </c>
      <c r="D60" s="4">
        <v>1508.067951</v>
      </c>
      <c r="E60" s="4">
        <v>3201.2895020000001</v>
      </c>
      <c r="F60" s="4">
        <v>793.55687999999998</v>
      </c>
      <c r="H60" s="3"/>
      <c r="I60" s="4"/>
      <c r="J60" s="4"/>
    </row>
    <row r="61" spans="1:10" x14ac:dyDescent="0.3">
      <c r="A61" s="3">
        <v>44286</v>
      </c>
      <c r="B61" s="4">
        <v>12211.116271999999</v>
      </c>
      <c r="C61" s="4">
        <v>9820.6019400000005</v>
      </c>
      <c r="D61" s="4">
        <v>1444.322426</v>
      </c>
      <c r="E61" s="4">
        <v>3123.1099610000001</v>
      </c>
      <c r="F61" s="4">
        <v>770.41238699999997</v>
      </c>
      <c r="H61" s="3"/>
      <c r="I61" s="4"/>
      <c r="J61" s="4"/>
    </row>
    <row r="62" spans="1:10" x14ac:dyDescent="0.3">
      <c r="A62" s="3">
        <v>44253</v>
      </c>
      <c r="B62" s="4">
        <v>11811.310416</v>
      </c>
      <c r="C62" s="4">
        <v>9567.5579679999992</v>
      </c>
      <c r="D62" s="4">
        <v>1406.021371</v>
      </c>
      <c r="E62" s="4">
        <v>3170.2075110000001</v>
      </c>
      <c r="F62" s="4">
        <v>760.25064199999997</v>
      </c>
      <c r="H62" s="3"/>
      <c r="I62" s="4"/>
      <c r="J62" s="4"/>
    </row>
    <row r="63" spans="1:10" x14ac:dyDescent="0.3">
      <c r="A63" s="3">
        <v>44225</v>
      </c>
      <c r="B63" s="4">
        <v>11512.425105</v>
      </c>
      <c r="C63" s="4">
        <v>9328.2616139999991</v>
      </c>
      <c r="D63" s="4">
        <v>1373.7902309999999</v>
      </c>
      <c r="E63" s="4">
        <v>3145.9730439999998</v>
      </c>
      <c r="F63" s="4">
        <v>745.39483499999994</v>
      </c>
      <c r="H63" s="3"/>
      <c r="I63" s="4"/>
      <c r="J63" s="4"/>
    </row>
    <row r="64" spans="1:10" x14ac:dyDescent="0.3">
      <c r="A64" s="3">
        <v>44196</v>
      </c>
      <c r="B64" s="4">
        <v>11625.198748999999</v>
      </c>
      <c r="C64" s="4">
        <v>9427.5118519999996</v>
      </c>
      <c r="D64" s="4">
        <v>1379.7324490000001</v>
      </c>
      <c r="E64" s="4">
        <v>3051.6171439999998</v>
      </c>
      <c r="F64" s="4">
        <v>743.64988500000004</v>
      </c>
      <c r="H64" s="3"/>
      <c r="I64" s="4"/>
      <c r="J64" s="4"/>
    </row>
    <row r="65" spans="1:10" x14ac:dyDescent="0.3">
      <c r="A65" s="3">
        <v>44165</v>
      </c>
      <c r="B65" s="4">
        <v>11148.599773</v>
      </c>
      <c r="C65" s="4">
        <v>9015.5137379999996</v>
      </c>
      <c r="D65" s="4">
        <v>1318.050532</v>
      </c>
      <c r="E65" s="4">
        <v>2841.3911579999999</v>
      </c>
      <c r="F65" s="4">
        <v>705.32003399999996</v>
      </c>
      <c r="H65" s="3"/>
      <c r="I65" s="4"/>
      <c r="J65" s="4"/>
    </row>
    <row r="66" spans="1:10" x14ac:dyDescent="0.3">
      <c r="A66" s="3">
        <v>44134</v>
      </c>
      <c r="B66" s="4">
        <v>9881.0756669999992</v>
      </c>
      <c r="C66" s="4">
        <v>7815.1426879999999</v>
      </c>
      <c r="D66" s="4">
        <v>1173.0262210000001</v>
      </c>
      <c r="E66" s="4">
        <v>2600.7004189999998</v>
      </c>
      <c r="F66" s="4">
        <v>621.621219</v>
      </c>
      <c r="H66" s="3"/>
      <c r="I66" s="4"/>
      <c r="J66" s="4"/>
    </row>
    <row r="67" spans="1:10" x14ac:dyDescent="0.3">
      <c r="A67" s="3">
        <v>44104</v>
      </c>
      <c r="B67" s="4">
        <v>10191.078740000001</v>
      </c>
      <c r="C67" s="4">
        <v>8133.561627</v>
      </c>
      <c r="D67" s="4">
        <v>1201.950947</v>
      </c>
      <c r="E67" s="4">
        <v>2547.8147260000001</v>
      </c>
      <c r="F67" s="4">
        <v>635.17532600000004</v>
      </c>
      <c r="H67" s="3"/>
      <c r="I67" s="4"/>
      <c r="J67" s="4"/>
    </row>
    <row r="68" spans="1:10" x14ac:dyDescent="0.3">
      <c r="A68" s="3">
        <v>44074</v>
      </c>
      <c r="B68" s="4">
        <v>10550.971824</v>
      </c>
      <c r="C68" s="4">
        <v>8365.1824460000007</v>
      </c>
      <c r="D68" s="4">
        <v>1241.5219569999999</v>
      </c>
      <c r="E68" s="4">
        <v>2588.7333910000002</v>
      </c>
      <c r="F68" s="4">
        <v>650.91591000000005</v>
      </c>
      <c r="H68" s="3"/>
      <c r="I68" s="4"/>
      <c r="J68" s="4"/>
    </row>
    <row r="69" spans="1:10" x14ac:dyDescent="0.3">
      <c r="A69" s="3">
        <v>44043</v>
      </c>
      <c r="B69" s="4">
        <v>9886.4934319999993</v>
      </c>
      <c r="C69" s="4">
        <v>7953.456244</v>
      </c>
      <c r="D69" s="4">
        <v>1169.5010789999999</v>
      </c>
      <c r="E69" s="4">
        <v>2532.1348979999998</v>
      </c>
      <c r="F69" s="4">
        <v>624.08154100000002</v>
      </c>
      <c r="H69" s="3"/>
      <c r="I69" s="4"/>
      <c r="J69" s="4"/>
    </row>
    <row r="70" spans="1:10" x14ac:dyDescent="0.3">
      <c r="A70" s="3">
        <v>44012</v>
      </c>
      <c r="B70" s="4">
        <v>9432.1071449999999</v>
      </c>
      <c r="C70" s="4">
        <v>7745.1585889999997</v>
      </c>
      <c r="D70" s="4">
        <v>1110.3340049999999</v>
      </c>
      <c r="E70" s="4">
        <v>2322.5130629999999</v>
      </c>
      <c r="F70" s="4">
        <v>597.19205299999999</v>
      </c>
      <c r="H70" s="3"/>
      <c r="I70" s="4"/>
      <c r="J70" s="4"/>
    </row>
    <row r="71" spans="1:10" x14ac:dyDescent="0.3">
      <c r="A71" s="3">
        <v>43980</v>
      </c>
      <c r="B71" s="4">
        <v>9185.2491740000005</v>
      </c>
      <c r="C71" s="4">
        <v>7485.7511279999999</v>
      </c>
      <c r="D71" s="4">
        <v>1075.500939</v>
      </c>
      <c r="E71" s="4">
        <v>2162.4358200000001</v>
      </c>
      <c r="F71" s="4">
        <v>571.12961399999995</v>
      </c>
      <c r="H71" s="3"/>
      <c r="I71" s="4"/>
      <c r="J71" s="4"/>
    </row>
    <row r="72" spans="1:10" x14ac:dyDescent="0.3">
      <c r="A72" s="3">
        <v>43951</v>
      </c>
      <c r="B72" s="4">
        <v>8756.4648710000001</v>
      </c>
      <c r="C72" s="4">
        <v>7176.0538459999998</v>
      </c>
      <c r="D72" s="4">
        <v>1030.078391</v>
      </c>
      <c r="E72" s="4">
        <v>2145.501397</v>
      </c>
      <c r="F72" s="4">
        <v>552.76048300000002</v>
      </c>
      <c r="H72" s="3"/>
      <c r="I72" s="4"/>
      <c r="J72" s="4"/>
    </row>
    <row r="73" spans="1:10" x14ac:dyDescent="0.3">
      <c r="A73" s="3">
        <v>43921</v>
      </c>
      <c r="B73" s="4">
        <v>7890.18073</v>
      </c>
      <c r="C73" s="4">
        <v>6703.0524930000001</v>
      </c>
      <c r="D73" s="4">
        <v>929.98340199999996</v>
      </c>
      <c r="E73" s="4">
        <v>1965.162454</v>
      </c>
      <c r="F73" s="4">
        <v>513.51037899999994</v>
      </c>
      <c r="H73" s="3"/>
      <c r="I73" s="4"/>
      <c r="J73" s="4"/>
    </row>
    <row r="74" spans="1:10" x14ac:dyDescent="0.3">
      <c r="A74" s="3">
        <v>43889</v>
      </c>
      <c r="B74" s="4">
        <v>9086.7881570000009</v>
      </c>
      <c r="C74" s="4">
        <v>7796.3551820000002</v>
      </c>
      <c r="D74" s="4">
        <v>1074.3770320000001</v>
      </c>
      <c r="E74" s="4">
        <v>2322.259145</v>
      </c>
      <c r="F74" s="4">
        <v>599.90045399999997</v>
      </c>
      <c r="H74" s="3"/>
      <c r="I74" s="4"/>
      <c r="J74" s="4"/>
    </row>
    <row r="75" spans="1:10" x14ac:dyDescent="0.3">
      <c r="A75" s="3">
        <v>43861</v>
      </c>
      <c r="B75" s="4">
        <v>9921.1087769999995</v>
      </c>
      <c r="C75" s="4">
        <v>8554.3175759999995</v>
      </c>
      <c r="D75" s="4">
        <v>1168.287333</v>
      </c>
      <c r="E75" s="4">
        <v>2451.3893320000002</v>
      </c>
      <c r="F75" s="4">
        <v>651.29147</v>
      </c>
      <c r="H75" s="3"/>
      <c r="I75" s="4"/>
      <c r="J75" s="4"/>
    </row>
    <row r="76" spans="1:10" x14ac:dyDescent="0.3">
      <c r="A76" s="3">
        <v>43830</v>
      </c>
      <c r="B76" s="4">
        <v>9979.0336599999991</v>
      </c>
      <c r="C76" s="4">
        <v>8721.8544999999995</v>
      </c>
      <c r="D76" s="4">
        <v>1181.036004</v>
      </c>
      <c r="E76" s="4">
        <v>2571.1417849999998</v>
      </c>
      <c r="F76" s="4">
        <v>669.19138799999996</v>
      </c>
      <c r="H76" s="3"/>
      <c r="I76" s="4"/>
      <c r="J76" s="4"/>
    </row>
    <row r="77" spans="1:10" x14ac:dyDescent="0.3">
      <c r="A77" s="3">
        <v>43798</v>
      </c>
      <c r="B77" s="4">
        <v>9685.1753879999997</v>
      </c>
      <c r="C77" s="4">
        <v>8450.4856600000003</v>
      </c>
      <c r="D77" s="4">
        <v>1140.402276</v>
      </c>
      <c r="E77" s="4">
        <v>2391.1727540000002</v>
      </c>
      <c r="F77" s="4">
        <v>641.20631800000001</v>
      </c>
      <c r="H77" s="3"/>
      <c r="I77" s="4"/>
      <c r="J77" s="4"/>
    </row>
    <row r="78" spans="1:10" x14ac:dyDescent="0.3">
      <c r="A78" s="3">
        <v>43769</v>
      </c>
      <c r="B78" s="4">
        <v>9418.3813190000001</v>
      </c>
      <c r="C78" s="4">
        <v>8344.7615700000006</v>
      </c>
      <c r="D78" s="4">
        <v>1112.7622650000001</v>
      </c>
      <c r="E78" s="4">
        <v>2394.3100340000001</v>
      </c>
      <c r="F78" s="4">
        <v>635.50759000000005</v>
      </c>
      <c r="H78" s="3"/>
      <c r="I78" s="4"/>
      <c r="J78" s="4"/>
    </row>
    <row r="79" spans="1:10" x14ac:dyDescent="0.3">
      <c r="A79" s="3">
        <v>43738</v>
      </c>
      <c r="B79" s="4">
        <v>9182.1676399999997</v>
      </c>
      <c r="C79" s="4">
        <v>8082.2538720000002</v>
      </c>
      <c r="D79" s="4">
        <v>1082.8466100000001</v>
      </c>
      <c r="E79" s="4">
        <v>2297.1989720000001</v>
      </c>
      <c r="F79" s="4">
        <v>614.00081999999998</v>
      </c>
      <c r="H79" s="3"/>
      <c r="I79" s="4"/>
      <c r="J79" s="4"/>
    </row>
    <row r="80" spans="1:10" x14ac:dyDescent="0.3">
      <c r="A80" s="3">
        <v>43707</v>
      </c>
      <c r="B80" s="4">
        <v>8986.6436630000007</v>
      </c>
      <c r="C80" s="4">
        <v>7857.5627619999996</v>
      </c>
      <c r="D80" s="4">
        <v>1060.0546569999999</v>
      </c>
      <c r="E80" s="4">
        <v>2253.4387969999998</v>
      </c>
      <c r="F80" s="4">
        <v>598.31422499999996</v>
      </c>
      <c r="H80" s="3"/>
      <c r="I80" s="4"/>
      <c r="J80" s="4"/>
    </row>
    <row r="81" spans="1:10" x14ac:dyDescent="0.3">
      <c r="A81" s="3">
        <v>43677</v>
      </c>
      <c r="B81" s="4">
        <v>9169.8156899999994</v>
      </c>
      <c r="C81" s="4">
        <v>8054.1366859999998</v>
      </c>
      <c r="D81" s="4">
        <v>1085.3052640000001</v>
      </c>
      <c r="E81" s="4">
        <v>2368.2292320000001</v>
      </c>
      <c r="F81" s="4">
        <v>617.25396000000001</v>
      </c>
      <c r="H81" s="3"/>
      <c r="I81" s="4"/>
      <c r="J81" s="4"/>
    </row>
    <row r="82" spans="1:10" x14ac:dyDescent="0.3">
      <c r="A82" s="3">
        <v>43644</v>
      </c>
      <c r="B82" s="4">
        <v>9122.0900939999992</v>
      </c>
      <c r="C82" s="4">
        <v>8151.2457780000004</v>
      </c>
      <c r="D82" s="4">
        <v>1081.7634</v>
      </c>
      <c r="E82" s="4">
        <v>2395.5368560000002</v>
      </c>
      <c r="F82" s="4">
        <v>624.60971800000004</v>
      </c>
      <c r="H82" s="3"/>
      <c r="I82" s="4"/>
      <c r="J82" s="4"/>
    </row>
    <row r="83" spans="1:10" x14ac:dyDescent="0.3">
      <c r="A83" s="3">
        <v>43616</v>
      </c>
      <c r="B83" s="4">
        <v>8554.7722169999997</v>
      </c>
      <c r="C83" s="4">
        <v>7691.2334229999997</v>
      </c>
      <c r="D83" s="4">
        <v>1014.8378279999999</v>
      </c>
      <c r="E83" s="4">
        <v>2253.0900569999999</v>
      </c>
      <c r="F83" s="4">
        <v>588.85999900000002</v>
      </c>
      <c r="H83" s="3"/>
      <c r="I83" s="4"/>
      <c r="J83" s="4"/>
    </row>
    <row r="84" spans="1:10" x14ac:dyDescent="0.3">
      <c r="A84" s="3">
        <v>43585</v>
      </c>
      <c r="B84" s="4">
        <v>9069.9512240000004</v>
      </c>
      <c r="C84" s="4">
        <v>8061.6938490000002</v>
      </c>
      <c r="D84" s="4">
        <v>1077.8790220000001</v>
      </c>
      <c r="E84" s="4">
        <v>2428.5418829999999</v>
      </c>
      <c r="F84" s="4">
        <v>621.55065200000001</v>
      </c>
      <c r="H84" s="3"/>
      <c r="I84" s="4"/>
      <c r="J84" s="4"/>
    </row>
    <row r="85" spans="1:10" x14ac:dyDescent="0.3">
      <c r="A85" s="3">
        <v>43553</v>
      </c>
      <c r="B85" s="4">
        <v>8754.488883</v>
      </c>
      <c r="C85" s="4">
        <v>7832.3772150000004</v>
      </c>
      <c r="D85" s="4">
        <v>1042.1391209999999</v>
      </c>
      <c r="E85" s="4">
        <v>2378.0305629999998</v>
      </c>
      <c r="F85" s="4">
        <v>605.10958500000004</v>
      </c>
      <c r="H85" s="3"/>
      <c r="I85" s="4"/>
      <c r="J85" s="4"/>
    </row>
    <row r="86" spans="1:10" x14ac:dyDescent="0.3">
      <c r="A86" s="3">
        <v>43524</v>
      </c>
      <c r="B86" s="4">
        <v>8635.2033609999999</v>
      </c>
      <c r="C86" s="4">
        <v>7784.3765620000004</v>
      </c>
      <c r="D86" s="4">
        <v>1028.5639100000001</v>
      </c>
      <c r="E86" s="4">
        <v>2357.7836240000001</v>
      </c>
      <c r="F86" s="4">
        <v>601.02176999999995</v>
      </c>
      <c r="H86" s="3"/>
      <c r="I86" s="4"/>
      <c r="J86" s="4"/>
    </row>
    <row r="87" spans="1:10" x14ac:dyDescent="0.3">
      <c r="A87" s="3">
        <v>43496</v>
      </c>
      <c r="B87" s="4">
        <v>8379.0289529999991</v>
      </c>
      <c r="C87" s="4">
        <v>7588.2347630000004</v>
      </c>
      <c r="D87" s="4">
        <v>1001.3268</v>
      </c>
      <c r="E87" s="4">
        <v>2352.2797850000002</v>
      </c>
      <c r="F87" s="4">
        <v>589.42528100000004</v>
      </c>
      <c r="H87" s="3"/>
      <c r="I87" s="4"/>
      <c r="J87" s="4"/>
    </row>
    <row r="88" spans="1:10" x14ac:dyDescent="0.3">
      <c r="A88" s="3">
        <v>43465</v>
      </c>
      <c r="B88" s="4">
        <v>7771.7102610000002</v>
      </c>
      <c r="C88" s="4">
        <v>7081.5110439999999</v>
      </c>
      <c r="D88" s="4">
        <v>927.78354999999999</v>
      </c>
      <c r="E88" s="4">
        <v>2162.7494929999998</v>
      </c>
      <c r="F88" s="4">
        <v>547.93348600000002</v>
      </c>
      <c r="H88" s="3"/>
      <c r="I88" s="4"/>
      <c r="J88" s="4"/>
    </row>
    <row r="89" spans="1:10" x14ac:dyDescent="0.3">
      <c r="A89" s="3">
        <v>43434</v>
      </c>
      <c r="B89" s="4">
        <v>8407.8446110000004</v>
      </c>
      <c r="C89" s="4">
        <v>7465.352073</v>
      </c>
      <c r="D89" s="4">
        <v>997.64907100000005</v>
      </c>
      <c r="E89" s="4">
        <v>2220.2258409999999</v>
      </c>
      <c r="F89" s="4">
        <v>573.69644200000005</v>
      </c>
      <c r="H89" s="3"/>
      <c r="I89" s="4"/>
      <c r="J89" s="4"/>
    </row>
    <row r="90" spans="1:10" x14ac:dyDescent="0.3">
      <c r="A90" s="3">
        <v>43404</v>
      </c>
      <c r="B90" s="4">
        <v>8309.1103320000002</v>
      </c>
      <c r="C90" s="4">
        <v>7470.70975</v>
      </c>
      <c r="D90" s="4">
        <v>982.80945499999996</v>
      </c>
      <c r="E90" s="4">
        <v>2132.204514</v>
      </c>
      <c r="F90" s="4">
        <v>568.22877400000004</v>
      </c>
      <c r="H90" s="3"/>
      <c r="I90" s="4"/>
      <c r="J90" s="4"/>
    </row>
    <row r="91" spans="1:10" x14ac:dyDescent="0.3">
      <c r="A91" s="3">
        <v>43371</v>
      </c>
      <c r="B91" s="4">
        <v>8965.2876269999997</v>
      </c>
      <c r="C91" s="4">
        <v>8114.5423000000001</v>
      </c>
      <c r="D91" s="4">
        <v>1062.1737680000001</v>
      </c>
      <c r="E91" s="4">
        <v>2335.3792440000002</v>
      </c>
      <c r="F91" s="4">
        <v>618.46386900000005</v>
      </c>
      <c r="H91" s="3"/>
      <c r="I91" s="4"/>
      <c r="J91" s="4"/>
    </row>
    <row r="92" spans="1:10" x14ac:dyDescent="0.3">
      <c r="A92" s="3">
        <v>43343</v>
      </c>
      <c r="B92" s="4">
        <v>8911.9334859999999</v>
      </c>
      <c r="C92" s="4">
        <v>8047.9704750000001</v>
      </c>
      <c r="D92" s="4">
        <v>1057.14049</v>
      </c>
      <c r="E92" s="4">
        <v>2347.0574040000001</v>
      </c>
      <c r="F92" s="4">
        <v>615.40173400000003</v>
      </c>
      <c r="H92" s="3"/>
      <c r="I92" s="4"/>
      <c r="J92" s="4"/>
    </row>
    <row r="93" spans="1:10" x14ac:dyDescent="0.3">
      <c r="A93" s="3">
        <v>43312</v>
      </c>
      <c r="B93" s="4">
        <v>8798.9410680000001</v>
      </c>
      <c r="C93" s="4">
        <v>8201.7214650000005</v>
      </c>
      <c r="D93" s="4">
        <v>1048.4331850000001</v>
      </c>
      <c r="E93" s="4">
        <v>2411.5555439999998</v>
      </c>
      <c r="F93" s="4">
        <v>628.43190100000004</v>
      </c>
      <c r="H93" s="3"/>
      <c r="I93" s="4"/>
      <c r="J93" s="4"/>
    </row>
    <row r="94" spans="1:10" x14ac:dyDescent="0.3">
      <c r="A94" s="3">
        <v>43280</v>
      </c>
      <c r="B94" s="4">
        <v>8530.3539839999994</v>
      </c>
      <c r="C94" s="4">
        <v>8004.1857980000004</v>
      </c>
      <c r="D94" s="4">
        <v>1017.420483</v>
      </c>
      <c r="E94" s="4">
        <v>2357.6861319999998</v>
      </c>
      <c r="F94" s="4">
        <v>613.57245399999999</v>
      </c>
      <c r="H94" s="3"/>
      <c r="I94" s="4"/>
      <c r="J94" s="4"/>
    </row>
    <row r="95" spans="1:10" x14ac:dyDescent="0.3">
      <c r="A95" s="3">
        <v>43251</v>
      </c>
      <c r="B95" s="4">
        <v>8531.3268690000004</v>
      </c>
      <c r="C95" s="4">
        <v>8090.161282</v>
      </c>
      <c r="D95" s="4">
        <v>1022.55021</v>
      </c>
      <c r="E95" s="4">
        <v>2458.1839129999998</v>
      </c>
      <c r="F95" s="4">
        <v>625.05383500000005</v>
      </c>
      <c r="H95" s="3"/>
      <c r="I95" s="4"/>
      <c r="J95" s="4"/>
    </row>
    <row r="96" spans="1:10" x14ac:dyDescent="0.3">
      <c r="A96" s="3">
        <v>43220</v>
      </c>
      <c r="B96" s="4">
        <v>8470.2127670000009</v>
      </c>
      <c r="C96" s="4">
        <v>8235.7862789999999</v>
      </c>
      <c r="D96" s="4">
        <v>1020.396107</v>
      </c>
      <c r="E96" s="4">
        <v>2547.855372</v>
      </c>
      <c r="F96" s="4">
        <v>639.15873399999998</v>
      </c>
      <c r="H96" s="3"/>
      <c r="I96" s="4"/>
      <c r="J96" s="4"/>
    </row>
    <row r="97" spans="1:10" x14ac:dyDescent="0.3">
      <c r="A97" s="3">
        <v>43188</v>
      </c>
      <c r="B97" s="4">
        <v>8363.5441929999997</v>
      </c>
      <c r="C97" s="4">
        <v>8030.0147740000002</v>
      </c>
      <c r="D97" s="4">
        <v>1009.444865</v>
      </c>
      <c r="E97" s="4">
        <v>2555.197365</v>
      </c>
      <c r="F97" s="4">
        <v>627.64485999999999</v>
      </c>
      <c r="H97" s="3"/>
      <c r="I97" s="4"/>
      <c r="J97" s="4"/>
    </row>
    <row r="98" spans="1:10" x14ac:dyDescent="0.3">
      <c r="A98" s="3">
        <v>43159</v>
      </c>
      <c r="B98" s="4">
        <v>8549.6988340000007</v>
      </c>
      <c r="C98" s="4">
        <v>8176.3529079999998</v>
      </c>
      <c r="D98" s="4">
        <v>1031.644552</v>
      </c>
      <c r="E98" s="4">
        <v>2606.4949660000002</v>
      </c>
      <c r="F98" s="4">
        <v>639.37952800000005</v>
      </c>
      <c r="H98" s="3"/>
      <c r="I98" s="4"/>
      <c r="J98" s="4"/>
    </row>
    <row r="99" spans="1:10" x14ac:dyDescent="0.3">
      <c r="A99" s="3">
        <v>43131</v>
      </c>
      <c r="B99" s="4">
        <v>8915.2776909999993</v>
      </c>
      <c r="C99" s="4">
        <v>8582.5932159999993</v>
      </c>
      <c r="D99" s="4">
        <v>1076.435694</v>
      </c>
      <c r="E99" s="4">
        <v>2732.109285</v>
      </c>
      <c r="F99" s="4">
        <v>670.90429200000005</v>
      </c>
      <c r="H99" s="3"/>
      <c r="I99" s="4"/>
      <c r="J99" s="4"/>
    </row>
    <row r="100" spans="1:10" x14ac:dyDescent="0.3">
      <c r="A100" s="3">
        <v>43098</v>
      </c>
      <c r="B100" s="4">
        <v>8466.3445009999996</v>
      </c>
      <c r="C100" s="4">
        <v>8199.7535110000008</v>
      </c>
      <c r="D100" s="4">
        <v>1018.749548</v>
      </c>
      <c r="E100" s="4">
        <v>2521.742733</v>
      </c>
      <c r="F100" s="4">
        <v>635.45357999999999</v>
      </c>
      <c r="H100" s="3"/>
      <c r="I100" s="4"/>
      <c r="J100" s="4"/>
    </row>
    <row r="101" spans="1:10" x14ac:dyDescent="0.3">
      <c r="A101" s="3">
        <v>43069</v>
      </c>
      <c r="B101" s="4">
        <v>8350.8018479999992</v>
      </c>
      <c r="C101" s="4">
        <v>8053.0822660000003</v>
      </c>
      <c r="D101" s="4">
        <v>1002.254231</v>
      </c>
      <c r="E101" s="4">
        <v>2433.1364189999999</v>
      </c>
      <c r="F101" s="4">
        <v>621.37186299999996</v>
      </c>
      <c r="H101" s="3"/>
      <c r="I101" s="4"/>
      <c r="J101" s="4"/>
    </row>
    <row r="102" spans="1:10" x14ac:dyDescent="0.3">
      <c r="A102" s="3">
        <v>43039</v>
      </c>
      <c r="B102" s="7">
        <v>8169.600974</v>
      </c>
      <c r="C102" s="7">
        <v>7971.1148249999997</v>
      </c>
      <c r="D102" s="7">
        <v>982.77961800000003</v>
      </c>
      <c r="E102" s="4">
        <v>2428.129316</v>
      </c>
      <c r="F102">
        <v>616.27894600000002</v>
      </c>
      <c r="H102" s="3"/>
      <c r="I102" s="4"/>
      <c r="J102" s="4"/>
    </row>
    <row r="103" spans="1:10" x14ac:dyDescent="0.3">
      <c r="A103" s="6">
        <v>43007</v>
      </c>
      <c r="B103" s="7">
        <v>8016.0912790000002</v>
      </c>
      <c r="C103" s="7">
        <v>7862.6731630000004</v>
      </c>
      <c r="D103" s="7">
        <v>962.57015200000001</v>
      </c>
      <c r="E103" s="4">
        <v>2345.7485799999999</v>
      </c>
      <c r="F103">
        <v>604.82943599999999</v>
      </c>
      <c r="H103" s="3"/>
      <c r="I103" s="4"/>
      <c r="J103" s="4"/>
    </row>
    <row r="104" spans="1:10" x14ac:dyDescent="0.3">
      <c r="A104" s="6">
        <v>42978</v>
      </c>
      <c r="B104" s="7">
        <v>7837.1076640000001</v>
      </c>
      <c r="C104" s="7">
        <v>7660.7572360000004</v>
      </c>
      <c r="D104" s="7">
        <v>943.97957799999995</v>
      </c>
      <c r="E104" s="4">
        <v>2354.57717</v>
      </c>
      <c r="F104">
        <v>593.58746299999996</v>
      </c>
      <c r="H104" s="3"/>
      <c r="I104" s="4"/>
    </row>
    <row r="105" spans="1:10" x14ac:dyDescent="0.3">
      <c r="A105" s="6">
        <v>42947</v>
      </c>
      <c r="B105" s="7">
        <v>7822.1469690000004</v>
      </c>
      <c r="C105" s="7">
        <v>7661.199122</v>
      </c>
      <c r="D105" s="7">
        <v>939.91854599999999</v>
      </c>
      <c r="E105" s="7">
        <v>2302.3620259999998</v>
      </c>
      <c r="F105">
        <v>590.36666500000001</v>
      </c>
      <c r="H105" s="3"/>
      <c r="I105" s="4"/>
    </row>
    <row r="106" spans="1:10" x14ac:dyDescent="0.3">
      <c r="A106" s="6">
        <v>42916</v>
      </c>
      <c r="B106" s="7">
        <v>7637.0153069999997</v>
      </c>
      <c r="C106" s="7">
        <v>7439.0678509999998</v>
      </c>
      <c r="D106" s="7">
        <v>914.04176900000004</v>
      </c>
      <c r="E106" s="7">
        <v>2171.194692</v>
      </c>
      <c r="F106">
        <v>569.23700899999994</v>
      </c>
      <c r="H106" s="3"/>
    </row>
    <row r="107" spans="1:10" x14ac:dyDescent="0.3">
      <c r="A107" s="6">
        <v>42886</v>
      </c>
      <c r="B107" s="7">
        <v>7604.8611959999998</v>
      </c>
      <c r="C107" s="7">
        <v>7429.640265</v>
      </c>
      <c r="D107" s="7">
        <v>909.52899200000002</v>
      </c>
      <c r="E107" s="7">
        <v>2148.1122420000002</v>
      </c>
      <c r="F107">
        <v>567.24305100000004</v>
      </c>
      <c r="H107" s="6"/>
    </row>
    <row r="108" spans="1:10" x14ac:dyDescent="0.3">
      <c r="A108" s="6">
        <v>42853</v>
      </c>
      <c r="B108" s="7">
        <v>7440.2596080000003</v>
      </c>
      <c r="C108" s="7">
        <v>7180.957703</v>
      </c>
      <c r="D108" s="7">
        <v>889.10870799999998</v>
      </c>
      <c r="E108" s="7">
        <v>2086.0052660000001</v>
      </c>
      <c r="F108">
        <v>548.86393599999997</v>
      </c>
      <c r="H108" s="6"/>
    </row>
    <row r="109" spans="1:10" x14ac:dyDescent="0.3">
      <c r="A109" s="6">
        <v>42825</v>
      </c>
      <c r="B109" s="7">
        <v>7328.1350700000003</v>
      </c>
      <c r="C109" s="7">
        <v>7026.5181140000004</v>
      </c>
      <c r="D109" s="7">
        <v>875.06669199999999</v>
      </c>
      <c r="E109" s="7">
        <v>2040.9023400000001</v>
      </c>
      <c r="F109">
        <v>537.04571399999998</v>
      </c>
      <c r="H109" s="6"/>
    </row>
    <row r="110" spans="1:10" x14ac:dyDescent="0.3">
      <c r="A110" s="6">
        <v>42794</v>
      </c>
      <c r="B110" s="7">
        <v>7245.7629120000001</v>
      </c>
      <c r="C110" s="7">
        <v>6845.0833899999998</v>
      </c>
      <c r="D110" s="7">
        <v>863.922279</v>
      </c>
      <c r="E110" s="7">
        <v>1990.164757</v>
      </c>
      <c r="F110">
        <v>523.30001800000002</v>
      </c>
      <c r="H110" s="6"/>
    </row>
    <row r="111" spans="1:10" x14ac:dyDescent="0.3">
      <c r="A111" s="6">
        <v>42766</v>
      </c>
      <c r="B111" s="7">
        <v>7046.7961489999998</v>
      </c>
      <c r="C111" s="7">
        <v>6765.8533859999998</v>
      </c>
      <c r="D111" s="7">
        <v>839.98439299999995</v>
      </c>
      <c r="E111" s="7">
        <v>1930.9076419999999</v>
      </c>
      <c r="F111">
        <v>515.00993600000004</v>
      </c>
      <c r="H111" s="6"/>
    </row>
    <row r="112" spans="1:10" x14ac:dyDescent="0.3">
      <c r="A112" s="6">
        <v>42734</v>
      </c>
      <c r="B112" s="7">
        <v>6879.1623630000004</v>
      </c>
      <c r="C112" s="7">
        <v>6569.6588339999998</v>
      </c>
      <c r="D112" s="7">
        <v>817.457401</v>
      </c>
      <c r="E112" s="7">
        <v>1830.637982</v>
      </c>
      <c r="F112">
        <v>497.34595000000002</v>
      </c>
      <c r="H112" s="6"/>
    </row>
    <row r="113" spans="1:8" x14ac:dyDescent="0.3">
      <c r="A113" s="6">
        <v>42704</v>
      </c>
      <c r="B113" s="7">
        <v>6716.0165180000004</v>
      </c>
      <c r="C113" s="7">
        <v>6360.4105659999996</v>
      </c>
      <c r="D113" s="7">
        <v>799.86065299999996</v>
      </c>
      <c r="E113" s="7">
        <v>1825.3449069999999</v>
      </c>
      <c r="F113">
        <v>484.780303</v>
      </c>
      <c r="H113" s="6"/>
    </row>
    <row r="114" spans="1:8" x14ac:dyDescent="0.3">
      <c r="A114" s="6">
        <v>42674</v>
      </c>
      <c r="B114" s="7">
        <v>6617.2583949999998</v>
      </c>
      <c r="C114" s="7">
        <v>6463.0172199999997</v>
      </c>
      <c r="D114" s="7">
        <v>793.441867</v>
      </c>
      <c r="E114" s="7">
        <v>1913.2993919999999</v>
      </c>
      <c r="F114">
        <v>496.19278800000001</v>
      </c>
      <c r="H114" s="6"/>
    </row>
    <row r="115" spans="1:8" x14ac:dyDescent="0.3">
      <c r="A115" s="6">
        <v>42643</v>
      </c>
      <c r="B115" s="7">
        <v>6746.0766409999997</v>
      </c>
      <c r="C115" s="7">
        <v>6590.3691660000004</v>
      </c>
      <c r="D115" s="7">
        <v>806.94503299999997</v>
      </c>
      <c r="E115" s="7">
        <v>1908.580635</v>
      </c>
      <c r="F115">
        <v>503.37658099999999</v>
      </c>
      <c r="H115" s="6"/>
    </row>
    <row r="116" spans="1:8" x14ac:dyDescent="0.3">
      <c r="A116" s="6">
        <v>42613</v>
      </c>
      <c r="B116" s="7">
        <v>6707.4203090000001</v>
      </c>
      <c r="C116" s="7">
        <v>6508.0011510000004</v>
      </c>
      <c r="D116" s="7">
        <v>801.68369900000005</v>
      </c>
      <c r="E116" s="7">
        <v>1883.7975409999999</v>
      </c>
      <c r="F116">
        <v>497.02921400000002</v>
      </c>
      <c r="H116" s="6"/>
    </row>
    <row r="117" spans="1:8" x14ac:dyDescent="0.3">
      <c r="A117" s="6">
        <v>42580</v>
      </c>
      <c r="B117" s="7">
        <v>6698.4659369999999</v>
      </c>
      <c r="C117" s="7">
        <v>6501.0018460000001</v>
      </c>
      <c r="D117" s="7">
        <v>798.60893999999996</v>
      </c>
      <c r="E117" s="7">
        <v>1837.521471</v>
      </c>
      <c r="F117">
        <v>493.81093199999998</v>
      </c>
      <c r="H117" s="6"/>
    </row>
    <row r="118" spans="1:8" x14ac:dyDescent="0.3">
      <c r="A118" s="6">
        <v>42551</v>
      </c>
      <c r="B118" s="7">
        <v>6425.2798629999998</v>
      </c>
      <c r="C118" s="7">
        <v>6195.441581</v>
      </c>
      <c r="D118" s="7">
        <v>765.39260000000002</v>
      </c>
      <c r="E118" s="7">
        <v>1748.523839</v>
      </c>
      <c r="F118">
        <v>470.437881</v>
      </c>
      <c r="H118" s="6"/>
    </row>
    <row r="119" spans="1:8" x14ac:dyDescent="0.3">
      <c r="A119" s="6">
        <v>42521</v>
      </c>
      <c r="B119" s="7">
        <v>6494.9427459999997</v>
      </c>
      <c r="C119" s="7">
        <v>6386.6675960000002</v>
      </c>
      <c r="D119" s="7">
        <v>769.64668200000006</v>
      </c>
      <c r="E119" s="7">
        <v>1679.737801</v>
      </c>
      <c r="F119">
        <v>477.47282799999999</v>
      </c>
      <c r="H119" s="6"/>
    </row>
    <row r="120" spans="1:8" x14ac:dyDescent="0.3">
      <c r="A120" s="6">
        <v>42489</v>
      </c>
      <c r="B120" s="7">
        <v>6452.7765669999999</v>
      </c>
      <c r="C120" s="7">
        <v>6452.0121680000002</v>
      </c>
      <c r="D120" s="7">
        <v>768.028054</v>
      </c>
      <c r="E120" s="7">
        <v>1744.4657480000001</v>
      </c>
      <c r="F120">
        <v>485.19542200000001</v>
      </c>
      <c r="H120" s="6"/>
    </row>
    <row r="121" spans="1:8" x14ac:dyDescent="0.3">
      <c r="A121" s="6">
        <v>42460</v>
      </c>
      <c r="B121" s="7">
        <v>6348.2945140000002</v>
      </c>
      <c r="C121" s="7">
        <v>6244.5295079999996</v>
      </c>
      <c r="D121" s="7">
        <v>756.41591400000004</v>
      </c>
      <c r="E121" s="7">
        <v>1734.6919889999999</v>
      </c>
      <c r="F121">
        <v>472.34768500000001</v>
      </c>
      <c r="H121" s="6"/>
    </row>
    <row r="122" spans="1:8" x14ac:dyDescent="0.3">
      <c r="A122" s="6">
        <v>42429</v>
      </c>
      <c r="B122" s="7">
        <v>5940.8003310000004</v>
      </c>
      <c r="C122" s="7">
        <v>5842.7836889999999</v>
      </c>
      <c r="D122" s="7">
        <v>703.77540899999997</v>
      </c>
      <c r="E122" s="7">
        <v>1531.633918</v>
      </c>
      <c r="F122">
        <v>436.52995399999998</v>
      </c>
      <c r="H122" s="6"/>
    </row>
    <row r="123" spans="1:8" x14ac:dyDescent="0.3">
      <c r="A123" s="6">
        <v>42398</v>
      </c>
      <c r="B123" s="7">
        <v>5981.6742700000004</v>
      </c>
      <c r="C123" s="7">
        <v>5923.4299719999999</v>
      </c>
      <c r="D123" s="7">
        <v>708.25295300000005</v>
      </c>
      <c r="E123" s="7">
        <v>1533.9752430000001</v>
      </c>
      <c r="F123">
        <v>441.44179800000001</v>
      </c>
      <c r="H123" s="6"/>
    </row>
    <row r="124" spans="1:8" x14ac:dyDescent="0.3">
      <c r="A124" s="6">
        <v>42369</v>
      </c>
      <c r="B124" s="7">
        <v>6360.5749539999997</v>
      </c>
      <c r="C124" s="7">
        <v>6360.371545</v>
      </c>
      <c r="D124" s="7">
        <v>753.52118499999995</v>
      </c>
      <c r="E124" s="7">
        <v>1640.2962</v>
      </c>
      <c r="F124">
        <v>473.599422</v>
      </c>
      <c r="H124" s="6"/>
    </row>
    <row r="125" spans="1:8" x14ac:dyDescent="0.3">
      <c r="A125" s="6">
        <v>42338</v>
      </c>
      <c r="B125" s="7">
        <v>6471.7171799999996</v>
      </c>
      <c r="C125" s="7">
        <v>6475.0213130000002</v>
      </c>
      <c r="D125" s="7">
        <v>767.03139499999997</v>
      </c>
      <c r="E125" s="7">
        <v>1676.7234490000001</v>
      </c>
      <c r="F125">
        <v>482.54422899999997</v>
      </c>
      <c r="H125" s="6"/>
    </row>
    <row r="126" spans="1:8" x14ac:dyDescent="0.3">
      <c r="A126" s="6">
        <v>42307</v>
      </c>
      <c r="B126" s="7">
        <v>6500.9097590000001</v>
      </c>
      <c r="C126" s="7">
        <v>6578.7481829999997</v>
      </c>
      <c r="D126" s="7">
        <v>773.07081700000003</v>
      </c>
      <c r="E126" s="7">
        <v>1744.660185</v>
      </c>
      <c r="F126">
        <v>492.649675</v>
      </c>
      <c r="H126" s="6"/>
    </row>
    <row r="127" spans="1:8" x14ac:dyDescent="0.3">
      <c r="A127" s="6">
        <v>42277</v>
      </c>
      <c r="B127" s="7">
        <v>6021.9543020000001</v>
      </c>
      <c r="C127" s="7">
        <v>6117.7159339999998</v>
      </c>
      <c r="D127" s="7">
        <v>716.63550299999997</v>
      </c>
      <c r="E127" s="7">
        <v>1628.3904809999999</v>
      </c>
      <c r="F127">
        <v>458.46850899999998</v>
      </c>
      <c r="H127" s="6"/>
    </row>
    <row r="128" spans="1:8" x14ac:dyDescent="0.3">
      <c r="A128" s="6">
        <v>42247</v>
      </c>
      <c r="B128" s="7">
        <v>6249.64635</v>
      </c>
      <c r="C128" s="7">
        <v>6440.3590039999999</v>
      </c>
      <c r="D128" s="7">
        <v>743.233158</v>
      </c>
      <c r="E128" s="7">
        <v>1678.2796940000001</v>
      </c>
      <c r="F128">
        <v>480.567611</v>
      </c>
      <c r="H128" s="6"/>
    </row>
    <row r="129" spans="1:8" x14ac:dyDescent="0.3">
      <c r="A129" s="6">
        <v>42216</v>
      </c>
      <c r="B129" s="7">
        <v>6689.5756369999999</v>
      </c>
      <c r="C129" s="7">
        <v>6945.3791659999997</v>
      </c>
      <c r="D129" s="7">
        <v>797.58490099999995</v>
      </c>
      <c r="E129" s="7">
        <v>1844.4640280000001</v>
      </c>
      <c r="F129">
        <v>520.24154199999998</v>
      </c>
      <c r="H129" s="6"/>
    </row>
    <row r="130" spans="1:8" x14ac:dyDescent="0.3">
      <c r="A130" s="6">
        <v>42185</v>
      </c>
      <c r="B130" s="7">
        <v>6569.4663499999997</v>
      </c>
      <c r="C130" s="7">
        <v>6836.3021859999999</v>
      </c>
      <c r="D130" s="7">
        <v>790.43266400000005</v>
      </c>
      <c r="E130" s="7">
        <v>1980.535343</v>
      </c>
      <c r="F130">
        <v>521.57815500000004</v>
      </c>
      <c r="H130" s="6"/>
    </row>
    <row r="131" spans="1:8" x14ac:dyDescent="0.3">
      <c r="A131" s="6">
        <v>42153</v>
      </c>
      <c r="B131" s="7">
        <v>6723.0599419999999</v>
      </c>
      <c r="C131" s="7">
        <v>7034.0408269999998</v>
      </c>
      <c r="D131" s="7">
        <v>809.12276899999995</v>
      </c>
      <c r="E131" s="7">
        <v>2031.754678</v>
      </c>
      <c r="F131">
        <v>536.31873499999995</v>
      </c>
      <c r="H131" s="6"/>
    </row>
    <row r="132" spans="1:8" x14ac:dyDescent="0.3">
      <c r="A132" s="6">
        <v>42124</v>
      </c>
      <c r="B132" s="7">
        <v>6694.313819</v>
      </c>
      <c r="C132" s="7">
        <v>7087.92328</v>
      </c>
      <c r="D132" s="7">
        <v>809.55041100000005</v>
      </c>
      <c r="E132" s="7">
        <v>2116.085529</v>
      </c>
      <c r="F132">
        <v>544.33984699999996</v>
      </c>
      <c r="H132" s="6"/>
    </row>
    <row r="133" spans="1:8" x14ac:dyDescent="0.3">
      <c r="A133" s="6">
        <v>42094</v>
      </c>
      <c r="B133" s="7">
        <v>6537.6185260000002</v>
      </c>
      <c r="C133" s="7">
        <v>6788.5961370000005</v>
      </c>
      <c r="D133" s="7">
        <v>786.34846300000004</v>
      </c>
      <c r="E133" s="7">
        <v>1964.4942249999999</v>
      </c>
      <c r="F133">
        <v>517.82665399999996</v>
      </c>
      <c r="H133" s="6"/>
    </row>
    <row r="134" spans="1:8" x14ac:dyDescent="0.3">
      <c r="A134" s="6">
        <v>42062</v>
      </c>
      <c r="B134" s="7">
        <v>6637.2221879999997</v>
      </c>
      <c r="C134" s="7">
        <v>6897.7029009999997</v>
      </c>
      <c r="D134" s="7">
        <v>798.23983399999997</v>
      </c>
      <c r="E134" s="7">
        <v>1992.427821</v>
      </c>
      <c r="F134">
        <v>525.93803300000002</v>
      </c>
      <c r="H134" s="6"/>
    </row>
    <row r="135" spans="1:8" x14ac:dyDescent="0.3">
      <c r="A135" s="6">
        <v>42034</v>
      </c>
      <c r="B135" s="7">
        <v>6266.9337089999999</v>
      </c>
      <c r="C135" s="7">
        <v>6508.0116609999995</v>
      </c>
      <c r="D135" s="7">
        <v>755.81668400000001</v>
      </c>
      <c r="E135" s="7">
        <v>1932.3631800000001</v>
      </c>
      <c r="F135">
        <v>499.18469399999998</v>
      </c>
      <c r="H135" s="6"/>
    </row>
    <row r="136" spans="1:8" x14ac:dyDescent="0.3">
      <c r="A136" s="6">
        <v>42004</v>
      </c>
      <c r="B136" s="7">
        <v>6381.0544890000001</v>
      </c>
      <c r="C136" s="7">
        <v>6530.2313190000004</v>
      </c>
      <c r="D136" s="7">
        <v>767.64704900000004</v>
      </c>
      <c r="E136" s="7">
        <v>1920.6931959999999</v>
      </c>
      <c r="F136">
        <v>499.85916400000002</v>
      </c>
      <c r="H136" s="6"/>
    </row>
    <row r="137" spans="1:8" x14ac:dyDescent="0.3">
      <c r="A137" s="6">
        <v>41971</v>
      </c>
      <c r="B137" s="7">
        <v>6482.9004530000002</v>
      </c>
      <c r="C137" s="7">
        <v>6752.6844730000003</v>
      </c>
      <c r="D137" s="7">
        <v>782.41879800000004</v>
      </c>
      <c r="E137" s="7">
        <v>2012.4924980000001</v>
      </c>
      <c r="F137">
        <v>518.37279599999999</v>
      </c>
      <c r="H137" s="6"/>
    </row>
    <row r="138" spans="1:8" x14ac:dyDescent="0.3">
      <c r="A138" s="6">
        <v>41943</v>
      </c>
      <c r="B138" s="7">
        <v>6352.5983370000004</v>
      </c>
      <c r="C138" s="7">
        <v>6669.7052480000002</v>
      </c>
      <c r="D138" s="7">
        <v>769.222984</v>
      </c>
      <c r="E138" s="7">
        <v>2033.883094</v>
      </c>
      <c r="F138">
        <v>514.58497299999999</v>
      </c>
      <c r="H138" s="6"/>
    </row>
    <row r="139" spans="1:8" x14ac:dyDescent="0.3">
      <c r="A139" s="6">
        <v>41912</v>
      </c>
      <c r="B139" s="7">
        <v>6310.2681560000001</v>
      </c>
      <c r="C139" s="7">
        <v>6776.8149999999996</v>
      </c>
      <c r="D139" s="7">
        <v>763.672282</v>
      </c>
      <c r="E139" s="7">
        <v>2009.950709</v>
      </c>
      <c r="F139">
        <v>519.67679899999996</v>
      </c>
      <c r="H139" s="6"/>
    </row>
    <row r="140" spans="1:8" x14ac:dyDescent="0.3">
      <c r="A140" s="6">
        <v>41880</v>
      </c>
      <c r="B140" s="7">
        <v>6483.570232</v>
      </c>
      <c r="C140" s="7">
        <v>7064.3982589999996</v>
      </c>
      <c r="D140" s="7">
        <v>788.95176500000002</v>
      </c>
      <c r="E140" s="7">
        <v>2170.3748529999998</v>
      </c>
      <c r="F140">
        <v>545.939887</v>
      </c>
      <c r="H140" s="6"/>
    </row>
    <row r="141" spans="1:8" x14ac:dyDescent="0.3">
      <c r="A141" s="6">
        <v>41851</v>
      </c>
      <c r="B141" s="7">
        <v>6341.2344149999999</v>
      </c>
      <c r="C141" s="7">
        <v>7057.9543940000003</v>
      </c>
      <c r="D141" s="7">
        <v>771.59057399999995</v>
      </c>
      <c r="E141" s="7">
        <v>2121.7132959999999</v>
      </c>
      <c r="F141">
        <v>542.83483899999999</v>
      </c>
      <c r="H141" s="6"/>
    </row>
    <row r="142" spans="1:8" x14ac:dyDescent="0.3">
      <c r="A142" s="6">
        <v>41820</v>
      </c>
      <c r="B142" s="7">
        <v>6442.5006739999999</v>
      </c>
      <c r="C142" s="7">
        <v>7185.3111710000003</v>
      </c>
      <c r="D142" s="7">
        <v>780.82467999999994</v>
      </c>
      <c r="E142" s="7">
        <v>2079.7903350000001</v>
      </c>
      <c r="F142">
        <v>548.142652</v>
      </c>
      <c r="H142" s="6"/>
    </row>
    <row r="143" spans="1:8" x14ac:dyDescent="0.3">
      <c r="A143" s="6">
        <v>41789</v>
      </c>
      <c r="B143" s="7">
        <v>6326.6009869999998</v>
      </c>
      <c r="C143" s="7">
        <v>7082.0988530000004</v>
      </c>
      <c r="D143" s="7">
        <v>766.06867999999997</v>
      </c>
      <c r="E143" s="7">
        <v>2025.070115</v>
      </c>
      <c r="F143">
        <v>538.871396</v>
      </c>
      <c r="H143" s="6"/>
    </row>
    <row r="144" spans="1:8" x14ac:dyDescent="0.3">
      <c r="A144" s="6">
        <v>41759</v>
      </c>
      <c r="B144" s="7">
        <v>6198.7979539999997</v>
      </c>
      <c r="C144" s="7">
        <v>6965.824224</v>
      </c>
      <c r="D144" s="7">
        <v>749.47771599999999</v>
      </c>
      <c r="E144" s="7">
        <v>1956.339416</v>
      </c>
      <c r="F144">
        <v>528.06336499999998</v>
      </c>
      <c r="H144" s="6"/>
    </row>
    <row r="145" spans="1:8" x14ac:dyDescent="0.3">
      <c r="A145" s="6">
        <v>41729</v>
      </c>
      <c r="B145" s="7">
        <v>6132.591574</v>
      </c>
      <c r="C145" s="7">
        <v>6852.1054979999999</v>
      </c>
      <c r="D145" s="7">
        <v>742.02199700000006</v>
      </c>
      <c r="E145" s="7">
        <v>1949.082627</v>
      </c>
      <c r="F145">
        <v>520.80925300000001</v>
      </c>
      <c r="H145" s="6"/>
    </row>
    <row r="146" spans="1:8" x14ac:dyDescent="0.3">
      <c r="A146" s="6">
        <v>41698</v>
      </c>
      <c r="B146" s="7">
        <v>6120.2536060000002</v>
      </c>
      <c r="C146" s="7">
        <v>6878.0176250000004</v>
      </c>
      <c r="D146" s="7">
        <v>738.34569199999999</v>
      </c>
      <c r="E146" s="7">
        <v>1890.6236269999999</v>
      </c>
      <c r="F146">
        <v>519.15429800000004</v>
      </c>
      <c r="H146" s="6"/>
    </row>
    <row r="147" spans="1:8" x14ac:dyDescent="0.3">
      <c r="A147" s="6">
        <v>41670</v>
      </c>
      <c r="B147" s="7">
        <v>5825.5268759999999</v>
      </c>
      <c r="C147" s="7">
        <v>6520.3832949999996</v>
      </c>
      <c r="D147" s="7">
        <v>703.98601199999996</v>
      </c>
      <c r="E147" s="7">
        <v>1829.630668</v>
      </c>
      <c r="F147">
        <v>494.19681200000002</v>
      </c>
      <c r="H147" s="6"/>
    </row>
    <row r="148" spans="1:8" x14ac:dyDescent="0.3">
      <c r="A148" s="6">
        <v>41639</v>
      </c>
      <c r="B148" s="7">
        <v>6048.181012</v>
      </c>
      <c r="C148" s="7">
        <v>6793.6777549999997</v>
      </c>
      <c r="D148" s="7">
        <v>733.14874299999997</v>
      </c>
      <c r="E148" s="7">
        <v>1956.224461</v>
      </c>
      <c r="F148">
        <v>517.64120100000002</v>
      </c>
      <c r="H148" s="6"/>
    </row>
    <row r="149" spans="1:8" x14ac:dyDescent="0.3">
      <c r="A149" s="6">
        <v>41607</v>
      </c>
      <c r="B149" s="7">
        <v>5920.6828169999999</v>
      </c>
      <c r="C149" s="7">
        <v>6691.5184950000003</v>
      </c>
      <c r="D149" s="7">
        <v>720.47121700000002</v>
      </c>
      <c r="E149" s="7">
        <v>1984.7581749999999</v>
      </c>
      <c r="F149">
        <v>513.02768800000001</v>
      </c>
      <c r="H149" s="6"/>
    </row>
    <row r="150" spans="1:8" x14ac:dyDescent="0.3">
      <c r="A150" s="6">
        <v>41578</v>
      </c>
      <c r="B150" s="7">
        <v>5814.648991</v>
      </c>
      <c r="C150" s="7">
        <v>6649.4510099999998</v>
      </c>
      <c r="D150" s="7">
        <v>710.11435400000005</v>
      </c>
      <c r="E150" s="7">
        <v>2014.0508440000001</v>
      </c>
      <c r="F150">
        <v>512.06270300000006</v>
      </c>
      <c r="H150" s="6"/>
    </row>
    <row r="151" spans="1:8" x14ac:dyDescent="0.3">
      <c r="A151" s="6">
        <v>41547</v>
      </c>
      <c r="B151" s="7">
        <v>5594.3355730000003</v>
      </c>
      <c r="C151" s="7">
        <v>6433.1487719999996</v>
      </c>
      <c r="D151" s="7">
        <v>682.52857300000005</v>
      </c>
      <c r="E151" s="7">
        <v>1920.464264</v>
      </c>
      <c r="F151">
        <v>493.88216999999997</v>
      </c>
      <c r="H151" s="6"/>
    </row>
    <row r="152" spans="1:8" x14ac:dyDescent="0.3">
      <c r="A152" s="6">
        <v>41516</v>
      </c>
      <c r="B152" s="7">
        <v>5325.8871150000004</v>
      </c>
      <c r="C152" s="7">
        <v>6006.9557269999996</v>
      </c>
      <c r="D152" s="7">
        <v>648.76836700000001</v>
      </c>
      <c r="E152" s="7">
        <v>1802.66354</v>
      </c>
      <c r="F152">
        <v>461.67428200000001</v>
      </c>
      <c r="H152" s="6"/>
    </row>
    <row r="153" spans="1:8" x14ac:dyDescent="0.3">
      <c r="A153" s="6">
        <v>41486</v>
      </c>
      <c r="B153" s="7">
        <v>5439.3465200000001</v>
      </c>
      <c r="C153" s="7">
        <v>6084.4463029999997</v>
      </c>
      <c r="D153" s="7">
        <v>662.28817700000002</v>
      </c>
      <c r="E153" s="7">
        <v>1833.431924</v>
      </c>
      <c r="F153">
        <v>468.03691300000003</v>
      </c>
      <c r="H153" s="6"/>
    </row>
    <row r="154" spans="1:8" x14ac:dyDescent="0.3">
      <c r="A154" s="6">
        <v>41453</v>
      </c>
      <c r="B154" s="7">
        <v>5165.8770839999997</v>
      </c>
      <c r="C154" s="7">
        <v>5776.4002399999999</v>
      </c>
      <c r="D154" s="7">
        <v>631.83789999999999</v>
      </c>
      <c r="E154" s="7">
        <v>1813.503142</v>
      </c>
      <c r="F154">
        <v>448.30603100000002</v>
      </c>
      <c r="H154" s="6"/>
    </row>
    <row r="155" spans="1:8" x14ac:dyDescent="0.3">
      <c r="A155" s="6">
        <v>41425</v>
      </c>
      <c r="B155" s="7">
        <v>5294.2145650000002</v>
      </c>
      <c r="C155" s="7">
        <v>5999.3766880000003</v>
      </c>
      <c r="D155" s="7">
        <v>650.58922800000005</v>
      </c>
      <c r="E155" s="7">
        <v>1935.8204270000001</v>
      </c>
      <c r="F155">
        <v>468.46813800000001</v>
      </c>
      <c r="H155" s="6"/>
    </row>
    <row r="156" spans="1:8" x14ac:dyDescent="0.3">
      <c r="A156" s="6">
        <v>41394</v>
      </c>
      <c r="B156" s="7">
        <v>5287.524128</v>
      </c>
      <c r="C156" s="7">
        <v>6130.2915000000003</v>
      </c>
      <c r="D156" s="7">
        <v>651.82910900000002</v>
      </c>
      <c r="E156" s="7">
        <v>1985.8333700000001</v>
      </c>
      <c r="F156">
        <v>479.11426599999999</v>
      </c>
      <c r="H156" s="6"/>
    </row>
    <row r="157" spans="1:8" x14ac:dyDescent="0.3">
      <c r="A157" s="6">
        <v>41361</v>
      </c>
      <c r="B157" s="7">
        <v>5122.9333939999997</v>
      </c>
      <c r="C157" s="7">
        <v>5857.6267690000004</v>
      </c>
      <c r="D157" s="7">
        <v>633.17997400000002</v>
      </c>
      <c r="E157" s="7">
        <v>1965.853584</v>
      </c>
      <c r="F157">
        <v>461.50991499999998</v>
      </c>
      <c r="H157" s="6"/>
    </row>
    <row r="158" spans="1:8" x14ac:dyDescent="0.3">
      <c r="A158" s="6">
        <v>41333</v>
      </c>
      <c r="B158" s="7">
        <v>5002.7985079999999</v>
      </c>
      <c r="C158" s="7">
        <v>5807.3850130000001</v>
      </c>
      <c r="D158" s="7">
        <v>621.64755300000002</v>
      </c>
      <c r="E158" s="7">
        <v>2004.2981769999999</v>
      </c>
      <c r="F158">
        <v>460.54534899999999</v>
      </c>
      <c r="H158" s="6"/>
    </row>
    <row r="159" spans="1:8" x14ac:dyDescent="0.3">
      <c r="A159" s="6">
        <v>41305</v>
      </c>
      <c r="B159" s="7">
        <v>4992.0611669999998</v>
      </c>
      <c r="C159" s="7">
        <v>5864.2438179999999</v>
      </c>
      <c r="D159" s="7">
        <v>621.46333200000004</v>
      </c>
      <c r="E159" s="7">
        <v>2029.5042249999999</v>
      </c>
      <c r="F159">
        <v>465.35628500000001</v>
      </c>
      <c r="H159" s="6"/>
    </row>
    <row r="160" spans="1:8" x14ac:dyDescent="0.3">
      <c r="A160" s="6">
        <v>41274</v>
      </c>
      <c r="B160" s="7">
        <v>4748.6985109999996</v>
      </c>
      <c r="C160" s="7">
        <v>5588.1590020000003</v>
      </c>
      <c r="D160" s="7">
        <v>593.931466</v>
      </c>
      <c r="E160" s="7">
        <v>2001.59647</v>
      </c>
      <c r="F160">
        <v>447.089519</v>
      </c>
      <c r="H160" s="6"/>
    </row>
    <row r="161" spans="1:8" x14ac:dyDescent="0.3">
      <c r="A161" s="6">
        <v>41243</v>
      </c>
      <c r="B161" s="7">
        <v>4658.5814870000004</v>
      </c>
      <c r="C161" s="7">
        <v>5423.0924059999998</v>
      </c>
      <c r="D161" s="7">
        <v>580.50087799999994</v>
      </c>
      <c r="E161" s="7">
        <v>1908.070884</v>
      </c>
      <c r="F161">
        <v>432.03261600000002</v>
      </c>
      <c r="H161" s="6"/>
    </row>
    <row r="162" spans="1:8" x14ac:dyDescent="0.3">
      <c r="A162" s="6">
        <v>41213</v>
      </c>
      <c r="B162" s="7">
        <v>4597.2311929999996</v>
      </c>
      <c r="C162" s="7">
        <v>5310.6430129999999</v>
      </c>
      <c r="D162" s="7">
        <v>572.89817100000005</v>
      </c>
      <c r="E162" s="7">
        <v>1884.0129039999999</v>
      </c>
      <c r="F162">
        <v>423.90045500000002</v>
      </c>
      <c r="H162" s="6"/>
    </row>
    <row r="163" spans="1:8" x14ac:dyDescent="0.3">
      <c r="A163" s="6">
        <v>41180</v>
      </c>
      <c r="B163" s="7">
        <v>4627.1842509999997</v>
      </c>
      <c r="C163" s="7">
        <v>5273.0087919999996</v>
      </c>
      <c r="D163" s="7">
        <v>576.59290599999997</v>
      </c>
      <c r="E163" s="7">
        <v>1895.315507</v>
      </c>
      <c r="F163">
        <v>422.20710400000002</v>
      </c>
      <c r="H163" s="6"/>
    </row>
    <row r="164" spans="1:8" x14ac:dyDescent="0.3">
      <c r="A164" s="6">
        <v>41152</v>
      </c>
      <c r="B164" s="7">
        <v>4501.5009389999996</v>
      </c>
      <c r="C164" s="7">
        <v>5115.6470200000003</v>
      </c>
      <c r="D164" s="7">
        <v>558.76041499999997</v>
      </c>
      <c r="E164" s="7">
        <v>1787.1240290000001</v>
      </c>
      <c r="F164">
        <v>406.86437100000001</v>
      </c>
      <c r="H164" s="6"/>
    </row>
    <row r="165" spans="1:8" x14ac:dyDescent="0.3">
      <c r="A165" s="6">
        <v>41121</v>
      </c>
      <c r="B165" s="7">
        <v>4388.0358050000004</v>
      </c>
      <c r="C165" s="7">
        <v>4972.9923449999997</v>
      </c>
      <c r="D165" s="7">
        <v>546.60142299999995</v>
      </c>
      <c r="E165" s="7">
        <v>1792.303954</v>
      </c>
      <c r="F165">
        <v>398.44372099999998</v>
      </c>
      <c r="H165" s="6"/>
    </row>
    <row r="166" spans="1:8" x14ac:dyDescent="0.3">
      <c r="A166" s="6">
        <v>41089</v>
      </c>
      <c r="B166" s="7">
        <v>4331.1554029999998</v>
      </c>
      <c r="C166" s="7">
        <v>4911.0158490000003</v>
      </c>
      <c r="D166" s="7">
        <v>539.04396799999995</v>
      </c>
      <c r="E166" s="7">
        <v>1756.769753</v>
      </c>
      <c r="F166">
        <v>392.77530200000001</v>
      </c>
      <c r="H166" s="6"/>
    </row>
    <row r="167" spans="1:8" x14ac:dyDescent="0.3">
      <c r="A167" s="6">
        <v>41060</v>
      </c>
      <c r="B167" s="7">
        <v>4119.2063859999998</v>
      </c>
      <c r="C167" s="7">
        <v>4607.1108789999998</v>
      </c>
      <c r="D167" s="7">
        <v>513.43092100000001</v>
      </c>
      <c r="E167" s="7">
        <v>1690.7215570000001</v>
      </c>
      <c r="F167">
        <v>370.743289</v>
      </c>
      <c r="H167" s="6"/>
    </row>
    <row r="168" spans="1:8" x14ac:dyDescent="0.3">
      <c r="A168" s="6">
        <v>41029</v>
      </c>
      <c r="B168" s="7">
        <v>4503.679588</v>
      </c>
      <c r="C168" s="7">
        <v>5192.8994480000001</v>
      </c>
      <c r="D168" s="7">
        <v>563.44352500000002</v>
      </c>
      <c r="E168" s="7">
        <v>1903.163916</v>
      </c>
      <c r="F168">
        <v>417.749999</v>
      </c>
      <c r="H168" s="6"/>
    </row>
    <row r="169" spans="1:8" x14ac:dyDescent="0.3">
      <c r="A169" s="6">
        <v>40998</v>
      </c>
      <c r="B169" s="7">
        <v>4552.2015570000003</v>
      </c>
      <c r="C169" s="7">
        <v>5276.7146990000001</v>
      </c>
      <c r="D169" s="7">
        <v>569.589426</v>
      </c>
      <c r="E169" s="7">
        <v>1925.6423769999999</v>
      </c>
      <c r="F169">
        <v>424.05699600000003</v>
      </c>
      <c r="H169" s="6"/>
    </row>
    <row r="170" spans="1:8" x14ac:dyDescent="0.3">
      <c r="A170" s="6">
        <v>40968</v>
      </c>
      <c r="B170" s="7">
        <v>4491.9787079999996</v>
      </c>
      <c r="C170" s="7">
        <v>5312.6895180000001</v>
      </c>
      <c r="D170" s="7">
        <v>565.55591000000004</v>
      </c>
      <c r="E170" s="7">
        <v>1991.910844</v>
      </c>
      <c r="F170">
        <v>429.751825</v>
      </c>
      <c r="H170" s="6"/>
    </row>
    <row r="171" spans="1:8" x14ac:dyDescent="0.3">
      <c r="A171" s="6">
        <v>40939</v>
      </c>
      <c r="B171" s="7">
        <v>4280.5207339999997</v>
      </c>
      <c r="C171" s="7">
        <v>5034.3387460000004</v>
      </c>
      <c r="D171" s="7">
        <v>538.20594300000005</v>
      </c>
      <c r="E171" s="7">
        <v>1879.011172</v>
      </c>
      <c r="F171">
        <v>406.78530799999999</v>
      </c>
      <c r="H171" s="6"/>
    </row>
    <row r="172" spans="1:8" x14ac:dyDescent="0.3">
      <c r="A172" s="6">
        <v>40907</v>
      </c>
      <c r="B172" s="7">
        <v>4074.8336770000001</v>
      </c>
      <c r="C172" s="7">
        <v>4775.4274480000004</v>
      </c>
      <c r="D172" s="7">
        <v>508.49664799999999</v>
      </c>
      <c r="E172" s="7">
        <v>1687.30045</v>
      </c>
      <c r="F172">
        <v>380.86203399999999</v>
      </c>
      <c r="H172" s="6"/>
    </row>
    <row r="173" spans="1:8" x14ac:dyDescent="0.3">
      <c r="A173" s="6">
        <v>40877</v>
      </c>
      <c r="B173" s="7">
        <v>4075.5600850000001</v>
      </c>
      <c r="C173" s="7">
        <v>4827.1223689999997</v>
      </c>
      <c r="D173" s="7">
        <v>509.35052400000001</v>
      </c>
      <c r="E173" s="7">
        <v>1707.7187180000001</v>
      </c>
      <c r="F173">
        <v>385.09945699999997</v>
      </c>
      <c r="H173" s="6"/>
    </row>
    <row r="174" spans="1:8" x14ac:dyDescent="0.3">
      <c r="A174" s="6">
        <v>40847</v>
      </c>
      <c r="B174" s="7">
        <v>4175.1029559999997</v>
      </c>
      <c r="C174" s="7">
        <v>5059.5098120000002</v>
      </c>
      <c r="D174" s="7">
        <v>524.79887699999995</v>
      </c>
      <c r="E174" s="7">
        <v>1829.55261</v>
      </c>
      <c r="F174">
        <v>405.71155299999998</v>
      </c>
      <c r="H174" s="6"/>
    </row>
    <row r="175" spans="1:8" x14ac:dyDescent="0.3">
      <c r="A175" s="6">
        <v>40816</v>
      </c>
      <c r="B175" s="7">
        <v>3782.7570390000001</v>
      </c>
      <c r="C175" s="7">
        <v>4610.6322529999998</v>
      </c>
      <c r="D175" s="7">
        <v>473.89821799999999</v>
      </c>
      <c r="E175" s="7">
        <v>1615.4189879999999</v>
      </c>
      <c r="F175">
        <v>367.01118100000002</v>
      </c>
      <c r="H175" s="6"/>
    </row>
    <row r="176" spans="1:8" x14ac:dyDescent="0.3">
      <c r="A176" s="6">
        <v>40786</v>
      </c>
      <c r="B176" s="7">
        <v>4138.5623219999998</v>
      </c>
      <c r="C176" s="7">
        <v>5123.2872589999997</v>
      </c>
      <c r="D176" s="7">
        <v>523.09423000000004</v>
      </c>
      <c r="E176" s="7">
        <v>1890.763322</v>
      </c>
      <c r="F176">
        <v>412.80681099999998</v>
      </c>
      <c r="H176" s="6"/>
    </row>
    <row r="177" spans="1:8" x14ac:dyDescent="0.3">
      <c r="A177" s="6">
        <v>40753</v>
      </c>
      <c r="B177" s="7">
        <v>4450.2492510000002</v>
      </c>
      <c r="C177" s="7">
        <v>5595.5537839999997</v>
      </c>
      <c r="D177" s="7">
        <v>564.06743500000005</v>
      </c>
      <c r="E177" s="7">
        <v>2075.4750749999998</v>
      </c>
      <c r="F177">
        <v>451.402379</v>
      </c>
      <c r="H177" s="6"/>
    </row>
    <row r="178" spans="1:8" x14ac:dyDescent="0.3">
      <c r="A178" s="6">
        <v>40724</v>
      </c>
      <c r="B178" s="7">
        <v>4531.207531</v>
      </c>
      <c r="C178" s="7">
        <v>5688.234246</v>
      </c>
      <c r="D178" s="7">
        <v>573.21501599999999</v>
      </c>
      <c r="E178" s="7">
        <v>2083.3097539999999</v>
      </c>
      <c r="F178">
        <v>457.50034199999999</v>
      </c>
      <c r="H178" s="6"/>
    </row>
    <row r="179" spans="1:8" x14ac:dyDescent="0.3">
      <c r="A179" s="6">
        <v>40694</v>
      </c>
      <c r="B179" s="7">
        <v>4602.2407569999996</v>
      </c>
      <c r="C179" s="7">
        <v>5768.683575</v>
      </c>
      <c r="D179" s="7">
        <v>582.16187400000001</v>
      </c>
      <c r="E179" s="7">
        <v>2114.9555099999998</v>
      </c>
      <c r="F179">
        <v>464.083032</v>
      </c>
      <c r="H179" s="6"/>
    </row>
    <row r="180" spans="1:8" x14ac:dyDescent="0.3">
      <c r="A180" s="6">
        <v>40662</v>
      </c>
      <c r="B180" s="7">
        <v>4694.8839079999998</v>
      </c>
      <c r="C180" s="7">
        <v>5936.5656870000003</v>
      </c>
      <c r="D180" s="7">
        <v>594.38271499999996</v>
      </c>
      <c r="E180" s="7">
        <v>2171.0378009999999</v>
      </c>
      <c r="F180">
        <v>477.30380300000002</v>
      </c>
      <c r="H180" s="6"/>
    </row>
    <row r="181" spans="1:8" x14ac:dyDescent="0.3">
      <c r="A181" s="6">
        <v>40633</v>
      </c>
      <c r="B181" s="7">
        <v>4500.8252419999999</v>
      </c>
      <c r="C181" s="7">
        <v>5624.9558489999999</v>
      </c>
      <c r="D181" s="7">
        <v>570.70524699999999</v>
      </c>
      <c r="E181" s="7">
        <v>2105.2745519999999</v>
      </c>
      <c r="F181">
        <v>454.74153000000001</v>
      </c>
      <c r="H181" s="6"/>
    </row>
    <row r="182" spans="1:8" x14ac:dyDescent="0.3">
      <c r="A182" s="6">
        <v>40602</v>
      </c>
      <c r="B182" s="7">
        <v>4543.5461340000002</v>
      </c>
      <c r="C182" s="7">
        <v>5737.1966240000002</v>
      </c>
      <c r="D182" s="7">
        <v>571.03765699999997</v>
      </c>
      <c r="E182" s="7">
        <v>1988.074247</v>
      </c>
      <c r="F182">
        <v>455.60646500000001</v>
      </c>
      <c r="H182" s="6"/>
    </row>
    <row r="183" spans="1:8" x14ac:dyDescent="0.3">
      <c r="A183" s="6">
        <v>40574</v>
      </c>
      <c r="B183" s="7">
        <v>4387.9695439999996</v>
      </c>
      <c r="C183" s="7">
        <v>5530.8045739999998</v>
      </c>
      <c r="D183" s="7">
        <v>554.65934700000003</v>
      </c>
      <c r="E183" s="7">
        <v>2006.4894320000001</v>
      </c>
      <c r="F183">
        <v>443.819658</v>
      </c>
      <c r="H183" s="6"/>
    </row>
    <row r="184" spans="1:8" x14ac:dyDescent="0.3">
      <c r="A184" s="6">
        <v>40543</v>
      </c>
      <c r="B184" s="7">
        <v>4290.0453680000001</v>
      </c>
      <c r="C184" s="7">
        <v>5413.2995449999999</v>
      </c>
      <c r="D184" s="7">
        <v>545.96707000000004</v>
      </c>
      <c r="E184" s="7">
        <v>2062.04187</v>
      </c>
      <c r="F184">
        <v>439.41951299999999</v>
      </c>
      <c r="H184" s="6"/>
    </row>
    <row r="185" spans="1:8" x14ac:dyDescent="0.3">
      <c r="A185" s="6">
        <v>40512</v>
      </c>
      <c r="B185" s="7">
        <v>3994.994271</v>
      </c>
      <c r="C185" s="7">
        <v>5009.1703680000001</v>
      </c>
      <c r="D185" s="7">
        <v>508.57359000000002</v>
      </c>
      <c r="E185" s="7">
        <v>1924.4851650000001</v>
      </c>
      <c r="F185">
        <v>407.45333699999998</v>
      </c>
      <c r="H185" s="6"/>
    </row>
    <row r="186" spans="1:8" x14ac:dyDescent="0.3">
      <c r="A186" s="6">
        <v>40480</v>
      </c>
      <c r="B186" s="7">
        <v>4081.1862700000001</v>
      </c>
      <c r="C186" s="7">
        <v>5229.2010630000004</v>
      </c>
      <c r="D186" s="7">
        <v>519.92764799999998</v>
      </c>
      <c r="E186" s="7">
        <v>1976.5825890000001</v>
      </c>
      <c r="F186">
        <v>423.71151400000002</v>
      </c>
      <c r="H186" s="6"/>
    </row>
    <row r="187" spans="1:8" x14ac:dyDescent="0.3">
      <c r="A187" s="6">
        <v>40451</v>
      </c>
      <c r="B187" s="7">
        <v>3933.681227</v>
      </c>
      <c r="C187" s="7">
        <v>5048.828501</v>
      </c>
      <c r="D187" s="7">
        <v>501.694253</v>
      </c>
      <c r="E187" s="7">
        <v>1920.6469090000001</v>
      </c>
      <c r="F187">
        <v>409.71493299999997</v>
      </c>
      <c r="H187" s="6"/>
    </row>
    <row r="188" spans="1:8" x14ac:dyDescent="0.3">
      <c r="A188" s="6">
        <v>40421</v>
      </c>
      <c r="B188" s="7">
        <v>3596.9021729999999</v>
      </c>
      <c r="C188" s="7">
        <v>4605.7772569999997</v>
      </c>
      <c r="D188" s="7">
        <v>457.74238300000002</v>
      </c>
      <c r="E188" s="7">
        <v>1728.3434500000001</v>
      </c>
      <c r="F188">
        <v>372.56364000000002</v>
      </c>
      <c r="H188" s="6"/>
    </row>
    <row r="189" spans="1:8" x14ac:dyDescent="0.3">
      <c r="A189" s="6">
        <v>40389</v>
      </c>
      <c r="B189" s="7">
        <v>3734.8157719999999</v>
      </c>
      <c r="C189" s="7">
        <v>4746.8841210000001</v>
      </c>
      <c r="D189" s="7">
        <v>474.12767700000001</v>
      </c>
      <c r="E189" s="7">
        <v>1761.969008</v>
      </c>
      <c r="F189">
        <v>383.00902200000002</v>
      </c>
      <c r="H189" s="6"/>
    </row>
    <row r="190" spans="1:8" x14ac:dyDescent="0.3">
      <c r="A190" s="6">
        <v>40359</v>
      </c>
      <c r="B190" s="7">
        <v>3453.8910839999999</v>
      </c>
      <c r="C190" s="7">
        <v>4344.6706260000001</v>
      </c>
      <c r="D190" s="7">
        <v>438.32307200000002</v>
      </c>
      <c r="E190" s="7">
        <v>1625.4572519999999</v>
      </c>
      <c r="F190">
        <v>351.19771500000002</v>
      </c>
      <c r="H190" s="6"/>
    </row>
    <row r="191" spans="1:8" x14ac:dyDescent="0.3">
      <c r="A191" s="6">
        <v>40326</v>
      </c>
      <c r="B191" s="7">
        <v>3576.6129559999999</v>
      </c>
      <c r="C191" s="7">
        <v>4410.8714540000001</v>
      </c>
      <c r="D191" s="7">
        <v>451.648618</v>
      </c>
      <c r="E191" s="7">
        <v>1620.2701770000001</v>
      </c>
      <c r="F191">
        <v>355.04479199999997</v>
      </c>
      <c r="H191" s="6"/>
    </row>
    <row r="192" spans="1:8" x14ac:dyDescent="0.3">
      <c r="A192" s="6">
        <v>40298</v>
      </c>
      <c r="B192" s="7">
        <v>3949.7178389999999</v>
      </c>
      <c r="C192" s="7">
        <v>4946.6490139999996</v>
      </c>
      <c r="D192" s="7">
        <v>498.95712600000002</v>
      </c>
      <c r="E192" s="7">
        <v>1794.24236</v>
      </c>
      <c r="F192">
        <v>397.01375400000001</v>
      </c>
      <c r="H192" s="6"/>
    </row>
    <row r="193" spans="1:8" x14ac:dyDescent="0.3">
      <c r="A193" s="6">
        <v>40268</v>
      </c>
      <c r="B193" s="7">
        <v>3946.9600089999999</v>
      </c>
      <c r="C193" s="7">
        <v>5017.4429520000003</v>
      </c>
      <c r="D193" s="7">
        <v>497.85978299999999</v>
      </c>
      <c r="E193" s="7">
        <v>1772.3726369999999</v>
      </c>
      <c r="F193">
        <v>400.26652799999999</v>
      </c>
      <c r="H193" s="6"/>
    </row>
    <row r="194" spans="1:8" x14ac:dyDescent="0.3">
      <c r="A194" s="6">
        <v>40235</v>
      </c>
      <c r="B194" s="7">
        <v>3714.8302920000001</v>
      </c>
      <c r="C194" s="7">
        <v>4711.1572930000002</v>
      </c>
      <c r="D194" s="7">
        <v>467.55102199999999</v>
      </c>
      <c r="E194" s="7">
        <v>1639.853032</v>
      </c>
      <c r="F194">
        <v>374.59073599999999</v>
      </c>
      <c r="H194" s="6"/>
    </row>
    <row r="195" spans="1:8" x14ac:dyDescent="0.3">
      <c r="A195" s="6">
        <v>40207</v>
      </c>
      <c r="B195" s="7">
        <v>3661.7519779999998</v>
      </c>
      <c r="C195" s="7">
        <v>4715.3228069999996</v>
      </c>
      <c r="D195" s="7">
        <v>461.50081999999998</v>
      </c>
      <c r="E195" s="7">
        <v>1633.7595449999999</v>
      </c>
      <c r="F195">
        <v>374.53842700000001</v>
      </c>
      <c r="H195" s="6"/>
    </row>
    <row r="196" spans="1:8" x14ac:dyDescent="0.3">
      <c r="A196" s="6">
        <v>40178</v>
      </c>
      <c r="B196" s="7">
        <v>3818.8590380000001</v>
      </c>
      <c r="C196" s="7">
        <v>4946.6947819999996</v>
      </c>
      <c r="D196" s="7">
        <v>482.24831899999998</v>
      </c>
      <c r="E196" s="7">
        <v>1729.9634900000001</v>
      </c>
      <c r="F196">
        <v>393.73406699999998</v>
      </c>
      <c r="H196" s="6"/>
    </row>
    <row r="197" spans="1:8" x14ac:dyDescent="0.3">
      <c r="A197" s="6">
        <v>40147</v>
      </c>
      <c r="B197" s="7">
        <v>3750.3060860000001</v>
      </c>
      <c r="C197" s="7">
        <v>4868.2034919999996</v>
      </c>
      <c r="D197" s="7">
        <v>472.327854</v>
      </c>
      <c r="E197" s="7">
        <v>1664.0429670000001</v>
      </c>
      <c r="F197">
        <v>385.52671199999997</v>
      </c>
      <c r="H197" s="6"/>
    </row>
    <row r="198" spans="1:8" x14ac:dyDescent="0.3">
      <c r="A198" s="6">
        <v>40116</v>
      </c>
      <c r="B198" s="7">
        <v>3601.3220670000001</v>
      </c>
      <c r="C198" s="7">
        <v>4749.3854959999999</v>
      </c>
      <c r="D198" s="7">
        <v>453.475235</v>
      </c>
      <c r="E198" s="7">
        <v>1595.4304380000001</v>
      </c>
      <c r="F198">
        <v>374.70290199999999</v>
      </c>
      <c r="H198" s="6"/>
    </row>
    <row r="199" spans="1:8" x14ac:dyDescent="0.3">
      <c r="A199" s="6">
        <v>40086</v>
      </c>
      <c r="B199" s="7">
        <v>3665.7555579999998</v>
      </c>
      <c r="C199" s="7">
        <v>4826.4451600000002</v>
      </c>
      <c r="D199" s="7">
        <v>460.49802099999999</v>
      </c>
      <c r="E199" s="7">
        <v>1593.312467</v>
      </c>
      <c r="F199">
        <v>379.36890599999998</v>
      </c>
      <c r="H199" s="6"/>
    </row>
    <row r="200" spans="1:8" x14ac:dyDescent="0.3">
      <c r="A200" s="6">
        <v>40056</v>
      </c>
      <c r="B200" s="7">
        <v>3524.0750579999999</v>
      </c>
      <c r="C200" s="7">
        <v>4634.1828960000003</v>
      </c>
      <c r="D200" s="7">
        <v>440.16330199999999</v>
      </c>
      <c r="E200" s="7">
        <v>1460.5027030000001</v>
      </c>
      <c r="F200">
        <v>360.76153799999997</v>
      </c>
      <c r="H200" s="6"/>
    </row>
    <row r="201" spans="1:8" x14ac:dyDescent="0.3">
      <c r="A201" s="6">
        <v>40025</v>
      </c>
      <c r="B201" s="7">
        <v>3383.0093360000001</v>
      </c>
      <c r="C201" s="7">
        <v>4421.4724669999996</v>
      </c>
      <c r="D201" s="7">
        <v>424.79266200000001</v>
      </c>
      <c r="E201" s="7">
        <v>1465.3545690000001</v>
      </c>
      <c r="F201">
        <v>347.82019500000001</v>
      </c>
      <c r="H201" s="6"/>
    </row>
    <row r="202" spans="1:8" x14ac:dyDescent="0.3">
      <c r="A202" s="6">
        <v>39994</v>
      </c>
      <c r="B202" s="7">
        <v>3117.9821510000002</v>
      </c>
      <c r="C202" s="7">
        <v>4041.317219</v>
      </c>
      <c r="D202" s="7">
        <v>390.29880100000003</v>
      </c>
      <c r="E202" s="7">
        <v>1316.388649</v>
      </c>
      <c r="F202">
        <v>316.75724300000002</v>
      </c>
      <c r="H202" s="6"/>
    </row>
    <row r="203" spans="1:8" x14ac:dyDescent="0.3">
      <c r="A203" s="6">
        <v>39962</v>
      </c>
      <c r="B203" s="7">
        <v>3130.78568</v>
      </c>
      <c r="C203" s="7">
        <v>4082.2730369999999</v>
      </c>
      <c r="D203" s="7">
        <v>392.34101900000002</v>
      </c>
      <c r="E203" s="7">
        <v>1334.094828</v>
      </c>
      <c r="F203">
        <v>320.18897800000002</v>
      </c>
      <c r="H203" s="6"/>
    </row>
    <row r="204" spans="1:8" x14ac:dyDescent="0.3">
      <c r="A204" s="6">
        <v>39933</v>
      </c>
      <c r="B204" s="7">
        <v>2867.3716420000001</v>
      </c>
      <c r="C204" s="7">
        <v>3618.426093</v>
      </c>
      <c r="D204" s="7">
        <v>356.40570300000002</v>
      </c>
      <c r="E204" s="7">
        <v>1138.840721</v>
      </c>
      <c r="F204">
        <v>281.63835999999998</v>
      </c>
      <c r="H204" s="6"/>
    </row>
    <row r="205" spans="1:8" x14ac:dyDescent="0.3">
      <c r="A205" s="6">
        <v>39903</v>
      </c>
      <c r="B205" s="7">
        <v>2575.8163730000001</v>
      </c>
      <c r="C205" s="7">
        <v>3200.8115550000002</v>
      </c>
      <c r="D205" s="7">
        <v>318.51507199999998</v>
      </c>
      <c r="E205" s="7">
        <v>976.23564499999998</v>
      </c>
      <c r="F205">
        <v>247.58865700000001</v>
      </c>
      <c r="H205" s="6"/>
    </row>
    <row r="206" spans="1:8" x14ac:dyDescent="0.3">
      <c r="A206" s="6">
        <v>39871</v>
      </c>
      <c r="B206" s="7">
        <v>2393.8739949999999</v>
      </c>
      <c r="C206" s="7">
        <v>3001.4164179999998</v>
      </c>
      <c r="D206" s="7">
        <v>294.125563</v>
      </c>
      <c r="E206" s="7">
        <v>853.468074</v>
      </c>
      <c r="F206">
        <v>229.09403699999999</v>
      </c>
      <c r="H206" s="6"/>
    </row>
    <row r="207" spans="1:8" x14ac:dyDescent="0.3">
      <c r="A207" s="6">
        <v>39843</v>
      </c>
      <c r="B207" s="7">
        <v>2664.8471719999998</v>
      </c>
      <c r="C207" s="7">
        <v>3338.199955</v>
      </c>
      <c r="D207" s="7">
        <v>325.82660099999998</v>
      </c>
      <c r="E207" s="7">
        <v>904.33210299999996</v>
      </c>
      <c r="F207">
        <v>252.58946399999999</v>
      </c>
      <c r="H207" s="6"/>
    </row>
    <row r="208" spans="1:8" x14ac:dyDescent="0.3">
      <c r="A208" s="6">
        <v>39813</v>
      </c>
      <c r="B208" s="7">
        <v>2919.7826140000002</v>
      </c>
      <c r="C208" s="7">
        <v>3680.9356579999999</v>
      </c>
      <c r="D208" s="7">
        <v>356.14576699999998</v>
      </c>
      <c r="E208" s="7">
        <v>966.34409600000004</v>
      </c>
      <c r="F208">
        <v>277.00449900000001</v>
      </c>
      <c r="H208" s="6"/>
    </row>
    <row r="209" spans="1:8" x14ac:dyDescent="0.3">
      <c r="A209" s="6">
        <v>39780</v>
      </c>
      <c r="B209" s="7">
        <v>2827.6075310000001</v>
      </c>
      <c r="C209" s="7">
        <v>3496.035977</v>
      </c>
      <c r="D209" s="7">
        <v>343.52626099999998</v>
      </c>
      <c r="E209" s="7">
        <v>896.19916799999999</v>
      </c>
      <c r="F209">
        <v>262.02505500000001</v>
      </c>
      <c r="H209" s="6"/>
    </row>
    <row r="210" spans="1:8" x14ac:dyDescent="0.3">
      <c r="A210" s="6">
        <v>39752</v>
      </c>
      <c r="B210" s="7">
        <v>3021.0735970000001</v>
      </c>
      <c r="C210" s="7">
        <v>3694.6151329999998</v>
      </c>
      <c r="D210" s="7">
        <v>367.432458</v>
      </c>
      <c r="E210" s="7">
        <v>969.08011099999999</v>
      </c>
      <c r="F210">
        <v>277.99174099999999</v>
      </c>
      <c r="H210" s="6"/>
    </row>
    <row r="211" spans="1:8" x14ac:dyDescent="0.3">
      <c r="A211" s="6">
        <v>39721</v>
      </c>
      <c r="B211" s="7">
        <v>3726.6876179999999</v>
      </c>
      <c r="C211" s="7">
        <v>4664.4941879999997</v>
      </c>
      <c r="D211" s="7">
        <v>458.09127345000002</v>
      </c>
      <c r="E211" s="7">
        <v>1333.962432</v>
      </c>
      <c r="F211">
        <v>356.438919</v>
      </c>
      <c r="H211" s="6"/>
    </row>
    <row r="212" spans="1:8" x14ac:dyDescent="0.3">
      <c r="A212" s="6">
        <v>39689</v>
      </c>
      <c r="B212" s="7">
        <v>4227.7122550000004</v>
      </c>
      <c r="C212" s="7">
        <v>5449.331451</v>
      </c>
      <c r="D212" s="7">
        <v>523.28296831</v>
      </c>
      <c r="E212" s="7">
        <v>1616.7191350000001</v>
      </c>
      <c r="F212">
        <v>419.29256900000001</v>
      </c>
      <c r="H212" s="6"/>
    </row>
    <row r="213" spans="1:8" x14ac:dyDescent="0.3">
      <c r="A213" s="6">
        <v>39660</v>
      </c>
      <c r="B213" s="7">
        <v>4285.968828</v>
      </c>
      <c r="C213" s="7">
        <v>5666.8984129999999</v>
      </c>
      <c r="D213" s="7">
        <v>534.57131570000001</v>
      </c>
      <c r="E213" s="7">
        <v>1756.441086</v>
      </c>
      <c r="F213">
        <v>439.74544900000001</v>
      </c>
      <c r="H213" s="6"/>
    </row>
    <row r="214" spans="1:8" x14ac:dyDescent="0.3">
      <c r="A214" s="6">
        <v>39629</v>
      </c>
      <c r="B214" s="7">
        <v>4392.1724400000003</v>
      </c>
      <c r="C214" s="7">
        <v>5875.3230400000002</v>
      </c>
      <c r="D214" s="7">
        <v>548.64648985999997</v>
      </c>
      <c r="E214" s="7">
        <v>1823.791962</v>
      </c>
      <c r="F214">
        <v>456.05519099999998</v>
      </c>
      <c r="H214" s="6"/>
    </row>
    <row r="215" spans="1:8" x14ac:dyDescent="0.3">
      <c r="A215" s="6">
        <v>39598</v>
      </c>
      <c r="B215" s="7">
        <v>4770.9934350000003</v>
      </c>
      <c r="C215" s="7">
        <v>6369.0625970000001</v>
      </c>
      <c r="D215" s="7">
        <v>597.51116855999999</v>
      </c>
      <c r="E215" s="7">
        <v>2025.5888789999999</v>
      </c>
      <c r="F215">
        <v>496.77341300000001</v>
      </c>
      <c r="H215" s="6"/>
    </row>
    <row r="216" spans="1:8" x14ac:dyDescent="0.3">
      <c r="A216" s="6">
        <v>39568</v>
      </c>
      <c r="B216" s="7">
        <v>4693.576591</v>
      </c>
      <c r="C216" s="7">
        <v>6262.8538820000003</v>
      </c>
      <c r="D216" s="7">
        <v>587.65884043999995</v>
      </c>
      <c r="E216" s="7">
        <v>1988.1278239999999</v>
      </c>
      <c r="F216">
        <v>488.310991</v>
      </c>
      <c r="H216" s="6"/>
    </row>
    <row r="217" spans="1:8" x14ac:dyDescent="0.3">
      <c r="A217" s="6">
        <v>39538</v>
      </c>
      <c r="B217" s="7">
        <v>4455.8039710000003</v>
      </c>
      <c r="C217" s="7">
        <v>5926.2469090000004</v>
      </c>
      <c r="D217" s="7">
        <v>556.22205770999994</v>
      </c>
      <c r="E217" s="7">
        <v>1838.6202040000001</v>
      </c>
      <c r="F217">
        <v>460.00176599999998</v>
      </c>
      <c r="H217" s="6"/>
    </row>
    <row r="218" spans="1:8" x14ac:dyDescent="0.3">
      <c r="A218" s="6">
        <v>39507</v>
      </c>
      <c r="B218" s="7">
        <v>4496.6943140000003</v>
      </c>
      <c r="C218" s="7">
        <v>6009.0691610000003</v>
      </c>
      <c r="D218" s="7">
        <v>564.24944109</v>
      </c>
      <c r="E218" s="7">
        <v>1941.1704580000001</v>
      </c>
      <c r="F218">
        <v>470.139884</v>
      </c>
      <c r="H218" s="6"/>
    </row>
    <row r="219" spans="1:8" x14ac:dyDescent="0.3">
      <c r="A219" s="6">
        <v>39478</v>
      </c>
      <c r="B219" s="7">
        <v>4520.6715139999997</v>
      </c>
      <c r="C219" s="7">
        <v>5900.2645810000004</v>
      </c>
      <c r="D219" s="7">
        <v>562.39476751999996</v>
      </c>
      <c r="E219" s="7">
        <v>1807.1252890000001</v>
      </c>
      <c r="F219">
        <v>456.89892500000002</v>
      </c>
      <c r="H219" s="6"/>
    </row>
    <row r="220" spans="1:8" x14ac:dyDescent="0.3">
      <c r="A220" s="6">
        <v>39447</v>
      </c>
      <c r="B220" s="7">
        <v>4893.5418449999997</v>
      </c>
      <c r="C220" s="7">
        <v>6484.1025820000004</v>
      </c>
      <c r="D220" s="7">
        <v>612.41342724000003</v>
      </c>
      <c r="E220" s="7">
        <v>2064.108565</v>
      </c>
      <c r="F220">
        <v>505.84417200000001</v>
      </c>
      <c r="H220" s="6"/>
    </row>
    <row r="221" spans="1:8" x14ac:dyDescent="0.3">
      <c r="A221" s="6">
        <v>39416</v>
      </c>
      <c r="B221" s="7">
        <v>4956.0480809999999</v>
      </c>
      <c r="C221" s="7">
        <v>6607.6513910000003</v>
      </c>
      <c r="D221" s="7">
        <v>619.10309646999997</v>
      </c>
      <c r="E221" s="7">
        <v>2056.7235930000002</v>
      </c>
      <c r="F221">
        <v>513.26251999999999</v>
      </c>
      <c r="H221" s="6"/>
    </row>
    <row r="222" spans="1:8" x14ac:dyDescent="0.3">
      <c r="A222" s="6">
        <v>39386</v>
      </c>
      <c r="B222" s="7">
        <v>5164.8237499999996</v>
      </c>
      <c r="C222" s="7">
        <v>6874.6423839999998</v>
      </c>
      <c r="D222" s="7">
        <v>647.46530799000004</v>
      </c>
      <c r="E222" s="7">
        <v>2213.5369959999998</v>
      </c>
      <c r="F222">
        <v>537.41085299999997</v>
      </c>
      <c r="H222" s="6"/>
    </row>
    <row r="223" spans="1:8" x14ac:dyDescent="0.3">
      <c r="A223" s="6">
        <v>39353</v>
      </c>
      <c r="B223" s="7">
        <v>5010.0681409999997</v>
      </c>
      <c r="C223" s="7">
        <v>6587.4292640000003</v>
      </c>
      <c r="D223" s="7">
        <v>623.03274273</v>
      </c>
      <c r="E223" s="7">
        <v>1991.309831</v>
      </c>
      <c r="F223">
        <v>508.99894799999998</v>
      </c>
      <c r="H223" s="6"/>
    </row>
    <row r="224" spans="1:8" x14ac:dyDescent="0.3">
      <c r="A224" s="6">
        <v>39325</v>
      </c>
      <c r="B224" s="7">
        <v>4781.0744100000002</v>
      </c>
      <c r="C224" s="7">
        <v>6231.9983819999998</v>
      </c>
      <c r="D224" s="7">
        <v>591.11434396000004</v>
      </c>
      <c r="E224" s="7">
        <v>1793.133178</v>
      </c>
      <c r="F224">
        <v>477.38594899999998</v>
      </c>
      <c r="H224" s="6"/>
    </row>
    <row r="225" spans="1:8" x14ac:dyDescent="0.3">
      <c r="A225" s="6">
        <v>39294</v>
      </c>
      <c r="B225" s="7">
        <v>4782.6235729999999</v>
      </c>
      <c r="C225" s="7">
        <v>6321.879825</v>
      </c>
      <c r="D225" s="7">
        <v>592.50224904000004</v>
      </c>
      <c r="E225" s="7">
        <v>1831.4546419999999</v>
      </c>
      <c r="F225">
        <v>484.83011499999998</v>
      </c>
      <c r="H225" s="6"/>
    </row>
    <row r="226" spans="1:8" x14ac:dyDescent="0.3">
      <c r="A226" s="6">
        <v>39262</v>
      </c>
      <c r="B226" s="7">
        <v>4889.9212150000003</v>
      </c>
      <c r="C226" s="7">
        <v>6409.7304169999998</v>
      </c>
      <c r="D226" s="7">
        <v>601.54893718999995</v>
      </c>
      <c r="E226" s="7">
        <v>1738.808884</v>
      </c>
      <c r="F226">
        <v>486.21551099999999</v>
      </c>
      <c r="H226" s="6"/>
    </row>
    <row r="227" spans="1:8" x14ac:dyDescent="0.3">
      <c r="A227" s="6">
        <v>39233</v>
      </c>
      <c r="B227" s="7">
        <v>4926.1903419999999</v>
      </c>
      <c r="C227" s="7">
        <v>6401.133812</v>
      </c>
      <c r="D227" s="7">
        <v>603.10617580999997</v>
      </c>
      <c r="E227" s="7">
        <v>1660.2774429999999</v>
      </c>
      <c r="F227">
        <v>482.11039299999999</v>
      </c>
      <c r="H227" s="6"/>
    </row>
    <row r="228" spans="1:8" x14ac:dyDescent="0.3">
      <c r="A228" s="6">
        <v>39202</v>
      </c>
      <c r="B228" s="7">
        <v>4787.3172880000002</v>
      </c>
      <c r="C228" s="7">
        <v>6254.2560030000004</v>
      </c>
      <c r="D228" s="7">
        <v>585.16459469999995</v>
      </c>
      <c r="E228" s="7">
        <v>1582.9668610000001</v>
      </c>
      <c r="F228">
        <v>469.24827800000003</v>
      </c>
      <c r="H228" s="6"/>
    </row>
    <row r="229" spans="1:8" x14ac:dyDescent="0.3">
      <c r="A229" s="6">
        <v>39171</v>
      </c>
      <c r="B229" s="7">
        <v>4582.5116539999999</v>
      </c>
      <c r="C229" s="7">
        <v>5977.1252249999998</v>
      </c>
      <c r="D229" s="7">
        <v>559.99548617999994</v>
      </c>
      <c r="E229" s="7">
        <v>1511.062244</v>
      </c>
      <c r="F229">
        <v>448.45208300000002</v>
      </c>
      <c r="H229" s="6"/>
    </row>
    <row r="230" spans="1:8" x14ac:dyDescent="0.3">
      <c r="A230" s="6">
        <v>39141</v>
      </c>
      <c r="B230" s="7">
        <v>4498.2576820000004</v>
      </c>
      <c r="C230" s="7">
        <v>5825.0791680000002</v>
      </c>
      <c r="D230" s="7">
        <v>548.75818700000002</v>
      </c>
      <c r="E230" s="7">
        <v>1452.8634709999999</v>
      </c>
      <c r="F230">
        <v>436.16337800000002</v>
      </c>
      <c r="H230" s="6"/>
    </row>
    <row r="231" spans="1:8" x14ac:dyDescent="0.3">
      <c r="A231" s="6">
        <v>39113</v>
      </c>
      <c r="B231" s="7">
        <v>4519.9145840000001</v>
      </c>
      <c r="C231" s="7">
        <v>5777.9331460000003</v>
      </c>
      <c r="D231" s="7">
        <v>551.44645500000001</v>
      </c>
      <c r="E231" s="7">
        <v>1461.328252</v>
      </c>
      <c r="F231">
        <v>433.51396999999997</v>
      </c>
      <c r="H231" s="6"/>
    </row>
    <row r="232" spans="1:8" x14ac:dyDescent="0.3">
      <c r="A232" s="6">
        <v>39080</v>
      </c>
      <c r="B232" s="7">
        <v>4466.298194</v>
      </c>
      <c r="C232" s="7">
        <v>5742.3617979999999</v>
      </c>
      <c r="D232" s="7">
        <v>545.89692200000002</v>
      </c>
      <c r="E232" s="7">
        <v>1476.2389330000001</v>
      </c>
      <c r="F232">
        <v>431.901411</v>
      </c>
      <c r="H232" s="6"/>
    </row>
    <row r="233" spans="1:8" x14ac:dyDescent="0.3">
      <c r="A233" s="6">
        <v>39051</v>
      </c>
      <c r="B233" s="7">
        <v>4376.1534650000003</v>
      </c>
      <c r="C233" s="7">
        <v>5581.778448</v>
      </c>
      <c r="D233" s="7">
        <v>533.84900900000002</v>
      </c>
      <c r="E233" s="7">
        <v>1412.502305</v>
      </c>
      <c r="F233">
        <v>418.84824800000001</v>
      </c>
      <c r="H233" s="6"/>
    </row>
    <row r="234" spans="1:8" x14ac:dyDescent="0.3">
      <c r="A234" s="6">
        <v>39021</v>
      </c>
      <c r="B234" s="7">
        <v>4269.3907479999998</v>
      </c>
      <c r="C234" s="7">
        <v>5418.7857100000001</v>
      </c>
      <c r="D234" s="7">
        <v>518.92344500000002</v>
      </c>
      <c r="E234" s="7">
        <v>1314.5965779999999</v>
      </c>
      <c r="F234">
        <v>404.17357700000002</v>
      </c>
      <c r="H234" s="6"/>
    </row>
    <row r="235" spans="1:8" x14ac:dyDescent="0.3">
      <c r="A235" s="6">
        <v>38989</v>
      </c>
      <c r="B235" s="7">
        <v>4117.4289600000002</v>
      </c>
      <c r="C235" s="7">
        <v>5212.2744679999996</v>
      </c>
      <c r="D235" s="7">
        <v>500.06895500000002</v>
      </c>
      <c r="E235" s="7">
        <v>1254.924722</v>
      </c>
      <c r="F235">
        <v>388.35983599999997</v>
      </c>
      <c r="H235" s="6"/>
    </row>
    <row r="236" spans="1:8" x14ac:dyDescent="0.3">
      <c r="A236" s="6">
        <v>38960</v>
      </c>
      <c r="B236" s="7">
        <v>4067.7535459999999</v>
      </c>
      <c r="C236" s="7">
        <v>5215.3543579999996</v>
      </c>
      <c r="D236" s="7">
        <v>494.17544299999997</v>
      </c>
      <c r="E236" s="7">
        <v>1244.464058</v>
      </c>
      <c r="F236">
        <v>388.10810600000002</v>
      </c>
      <c r="H236" s="6"/>
    </row>
    <row r="237" spans="1:8" x14ac:dyDescent="0.3">
      <c r="A237" s="6">
        <v>38929</v>
      </c>
      <c r="B237" s="7">
        <v>3962.8607769999999</v>
      </c>
      <c r="C237" s="7">
        <v>5069.7856069999998</v>
      </c>
      <c r="D237" s="7">
        <v>481.45020599999998</v>
      </c>
      <c r="E237" s="7">
        <v>1212.953211</v>
      </c>
      <c r="F237">
        <v>377.41095899999999</v>
      </c>
      <c r="H237" s="6"/>
    </row>
    <row r="238" spans="1:8" x14ac:dyDescent="0.3">
      <c r="A238" s="6">
        <v>38898</v>
      </c>
      <c r="B238" s="7">
        <v>3937.4328700000001</v>
      </c>
      <c r="C238" s="7">
        <v>5022.0847830000002</v>
      </c>
      <c r="D238" s="7">
        <v>478.069163</v>
      </c>
      <c r="E238" s="7">
        <v>1195.3741399999999</v>
      </c>
      <c r="F238">
        <v>373.589268</v>
      </c>
      <c r="H238" s="6"/>
    </row>
    <row r="239" spans="1:8" x14ac:dyDescent="0.3">
      <c r="A239" s="6">
        <v>38868</v>
      </c>
      <c r="B239" s="7">
        <v>3936.9635050000002</v>
      </c>
      <c r="C239" s="7">
        <v>5026.3286939999998</v>
      </c>
      <c r="D239" s="7">
        <v>478.08097500000002</v>
      </c>
      <c r="E239" s="7">
        <v>1197.914276</v>
      </c>
      <c r="F239">
        <v>373.96222599999999</v>
      </c>
      <c r="H239" s="6"/>
    </row>
    <row r="240" spans="1:8" x14ac:dyDescent="0.3">
      <c r="A240" s="6">
        <v>38835</v>
      </c>
      <c r="B240" s="7">
        <v>4072.4260180000001</v>
      </c>
      <c r="C240" s="7">
        <v>5218.6043129999998</v>
      </c>
      <c r="D240" s="7">
        <v>497.26518600000003</v>
      </c>
      <c r="E240" s="7">
        <v>1337.8002899999999</v>
      </c>
      <c r="F240">
        <v>392.03582899999998</v>
      </c>
      <c r="H240" s="6"/>
    </row>
    <row r="241" spans="1:8" x14ac:dyDescent="0.3">
      <c r="A241" s="6">
        <v>38807</v>
      </c>
      <c r="B241" s="7">
        <v>3950.381312</v>
      </c>
      <c r="C241" s="7">
        <v>4977.1250819999996</v>
      </c>
      <c r="D241" s="7">
        <v>481.011461</v>
      </c>
      <c r="E241" s="7">
        <v>1248.6899330000001</v>
      </c>
      <c r="F241">
        <v>372.81338799999997</v>
      </c>
      <c r="H241" s="6"/>
    </row>
    <row r="242" spans="1:8" x14ac:dyDescent="0.3">
      <c r="A242" s="6">
        <v>38776</v>
      </c>
      <c r="B242" s="7">
        <v>3863.6790460000002</v>
      </c>
      <c r="C242" s="7">
        <v>4821.851514</v>
      </c>
      <c r="D242" s="7">
        <v>470.90302600000001</v>
      </c>
      <c r="E242" s="7">
        <v>1237.595652</v>
      </c>
      <c r="F242">
        <v>362.28956399999998</v>
      </c>
      <c r="H242" s="6"/>
    </row>
    <row r="243" spans="1:8" x14ac:dyDescent="0.3">
      <c r="A243" s="6">
        <v>38748</v>
      </c>
      <c r="B243" s="7">
        <v>3867.8137700000002</v>
      </c>
      <c r="C243" s="7">
        <v>4837.255776</v>
      </c>
      <c r="D243" s="7">
        <v>471.40394400000002</v>
      </c>
      <c r="E243" s="7">
        <v>1238.7824929999999</v>
      </c>
      <c r="F243">
        <v>363.338729</v>
      </c>
      <c r="H243" s="6"/>
    </row>
    <row r="244" spans="1:8" x14ac:dyDescent="0.3">
      <c r="A244" s="6">
        <v>38716</v>
      </c>
      <c r="B244" s="7">
        <v>3701.7945850000001</v>
      </c>
      <c r="C244" s="7">
        <v>4549.1741149999998</v>
      </c>
      <c r="D244" s="7">
        <v>449.19174600000002</v>
      </c>
      <c r="E244" s="7">
        <v>1113.7074930000001</v>
      </c>
      <c r="F244">
        <v>339.65670799999998</v>
      </c>
      <c r="H244" s="6"/>
    </row>
    <row r="245" spans="1:8" x14ac:dyDescent="0.3">
      <c r="A245" s="6">
        <v>38686</v>
      </c>
      <c r="B245" s="7">
        <v>3620.657193</v>
      </c>
      <c r="C245" s="7">
        <v>4347.1993839999996</v>
      </c>
      <c r="D245" s="7">
        <v>438.30415900000003</v>
      </c>
      <c r="E245" s="7">
        <v>1051.4231830000001</v>
      </c>
      <c r="F245">
        <v>324.06538399999999</v>
      </c>
      <c r="H245" s="6"/>
    </row>
    <row r="246" spans="1:8" x14ac:dyDescent="0.3">
      <c r="A246" s="6">
        <v>38656</v>
      </c>
      <c r="B246" s="7">
        <v>3502.0628889999998</v>
      </c>
      <c r="C246" s="7">
        <v>4233.8691310000004</v>
      </c>
      <c r="D246" s="7">
        <v>422.69463300000001</v>
      </c>
      <c r="E246" s="7">
        <v>971.02518599999996</v>
      </c>
      <c r="F246">
        <v>313.52418699999998</v>
      </c>
      <c r="H246" s="6"/>
    </row>
    <row r="247" spans="1:8" x14ac:dyDescent="0.3">
      <c r="A247" s="6">
        <v>38625</v>
      </c>
      <c r="B247" s="7">
        <v>3588.4095600000001</v>
      </c>
      <c r="C247" s="7">
        <v>4374.9055799999996</v>
      </c>
      <c r="D247" s="7">
        <v>434.31197600000002</v>
      </c>
      <c r="E247" s="7">
        <v>1038.902474</v>
      </c>
      <c r="F247">
        <v>325.36900300000002</v>
      </c>
      <c r="H247" s="6"/>
    </row>
    <row r="248" spans="1:8" x14ac:dyDescent="0.3">
      <c r="A248" s="6">
        <v>38595</v>
      </c>
      <c r="B248" s="7">
        <v>3496.5812529999998</v>
      </c>
      <c r="C248" s="7">
        <v>4183.0997090000001</v>
      </c>
      <c r="D248" s="7">
        <v>421.51181200000002</v>
      </c>
      <c r="E248" s="7">
        <v>950.29084</v>
      </c>
      <c r="F248">
        <v>309.40867700000001</v>
      </c>
      <c r="H248" s="6"/>
    </row>
    <row r="249" spans="1:8" x14ac:dyDescent="0.3">
      <c r="A249" s="6">
        <v>38562</v>
      </c>
      <c r="B249" s="7">
        <v>3468.822784</v>
      </c>
      <c r="C249" s="7">
        <v>4069.5313030000002</v>
      </c>
      <c r="D249" s="7">
        <v>418.14221400000002</v>
      </c>
      <c r="E249" s="7">
        <v>941.81278299999997</v>
      </c>
      <c r="F249">
        <v>301.68795799999998</v>
      </c>
      <c r="H249" s="6"/>
    </row>
    <row r="250" spans="1:8" x14ac:dyDescent="0.3">
      <c r="A250" s="6">
        <v>38533</v>
      </c>
      <c r="B250" s="7">
        <v>3351.0191799999998</v>
      </c>
      <c r="C250" s="7">
        <v>3941.9485749999999</v>
      </c>
      <c r="D250" s="7">
        <v>403.128063</v>
      </c>
      <c r="E250" s="7">
        <v>879.57579199999998</v>
      </c>
      <c r="F250">
        <v>290.95282200000003</v>
      </c>
      <c r="H250" s="6"/>
    </row>
    <row r="251" spans="1:8" x14ac:dyDescent="0.3">
      <c r="A251" s="6">
        <v>38503</v>
      </c>
      <c r="B251" s="7">
        <v>3320.8180750000001</v>
      </c>
      <c r="C251" s="7">
        <v>3876.9765520000001</v>
      </c>
      <c r="D251" s="7">
        <v>398.91937100000001</v>
      </c>
      <c r="E251" s="7">
        <v>850.22740499999998</v>
      </c>
      <c r="F251">
        <v>285.578463</v>
      </c>
      <c r="H251" s="6"/>
    </row>
    <row r="252" spans="1:8" x14ac:dyDescent="0.3">
      <c r="A252" s="6">
        <v>38471</v>
      </c>
      <c r="B252" s="7">
        <v>3260.3901620000001</v>
      </c>
      <c r="C252" s="7">
        <v>3866.0283939999999</v>
      </c>
      <c r="D252" s="7">
        <v>391.318985</v>
      </c>
      <c r="E252" s="7">
        <v>821.31015500000001</v>
      </c>
      <c r="F252">
        <v>283.79981199999997</v>
      </c>
      <c r="H252" s="6"/>
    </row>
    <row r="253" spans="1:8" x14ac:dyDescent="0.3">
      <c r="A253" s="6">
        <v>38442</v>
      </c>
      <c r="B253" s="7">
        <v>3330.6346199999998</v>
      </c>
      <c r="C253" s="7">
        <v>3962.8242270000001</v>
      </c>
      <c r="D253" s="7">
        <v>399.871872</v>
      </c>
      <c r="E253" s="7">
        <v>843.79992600000003</v>
      </c>
      <c r="F253">
        <v>290.97606100000002</v>
      </c>
      <c r="H253" s="6"/>
    </row>
    <row r="254" spans="1:8" x14ac:dyDescent="0.3">
      <c r="A254" s="6">
        <v>38411</v>
      </c>
      <c r="B254" s="7">
        <v>3395.1334820000002</v>
      </c>
      <c r="C254" s="7">
        <v>4053.2452210000001</v>
      </c>
      <c r="D254" s="7">
        <v>408.71401600000002</v>
      </c>
      <c r="E254" s="7">
        <v>903.31105700000001</v>
      </c>
      <c r="F254">
        <v>299.08917400000001</v>
      </c>
      <c r="H254" s="6"/>
    </row>
    <row r="255" spans="1:8" x14ac:dyDescent="0.3">
      <c r="A255" s="6">
        <v>38383</v>
      </c>
      <c r="B255" s="7">
        <v>3289.4389080000001</v>
      </c>
      <c r="C255" s="7">
        <v>3879.731127</v>
      </c>
      <c r="D255" s="7">
        <v>394.85142300000001</v>
      </c>
      <c r="E255" s="7">
        <v>830.39473699999996</v>
      </c>
      <c r="F255">
        <v>285.03022900000002</v>
      </c>
      <c r="H255" s="6"/>
    </row>
    <row r="256" spans="1:8" x14ac:dyDescent="0.3">
      <c r="A256" s="6">
        <v>38352</v>
      </c>
      <c r="B256" s="7">
        <v>3364.5583449999999</v>
      </c>
      <c r="C256" s="7">
        <v>3957.3189269999998</v>
      </c>
      <c r="D256" s="7">
        <v>403.31969900000001</v>
      </c>
      <c r="E256" s="7">
        <v>827.77509099999997</v>
      </c>
      <c r="F256">
        <v>290.02550000000002</v>
      </c>
      <c r="H256" s="6"/>
    </row>
    <row r="257" spans="1:8" x14ac:dyDescent="0.3">
      <c r="A257" s="6">
        <v>38321</v>
      </c>
      <c r="B257" s="7">
        <v>3239.8950690000001</v>
      </c>
      <c r="C257" s="7">
        <v>3796.5964720000002</v>
      </c>
      <c r="D257" s="7">
        <v>388.18870500000003</v>
      </c>
      <c r="E257" s="7">
        <v>789.75463500000001</v>
      </c>
      <c r="F257">
        <v>278.08497399999999</v>
      </c>
      <c r="H257" s="6"/>
    </row>
    <row r="258" spans="1:8" x14ac:dyDescent="0.3">
      <c r="A258" s="6">
        <v>38289</v>
      </c>
      <c r="B258" s="7">
        <v>3076.904211</v>
      </c>
      <c r="C258" s="7">
        <v>3558.8880060000001</v>
      </c>
      <c r="D258" s="7">
        <v>367.97615300000001</v>
      </c>
      <c r="E258" s="7">
        <v>722.80498699999998</v>
      </c>
      <c r="F258">
        <v>260.03629999999998</v>
      </c>
      <c r="H258" s="6"/>
    </row>
    <row r="259" spans="1:8" x14ac:dyDescent="0.3">
      <c r="A259" s="6">
        <v>38260</v>
      </c>
      <c r="B259" s="7">
        <v>3002.6954999999998</v>
      </c>
      <c r="C259" s="7">
        <v>3435.178167</v>
      </c>
      <c r="D259" s="7">
        <v>359.11425400000002</v>
      </c>
      <c r="E259" s="7">
        <v>705.89422400000001</v>
      </c>
      <c r="F259">
        <v>251.29572400000001</v>
      </c>
      <c r="H259" s="6"/>
    </row>
    <row r="260" spans="1:8" x14ac:dyDescent="0.3">
      <c r="A260" s="6">
        <v>38230</v>
      </c>
      <c r="B260" s="7">
        <v>2946.0222050000002</v>
      </c>
      <c r="C260" s="7">
        <v>3337.3525549999999</v>
      </c>
      <c r="D260" s="7">
        <v>351.70389599999999</v>
      </c>
      <c r="E260" s="7">
        <v>667.34990800000003</v>
      </c>
      <c r="F260">
        <v>243.46766700000001</v>
      </c>
      <c r="H260" s="6"/>
    </row>
    <row r="261" spans="1:8" x14ac:dyDescent="0.3">
      <c r="A261" s="6">
        <v>38198</v>
      </c>
      <c r="B261" s="7">
        <v>2931.9641929999998</v>
      </c>
      <c r="C261" s="7">
        <v>3322.7384699999998</v>
      </c>
      <c r="D261" s="7">
        <v>349.43522899999999</v>
      </c>
      <c r="E261" s="7">
        <v>640.53663900000004</v>
      </c>
      <c r="F261">
        <v>241.53356600000001</v>
      </c>
      <c r="H261" s="6"/>
    </row>
    <row r="262" spans="1:8" x14ac:dyDescent="0.3">
      <c r="A262" s="6">
        <v>38168</v>
      </c>
      <c r="B262" s="7">
        <v>3030.093073</v>
      </c>
      <c r="C262" s="7">
        <v>3426.7340450000002</v>
      </c>
      <c r="D262" s="7">
        <v>360.88286799999997</v>
      </c>
      <c r="E262" s="7">
        <v>652.06662500000004</v>
      </c>
      <c r="F262">
        <v>248.78386699999999</v>
      </c>
      <c r="H262" s="6"/>
    </row>
    <row r="263" spans="1:8" x14ac:dyDescent="0.3">
      <c r="A263" s="6">
        <v>38135</v>
      </c>
      <c r="B263" s="7">
        <v>2965.6198359999999</v>
      </c>
      <c r="C263" s="7">
        <v>3342.351553</v>
      </c>
      <c r="D263" s="7">
        <v>353.58283299999999</v>
      </c>
      <c r="E263" s="7">
        <v>653.364597</v>
      </c>
      <c r="F263">
        <v>243.28637699999999</v>
      </c>
      <c r="H263" s="6"/>
    </row>
    <row r="264" spans="1:8" x14ac:dyDescent="0.3">
      <c r="A264" s="6">
        <v>38107</v>
      </c>
      <c r="B264" s="7">
        <v>2939.0757229999999</v>
      </c>
      <c r="C264" s="7">
        <v>3329.3452980000002</v>
      </c>
      <c r="D264" s="7">
        <v>350.77498200000002</v>
      </c>
      <c r="E264" s="7">
        <v>662.14299100000005</v>
      </c>
      <c r="F264">
        <v>242.73829499999999</v>
      </c>
      <c r="H264" s="6"/>
    </row>
    <row r="265" spans="1:8" x14ac:dyDescent="0.3">
      <c r="A265" s="6">
        <v>38077</v>
      </c>
      <c r="B265" s="7">
        <v>2998.8299900000002</v>
      </c>
      <c r="C265" s="7">
        <v>3415.9863009999999</v>
      </c>
      <c r="D265" s="7">
        <v>359.01568500000002</v>
      </c>
      <c r="E265" s="7">
        <v>721.09794899999997</v>
      </c>
      <c r="F265">
        <v>250.52366799999999</v>
      </c>
      <c r="H265" s="6"/>
    </row>
    <row r="266" spans="1:8" x14ac:dyDescent="0.3">
      <c r="A266" s="6">
        <v>38044</v>
      </c>
      <c r="B266" s="7">
        <v>3017.6753440000002</v>
      </c>
      <c r="C266" s="7">
        <v>3397.635726</v>
      </c>
      <c r="D266" s="7">
        <v>360.93772200000001</v>
      </c>
      <c r="E266" s="7">
        <v>711.95044600000006</v>
      </c>
      <c r="F266">
        <v>248.991534</v>
      </c>
      <c r="H266" s="6"/>
    </row>
    <row r="267" spans="1:8" x14ac:dyDescent="0.3">
      <c r="A267" s="6">
        <v>38016</v>
      </c>
      <c r="B267" s="7">
        <v>2966.931861</v>
      </c>
      <c r="C267" s="7">
        <v>3320.6684460000001</v>
      </c>
      <c r="D267" s="7">
        <v>354.397809</v>
      </c>
      <c r="E267" s="7">
        <v>680.55557899999997</v>
      </c>
      <c r="F267">
        <v>242.81791200000001</v>
      </c>
      <c r="H267" s="6"/>
    </row>
    <row r="268" spans="1:8" x14ac:dyDescent="0.3">
      <c r="A268" s="6">
        <v>37986</v>
      </c>
      <c r="B268" s="7">
        <v>2919.4417699999999</v>
      </c>
      <c r="C268" s="7">
        <v>3274.785355</v>
      </c>
      <c r="D268" s="7">
        <v>348.42747900000001</v>
      </c>
      <c r="E268" s="7">
        <v>657.21501599999999</v>
      </c>
      <c r="F268">
        <v>238.98049</v>
      </c>
      <c r="H268" s="6"/>
    </row>
    <row r="269" spans="1:8" x14ac:dyDescent="0.3">
      <c r="A269" s="6">
        <v>37953</v>
      </c>
      <c r="B269" s="7">
        <v>2746.4636289999999</v>
      </c>
      <c r="C269" s="7">
        <v>3041.3509749999998</v>
      </c>
      <c r="D269" s="7">
        <v>327.65144099999998</v>
      </c>
      <c r="E269" s="7">
        <v>612.79047600000001</v>
      </c>
      <c r="F269">
        <v>222.02933400000001</v>
      </c>
      <c r="H269" s="6"/>
    </row>
    <row r="270" spans="1:8" x14ac:dyDescent="0.3">
      <c r="A270" s="6">
        <v>37925</v>
      </c>
      <c r="B270" s="7">
        <v>2704.6335370000002</v>
      </c>
      <c r="C270" s="7">
        <v>2973.4819360000001</v>
      </c>
      <c r="D270" s="7">
        <v>322.70674100000002</v>
      </c>
      <c r="E270" s="7">
        <v>605.35126700000001</v>
      </c>
      <c r="F270">
        <v>217.29103599999999</v>
      </c>
      <c r="H270" s="6"/>
    </row>
    <row r="271" spans="1:8" x14ac:dyDescent="0.3">
      <c r="A271" s="6">
        <v>37894</v>
      </c>
      <c r="B271" s="7">
        <v>2552.6430030000001</v>
      </c>
      <c r="C271" s="7">
        <v>2798.045615</v>
      </c>
      <c r="D271" s="7">
        <v>304.24970200000001</v>
      </c>
      <c r="E271" s="7">
        <v>557.877431</v>
      </c>
      <c r="F271">
        <v>204.06333900000001</v>
      </c>
      <c r="H271" s="6"/>
    </row>
    <row r="272" spans="1:8" x14ac:dyDescent="0.3">
      <c r="A272" s="6">
        <v>37862</v>
      </c>
      <c r="B272" s="7">
        <v>2536.553097</v>
      </c>
      <c r="C272" s="7">
        <v>2715.9910850000001</v>
      </c>
      <c r="D272" s="7">
        <v>302.31900000000002</v>
      </c>
      <c r="E272" s="7">
        <v>553.81696299999999</v>
      </c>
      <c r="F272">
        <v>198.50499500000001</v>
      </c>
      <c r="H272" s="6"/>
    </row>
    <row r="273" spans="1:8" x14ac:dyDescent="0.3">
      <c r="A273" s="6">
        <v>37833</v>
      </c>
      <c r="B273" s="7">
        <v>2482.3277819999998</v>
      </c>
      <c r="C273" s="7">
        <v>2647.222096</v>
      </c>
      <c r="D273" s="7">
        <v>295.30880500000001</v>
      </c>
      <c r="E273" s="7">
        <v>518.982933</v>
      </c>
      <c r="F273">
        <v>192.76058499999999</v>
      </c>
      <c r="H273" s="6"/>
    </row>
    <row r="274" spans="1:8" x14ac:dyDescent="0.3">
      <c r="A274" s="6">
        <v>37802</v>
      </c>
      <c r="B274" s="7">
        <v>2432.4746</v>
      </c>
      <c r="C274" s="7">
        <v>2587.4637360000002</v>
      </c>
      <c r="D274" s="7">
        <v>288.89802500000002</v>
      </c>
      <c r="E274" s="7">
        <v>488.395847</v>
      </c>
      <c r="F274">
        <v>187.758171</v>
      </c>
      <c r="H274" s="6"/>
    </row>
    <row r="275" spans="1:8" x14ac:dyDescent="0.3">
      <c r="A275" s="6">
        <v>37771</v>
      </c>
      <c r="B275" s="7">
        <v>2390.2201180000002</v>
      </c>
      <c r="C275" s="7">
        <v>2524.65735</v>
      </c>
      <c r="D275" s="7">
        <v>283.454365</v>
      </c>
      <c r="E275" s="7">
        <v>462.06146799999999</v>
      </c>
      <c r="F275">
        <v>182.700828</v>
      </c>
      <c r="H275" s="6"/>
    </row>
    <row r="276" spans="1:8" x14ac:dyDescent="0.3">
      <c r="A276" s="6">
        <v>37741</v>
      </c>
      <c r="B276" s="7">
        <v>2259.9563290000001</v>
      </c>
      <c r="C276" s="7">
        <v>2375.1991760000001</v>
      </c>
      <c r="D276" s="7">
        <v>267.86576300000002</v>
      </c>
      <c r="E276" s="7">
        <v>431.11932999999999</v>
      </c>
      <c r="F276">
        <v>171.75937200000001</v>
      </c>
      <c r="H276" s="6"/>
    </row>
    <row r="277" spans="1:8" x14ac:dyDescent="0.3">
      <c r="A277" s="6">
        <v>37711</v>
      </c>
      <c r="B277" s="7">
        <v>2074.6660000000002</v>
      </c>
      <c r="C277" s="7">
        <v>2165.0569999999998</v>
      </c>
      <c r="D277" s="7">
        <v>245.90600000000001</v>
      </c>
      <c r="E277" s="7">
        <v>395.85899999999998</v>
      </c>
      <c r="F277">
        <v>156.66300000000001</v>
      </c>
      <c r="H277" s="6"/>
    </row>
    <row r="278" spans="1:8" x14ac:dyDescent="0.3">
      <c r="A278" s="6">
        <v>37680</v>
      </c>
      <c r="B278" s="7">
        <v>2080.3820000000001</v>
      </c>
      <c r="C278" s="7">
        <v>2205.9369999999999</v>
      </c>
      <c r="D278" s="7">
        <v>246.839</v>
      </c>
      <c r="E278" s="7">
        <v>407.411</v>
      </c>
      <c r="F278">
        <v>159.762</v>
      </c>
      <c r="H278" s="6"/>
    </row>
    <row r="279" spans="1:8" x14ac:dyDescent="0.3">
      <c r="A279" s="6">
        <v>37652</v>
      </c>
      <c r="B279" s="7">
        <v>2116.6239999999998</v>
      </c>
      <c r="C279" s="7">
        <v>2250.0360000000001</v>
      </c>
      <c r="D279" s="7">
        <v>251.24199999999999</v>
      </c>
      <c r="E279" s="7">
        <v>418.71199999999999</v>
      </c>
      <c r="F279">
        <v>163.066</v>
      </c>
      <c r="H279" s="6"/>
    </row>
    <row r="280" spans="1:8" x14ac:dyDescent="0.3">
      <c r="A280" s="6">
        <v>37621</v>
      </c>
      <c r="B280" s="7">
        <v>2182.5700000000002</v>
      </c>
      <c r="C280" s="7">
        <v>2338.944</v>
      </c>
      <c r="D280" s="7">
        <v>258.79500000000002</v>
      </c>
      <c r="E280" s="7">
        <v>420.54300000000001</v>
      </c>
      <c r="F280">
        <v>168.999</v>
      </c>
      <c r="H280" s="6"/>
    </row>
    <row r="281" spans="1:8" x14ac:dyDescent="0.3">
      <c r="A281" s="6">
        <v>37589</v>
      </c>
      <c r="B281" s="7">
        <v>2293.2539999999999</v>
      </c>
      <c r="C281" s="7">
        <v>2416.817</v>
      </c>
      <c r="D281" s="7">
        <v>271.75099999999998</v>
      </c>
      <c r="E281" s="7">
        <v>434.99599999999998</v>
      </c>
      <c r="F281">
        <v>174.64099999999999</v>
      </c>
      <c r="H281" s="6"/>
    </row>
    <row r="282" spans="1:8" x14ac:dyDescent="0.3">
      <c r="A282" s="6">
        <v>37560</v>
      </c>
      <c r="B282" s="7">
        <v>2175.4749999999999</v>
      </c>
      <c r="C282" s="7">
        <v>2310.1370000000002</v>
      </c>
      <c r="D282" s="7">
        <v>257.65699999999998</v>
      </c>
      <c r="E282" s="7">
        <v>406.98200000000003</v>
      </c>
      <c r="F282">
        <v>166.62799999999999</v>
      </c>
      <c r="H282" s="6"/>
    </row>
    <row r="283" spans="1:8" x14ac:dyDescent="0.3">
      <c r="A283" s="6">
        <v>37529</v>
      </c>
      <c r="B283" s="7">
        <v>2025.606</v>
      </c>
      <c r="C283" s="7">
        <v>2194.654</v>
      </c>
      <c r="D283" s="7">
        <v>239.98500000000001</v>
      </c>
      <c r="E283" s="7">
        <v>382.18299999999999</v>
      </c>
      <c r="F283">
        <v>158.14400000000001</v>
      </c>
      <c r="H283" s="6"/>
    </row>
    <row r="284" spans="1:8" x14ac:dyDescent="0.3">
      <c r="A284" s="6">
        <v>37498</v>
      </c>
      <c r="B284" s="7">
        <v>2275.335</v>
      </c>
      <c r="C284" s="7">
        <v>2454.3130000000001</v>
      </c>
      <c r="D284" s="7">
        <v>269.55</v>
      </c>
      <c r="E284" s="7">
        <v>428.404</v>
      </c>
      <c r="F284">
        <v>176.88900000000001</v>
      </c>
      <c r="H284" s="6"/>
    </row>
    <row r="285" spans="1:8" x14ac:dyDescent="0.3">
      <c r="A285" s="6">
        <v>37468</v>
      </c>
      <c r="B285" s="7">
        <v>2270.6129999999998</v>
      </c>
      <c r="C285" s="7">
        <v>2457.5309999999999</v>
      </c>
      <c r="D285" s="7">
        <v>268.85500000000002</v>
      </c>
      <c r="E285" s="7">
        <v>421.90300000000002</v>
      </c>
      <c r="F285">
        <v>176.87799999999999</v>
      </c>
      <c r="H285" s="6"/>
    </row>
    <row r="286" spans="1:8" x14ac:dyDescent="0.3">
      <c r="A286" s="6">
        <v>37435</v>
      </c>
      <c r="B286" s="7">
        <v>2479.2849999999999</v>
      </c>
      <c r="C286" s="7">
        <v>2728.5439999999999</v>
      </c>
      <c r="D286" s="7">
        <v>293.46600000000001</v>
      </c>
      <c r="E286" s="7">
        <v>456.63299999999998</v>
      </c>
      <c r="F286">
        <v>195.977</v>
      </c>
      <c r="H286" s="6"/>
    </row>
    <row r="287" spans="1:8" x14ac:dyDescent="0.3">
      <c r="A287" s="6">
        <v>37407</v>
      </c>
      <c r="B287" s="7">
        <v>2638.855</v>
      </c>
      <c r="C287" s="7">
        <v>2843.1129999999998</v>
      </c>
      <c r="D287" s="7">
        <v>312.53899999999999</v>
      </c>
      <c r="E287" s="7">
        <v>493.66899999999998</v>
      </c>
      <c r="F287">
        <v>204.821</v>
      </c>
      <c r="H287" s="6"/>
    </row>
    <row r="288" spans="1:8" x14ac:dyDescent="0.3">
      <c r="A288" s="6">
        <v>37376</v>
      </c>
      <c r="B288" s="7">
        <v>2632.752</v>
      </c>
      <c r="C288" s="7">
        <v>2803.924</v>
      </c>
      <c r="D288" s="7">
        <v>312.09800000000001</v>
      </c>
      <c r="E288" s="7">
        <v>501.66199999999998</v>
      </c>
      <c r="F288">
        <v>202.614</v>
      </c>
      <c r="H288" s="6"/>
    </row>
    <row r="289" spans="1:8" x14ac:dyDescent="0.3">
      <c r="A289" s="6">
        <v>37343</v>
      </c>
      <c r="B289" s="7">
        <v>2729.4969999999998</v>
      </c>
      <c r="C289" s="7">
        <v>2798.0210000000002</v>
      </c>
      <c r="D289" s="7">
        <v>322.89600000000002</v>
      </c>
      <c r="E289" s="7">
        <v>498.47500000000002</v>
      </c>
      <c r="F289">
        <v>202.09899999999999</v>
      </c>
      <c r="H289" s="6"/>
    </row>
    <row r="290" spans="1:8" x14ac:dyDescent="0.3">
      <c r="A290" s="6">
        <v>37315</v>
      </c>
      <c r="B290" s="7">
        <v>2608.413</v>
      </c>
      <c r="C290" s="7">
        <v>2643.953</v>
      </c>
      <c r="D290" s="7">
        <v>308.38</v>
      </c>
      <c r="E290" s="7">
        <v>470.14699999999999</v>
      </c>
      <c r="F290">
        <v>190.934</v>
      </c>
      <c r="H290" s="6"/>
    </row>
    <row r="291" spans="1:8" x14ac:dyDescent="0.3">
      <c r="A291" s="6">
        <v>37287</v>
      </c>
      <c r="B291" s="7">
        <v>2630.77</v>
      </c>
      <c r="C291" s="7">
        <v>2627.768</v>
      </c>
      <c r="D291" s="7">
        <v>310.66199999999998</v>
      </c>
      <c r="E291" s="7">
        <v>462.548</v>
      </c>
      <c r="F291">
        <v>189.56899999999999</v>
      </c>
      <c r="H291" s="6"/>
    </row>
    <row r="292" spans="1:8" x14ac:dyDescent="0.3">
      <c r="A292" s="6">
        <v>37256</v>
      </c>
      <c r="B292" s="7">
        <v>2712.6579999999999</v>
      </c>
      <c r="C292" s="7">
        <v>2768.3429999999998</v>
      </c>
      <c r="D292" s="7">
        <v>319.41399999999999</v>
      </c>
      <c r="E292" s="7">
        <v>447.387</v>
      </c>
      <c r="F292">
        <v>198.05099999999999</v>
      </c>
      <c r="H292" s="6"/>
    </row>
    <row r="293" spans="1:8" x14ac:dyDescent="0.3">
      <c r="A293" s="6">
        <v>37225</v>
      </c>
      <c r="B293" s="7">
        <v>2695.3850000000002</v>
      </c>
      <c r="C293" s="7">
        <v>2750.5859999999998</v>
      </c>
      <c r="D293" s="7">
        <v>316.44799999999998</v>
      </c>
      <c r="E293" s="7">
        <v>414.48700000000002</v>
      </c>
      <c r="F293">
        <v>195.53200000000001</v>
      </c>
      <c r="H293" s="6"/>
    </row>
    <row r="294" spans="1:8" x14ac:dyDescent="0.3">
      <c r="A294" s="6">
        <v>37195</v>
      </c>
      <c r="B294" s="7">
        <v>2544.471</v>
      </c>
      <c r="C294" s="7">
        <v>2646.364</v>
      </c>
      <c r="D294" s="7">
        <v>298.11399999999998</v>
      </c>
      <c r="E294" s="7">
        <v>375.30399999999997</v>
      </c>
      <c r="F294">
        <v>186.98</v>
      </c>
      <c r="H294" s="6"/>
    </row>
    <row r="295" spans="1:8" x14ac:dyDescent="0.3">
      <c r="A295" s="6">
        <v>37162</v>
      </c>
      <c r="B295" s="7">
        <v>2496.4009999999998</v>
      </c>
      <c r="C295" s="7">
        <v>2583.163</v>
      </c>
      <c r="D295" s="7">
        <v>291.911</v>
      </c>
      <c r="E295" s="7">
        <v>353.37400000000002</v>
      </c>
      <c r="F295">
        <v>181.88399999999999</v>
      </c>
      <c r="H295" s="6"/>
    </row>
    <row r="296" spans="1:8" x14ac:dyDescent="0.3">
      <c r="A296" s="6">
        <v>37134</v>
      </c>
      <c r="B296" s="7">
        <v>2737.2330000000002</v>
      </c>
      <c r="C296" s="7">
        <v>2872.38</v>
      </c>
      <c r="D296" s="7">
        <v>321.25599999999997</v>
      </c>
      <c r="E296" s="7">
        <v>418.08499999999998</v>
      </c>
      <c r="F296">
        <v>203.47</v>
      </c>
      <c r="H296" s="6"/>
    </row>
    <row r="297" spans="1:8" x14ac:dyDescent="0.3">
      <c r="A297" s="6">
        <v>37103</v>
      </c>
      <c r="B297" s="7">
        <v>2874.6559999999999</v>
      </c>
      <c r="C297" s="7">
        <v>2950.5070000000001</v>
      </c>
      <c r="D297" s="7">
        <v>336.73099999999999</v>
      </c>
      <c r="E297" s="7">
        <v>422.25</v>
      </c>
      <c r="F297">
        <v>208.65199999999999</v>
      </c>
      <c r="H297" s="6"/>
    </row>
    <row r="298" spans="1:8" x14ac:dyDescent="0.3">
      <c r="A298" s="6">
        <v>37071</v>
      </c>
      <c r="B298" s="7">
        <v>2913.0160000000001</v>
      </c>
      <c r="C298" s="7">
        <v>3002.99</v>
      </c>
      <c r="D298" s="7">
        <v>342.12299999999999</v>
      </c>
      <c r="E298" s="7">
        <v>450.73200000000003</v>
      </c>
      <c r="F298">
        <v>213.4</v>
      </c>
      <c r="H298" s="6"/>
    </row>
    <row r="299" spans="1:8" x14ac:dyDescent="0.3">
      <c r="A299" s="6">
        <v>37042</v>
      </c>
      <c r="B299" s="7">
        <v>3006.7959999999998</v>
      </c>
      <c r="C299" s="7">
        <v>3129.42</v>
      </c>
      <c r="D299" s="7">
        <v>352.93599999999998</v>
      </c>
      <c r="E299" s="7">
        <v>460.178</v>
      </c>
      <c r="F299">
        <v>221.911</v>
      </c>
      <c r="H299" s="6"/>
    </row>
    <row r="300" spans="1:8" x14ac:dyDescent="0.3">
      <c r="A300" s="6">
        <v>37011</v>
      </c>
      <c r="B300" s="7">
        <v>3044.6109999999999</v>
      </c>
      <c r="C300" s="7">
        <v>3233.3470000000002</v>
      </c>
      <c r="D300" s="7">
        <v>356.91500000000002</v>
      </c>
      <c r="E300" s="7">
        <v>454.75</v>
      </c>
      <c r="F300">
        <v>228.21299999999999</v>
      </c>
      <c r="H300" s="6"/>
    </row>
    <row r="301" spans="1:8" x14ac:dyDescent="0.3">
      <c r="A301" s="6">
        <v>36980</v>
      </c>
      <c r="B301" s="7">
        <v>2834.3969999999999</v>
      </c>
      <c r="C301" s="7">
        <v>3021.2719999999999</v>
      </c>
      <c r="D301" s="7">
        <v>332.68299999999999</v>
      </c>
      <c r="E301" s="7">
        <v>433.33800000000002</v>
      </c>
      <c r="F301">
        <v>213.68</v>
      </c>
      <c r="H301" s="6"/>
    </row>
    <row r="302" spans="1:8" x14ac:dyDescent="0.3">
      <c r="A302" s="6">
        <v>36950</v>
      </c>
      <c r="B302" s="7">
        <v>3033.04</v>
      </c>
      <c r="C302" s="7">
        <v>3239.462</v>
      </c>
      <c r="D302" s="7">
        <v>356.69400000000002</v>
      </c>
      <c r="E302" s="7">
        <v>480.536</v>
      </c>
      <c r="F302">
        <v>229.93299999999999</v>
      </c>
      <c r="H302" s="6"/>
    </row>
    <row r="303" spans="1:8" x14ac:dyDescent="0.3">
      <c r="A303" s="6">
        <v>36922</v>
      </c>
      <c r="B303" s="7">
        <v>3312.6260000000002</v>
      </c>
      <c r="C303" s="7">
        <v>3517.78</v>
      </c>
      <c r="D303" s="7">
        <v>389.46300000000002</v>
      </c>
      <c r="E303" s="7">
        <v>521.35900000000004</v>
      </c>
      <c r="F303">
        <v>249.702</v>
      </c>
      <c r="H303" s="6"/>
    </row>
    <row r="304" spans="1:8" x14ac:dyDescent="0.3">
      <c r="A304" s="6">
        <v>36889</v>
      </c>
      <c r="B304" s="7">
        <v>3249.51293945312</v>
      </c>
      <c r="C304" s="7">
        <v>3511.13891601562</v>
      </c>
      <c r="D304" s="7">
        <v>379.85900878906199</v>
      </c>
      <c r="E304" s="7">
        <v>458.25698852539102</v>
      </c>
      <c r="F304">
        <v>246.01199340820301</v>
      </c>
      <c r="H304" s="6"/>
    </row>
    <row r="305" spans="1:8" x14ac:dyDescent="0.3">
      <c r="A305" s="6">
        <v>36860</v>
      </c>
      <c r="B305" s="7">
        <v>3197.337890625</v>
      </c>
      <c r="C305" s="7">
        <v>3391.59912109375</v>
      </c>
      <c r="D305" s="7">
        <v>373.61801147460898</v>
      </c>
      <c r="E305" s="7">
        <v>447.45401000976602</v>
      </c>
      <c r="F305">
        <v>237.88800048828099</v>
      </c>
      <c r="H305" s="6"/>
    </row>
    <row r="306" spans="1:8" x14ac:dyDescent="0.3">
      <c r="A306" s="6">
        <v>36830</v>
      </c>
      <c r="B306" s="7">
        <v>3403.5380859375</v>
      </c>
      <c r="C306" s="7">
        <v>3533.19702148438</v>
      </c>
      <c r="D306" s="7">
        <v>398.29299926757801</v>
      </c>
      <c r="E306" s="7">
        <v>490.32501220703102</v>
      </c>
      <c r="F306">
        <v>249.06199645996099</v>
      </c>
      <c r="H306" s="6"/>
    </row>
    <row r="307" spans="1:8" x14ac:dyDescent="0.3">
      <c r="A307" s="6">
        <v>36798</v>
      </c>
      <c r="B307" s="7">
        <v>3461.09497070312</v>
      </c>
      <c r="C307" s="7">
        <v>3631.43896484375</v>
      </c>
      <c r="D307" s="7">
        <v>406.24099731445301</v>
      </c>
      <c r="E307" s="7">
        <v>528.65399169921898</v>
      </c>
      <c r="F307">
        <v>257.23800659179699</v>
      </c>
      <c r="H307" s="6"/>
    </row>
    <row r="308" spans="1:8" x14ac:dyDescent="0.3">
      <c r="A308" s="6">
        <v>36769</v>
      </c>
      <c r="B308" s="7">
        <v>3655.01196289062</v>
      </c>
      <c r="C308" s="7">
        <v>3829.05200195312</v>
      </c>
      <c r="D308" s="7">
        <v>429.85000610351602</v>
      </c>
      <c r="E308" s="7">
        <v>579.22998046875</v>
      </c>
      <c r="F308">
        <v>272.34500122070301</v>
      </c>
      <c r="H308" s="6"/>
    </row>
    <row r="309" spans="1:8" x14ac:dyDescent="0.3">
      <c r="A309" s="6">
        <v>36738</v>
      </c>
      <c r="B309" s="7">
        <v>3539.43310546875</v>
      </c>
      <c r="C309" s="7">
        <v>3778.92407226562</v>
      </c>
      <c r="D309" s="7">
        <v>416.89001464843801</v>
      </c>
      <c r="E309" s="7">
        <v>576.39599609375</v>
      </c>
      <c r="F309">
        <v>269.01800537109398</v>
      </c>
      <c r="H309" s="6"/>
    </row>
    <row r="310" spans="1:8" x14ac:dyDescent="0.3">
      <c r="A310" s="6">
        <v>36707</v>
      </c>
      <c r="B310" s="7">
        <v>3641.498046875</v>
      </c>
      <c r="C310" s="7">
        <v>3928.31689453125</v>
      </c>
      <c r="D310" s="7">
        <v>429.50500488281199</v>
      </c>
      <c r="E310" s="7">
        <v>607.64697265625</v>
      </c>
      <c r="F310">
        <v>280.07501220703102</v>
      </c>
      <c r="H310" s="6"/>
    </row>
    <row r="311" spans="1:8" x14ac:dyDescent="0.3">
      <c r="A311" s="6">
        <v>36677</v>
      </c>
      <c r="B311" s="7">
        <v>3522.40405273438</v>
      </c>
      <c r="C311" s="7">
        <v>3764.72192382812</v>
      </c>
      <c r="D311" s="7">
        <v>415.42401123046898</v>
      </c>
      <c r="E311" s="7">
        <v>586.97100830078102</v>
      </c>
      <c r="F311">
        <v>268.63699340820301</v>
      </c>
      <c r="H311" s="6"/>
    </row>
    <row r="312" spans="1:8" x14ac:dyDescent="0.3">
      <c r="A312" s="6">
        <v>36644</v>
      </c>
      <c r="B312" s="7">
        <v>3613.44091796875</v>
      </c>
      <c r="C312" s="7">
        <v>3857.42309570312</v>
      </c>
      <c r="D312" s="7">
        <v>426.49200439453102</v>
      </c>
      <c r="E312" s="7">
        <v>612.28399658203102</v>
      </c>
      <c r="F312">
        <v>275.68899536132801</v>
      </c>
      <c r="H312" s="6"/>
    </row>
    <row r="313" spans="1:8" x14ac:dyDescent="0.3">
      <c r="A313" s="6">
        <v>36616</v>
      </c>
      <c r="B313" s="7">
        <v>3772.52197265625</v>
      </c>
      <c r="C313" s="7">
        <v>4067.66796875</v>
      </c>
      <c r="D313" s="7">
        <v>446.52099609375</v>
      </c>
      <c r="E313" s="7">
        <v>676.40197753906205</v>
      </c>
      <c r="F313">
        <v>291.98599243164102</v>
      </c>
      <c r="H313" s="6"/>
    </row>
    <row r="314" spans="1:8" x14ac:dyDescent="0.3">
      <c r="A314" s="6">
        <v>36585</v>
      </c>
      <c r="B314" s="7">
        <v>3528.21704101562</v>
      </c>
      <c r="C314" s="7">
        <v>3906.56591796875</v>
      </c>
      <c r="D314" s="7">
        <v>418.97799682617199</v>
      </c>
      <c r="E314" s="7">
        <v>673.11700439453102</v>
      </c>
      <c r="F314">
        <v>281.39599609375</v>
      </c>
      <c r="H314" s="6"/>
    </row>
    <row r="315" spans="1:8" x14ac:dyDescent="0.3">
      <c r="A315" s="6">
        <v>36556</v>
      </c>
      <c r="B315" s="7">
        <v>3518.2900390625</v>
      </c>
      <c r="C315" s="7">
        <v>3798.15991210938</v>
      </c>
      <c r="D315" s="7">
        <v>417.55999755859398</v>
      </c>
      <c r="E315" s="7">
        <v>664.343017578125</v>
      </c>
      <c r="F315">
        <v>273.99499511718801</v>
      </c>
      <c r="H315" s="6"/>
    </row>
    <row r="316" spans="1:8" x14ac:dyDescent="0.3">
      <c r="H316" s="6"/>
    </row>
    <row r="317" spans="1:8" x14ac:dyDescent="0.3">
      <c r="F317" s="6"/>
      <c r="H317" s="6"/>
    </row>
    <row r="318" spans="1:8" x14ac:dyDescent="0.3">
      <c r="H318" s="6"/>
    </row>
    <row r="319" spans="1:8" x14ac:dyDescent="0.3">
      <c r="H319" s="6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5"/>
  <sheetViews>
    <sheetView tabSelected="1" workbookViewId="0">
      <selection activeCell="H6" sqref="H6"/>
    </sheetView>
  </sheetViews>
  <sheetFormatPr defaultRowHeight="16.5" x14ac:dyDescent="0.3"/>
  <cols>
    <col min="1" max="1" width="11.125" customWidth="1"/>
  </cols>
  <sheetData>
    <row r="1" spans="1:6" x14ac:dyDescent="0.3">
      <c r="B1" t="s">
        <v>4</v>
      </c>
      <c r="C1" t="s">
        <v>5</v>
      </c>
      <c r="D1" t="s">
        <v>6</v>
      </c>
      <c r="E1" t="s">
        <v>7</v>
      </c>
      <c r="F1" t="s">
        <v>322</v>
      </c>
    </row>
    <row r="2" spans="1:6" x14ac:dyDescent="0.3">
      <c r="A2" s="6">
        <v>46080</v>
      </c>
      <c r="B2" s="4">
        <v>21740.407476</v>
      </c>
      <c r="C2" s="4">
        <v>16701.067371000001</v>
      </c>
      <c r="D2" s="4">
        <v>2503.4044090000002</v>
      </c>
      <c r="E2" s="4">
        <v>4403.3908709999996</v>
      </c>
      <c r="F2">
        <v>1242.3421350000001</v>
      </c>
    </row>
    <row r="3" spans="1:6" x14ac:dyDescent="0.3">
      <c r="A3" s="3">
        <v>46052</v>
      </c>
      <c r="B3" s="4">
        <v>21576.661757999998</v>
      </c>
      <c r="C3" s="4">
        <v>15933.089904</v>
      </c>
      <c r="D3" s="4">
        <v>2471.0112519999998</v>
      </c>
      <c r="E3" s="4">
        <v>4173.3340520000002</v>
      </c>
      <c r="F3">
        <v>1182.760859</v>
      </c>
    </row>
    <row r="4" spans="1:6" x14ac:dyDescent="0.3">
      <c r="A4" s="3">
        <v>46022</v>
      </c>
      <c r="B4" s="4">
        <v>21100.067425000001</v>
      </c>
      <c r="C4" s="4">
        <v>15213.283573999999</v>
      </c>
      <c r="D4" s="4">
        <v>2399.4132570000002</v>
      </c>
      <c r="E4" s="4">
        <v>3833.6160190000001</v>
      </c>
      <c r="F4">
        <v>1115.89552</v>
      </c>
    </row>
    <row r="5" spans="1:6" x14ac:dyDescent="0.3">
      <c r="A5" s="3">
        <v>45989</v>
      </c>
      <c r="B5" s="4">
        <v>20924.659060000002</v>
      </c>
      <c r="C5" s="4">
        <v>14767.227199000001</v>
      </c>
      <c r="D5" s="4">
        <v>2373.919656</v>
      </c>
      <c r="E5" s="4">
        <v>3721.0817419999998</v>
      </c>
      <c r="F5">
        <v>1083.165076</v>
      </c>
    </row>
    <row r="6" spans="1:6" x14ac:dyDescent="0.3">
      <c r="A6" s="3">
        <v>45961</v>
      </c>
      <c r="B6" s="4">
        <v>20859.465155999998</v>
      </c>
      <c r="C6" s="4">
        <v>14611.543301</v>
      </c>
      <c r="D6" s="4">
        <v>2373.519839</v>
      </c>
      <c r="E6" s="4">
        <v>3811.8175590000001</v>
      </c>
      <c r="F6">
        <v>1083.247359</v>
      </c>
    </row>
    <row r="7" spans="1:6" x14ac:dyDescent="0.3">
      <c r="A7" s="3">
        <v>45930</v>
      </c>
      <c r="B7" s="4">
        <v>20445.915186999999</v>
      </c>
      <c r="C7" s="4">
        <v>14453.291464</v>
      </c>
      <c r="D7" s="4">
        <v>2321.1645709999998</v>
      </c>
      <c r="E7" s="4">
        <v>3658.5784140000001</v>
      </c>
      <c r="F7">
        <v>1061.6303969999999</v>
      </c>
    </row>
    <row r="8" spans="1:6" x14ac:dyDescent="0.3">
      <c r="A8" s="3">
        <v>45898</v>
      </c>
      <c r="B8" s="4">
        <v>19801.961522000001</v>
      </c>
      <c r="C8" s="4">
        <v>14146.105670999999</v>
      </c>
      <c r="D8" s="4">
        <v>2239.1934980000001</v>
      </c>
      <c r="E8" s="4">
        <v>3413.4084010000001</v>
      </c>
      <c r="F8">
        <v>1024.304214</v>
      </c>
    </row>
    <row r="9" spans="1:6" x14ac:dyDescent="0.3">
      <c r="A9" s="3">
        <v>45869</v>
      </c>
      <c r="B9" s="4">
        <v>19293.050929000001</v>
      </c>
      <c r="C9" s="4">
        <v>13547.520597999999</v>
      </c>
      <c r="D9" s="4">
        <v>2184.265977</v>
      </c>
      <c r="E9" s="4">
        <v>3364.072146</v>
      </c>
      <c r="F9">
        <v>989.32881399999997</v>
      </c>
    </row>
    <row r="10" spans="1:6" x14ac:dyDescent="0.3">
      <c r="A10" s="3">
        <v>45838</v>
      </c>
      <c r="B10" s="4">
        <v>19044.007433999999</v>
      </c>
      <c r="C10" s="4">
        <v>13711.209525</v>
      </c>
      <c r="D10" s="4">
        <v>2154.502262</v>
      </c>
      <c r="E10" s="4">
        <v>3297.6048150000001</v>
      </c>
      <c r="F10">
        <v>991.86924699999997</v>
      </c>
    </row>
    <row r="11" spans="1:6" x14ac:dyDescent="0.3">
      <c r="A11" s="3">
        <v>45807</v>
      </c>
      <c r="B11" s="4">
        <v>18250.358313000001</v>
      </c>
      <c r="C11" s="4">
        <v>13393.555204</v>
      </c>
      <c r="D11" s="4">
        <v>2061.073367</v>
      </c>
      <c r="E11" s="4">
        <v>3106.883601</v>
      </c>
      <c r="F11">
        <v>958.81665799999996</v>
      </c>
    </row>
    <row r="12" spans="1:6" x14ac:dyDescent="0.3">
      <c r="A12" s="3">
        <v>45777</v>
      </c>
      <c r="B12" s="4">
        <v>17219.319837999999</v>
      </c>
      <c r="C12" s="4">
        <v>12774.843287</v>
      </c>
      <c r="D12" s="4">
        <v>1947.8373529999999</v>
      </c>
      <c r="E12" s="4">
        <v>2978.610459</v>
      </c>
      <c r="F12">
        <v>915.87443499999995</v>
      </c>
    </row>
    <row r="13" spans="1:6" x14ac:dyDescent="0.3">
      <c r="A13" s="3">
        <v>45747</v>
      </c>
      <c r="B13" s="4">
        <v>17059.748792999999</v>
      </c>
      <c r="C13" s="4">
        <v>12206.171318999999</v>
      </c>
      <c r="D13" s="4">
        <v>1928.9803710000001</v>
      </c>
      <c r="E13" s="4">
        <v>2939.1009439999998</v>
      </c>
      <c r="F13">
        <v>883.26105399999994</v>
      </c>
    </row>
    <row r="14" spans="1:6" x14ac:dyDescent="0.3">
      <c r="A14" s="3">
        <v>45716</v>
      </c>
      <c r="B14" s="4">
        <v>17844.251037999999</v>
      </c>
      <c r="C14" s="4">
        <v>12263.381894</v>
      </c>
      <c r="D14" s="4">
        <v>2007.191047</v>
      </c>
      <c r="E14" s="4">
        <v>2919.510135</v>
      </c>
      <c r="F14">
        <v>884.48255500000005</v>
      </c>
    </row>
    <row r="15" spans="1:6" x14ac:dyDescent="0.3">
      <c r="A15" s="3">
        <v>45688</v>
      </c>
      <c r="B15" s="4">
        <v>17968.349835000001</v>
      </c>
      <c r="C15" s="4">
        <v>12049.969684</v>
      </c>
      <c r="D15" s="4">
        <v>2018.7866180000001</v>
      </c>
      <c r="E15" s="4">
        <v>2904.9021170000001</v>
      </c>
      <c r="F15">
        <v>872.238384</v>
      </c>
    </row>
    <row r="16" spans="1:6" x14ac:dyDescent="0.3">
      <c r="A16" s="3">
        <v>45657</v>
      </c>
      <c r="B16" s="4">
        <v>17352.115351</v>
      </c>
      <c r="C16" s="4">
        <v>11477.426659999999</v>
      </c>
      <c r="D16" s="4">
        <v>1952.803514</v>
      </c>
      <c r="E16" s="4">
        <v>2853.3296209999999</v>
      </c>
      <c r="F16">
        <v>838.31877099999997</v>
      </c>
    </row>
    <row r="17" spans="1:6" x14ac:dyDescent="0.3">
      <c r="A17" s="3">
        <v>45625</v>
      </c>
      <c r="B17" s="4">
        <v>17810.635170000001</v>
      </c>
      <c r="C17" s="4">
        <v>11790.820522</v>
      </c>
      <c r="D17" s="4">
        <v>1999.474831</v>
      </c>
      <c r="E17" s="4">
        <v>2855.9489039999999</v>
      </c>
      <c r="F17">
        <v>854.64954699999998</v>
      </c>
    </row>
    <row r="18" spans="1:6" x14ac:dyDescent="0.3">
      <c r="A18" s="3">
        <v>45596</v>
      </c>
      <c r="B18" s="4">
        <v>17023.445476000001</v>
      </c>
      <c r="C18" s="4">
        <v>11760.301464</v>
      </c>
      <c r="D18" s="4">
        <v>1926.7761869999999</v>
      </c>
      <c r="E18" s="4">
        <v>2962.1041620000001</v>
      </c>
      <c r="F18">
        <v>862.30794100000003</v>
      </c>
    </row>
    <row r="19" spans="1:6" x14ac:dyDescent="0.3">
      <c r="A19" s="3">
        <v>45565</v>
      </c>
      <c r="B19" s="4">
        <v>17364.011736</v>
      </c>
      <c r="C19" s="4">
        <v>12389.856062999999</v>
      </c>
      <c r="D19" s="4">
        <v>1970.352877</v>
      </c>
      <c r="E19" s="4">
        <v>3095.9516290000001</v>
      </c>
      <c r="F19">
        <v>906.33129399999996</v>
      </c>
    </row>
    <row r="20" spans="1:6" x14ac:dyDescent="0.3">
      <c r="A20" s="3">
        <v>45534</v>
      </c>
      <c r="B20" s="4">
        <v>17045.470265</v>
      </c>
      <c r="C20" s="4">
        <v>12248.585142</v>
      </c>
      <c r="D20" s="4">
        <v>1924.9071140000001</v>
      </c>
      <c r="E20" s="4">
        <v>2901.013872</v>
      </c>
      <c r="F20">
        <v>882.18088699999998</v>
      </c>
    </row>
    <row r="21" spans="1:6" x14ac:dyDescent="0.3">
      <c r="A21" s="3">
        <v>45504</v>
      </c>
      <c r="B21" s="4">
        <v>16601.012475</v>
      </c>
      <c r="C21" s="4">
        <v>11851.326351</v>
      </c>
      <c r="D21" s="4">
        <v>1876.6063389999999</v>
      </c>
      <c r="E21" s="4">
        <v>2853.9797739999999</v>
      </c>
      <c r="F21">
        <v>857.578171</v>
      </c>
    </row>
    <row r="22" spans="1:6" x14ac:dyDescent="0.3">
      <c r="A22" s="3">
        <v>45471</v>
      </c>
      <c r="B22" s="4">
        <v>16309.886618</v>
      </c>
      <c r="C22" s="4">
        <v>11488.944057000001</v>
      </c>
      <c r="D22" s="4">
        <v>1846.320461</v>
      </c>
      <c r="E22" s="4">
        <v>2843.5332130000002</v>
      </c>
      <c r="F22">
        <v>837.90504999999996</v>
      </c>
    </row>
    <row r="23" spans="1:6" x14ac:dyDescent="0.3">
      <c r="A23" s="3">
        <v>45443</v>
      </c>
      <c r="B23" s="4">
        <v>15979.455491000001</v>
      </c>
      <c r="C23" s="4">
        <v>11679.265208999999</v>
      </c>
      <c r="D23" s="4">
        <v>1805.4571659999999</v>
      </c>
      <c r="E23" s="4">
        <v>2733.9607070000002</v>
      </c>
      <c r="F23">
        <v>838.38345100000004</v>
      </c>
    </row>
    <row r="24" spans="1:6" x14ac:dyDescent="0.3">
      <c r="A24" s="3">
        <v>45412</v>
      </c>
      <c r="B24" s="4">
        <v>15286.59151</v>
      </c>
      <c r="C24" s="4">
        <v>11236.003441000001</v>
      </c>
      <c r="D24" s="4">
        <v>1733.93893</v>
      </c>
      <c r="E24" s="4">
        <v>2717.8136060000002</v>
      </c>
      <c r="F24">
        <v>813.99008800000001</v>
      </c>
    </row>
    <row r="25" spans="1:6" x14ac:dyDescent="0.3">
      <c r="A25" s="3">
        <v>45379</v>
      </c>
      <c r="B25" s="4">
        <v>15864.367263</v>
      </c>
      <c r="C25" s="4">
        <v>11518.702213</v>
      </c>
      <c r="D25" s="4">
        <v>1791.359283</v>
      </c>
      <c r="E25" s="4">
        <v>2697.7559879999999</v>
      </c>
      <c r="F25">
        <v>826.99772399999995</v>
      </c>
    </row>
    <row r="26" spans="1:6" x14ac:dyDescent="0.3">
      <c r="A26" s="3">
        <v>45351</v>
      </c>
      <c r="B26" s="4">
        <v>15366.381971000001</v>
      </c>
      <c r="C26" s="4">
        <v>11141.519899999999</v>
      </c>
      <c r="D26" s="4">
        <v>1736.815265</v>
      </c>
      <c r="E26" s="4">
        <v>2638.610103</v>
      </c>
      <c r="F26">
        <v>802.37662499999999</v>
      </c>
    </row>
    <row r="27" spans="1:6" x14ac:dyDescent="0.3">
      <c r="A27" s="3">
        <v>45322</v>
      </c>
      <c r="B27" s="4">
        <v>14735.888913999999</v>
      </c>
      <c r="C27" s="4">
        <v>10952.679796</v>
      </c>
      <c r="D27" s="4">
        <v>1664.7630919999999</v>
      </c>
      <c r="E27" s="4">
        <v>2518.3620139999998</v>
      </c>
      <c r="F27">
        <v>782.43390599999998</v>
      </c>
    </row>
    <row r="28" spans="1:6" x14ac:dyDescent="0.3">
      <c r="A28" s="3">
        <v>45289</v>
      </c>
      <c r="B28" s="4">
        <v>14557.826422</v>
      </c>
      <c r="C28" s="4">
        <v>10904.028068</v>
      </c>
      <c r="D28" s="4">
        <v>1654.705023</v>
      </c>
      <c r="E28" s="4">
        <v>2640.7359550000001</v>
      </c>
      <c r="F28">
        <v>790.17383700000005</v>
      </c>
    </row>
    <row r="29" spans="1:6" x14ac:dyDescent="0.3">
      <c r="A29" s="3">
        <v>45260</v>
      </c>
      <c r="B29" s="4">
        <v>13871.961001</v>
      </c>
      <c r="C29" s="4">
        <v>10336.634217999999</v>
      </c>
      <c r="D29" s="4">
        <v>1578.338665</v>
      </c>
      <c r="E29" s="4">
        <v>2540.486922</v>
      </c>
      <c r="F29">
        <v>752.18235500000003</v>
      </c>
    </row>
    <row r="30" spans="1:6" x14ac:dyDescent="0.3">
      <c r="A30" s="3">
        <v>45230</v>
      </c>
      <c r="B30" s="4">
        <v>12676.970282</v>
      </c>
      <c r="C30" s="4">
        <v>9446.7642799999994</v>
      </c>
      <c r="D30" s="4">
        <v>1444.344327</v>
      </c>
      <c r="E30" s="4">
        <v>2351.8719620000002</v>
      </c>
      <c r="F30">
        <v>689.93568700000003</v>
      </c>
    </row>
    <row r="31" spans="1:6" x14ac:dyDescent="0.3">
      <c r="A31" s="3">
        <v>45198</v>
      </c>
      <c r="B31" s="4">
        <v>13052.604114</v>
      </c>
      <c r="C31" s="4">
        <v>9861.5183390000002</v>
      </c>
      <c r="D31" s="4">
        <v>1488.7739340000001</v>
      </c>
      <c r="E31" s="4">
        <v>2446.667019</v>
      </c>
      <c r="F31">
        <v>719.52163099999996</v>
      </c>
    </row>
    <row r="32" spans="1:6" x14ac:dyDescent="0.3">
      <c r="A32" s="3">
        <v>45169</v>
      </c>
      <c r="B32" s="4">
        <v>13636.081474000001</v>
      </c>
      <c r="C32" s="4">
        <v>10200.610242000001</v>
      </c>
      <c r="D32" s="4">
        <v>1552.4169019999999</v>
      </c>
      <c r="E32" s="4">
        <v>2511.3325930000001</v>
      </c>
      <c r="F32">
        <v>742.64100800000006</v>
      </c>
    </row>
    <row r="33" spans="1:6" x14ac:dyDescent="0.3">
      <c r="A33" s="3">
        <v>45138</v>
      </c>
      <c r="B33" s="4">
        <v>13963.885805</v>
      </c>
      <c r="C33" s="4">
        <v>10609.188693</v>
      </c>
      <c r="D33" s="4">
        <v>1596.3918610000001</v>
      </c>
      <c r="E33" s="4">
        <v>2675.364039</v>
      </c>
      <c r="F33">
        <v>777.60262999999998</v>
      </c>
    </row>
    <row r="34" spans="1:6" x14ac:dyDescent="0.3">
      <c r="A34" s="3">
        <v>45107</v>
      </c>
      <c r="B34" s="4">
        <v>13506.744492</v>
      </c>
      <c r="C34" s="4">
        <v>10274.879215999999</v>
      </c>
      <c r="D34" s="4">
        <v>1539.5734749999999</v>
      </c>
      <c r="E34" s="4">
        <v>2516.9632609999999</v>
      </c>
      <c r="F34">
        <v>746.99621400000001</v>
      </c>
    </row>
    <row r="35" spans="1:6" x14ac:dyDescent="0.3">
      <c r="A35" s="3">
        <v>45077</v>
      </c>
      <c r="B35" s="4">
        <v>12731.907782</v>
      </c>
      <c r="C35" s="4">
        <v>9805.1883550000002</v>
      </c>
      <c r="D35" s="4">
        <v>1454.4817840000001</v>
      </c>
      <c r="E35" s="4">
        <v>2422.6756460000001</v>
      </c>
      <c r="F35">
        <v>714.55789000000004</v>
      </c>
    </row>
    <row r="36" spans="1:6" x14ac:dyDescent="0.3">
      <c r="A36" s="3">
        <v>45044</v>
      </c>
      <c r="B36" s="4">
        <v>12850.378508</v>
      </c>
      <c r="C36" s="4">
        <v>10239.246504999999</v>
      </c>
      <c r="D36" s="4">
        <v>1469.169928</v>
      </c>
      <c r="E36" s="4">
        <v>2463.338835</v>
      </c>
      <c r="F36">
        <v>740.77229799999998</v>
      </c>
    </row>
    <row r="37" spans="1:6" x14ac:dyDescent="0.3">
      <c r="A37" s="3">
        <v>45016</v>
      </c>
      <c r="B37" s="4">
        <v>12622.659609</v>
      </c>
      <c r="C37" s="4">
        <v>9946.8922920000005</v>
      </c>
      <c r="D37" s="4">
        <v>1447.674908</v>
      </c>
      <c r="E37" s="4">
        <v>2491.0962939999999</v>
      </c>
      <c r="F37">
        <v>727.57050700000002</v>
      </c>
    </row>
    <row r="38" spans="1:6" x14ac:dyDescent="0.3">
      <c r="A38" s="3">
        <v>44985</v>
      </c>
      <c r="B38" s="4">
        <v>12235.685754</v>
      </c>
      <c r="C38" s="4">
        <v>9718.8794130000006</v>
      </c>
      <c r="D38" s="4">
        <v>1403.4293029999999</v>
      </c>
      <c r="E38" s="4">
        <v>2416.8559310000001</v>
      </c>
      <c r="F38">
        <v>709.50643200000002</v>
      </c>
    </row>
    <row r="39" spans="1:6" x14ac:dyDescent="0.3">
      <c r="A39" s="3">
        <v>44957</v>
      </c>
      <c r="B39" s="4">
        <v>12532.085435000001</v>
      </c>
      <c r="C39" s="4">
        <v>9949.604002</v>
      </c>
      <c r="D39" s="4">
        <v>1444.315908</v>
      </c>
      <c r="E39" s="4">
        <v>2584.2301889999999</v>
      </c>
      <c r="F39">
        <v>735.21706800000004</v>
      </c>
    </row>
    <row r="40" spans="1:6" x14ac:dyDescent="0.3">
      <c r="A40" s="3">
        <v>44925</v>
      </c>
      <c r="B40" s="4">
        <v>11700.992418</v>
      </c>
      <c r="C40" s="4">
        <v>9194.272363</v>
      </c>
      <c r="D40" s="4">
        <v>1347.3998690000001</v>
      </c>
      <c r="E40" s="4">
        <v>2394.8979869999998</v>
      </c>
      <c r="F40">
        <v>679.95518900000002</v>
      </c>
    </row>
    <row r="41" spans="1:6" x14ac:dyDescent="0.3">
      <c r="A41" s="3">
        <v>44895</v>
      </c>
      <c r="B41" s="4">
        <v>12215.105868000001</v>
      </c>
      <c r="C41" s="4">
        <v>9235.9132219999992</v>
      </c>
      <c r="D41" s="4">
        <v>1402.0131919999999</v>
      </c>
      <c r="E41" s="4">
        <v>2427.7074459999999</v>
      </c>
      <c r="F41">
        <v>684.80355099999997</v>
      </c>
    </row>
    <row r="42" spans="1:6" x14ac:dyDescent="0.3">
      <c r="A42" s="3">
        <v>44865</v>
      </c>
      <c r="B42" s="4">
        <v>11415.734483</v>
      </c>
      <c r="C42" s="4">
        <v>8345.2636540000003</v>
      </c>
      <c r="D42" s="4">
        <v>1300.5419899999999</v>
      </c>
      <c r="E42" s="4">
        <v>2113.8588279999999</v>
      </c>
      <c r="F42">
        <v>612.39050899999995</v>
      </c>
    </row>
    <row r="43" spans="1:6" x14ac:dyDescent="0.3">
      <c r="A43" s="3">
        <v>44834</v>
      </c>
      <c r="B43" s="4">
        <v>10648.162536</v>
      </c>
      <c r="C43" s="4">
        <v>7908.0898379999999</v>
      </c>
      <c r="D43" s="4">
        <v>1226.229237</v>
      </c>
      <c r="E43" s="4">
        <v>2181.2972220000001</v>
      </c>
      <c r="F43">
        <v>594.53448400000002</v>
      </c>
    </row>
    <row r="44" spans="1:6" x14ac:dyDescent="0.3">
      <c r="A44" s="3">
        <v>44804</v>
      </c>
      <c r="B44" s="4">
        <v>11734.160889000001</v>
      </c>
      <c r="C44" s="4">
        <v>8710.0339710000007</v>
      </c>
      <c r="D44" s="4">
        <v>1355.4129660000001</v>
      </c>
      <c r="E44" s="4">
        <v>2469.5843799999998</v>
      </c>
      <c r="F44">
        <v>660.17749700000002</v>
      </c>
    </row>
    <row r="45" spans="1:6" x14ac:dyDescent="0.3">
      <c r="A45" s="3">
        <v>44771</v>
      </c>
      <c r="B45" s="4">
        <v>12241.139674</v>
      </c>
      <c r="C45" s="4">
        <v>9135.1282059999994</v>
      </c>
      <c r="D45" s="4">
        <v>1406.6502780000001</v>
      </c>
      <c r="E45" s="4">
        <v>2458.39894</v>
      </c>
      <c r="F45">
        <v>681.95033999999998</v>
      </c>
    </row>
    <row r="46" spans="1:6" x14ac:dyDescent="0.3">
      <c r="A46" s="3">
        <v>44742</v>
      </c>
      <c r="B46" s="4">
        <v>11337.723549</v>
      </c>
      <c r="C46" s="4">
        <v>8701.0406199999998</v>
      </c>
      <c r="D46" s="4">
        <v>1314.3976540000001</v>
      </c>
      <c r="E46" s="4">
        <v>2462.3854000000001</v>
      </c>
      <c r="F46">
        <v>659.13908300000003</v>
      </c>
    </row>
    <row r="47" spans="1:6" x14ac:dyDescent="0.3">
      <c r="A47" s="3">
        <v>44712</v>
      </c>
      <c r="B47" s="4">
        <v>12408.089771000001</v>
      </c>
      <c r="C47" s="4">
        <v>9601.8669680000003</v>
      </c>
      <c r="D47" s="4">
        <v>1434.750855</v>
      </c>
      <c r="E47" s="4">
        <v>2635.3333990000001</v>
      </c>
      <c r="F47">
        <v>720.83743600000003</v>
      </c>
    </row>
    <row r="48" spans="1:6" x14ac:dyDescent="0.3">
      <c r="A48" s="3">
        <v>44680</v>
      </c>
      <c r="B48" s="4">
        <v>12389.188861000001</v>
      </c>
      <c r="C48" s="4">
        <v>9510.2993860000006</v>
      </c>
      <c r="D48" s="4">
        <v>1432.0572560000001</v>
      </c>
      <c r="E48" s="4">
        <v>2623.1274400000002</v>
      </c>
      <c r="F48">
        <v>714.97771299999999</v>
      </c>
    </row>
    <row r="49" spans="1:6" x14ac:dyDescent="0.3">
      <c r="A49" s="3">
        <v>44651</v>
      </c>
      <c r="B49" s="4">
        <v>13505.741311</v>
      </c>
      <c r="C49" s="4">
        <v>10169.893855</v>
      </c>
      <c r="D49" s="4">
        <v>1556.0220039999999</v>
      </c>
      <c r="E49" s="4">
        <v>2777.1922249999998</v>
      </c>
      <c r="F49">
        <v>762.37336100000005</v>
      </c>
    </row>
    <row r="50" spans="1:6" x14ac:dyDescent="0.3">
      <c r="A50" s="3">
        <v>44620</v>
      </c>
      <c r="B50" s="4">
        <v>13137.03442</v>
      </c>
      <c r="C50" s="4">
        <v>10042.166185</v>
      </c>
      <c r="D50" s="4">
        <v>1522.1551239999999</v>
      </c>
      <c r="E50" s="4">
        <v>2840.3592789999998</v>
      </c>
      <c r="F50">
        <v>760.48567200000002</v>
      </c>
    </row>
    <row r="51" spans="1:6" x14ac:dyDescent="0.3">
      <c r="A51" s="3">
        <v>44592</v>
      </c>
      <c r="B51" s="4">
        <v>13473.4354</v>
      </c>
      <c r="C51" s="4">
        <v>10199.549231999999</v>
      </c>
      <c r="D51" s="4">
        <v>1562.0302280000001</v>
      </c>
      <c r="E51" s="4">
        <v>2927.5108810000002</v>
      </c>
      <c r="F51">
        <v>775.74257</v>
      </c>
    </row>
    <row r="52" spans="1:6" x14ac:dyDescent="0.3">
      <c r="A52" s="3">
        <v>44561</v>
      </c>
      <c r="B52" s="4">
        <v>14223.136794</v>
      </c>
      <c r="C52" s="4">
        <v>10669.128965</v>
      </c>
      <c r="D52" s="4">
        <v>1642.3845530000001</v>
      </c>
      <c r="E52" s="4">
        <v>2983.7658590000001</v>
      </c>
      <c r="F52">
        <v>805.33103500000004</v>
      </c>
    </row>
    <row r="53" spans="1:6" x14ac:dyDescent="0.3">
      <c r="A53" s="3">
        <v>44530</v>
      </c>
      <c r="B53" s="4">
        <v>13636.233448999999</v>
      </c>
      <c r="C53" s="4">
        <v>10151.676661</v>
      </c>
      <c r="D53" s="4">
        <v>1578.7287100000001</v>
      </c>
      <c r="E53" s="4">
        <v>2927.4174379999999</v>
      </c>
      <c r="F53">
        <v>773.17260699999997</v>
      </c>
    </row>
    <row r="54" spans="1:6" x14ac:dyDescent="0.3">
      <c r="A54" s="3">
        <v>44498</v>
      </c>
      <c r="B54" s="4">
        <v>13936.992021</v>
      </c>
      <c r="C54" s="4">
        <v>10648.115621999999</v>
      </c>
      <c r="D54" s="4">
        <v>1617.179623</v>
      </c>
      <c r="E54" s="4">
        <v>3051.5261329999998</v>
      </c>
      <c r="F54">
        <v>809.50551199999995</v>
      </c>
    </row>
    <row r="55" spans="1:6" x14ac:dyDescent="0.3">
      <c r="A55" s="3">
        <v>44469</v>
      </c>
      <c r="B55" s="4">
        <v>13186.526695</v>
      </c>
      <c r="C55" s="4">
        <v>10337.593878</v>
      </c>
      <c r="D55" s="4">
        <v>1538.2672930000001</v>
      </c>
      <c r="E55" s="4">
        <v>3021.2830429999999</v>
      </c>
      <c r="F55">
        <v>790.447945</v>
      </c>
    </row>
    <row r="56" spans="1:6" x14ac:dyDescent="0.3">
      <c r="A56" s="3">
        <v>44439</v>
      </c>
      <c r="B56" s="4">
        <v>13751.460508</v>
      </c>
      <c r="C56" s="4">
        <v>10635.435002</v>
      </c>
      <c r="D56" s="4">
        <v>1603.834282</v>
      </c>
      <c r="E56" s="4">
        <v>3145.1689860000001</v>
      </c>
      <c r="F56">
        <v>816.07675400000005</v>
      </c>
    </row>
    <row r="57" spans="1:6" x14ac:dyDescent="0.3">
      <c r="A57" s="3">
        <v>44407</v>
      </c>
      <c r="B57" s="4">
        <v>13413.449833000001</v>
      </c>
      <c r="C57" s="4">
        <v>10466.110788</v>
      </c>
      <c r="D57" s="4">
        <v>1564.196162</v>
      </c>
      <c r="E57" s="4">
        <v>3064.0041179999998</v>
      </c>
      <c r="F57">
        <v>800.71006599999998</v>
      </c>
    </row>
    <row r="58" spans="1:6" x14ac:dyDescent="0.3">
      <c r="A58" s="3">
        <v>44377</v>
      </c>
      <c r="B58" s="4">
        <v>13174.25099</v>
      </c>
      <c r="C58" s="4">
        <v>10395.547350000001</v>
      </c>
      <c r="D58" s="4">
        <v>1553.044934</v>
      </c>
      <c r="E58" s="4">
        <v>3283.022669</v>
      </c>
      <c r="F58">
        <v>813.89003100000002</v>
      </c>
    </row>
    <row r="59" spans="1:6" x14ac:dyDescent="0.3">
      <c r="A59" s="3">
        <v>44344</v>
      </c>
      <c r="B59" s="4">
        <v>12992.178030999999</v>
      </c>
      <c r="C59" s="4">
        <v>10536.753819</v>
      </c>
      <c r="D59" s="4">
        <v>1531.634491</v>
      </c>
      <c r="E59" s="4">
        <v>3238.5432860000001</v>
      </c>
      <c r="F59">
        <v>818.029629</v>
      </c>
    </row>
    <row r="60" spans="1:6" x14ac:dyDescent="0.3">
      <c r="A60" s="3">
        <v>44316</v>
      </c>
      <c r="B60" s="4">
        <v>12784.973298999999</v>
      </c>
      <c r="C60" s="4">
        <v>10137.524475</v>
      </c>
      <c r="D60" s="4">
        <v>1508.067951</v>
      </c>
      <c r="E60" s="4">
        <v>3201.2895020000001</v>
      </c>
      <c r="F60">
        <v>793.55687999999998</v>
      </c>
    </row>
    <row r="61" spans="1:6" x14ac:dyDescent="0.3">
      <c r="A61" s="3">
        <v>44286</v>
      </c>
      <c r="B61" s="4">
        <v>12211.116271999999</v>
      </c>
      <c r="C61" s="4">
        <v>9820.6019400000005</v>
      </c>
      <c r="D61" s="4">
        <v>1444.322426</v>
      </c>
      <c r="E61" s="4">
        <v>3123.1099610000001</v>
      </c>
      <c r="F61">
        <v>770.41238699999997</v>
      </c>
    </row>
    <row r="62" spans="1:6" x14ac:dyDescent="0.3">
      <c r="A62" s="3">
        <v>44253</v>
      </c>
      <c r="B62" s="4">
        <v>11811.310416</v>
      </c>
      <c r="C62" s="4">
        <v>9567.5579679999992</v>
      </c>
      <c r="D62" s="4">
        <v>1406.021371</v>
      </c>
      <c r="E62" s="4">
        <v>3170.2075110000001</v>
      </c>
      <c r="F62">
        <v>760.25064199999997</v>
      </c>
    </row>
    <row r="63" spans="1:6" x14ac:dyDescent="0.3">
      <c r="A63" s="3">
        <v>44225</v>
      </c>
      <c r="B63" s="4">
        <v>11512.425105</v>
      </c>
      <c r="C63" s="4">
        <v>9328.2616139999991</v>
      </c>
      <c r="D63" s="4">
        <v>1373.7902309999999</v>
      </c>
      <c r="E63" s="4">
        <v>3145.9730439999998</v>
      </c>
      <c r="F63">
        <v>745.39483499999994</v>
      </c>
    </row>
    <row r="64" spans="1:6" x14ac:dyDescent="0.3">
      <c r="A64" s="3">
        <v>44196</v>
      </c>
      <c r="B64" s="4">
        <v>11625.198748999999</v>
      </c>
      <c r="C64" s="4">
        <v>9427.5118519999996</v>
      </c>
      <c r="D64" s="4">
        <v>1379.7324490000001</v>
      </c>
      <c r="E64" s="4">
        <v>3051.6171439999998</v>
      </c>
      <c r="F64">
        <v>743.64988500000004</v>
      </c>
    </row>
    <row r="65" spans="1:6" x14ac:dyDescent="0.3">
      <c r="A65" s="3">
        <v>44165</v>
      </c>
      <c r="B65" s="4">
        <v>11148.599773</v>
      </c>
      <c r="C65" s="4">
        <v>9015.5137379999996</v>
      </c>
      <c r="D65" s="4">
        <v>1318.050532</v>
      </c>
      <c r="E65" s="4">
        <v>2841.3911579999999</v>
      </c>
      <c r="F65">
        <v>705.32003399999996</v>
      </c>
    </row>
    <row r="66" spans="1:6" x14ac:dyDescent="0.3">
      <c r="A66" s="3">
        <v>44134</v>
      </c>
      <c r="B66" s="4">
        <v>9881.0756669999992</v>
      </c>
      <c r="C66" s="4">
        <v>7815.1426879999999</v>
      </c>
      <c r="D66" s="4">
        <v>1173.0262210000001</v>
      </c>
      <c r="E66" s="4">
        <v>2600.7004189999998</v>
      </c>
      <c r="F66">
        <v>621.621219</v>
      </c>
    </row>
    <row r="67" spans="1:6" x14ac:dyDescent="0.3">
      <c r="A67" s="3">
        <v>44104</v>
      </c>
      <c r="B67" s="4">
        <v>10191.078740000001</v>
      </c>
      <c r="C67" s="4">
        <v>8133.561627</v>
      </c>
      <c r="D67" s="4">
        <v>1201.950947</v>
      </c>
      <c r="E67" s="4">
        <v>2547.8147260000001</v>
      </c>
      <c r="F67">
        <v>635.17532600000004</v>
      </c>
    </row>
    <row r="68" spans="1:6" x14ac:dyDescent="0.3">
      <c r="A68" s="3">
        <v>44074</v>
      </c>
      <c r="B68" s="4">
        <v>10550.971824</v>
      </c>
      <c r="C68" s="4">
        <v>8365.1824460000007</v>
      </c>
      <c r="D68" s="4">
        <v>1241.5219569999999</v>
      </c>
      <c r="E68" s="4">
        <v>2588.7333910000002</v>
      </c>
      <c r="F68">
        <v>650.91591000000005</v>
      </c>
    </row>
    <row r="69" spans="1:6" x14ac:dyDescent="0.3">
      <c r="A69" s="3">
        <v>44043</v>
      </c>
      <c r="B69" s="4">
        <v>9886.4934319999993</v>
      </c>
      <c r="C69" s="4">
        <v>7953.456244</v>
      </c>
      <c r="D69" s="4">
        <v>1169.5010789999999</v>
      </c>
      <c r="E69" s="4">
        <v>2532.1348979999998</v>
      </c>
      <c r="F69">
        <v>624.08154100000002</v>
      </c>
    </row>
    <row r="70" spans="1:6" x14ac:dyDescent="0.3">
      <c r="A70" s="3">
        <v>44012</v>
      </c>
      <c r="B70" s="4">
        <v>9432.1071449999999</v>
      </c>
      <c r="C70" s="4">
        <v>7745.1585889999997</v>
      </c>
      <c r="D70" s="4">
        <v>1110.3340049999999</v>
      </c>
      <c r="E70" s="4">
        <v>2322.5130629999999</v>
      </c>
      <c r="F70">
        <v>597.19205299999999</v>
      </c>
    </row>
    <row r="71" spans="1:6" x14ac:dyDescent="0.3">
      <c r="A71" s="3">
        <v>43980</v>
      </c>
      <c r="B71" s="4">
        <v>9185.2491740000005</v>
      </c>
      <c r="C71" s="4">
        <v>7485.7511279999999</v>
      </c>
      <c r="D71" s="4">
        <v>1075.500939</v>
      </c>
      <c r="E71" s="4">
        <v>2162.4358200000001</v>
      </c>
      <c r="F71">
        <v>571.12961399999995</v>
      </c>
    </row>
    <row r="72" spans="1:6" x14ac:dyDescent="0.3">
      <c r="A72" s="3">
        <v>43951</v>
      </c>
      <c r="B72" s="4">
        <v>8756.4648710000001</v>
      </c>
      <c r="C72" s="4">
        <v>7176.0538459999998</v>
      </c>
      <c r="D72" s="4">
        <v>1030.078391</v>
      </c>
      <c r="E72" s="4">
        <v>2145.501397</v>
      </c>
      <c r="F72">
        <v>552.76048300000002</v>
      </c>
    </row>
    <row r="73" spans="1:6" x14ac:dyDescent="0.3">
      <c r="A73" s="3">
        <v>43921</v>
      </c>
      <c r="B73" s="4">
        <v>7890.18073</v>
      </c>
      <c r="C73" s="4">
        <v>6703.0524930000001</v>
      </c>
      <c r="D73" s="4">
        <v>929.98340199999996</v>
      </c>
      <c r="E73" s="4">
        <v>1965.162454</v>
      </c>
      <c r="F73">
        <v>513.51037899999994</v>
      </c>
    </row>
    <row r="74" spans="1:6" x14ac:dyDescent="0.3">
      <c r="A74" s="3">
        <v>43889</v>
      </c>
      <c r="B74" s="4">
        <v>9086.7881570000009</v>
      </c>
      <c r="C74" s="4">
        <v>7796.3551820000002</v>
      </c>
      <c r="D74" s="4">
        <v>1074.3770320000001</v>
      </c>
      <c r="E74" s="4">
        <v>2322.259145</v>
      </c>
      <c r="F74">
        <v>599.90045399999997</v>
      </c>
    </row>
    <row r="75" spans="1:6" x14ac:dyDescent="0.3">
      <c r="A75" s="3">
        <v>43861</v>
      </c>
      <c r="B75" s="4">
        <v>9921.1087769999995</v>
      </c>
      <c r="C75" s="4">
        <v>8554.3175759999995</v>
      </c>
      <c r="D75" s="4">
        <v>1168.287333</v>
      </c>
      <c r="E75" s="4">
        <v>2451.3893320000002</v>
      </c>
      <c r="F75">
        <v>651.29147</v>
      </c>
    </row>
    <row r="76" spans="1:6" x14ac:dyDescent="0.3">
      <c r="A76" s="3">
        <v>43830</v>
      </c>
      <c r="B76" s="4">
        <v>9979.0336599999991</v>
      </c>
      <c r="C76" s="4">
        <v>8721.8544999999995</v>
      </c>
      <c r="D76" s="4">
        <v>1181.036004</v>
      </c>
      <c r="E76" s="4">
        <v>2571.1417849999998</v>
      </c>
      <c r="F76">
        <v>669.19138799999996</v>
      </c>
    </row>
    <row r="77" spans="1:6" x14ac:dyDescent="0.3">
      <c r="A77" s="3">
        <v>43798</v>
      </c>
      <c r="B77" s="4">
        <v>9685.1753879999997</v>
      </c>
      <c r="C77" s="4">
        <v>8450.4856600000003</v>
      </c>
      <c r="D77" s="4">
        <v>1140.402276</v>
      </c>
      <c r="E77" s="4">
        <v>2391.1727540000002</v>
      </c>
      <c r="F77">
        <v>641.20631800000001</v>
      </c>
    </row>
    <row r="78" spans="1:6" x14ac:dyDescent="0.3">
      <c r="A78" s="3">
        <v>43769</v>
      </c>
      <c r="B78" s="4">
        <v>9418.3813190000001</v>
      </c>
      <c r="C78" s="4">
        <v>8344.7615700000006</v>
      </c>
      <c r="D78" s="4">
        <v>1112.7622650000001</v>
      </c>
      <c r="E78" s="4">
        <v>2394.3100340000001</v>
      </c>
      <c r="F78">
        <v>635.50759000000005</v>
      </c>
    </row>
    <row r="79" spans="1:6" x14ac:dyDescent="0.3">
      <c r="A79" s="3">
        <v>43738</v>
      </c>
      <c r="B79" s="4">
        <v>9182.1676399999997</v>
      </c>
      <c r="C79" s="4">
        <v>8082.2538720000002</v>
      </c>
      <c r="D79" s="4">
        <v>1082.8466100000001</v>
      </c>
      <c r="E79" s="4">
        <v>2297.1989720000001</v>
      </c>
      <c r="F79">
        <v>614.00081999999998</v>
      </c>
    </row>
    <row r="80" spans="1:6" x14ac:dyDescent="0.3">
      <c r="A80" s="3">
        <v>43707</v>
      </c>
      <c r="B80" s="4">
        <v>8986.6436630000007</v>
      </c>
      <c r="C80" s="4">
        <v>7857.5627619999996</v>
      </c>
      <c r="D80" s="4">
        <v>1060.0546569999999</v>
      </c>
      <c r="E80" s="4">
        <v>2253.4387969999998</v>
      </c>
      <c r="F80">
        <v>598.31422499999996</v>
      </c>
    </row>
    <row r="81" spans="1:6" x14ac:dyDescent="0.3">
      <c r="A81" s="3">
        <v>43677</v>
      </c>
      <c r="B81" s="4">
        <v>9169.8156899999994</v>
      </c>
      <c r="C81" s="4">
        <v>8054.1366859999998</v>
      </c>
      <c r="D81" s="4">
        <v>1085.3052640000001</v>
      </c>
      <c r="E81" s="4">
        <v>2368.2292320000001</v>
      </c>
      <c r="F81">
        <v>617.25396000000001</v>
      </c>
    </row>
    <row r="82" spans="1:6" x14ac:dyDescent="0.3">
      <c r="A82" s="3">
        <v>43644</v>
      </c>
      <c r="B82" s="4">
        <v>9122.0900939999992</v>
      </c>
      <c r="C82" s="4">
        <v>8151.2457780000004</v>
      </c>
      <c r="D82" s="4">
        <v>1081.7634</v>
      </c>
      <c r="E82" s="4">
        <v>2395.5368560000002</v>
      </c>
      <c r="F82">
        <v>624.60971800000004</v>
      </c>
    </row>
    <row r="83" spans="1:6" x14ac:dyDescent="0.3">
      <c r="A83" s="3">
        <v>43616</v>
      </c>
      <c r="B83" s="4">
        <v>8554.7722169999997</v>
      </c>
      <c r="C83" s="4">
        <v>7691.2334229999997</v>
      </c>
      <c r="D83" s="4">
        <v>1014.8378279999999</v>
      </c>
      <c r="E83" s="4">
        <v>2253.0900569999999</v>
      </c>
      <c r="F83">
        <v>588.85999900000002</v>
      </c>
    </row>
    <row r="84" spans="1:6" x14ac:dyDescent="0.3">
      <c r="A84" s="3">
        <v>43585</v>
      </c>
      <c r="B84" s="4">
        <v>9069.9512240000004</v>
      </c>
      <c r="C84" s="4">
        <v>8061.6938490000002</v>
      </c>
      <c r="D84" s="4">
        <v>1077.8790220000001</v>
      </c>
      <c r="E84" s="4">
        <v>2428.5418829999999</v>
      </c>
      <c r="F84">
        <v>621.55065200000001</v>
      </c>
    </row>
    <row r="85" spans="1:6" x14ac:dyDescent="0.3">
      <c r="A85" s="3">
        <v>43553</v>
      </c>
      <c r="B85" s="4">
        <v>8754.488883</v>
      </c>
      <c r="C85" s="4">
        <v>7832.3772150000004</v>
      </c>
      <c r="D85" s="4">
        <v>1042.1391209999999</v>
      </c>
      <c r="E85" s="4">
        <v>2378.0305629999998</v>
      </c>
      <c r="F85">
        <v>605.10958500000004</v>
      </c>
    </row>
    <row r="86" spans="1:6" x14ac:dyDescent="0.3">
      <c r="A86" s="3">
        <v>43524</v>
      </c>
      <c r="B86" s="4">
        <v>8635.2033609999999</v>
      </c>
      <c r="C86" s="4">
        <v>7784.3765620000004</v>
      </c>
      <c r="D86" s="4">
        <v>1028.5639100000001</v>
      </c>
      <c r="E86" s="4">
        <v>2357.7836240000001</v>
      </c>
      <c r="F86">
        <v>601.02176999999995</v>
      </c>
    </row>
    <row r="87" spans="1:6" x14ac:dyDescent="0.3">
      <c r="A87" s="3">
        <v>43496</v>
      </c>
      <c r="B87" s="4">
        <v>8379.0289529999991</v>
      </c>
      <c r="C87" s="4">
        <v>7588.2347630000004</v>
      </c>
      <c r="D87" s="4">
        <v>1001.3268</v>
      </c>
      <c r="E87" s="4">
        <v>2352.2797850000002</v>
      </c>
      <c r="F87">
        <v>589.42528100000004</v>
      </c>
    </row>
    <row r="88" spans="1:6" x14ac:dyDescent="0.3">
      <c r="A88" s="3">
        <v>43465</v>
      </c>
      <c r="B88" s="4">
        <v>7771.7102610000002</v>
      </c>
      <c r="C88" s="4">
        <v>7081.5110439999999</v>
      </c>
      <c r="D88" s="4">
        <v>927.78354999999999</v>
      </c>
      <c r="E88" s="4">
        <v>2162.7494929999998</v>
      </c>
      <c r="F88">
        <v>547.93348600000002</v>
      </c>
    </row>
    <row r="89" spans="1:6" x14ac:dyDescent="0.3">
      <c r="A89" s="3">
        <v>43434</v>
      </c>
      <c r="B89" s="4">
        <v>8407.8446110000004</v>
      </c>
      <c r="C89" s="4">
        <v>7465.352073</v>
      </c>
      <c r="D89" s="4">
        <v>997.64907100000005</v>
      </c>
      <c r="E89" s="4">
        <v>2220.2258409999999</v>
      </c>
      <c r="F89">
        <v>573.69644200000005</v>
      </c>
    </row>
    <row r="90" spans="1:6" x14ac:dyDescent="0.3">
      <c r="A90" s="3">
        <v>43404</v>
      </c>
      <c r="B90" s="4">
        <v>8309.1103320000002</v>
      </c>
      <c r="C90" s="4">
        <v>7470.70975</v>
      </c>
      <c r="D90" s="4">
        <v>982.80945499999996</v>
      </c>
      <c r="E90" s="4">
        <v>2132.204514</v>
      </c>
      <c r="F90">
        <v>568.22877400000004</v>
      </c>
    </row>
    <row r="91" spans="1:6" x14ac:dyDescent="0.3">
      <c r="A91" s="3">
        <v>43371</v>
      </c>
      <c r="B91" s="4">
        <v>8965.2876269999997</v>
      </c>
      <c r="C91" s="4">
        <v>8114.5423000000001</v>
      </c>
      <c r="D91" s="4">
        <v>1062.1737680000001</v>
      </c>
      <c r="E91" s="4">
        <v>2335.3792440000002</v>
      </c>
      <c r="F91">
        <v>618.46386900000005</v>
      </c>
    </row>
    <row r="92" spans="1:6" x14ac:dyDescent="0.3">
      <c r="A92" s="3">
        <v>43343</v>
      </c>
      <c r="B92" s="4">
        <v>8911.9334859999999</v>
      </c>
      <c r="C92" s="4">
        <v>8047.9704750000001</v>
      </c>
      <c r="D92" s="4">
        <v>1057.14049</v>
      </c>
      <c r="E92" s="4">
        <v>2347.0574040000001</v>
      </c>
      <c r="F92">
        <v>615.40173400000003</v>
      </c>
    </row>
    <row r="93" spans="1:6" x14ac:dyDescent="0.3">
      <c r="A93" s="3">
        <v>43312</v>
      </c>
      <c r="B93" s="4">
        <v>8798.9410680000001</v>
      </c>
      <c r="C93" s="4">
        <v>8201.7214650000005</v>
      </c>
      <c r="D93" s="4">
        <v>1048.4331850000001</v>
      </c>
      <c r="E93" s="4">
        <v>2411.5555439999998</v>
      </c>
      <c r="F93">
        <v>628.43190100000004</v>
      </c>
    </row>
    <row r="94" spans="1:6" x14ac:dyDescent="0.3">
      <c r="A94" s="3">
        <v>43280</v>
      </c>
      <c r="B94" s="4">
        <v>8530.3539839999994</v>
      </c>
      <c r="C94" s="4">
        <v>8004.1857980000004</v>
      </c>
      <c r="D94" s="4">
        <v>1017.420483</v>
      </c>
      <c r="E94" s="4">
        <v>2357.6861319999998</v>
      </c>
      <c r="F94">
        <v>613.57245399999999</v>
      </c>
    </row>
    <row r="95" spans="1:6" x14ac:dyDescent="0.3">
      <c r="A95" s="3">
        <v>43251</v>
      </c>
      <c r="B95" s="4">
        <v>8531.3268690000004</v>
      </c>
      <c r="C95" s="4">
        <v>8090.161282</v>
      </c>
      <c r="D95" s="4">
        <v>1022.55021</v>
      </c>
      <c r="E95" s="4">
        <v>2458.1839129999998</v>
      </c>
      <c r="F95">
        <v>625.05383500000005</v>
      </c>
    </row>
    <row r="96" spans="1:6" x14ac:dyDescent="0.3">
      <c r="A96" s="3">
        <v>43220</v>
      </c>
      <c r="B96" s="4">
        <v>8470.2127670000009</v>
      </c>
      <c r="C96" s="4">
        <v>8235.7862789999999</v>
      </c>
      <c r="D96" s="4">
        <v>1020.396107</v>
      </c>
      <c r="E96" s="4">
        <v>2547.855372</v>
      </c>
      <c r="F96">
        <v>639.15873399999998</v>
      </c>
    </row>
    <row r="97" spans="1:6" x14ac:dyDescent="0.3">
      <c r="A97" s="3">
        <v>43188</v>
      </c>
      <c r="B97" s="4">
        <v>8363.5441929999997</v>
      </c>
      <c r="C97" s="4">
        <v>8030.0147740000002</v>
      </c>
      <c r="D97" s="4">
        <v>1009.444865</v>
      </c>
      <c r="E97" s="4">
        <v>2555.197365</v>
      </c>
      <c r="F97">
        <v>627.64485999999999</v>
      </c>
    </row>
    <row r="98" spans="1:6" x14ac:dyDescent="0.3">
      <c r="A98" s="3">
        <v>43159</v>
      </c>
      <c r="B98" s="4">
        <v>8549.6988340000007</v>
      </c>
      <c r="C98" s="4">
        <v>8176.3529079999998</v>
      </c>
      <c r="D98" s="4">
        <v>1031.644552</v>
      </c>
      <c r="E98" s="4">
        <v>2606.4949660000002</v>
      </c>
      <c r="F98">
        <v>639.37952800000005</v>
      </c>
    </row>
    <row r="99" spans="1:6" x14ac:dyDescent="0.3">
      <c r="A99" s="3">
        <v>43131</v>
      </c>
      <c r="B99" s="4">
        <v>8915.2776909999993</v>
      </c>
      <c r="C99" s="4">
        <v>8582.5932159999993</v>
      </c>
      <c r="D99" s="4">
        <v>1076.435694</v>
      </c>
      <c r="E99" s="4">
        <v>2732.109285</v>
      </c>
      <c r="F99">
        <v>670.90429200000005</v>
      </c>
    </row>
    <row r="100" spans="1:6" x14ac:dyDescent="0.3">
      <c r="A100" s="3">
        <v>43098</v>
      </c>
      <c r="B100" s="4">
        <v>8466.3445009999996</v>
      </c>
      <c r="C100" s="4">
        <v>8199.7535110000008</v>
      </c>
      <c r="D100" s="4">
        <v>1018.749548</v>
      </c>
      <c r="E100" s="4">
        <v>2521.742733</v>
      </c>
      <c r="F100">
        <v>635.45357999999999</v>
      </c>
    </row>
    <row r="101" spans="1:6" x14ac:dyDescent="0.3">
      <c r="A101" s="3">
        <v>43069</v>
      </c>
      <c r="B101" s="4">
        <v>8350.8018479999992</v>
      </c>
      <c r="C101" s="4">
        <v>8053.0822660000003</v>
      </c>
      <c r="D101" s="4">
        <v>1002.254231</v>
      </c>
      <c r="E101" s="4">
        <v>2433.1364189999999</v>
      </c>
      <c r="F101">
        <v>621.37186299999996</v>
      </c>
    </row>
    <row r="102" spans="1:6" x14ac:dyDescent="0.3">
      <c r="A102" s="3">
        <v>43039</v>
      </c>
      <c r="B102" s="4">
        <v>8169.600974</v>
      </c>
      <c r="C102" s="4">
        <v>7971.1148249999997</v>
      </c>
      <c r="D102" s="4">
        <v>982.77961800000003</v>
      </c>
      <c r="E102" s="4">
        <v>2428.129316</v>
      </c>
      <c r="F102">
        <v>616.27894600000002</v>
      </c>
    </row>
    <row r="103" spans="1:6" x14ac:dyDescent="0.3">
      <c r="A103" s="3">
        <v>43007</v>
      </c>
      <c r="B103">
        <v>8016.0912790000002</v>
      </c>
      <c r="C103">
        <v>7862.6731630000004</v>
      </c>
      <c r="D103">
        <v>962.57015200000001</v>
      </c>
      <c r="E103">
        <v>2345.7485799999999</v>
      </c>
      <c r="F103">
        <v>604.82943599999999</v>
      </c>
    </row>
    <row r="104" spans="1:6" x14ac:dyDescent="0.3">
      <c r="A104" s="6">
        <v>42978</v>
      </c>
      <c r="B104">
        <v>7837.1076640000001</v>
      </c>
      <c r="C104">
        <v>7660.7572360000004</v>
      </c>
      <c r="D104">
        <v>943.97957799999995</v>
      </c>
      <c r="E104">
        <v>2354.57717</v>
      </c>
      <c r="F104">
        <v>593.58746299999996</v>
      </c>
    </row>
    <row r="105" spans="1:6" x14ac:dyDescent="0.3">
      <c r="A105" s="6">
        <v>42947</v>
      </c>
      <c r="B105">
        <v>7822.1469690000004</v>
      </c>
      <c r="C105">
        <v>7661.199122</v>
      </c>
      <c r="D105">
        <v>939.91854599999999</v>
      </c>
      <c r="E105">
        <v>2302.3620259999998</v>
      </c>
      <c r="F105">
        <v>590.36666500000001</v>
      </c>
    </row>
    <row r="106" spans="1:6" x14ac:dyDescent="0.3">
      <c r="A106" s="6">
        <v>42916</v>
      </c>
      <c r="B106">
        <v>7637.0153069999997</v>
      </c>
      <c r="C106">
        <v>7439.0678509999998</v>
      </c>
      <c r="D106">
        <v>914.04176900000004</v>
      </c>
      <c r="E106">
        <v>2171.194692</v>
      </c>
      <c r="F106">
        <v>569.23700899999994</v>
      </c>
    </row>
    <row r="107" spans="1:6" x14ac:dyDescent="0.3">
      <c r="A107" s="6">
        <v>42886</v>
      </c>
      <c r="B107">
        <v>7604.8611959999998</v>
      </c>
      <c r="C107">
        <v>7429.640265</v>
      </c>
      <c r="D107">
        <v>909.52899200000002</v>
      </c>
      <c r="E107">
        <v>2148.1122420000002</v>
      </c>
      <c r="F107">
        <v>567.24305100000004</v>
      </c>
    </row>
    <row r="108" spans="1:6" x14ac:dyDescent="0.3">
      <c r="A108" s="6">
        <v>42853</v>
      </c>
      <c r="B108">
        <v>7440.2596080000003</v>
      </c>
      <c r="C108">
        <v>7180.957703</v>
      </c>
      <c r="D108">
        <v>889.10870799999998</v>
      </c>
      <c r="E108">
        <v>2086.0052660000001</v>
      </c>
      <c r="F108">
        <v>548.86393599999997</v>
      </c>
    </row>
    <row r="109" spans="1:6" x14ac:dyDescent="0.3">
      <c r="A109" s="6">
        <v>42825</v>
      </c>
      <c r="B109">
        <v>7328.1350700000003</v>
      </c>
      <c r="C109">
        <v>7026.5181140000004</v>
      </c>
      <c r="D109">
        <v>875.06669199999999</v>
      </c>
      <c r="E109">
        <v>2040.9023400000001</v>
      </c>
      <c r="F109">
        <v>537.04571399999998</v>
      </c>
    </row>
    <row r="110" spans="1:6" x14ac:dyDescent="0.3">
      <c r="A110" s="6">
        <v>42794</v>
      </c>
      <c r="B110">
        <v>7245.7629120000001</v>
      </c>
      <c r="C110">
        <v>6845.0833899999998</v>
      </c>
      <c r="D110">
        <v>863.922279</v>
      </c>
      <c r="E110">
        <v>1990.164757</v>
      </c>
      <c r="F110">
        <v>523.30001800000002</v>
      </c>
    </row>
    <row r="111" spans="1:6" x14ac:dyDescent="0.3">
      <c r="A111" s="6">
        <v>42766</v>
      </c>
      <c r="B111">
        <v>7046.7961489999998</v>
      </c>
      <c r="C111">
        <v>6765.8533859999998</v>
      </c>
      <c r="D111">
        <v>839.98439299999995</v>
      </c>
      <c r="E111">
        <v>1930.9076419999999</v>
      </c>
      <c r="F111">
        <v>515.00993600000004</v>
      </c>
    </row>
    <row r="112" spans="1:6" x14ac:dyDescent="0.3">
      <c r="A112" s="6">
        <v>42734</v>
      </c>
      <c r="B112">
        <v>6879.1623630000004</v>
      </c>
      <c r="C112">
        <v>6569.6588339999998</v>
      </c>
      <c r="D112">
        <v>817.457401</v>
      </c>
      <c r="E112">
        <v>1830.637982</v>
      </c>
      <c r="F112">
        <v>497.34595000000002</v>
      </c>
    </row>
    <row r="113" spans="1:6" x14ac:dyDescent="0.3">
      <c r="A113" s="6">
        <v>42704</v>
      </c>
      <c r="B113">
        <v>6716.0165180000004</v>
      </c>
      <c r="C113">
        <v>6360.4105659999996</v>
      </c>
      <c r="D113">
        <v>799.86065299999996</v>
      </c>
      <c r="E113">
        <v>1825.3449069999999</v>
      </c>
      <c r="F113">
        <v>484.780303</v>
      </c>
    </row>
    <row r="114" spans="1:6" x14ac:dyDescent="0.3">
      <c r="A114" s="6">
        <v>42674</v>
      </c>
      <c r="B114">
        <v>6617.2583949999998</v>
      </c>
      <c r="C114">
        <v>6463.0172199999997</v>
      </c>
      <c r="D114">
        <v>793.441867</v>
      </c>
      <c r="E114">
        <v>1913.2993919999999</v>
      </c>
      <c r="F114">
        <v>496.19278800000001</v>
      </c>
    </row>
    <row r="115" spans="1:6" x14ac:dyDescent="0.3">
      <c r="A115" s="6">
        <v>42643</v>
      </c>
      <c r="B115">
        <v>6746.0766409999997</v>
      </c>
      <c r="C115">
        <v>6590.3691660000004</v>
      </c>
      <c r="D115">
        <v>806.94503299999997</v>
      </c>
      <c r="E115">
        <v>1908.580635</v>
      </c>
      <c r="F115">
        <v>503.37658099999999</v>
      </c>
    </row>
    <row r="116" spans="1:6" x14ac:dyDescent="0.3">
      <c r="A116" s="6">
        <v>42613</v>
      </c>
      <c r="B116">
        <v>6707.4203090000001</v>
      </c>
      <c r="C116">
        <v>6508.0011510000004</v>
      </c>
      <c r="D116">
        <v>801.68369900000005</v>
      </c>
      <c r="E116">
        <v>1883.7975409999999</v>
      </c>
      <c r="F116">
        <v>497.02921400000002</v>
      </c>
    </row>
    <row r="117" spans="1:6" x14ac:dyDescent="0.3">
      <c r="A117" s="6">
        <v>42580</v>
      </c>
      <c r="B117">
        <v>6698.4659369999999</v>
      </c>
      <c r="C117">
        <v>6501.0018460000001</v>
      </c>
      <c r="D117">
        <v>798.60893999999996</v>
      </c>
      <c r="E117">
        <v>1837.521471</v>
      </c>
      <c r="F117">
        <v>493.81093199999998</v>
      </c>
    </row>
    <row r="118" spans="1:6" x14ac:dyDescent="0.3">
      <c r="A118" s="6">
        <v>42551</v>
      </c>
      <c r="B118">
        <v>6425.2798629999998</v>
      </c>
      <c r="C118">
        <v>6195.441581</v>
      </c>
      <c r="D118">
        <v>765.39260000000002</v>
      </c>
      <c r="E118">
        <v>1748.523839</v>
      </c>
      <c r="F118">
        <v>470.437881</v>
      </c>
    </row>
    <row r="119" spans="1:6" x14ac:dyDescent="0.3">
      <c r="A119" s="6">
        <v>42521</v>
      </c>
      <c r="B119">
        <v>6494.9427459999997</v>
      </c>
      <c r="C119">
        <v>6386.6675960000002</v>
      </c>
      <c r="D119">
        <v>769.64668200000006</v>
      </c>
      <c r="E119">
        <v>1679.737801</v>
      </c>
      <c r="F119">
        <v>477.47282799999999</v>
      </c>
    </row>
    <row r="120" spans="1:6" x14ac:dyDescent="0.3">
      <c r="A120" s="6">
        <v>42489</v>
      </c>
      <c r="B120">
        <v>6452.7765669999999</v>
      </c>
      <c r="C120">
        <v>6452.0121680000002</v>
      </c>
      <c r="D120">
        <v>768.028054</v>
      </c>
      <c r="E120">
        <v>1744.4657480000001</v>
      </c>
      <c r="F120">
        <v>485.19542200000001</v>
      </c>
    </row>
    <row r="121" spans="1:6" x14ac:dyDescent="0.3">
      <c r="A121" s="6">
        <v>42460</v>
      </c>
      <c r="B121">
        <v>6348.2945140000002</v>
      </c>
      <c r="C121">
        <v>6244.5295079999996</v>
      </c>
      <c r="D121">
        <v>756.41591400000004</v>
      </c>
      <c r="E121">
        <v>1734.6919889999999</v>
      </c>
      <c r="F121">
        <v>472.34768500000001</v>
      </c>
    </row>
    <row r="122" spans="1:6" x14ac:dyDescent="0.3">
      <c r="A122" s="6">
        <v>42429</v>
      </c>
      <c r="B122">
        <v>5940.8003310000004</v>
      </c>
      <c r="C122">
        <v>5842.7836889999999</v>
      </c>
      <c r="D122">
        <v>703.77540899999997</v>
      </c>
      <c r="E122">
        <v>1531.633918</v>
      </c>
      <c r="F122">
        <v>436.52995399999998</v>
      </c>
    </row>
    <row r="123" spans="1:6" x14ac:dyDescent="0.3">
      <c r="A123" s="6">
        <v>42398</v>
      </c>
      <c r="B123">
        <v>5981.6742700000004</v>
      </c>
      <c r="C123">
        <v>5923.4299719999999</v>
      </c>
      <c r="D123">
        <v>708.25295300000005</v>
      </c>
      <c r="E123">
        <v>1533.9752430000001</v>
      </c>
      <c r="F123">
        <v>441.44179800000001</v>
      </c>
    </row>
    <row r="124" spans="1:6" x14ac:dyDescent="0.3">
      <c r="A124" s="6">
        <v>42369</v>
      </c>
      <c r="B124">
        <v>6360.5749539999997</v>
      </c>
      <c r="C124">
        <v>6360.371545</v>
      </c>
      <c r="D124">
        <v>753.52118499999995</v>
      </c>
      <c r="E124">
        <v>1640.2962</v>
      </c>
      <c r="F124">
        <v>473.599422</v>
      </c>
    </row>
    <row r="125" spans="1:6" x14ac:dyDescent="0.3">
      <c r="A125" s="6">
        <v>42338</v>
      </c>
      <c r="B125">
        <v>6471.7171799999996</v>
      </c>
      <c r="C125">
        <v>6475.0213130000002</v>
      </c>
      <c r="D125">
        <v>767.03139499999997</v>
      </c>
      <c r="E125">
        <v>1676.7234490000001</v>
      </c>
      <c r="F125">
        <v>482.54422899999997</v>
      </c>
    </row>
    <row r="126" spans="1:6" x14ac:dyDescent="0.3">
      <c r="A126" s="6">
        <v>42307</v>
      </c>
      <c r="B126">
        <v>6500.9097590000001</v>
      </c>
      <c r="C126">
        <v>6578.7481829999997</v>
      </c>
      <c r="D126">
        <v>773.07081700000003</v>
      </c>
      <c r="E126">
        <v>1744.660185</v>
      </c>
      <c r="F126">
        <v>492.649675</v>
      </c>
    </row>
    <row r="127" spans="1:6" x14ac:dyDescent="0.3">
      <c r="A127" s="6">
        <v>42277</v>
      </c>
      <c r="B127">
        <v>6021.9543020000001</v>
      </c>
      <c r="C127">
        <v>6117.7159339999998</v>
      </c>
      <c r="D127">
        <v>716.63550299999997</v>
      </c>
      <c r="E127">
        <v>1628.3904809999999</v>
      </c>
      <c r="F127">
        <v>458.46850899999998</v>
      </c>
    </row>
    <row r="128" spans="1:6" x14ac:dyDescent="0.3">
      <c r="A128" s="6">
        <v>42247</v>
      </c>
      <c r="B128">
        <v>6249.64635</v>
      </c>
      <c r="C128">
        <v>6440.3590039999999</v>
      </c>
      <c r="D128">
        <v>743.233158</v>
      </c>
      <c r="E128">
        <v>1678.2796940000001</v>
      </c>
      <c r="F128">
        <v>480.567611</v>
      </c>
    </row>
    <row r="129" spans="1:6" x14ac:dyDescent="0.3">
      <c r="A129" s="6">
        <v>42216</v>
      </c>
      <c r="B129">
        <v>6689.5756369999999</v>
      </c>
      <c r="C129">
        <v>6945.3791659999997</v>
      </c>
      <c r="D129">
        <v>797.58490099999995</v>
      </c>
      <c r="E129">
        <v>1844.4640280000001</v>
      </c>
      <c r="F129">
        <v>520.24154199999998</v>
      </c>
    </row>
    <row r="130" spans="1:6" x14ac:dyDescent="0.3">
      <c r="A130" s="6">
        <v>42185</v>
      </c>
      <c r="B130">
        <v>6569.4663499999997</v>
      </c>
      <c r="C130">
        <v>6836.3021859999999</v>
      </c>
      <c r="D130">
        <v>790.43266400000005</v>
      </c>
      <c r="E130">
        <v>1980.535343</v>
      </c>
      <c r="F130">
        <v>521.57815500000004</v>
      </c>
    </row>
    <row r="131" spans="1:6" x14ac:dyDescent="0.3">
      <c r="A131" s="6">
        <v>42153</v>
      </c>
      <c r="B131">
        <v>6723.0599419999999</v>
      </c>
      <c r="C131">
        <v>7034.0408269999998</v>
      </c>
      <c r="D131">
        <v>809.12276899999995</v>
      </c>
      <c r="E131">
        <v>2031.754678</v>
      </c>
      <c r="F131">
        <v>536.31873499999995</v>
      </c>
    </row>
    <row r="132" spans="1:6" x14ac:dyDescent="0.3">
      <c r="A132" s="6">
        <v>42124</v>
      </c>
      <c r="B132">
        <v>6694.313819</v>
      </c>
      <c r="C132">
        <v>7087.92328</v>
      </c>
      <c r="D132">
        <v>809.55041100000005</v>
      </c>
      <c r="E132">
        <v>2116.085529</v>
      </c>
      <c r="F132">
        <v>544.33984699999996</v>
      </c>
    </row>
    <row r="133" spans="1:6" x14ac:dyDescent="0.3">
      <c r="A133" s="6">
        <v>42094</v>
      </c>
      <c r="B133">
        <v>6537.6185260000002</v>
      </c>
      <c r="C133">
        <v>6788.5961370000005</v>
      </c>
      <c r="D133">
        <v>786.34846300000004</v>
      </c>
      <c r="E133">
        <v>1964.4942249999999</v>
      </c>
      <c r="F133">
        <v>517.82665399999996</v>
      </c>
    </row>
    <row r="134" spans="1:6" x14ac:dyDescent="0.3">
      <c r="A134" s="6">
        <v>42062</v>
      </c>
      <c r="B134">
        <v>6637.2221879999997</v>
      </c>
      <c r="C134">
        <v>6897.7029009999997</v>
      </c>
      <c r="D134">
        <v>798.23983399999997</v>
      </c>
      <c r="E134">
        <v>1992.427821</v>
      </c>
      <c r="F134">
        <v>525.93803300000002</v>
      </c>
    </row>
    <row r="135" spans="1:6" x14ac:dyDescent="0.3">
      <c r="A135" s="6">
        <v>42034</v>
      </c>
      <c r="B135">
        <v>6266.9337089999999</v>
      </c>
      <c r="C135">
        <v>6508.0116609999995</v>
      </c>
      <c r="D135">
        <v>755.81668400000001</v>
      </c>
      <c r="E135">
        <v>1932.3631800000001</v>
      </c>
      <c r="F135">
        <v>499.18469399999998</v>
      </c>
    </row>
    <row r="136" spans="1:6" x14ac:dyDescent="0.3">
      <c r="A136" s="6">
        <v>42004</v>
      </c>
      <c r="B136">
        <v>6381.0544890000001</v>
      </c>
      <c r="C136">
        <v>6530.2313190000004</v>
      </c>
      <c r="D136">
        <v>767.64704900000004</v>
      </c>
      <c r="E136">
        <v>1920.6931959999999</v>
      </c>
      <c r="F136">
        <v>499.85916400000002</v>
      </c>
    </row>
    <row r="137" spans="1:6" x14ac:dyDescent="0.3">
      <c r="A137" s="6">
        <v>41971</v>
      </c>
      <c r="B137">
        <v>6482.9004530000002</v>
      </c>
      <c r="C137">
        <v>6752.6844730000003</v>
      </c>
      <c r="D137">
        <v>782.41879800000004</v>
      </c>
      <c r="E137">
        <v>2012.4924980000001</v>
      </c>
      <c r="F137">
        <v>518.37279599999999</v>
      </c>
    </row>
    <row r="138" spans="1:6" x14ac:dyDescent="0.3">
      <c r="A138" s="6">
        <v>41943</v>
      </c>
      <c r="B138">
        <v>6352.5983370000004</v>
      </c>
      <c r="C138">
        <v>6669.7052480000002</v>
      </c>
      <c r="D138">
        <v>769.222984</v>
      </c>
      <c r="E138">
        <v>2033.883094</v>
      </c>
      <c r="F138">
        <v>514.58497299999999</v>
      </c>
    </row>
    <row r="139" spans="1:6" x14ac:dyDescent="0.3">
      <c r="A139" s="6">
        <v>41912</v>
      </c>
      <c r="B139">
        <v>6310.2681560000001</v>
      </c>
      <c r="C139">
        <v>6776.8149999999996</v>
      </c>
      <c r="D139">
        <v>763.672282</v>
      </c>
      <c r="E139">
        <v>2009.950709</v>
      </c>
      <c r="F139">
        <v>519.67679899999996</v>
      </c>
    </row>
    <row r="140" spans="1:6" x14ac:dyDescent="0.3">
      <c r="A140" s="6">
        <v>41880</v>
      </c>
      <c r="B140">
        <v>6483.570232</v>
      </c>
      <c r="C140">
        <v>7064.3982589999996</v>
      </c>
      <c r="D140">
        <v>788.95176500000002</v>
      </c>
      <c r="E140">
        <v>2170.3748529999998</v>
      </c>
      <c r="F140">
        <v>545.939887</v>
      </c>
    </row>
    <row r="141" spans="1:6" x14ac:dyDescent="0.3">
      <c r="A141" s="6">
        <v>41851</v>
      </c>
      <c r="B141">
        <v>6341.2344149999999</v>
      </c>
      <c r="C141">
        <v>7057.9543940000003</v>
      </c>
      <c r="D141">
        <v>771.59057399999995</v>
      </c>
      <c r="E141">
        <v>2121.7132959999999</v>
      </c>
      <c r="F141">
        <v>542.83483899999999</v>
      </c>
    </row>
    <row r="142" spans="1:6" x14ac:dyDescent="0.3">
      <c r="A142" s="6">
        <v>41820</v>
      </c>
      <c r="B142">
        <v>6442.5006739999999</v>
      </c>
      <c r="C142">
        <v>7185.3111710000003</v>
      </c>
      <c r="D142">
        <v>780.82467999999994</v>
      </c>
      <c r="E142">
        <v>2079.7903350000001</v>
      </c>
      <c r="F142">
        <v>548.142652</v>
      </c>
    </row>
    <row r="143" spans="1:6" x14ac:dyDescent="0.3">
      <c r="A143" s="6">
        <v>41789</v>
      </c>
      <c r="B143">
        <v>6326.6009869999998</v>
      </c>
      <c r="C143">
        <v>7082.0988530000004</v>
      </c>
      <c r="D143">
        <v>766.06867999999997</v>
      </c>
      <c r="E143">
        <v>2025.070115</v>
      </c>
      <c r="F143">
        <v>538.871396</v>
      </c>
    </row>
    <row r="144" spans="1:6" x14ac:dyDescent="0.3">
      <c r="A144" s="6">
        <v>41759</v>
      </c>
      <c r="B144">
        <v>6198.7979539999997</v>
      </c>
      <c r="C144">
        <v>6965.824224</v>
      </c>
      <c r="D144">
        <v>749.47771599999999</v>
      </c>
      <c r="E144">
        <v>1956.339416</v>
      </c>
      <c r="F144">
        <v>528.06336499999998</v>
      </c>
    </row>
    <row r="145" spans="1:6" x14ac:dyDescent="0.3">
      <c r="A145" s="6">
        <v>41729</v>
      </c>
      <c r="B145">
        <v>6132.591574</v>
      </c>
      <c r="C145">
        <v>6852.1054979999999</v>
      </c>
      <c r="D145">
        <v>742.02199700000006</v>
      </c>
      <c r="E145">
        <v>1949.082627</v>
      </c>
      <c r="F145">
        <v>520.80925300000001</v>
      </c>
    </row>
    <row r="146" spans="1:6" x14ac:dyDescent="0.3">
      <c r="A146" s="6">
        <v>41698</v>
      </c>
      <c r="B146">
        <v>6120.2536060000002</v>
      </c>
      <c r="C146">
        <v>6878.0176250000004</v>
      </c>
      <c r="D146">
        <v>738.34569199999999</v>
      </c>
      <c r="E146">
        <v>1890.6236269999999</v>
      </c>
      <c r="F146">
        <v>519.15429800000004</v>
      </c>
    </row>
    <row r="147" spans="1:6" x14ac:dyDescent="0.3">
      <c r="A147" s="6">
        <v>41670</v>
      </c>
      <c r="B147">
        <v>5825.5268759999999</v>
      </c>
      <c r="C147">
        <v>6520.3832949999996</v>
      </c>
      <c r="D147">
        <v>703.98601199999996</v>
      </c>
      <c r="E147">
        <v>1829.630668</v>
      </c>
      <c r="F147">
        <v>494.19681200000002</v>
      </c>
    </row>
    <row r="148" spans="1:6" x14ac:dyDescent="0.3">
      <c r="A148" s="6">
        <v>41639</v>
      </c>
      <c r="B148">
        <v>6048.181012</v>
      </c>
      <c r="C148">
        <v>6793.6777549999997</v>
      </c>
      <c r="D148">
        <v>733.14874299999997</v>
      </c>
      <c r="E148">
        <v>1956.224461</v>
      </c>
      <c r="F148">
        <v>517.64120100000002</v>
      </c>
    </row>
    <row r="149" spans="1:6" x14ac:dyDescent="0.3">
      <c r="A149" s="6">
        <v>41607</v>
      </c>
      <c r="B149">
        <v>5920.6828169999999</v>
      </c>
      <c r="C149">
        <v>6691.5184950000003</v>
      </c>
      <c r="D149">
        <v>720.47121700000002</v>
      </c>
      <c r="E149">
        <v>1984.7581749999999</v>
      </c>
      <c r="F149">
        <v>513.02768800000001</v>
      </c>
    </row>
    <row r="150" spans="1:6" x14ac:dyDescent="0.3">
      <c r="A150" s="6">
        <v>41578</v>
      </c>
      <c r="B150">
        <v>5814.648991</v>
      </c>
      <c r="C150">
        <v>6649.4510099999998</v>
      </c>
      <c r="D150">
        <v>710.11435400000005</v>
      </c>
      <c r="E150">
        <v>2014.0508440000001</v>
      </c>
      <c r="F150">
        <v>512.06270300000006</v>
      </c>
    </row>
    <row r="151" spans="1:6" x14ac:dyDescent="0.3">
      <c r="A151" s="6">
        <v>41547</v>
      </c>
      <c r="B151">
        <v>5594.3355730000003</v>
      </c>
      <c r="C151">
        <v>6433.1487719999996</v>
      </c>
      <c r="D151">
        <v>682.52857300000005</v>
      </c>
      <c r="E151">
        <v>1920.464264</v>
      </c>
      <c r="F151">
        <v>493.88216999999997</v>
      </c>
    </row>
    <row r="152" spans="1:6" x14ac:dyDescent="0.3">
      <c r="A152" s="6">
        <v>41516</v>
      </c>
      <c r="B152">
        <v>5325.8871150000004</v>
      </c>
      <c r="C152">
        <v>6006.9557269999996</v>
      </c>
      <c r="D152">
        <v>648.76836700000001</v>
      </c>
      <c r="E152">
        <v>1802.66354</v>
      </c>
      <c r="F152">
        <v>461.67428200000001</v>
      </c>
    </row>
    <row r="153" spans="1:6" x14ac:dyDescent="0.3">
      <c r="A153" s="6">
        <v>41486</v>
      </c>
      <c r="B153">
        <v>5439.3465200000001</v>
      </c>
      <c r="C153">
        <v>6084.4463029999997</v>
      </c>
      <c r="D153">
        <v>662.28817700000002</v>
      </c>
      <c r="E153">
        <v>1833.431924</v>
      </c>
      <c r="F153">
        <v>468.03691300000003</v>
      </c>
    </row>
    <row r="154" spans="1:6" x14ac:dyDescent="0.3">
      <c r="A154" s="6">
        <v>41453</v>
      </c>
      <c r="B154">
        <v>5165.8770839999997</v>
      </c>
      <c r="C154">
        <v>5776.4002399999999</v>
      </c>
      <c r="D154">
        <v>631.83789999999999</v>
      </c>
      <c r="E154">
        <v>1813.503142</v>
      </c>
      <c r="F154">
        <v>448.30603100000002</v>
      </c>
    </row>
    <row r="155" spans="1:6" x14ac:dyDescent="0.3">
      <c r="A155" s="6">
        <v>41425</v>
      </c>
      <c r="B155">
        <v>5294.2145650000002</v>
      </c>
      <c r="C155">
        <v>5999.3766880000003</v>
      </c>
      <c r="D155">
        <v>650.58922800000005</v>
      </c>
      <c r="E155">
        <v>1935.8204270000001</v>
      </c>
      <c r="F155">
        <v>468.46813800000001</v>
      </c>
    </row>
    <row r="156" spans="1:6" x14ac:dyDescent="0.3">
      <c r="A156" s="6">
        <v>41394</v>
      </c>
      <c r="B156">
        <v>5287.524128</v>
      </c>
      <c r="C156">
        <v>6130.2915000000003</v>
      </c>
      <c r="D156">
        <v>651.82910900000002</v>
      </c>
      <c r="E156">
        <v>1985.8333700000001</v>
      </c>
      <c r="F156">
        <v>479.11426599999999</v>
      </c>
    </row>
    <row r="157" spans="1:6" x14ac:dyDescent="0.3">
      <c r="A157" s="6">
        <v>41361</v>
      </c>
      <c r="B157">
        <v>5122.9333939999997</v>
      </c>
      <c r="C157">
        <v>5857.6267690000004</v>
      </c>
      <c r="D157">
        <v>633.17997400000002</v>
      </c>
      <c r="E157">
        <v>1965.853584</v>
      </c>
      <c r="F157">
        <v>461.50991499999998</v>
      </c>
    </row>
    <row r="158" spans="1:6" x14ac:dyDescent="0.3">
      <c r="A158" s="6">
        <v>41333</v>
      </c>
      <c r="B158">
        <v>5002.7985079999999</v>
      </c>
      <c r="C158">
        <v>5807.3850130000001</v>
      </c>
      <c r="D158">
        <v>621.64755300000002</v>
      </c>
      <c r="E158">
        <v>2004.2981769999999</v>
      </c>
      <c r="F158">
        <v>460.54534899999999</v>
      </c>
    </row>
    <row r="159" spans="1:6" x14ac:dyDescent="0.3">
      <c r="A159" s="6">
        <v>41305</v>
      </c>
      <c r="B159">
        <v>4992.0611669999998</v>
      </c>
      <c r="C159">
        <v>5864.2438179999999</v>
      </c>
      <c r="D159">
        <v>621.46333200000004</v>
      </c>
      <c r="E159">
        <v>2029.5042249999999</v>
      </c>
      <c r="F159">
        <v>465.35628500000001</v>
      </c>
    </row>
    <row r="160" spans="1:6" x14ac:dyDescent="0.3">
      <c r="A160" s="6">
        <v>41274</v>
      </c>
      <c r="B160">
        <v>4748.6985109999996</v>
      </c>
      <c r="C160">
        <v>5588.1590020000003</v>
      </c>
      <c r="D160">
        <v>593.931466</v>
      </c>
      <c r="E160">
        <v>2001.59647</v>
      </c>
      <c r="F160">
        <v>447.089519</v>
      </c>
    </row>
    <row r="161" spans="1:6" x14ac:dyDescent="0.3">
      <c r="A161" s="6">
        <v>41243</v>
      </c>
      <c r="B161">
        <v>4658.5814870000004</v>
      </c>
      <c r="C161">
        <v>5423.0924059999998</v>
      </c>
      <c r="D161">
        <v>580.50087799999994</v>
      </c>
      <c r="E161">
        <v>1908.070884</v>
      </c>
      <c r="F161">
        <v>432.03261600000002</v>
      </c>
    </row>
    <row r="162" spans="1:6" x14ac:dyDescent="0.3">
      <c r="A162" s="6">
        <v>41213</v>
      </c>
      <c r="B162">
        <v>4597.2311929999996</v>
      </c>
      <c r="C162">
        <v>5310.6430129999999</v>
      </c>
      <c r="D162">
        <v>572.89817100000005</v>
      </c>
      <c r="E162">
        <v>1884.0129039999999</v>
      </c>
      <c r="F162">
        <v>423.90045500000002</v>
      </c>
    </row>
    <row r="163" spans="1:6" x14ac:dyDescent="0.3">
      <c r="A163" s="6">
        <v>41180</v>
      </c>
      <c r="B163">
        <v>4627.1842509999997</v>
      </c>
      <c r="C163">
        <v>5273.0087919999996</v>
      </c>
      <c r="D163">
        <v>576.59290599999997</v>
      </c>
      <c r="E163">
        <v>1895.315507</v>
      </c>
      <c r="F163">
        <v>422.20710400000002</v>
      </c>
    </row>
    <row r="164" spans="1:6" x14ac:dyDescent="0.3">
      <c r="A164" s="6">
        <v>41152</v>
      </c>
      <c r="B164">
        <v>4501.5009389999996</v>
      </c>
      <c r="C164">
        <v>5115.6470200000003</v>
      </c>
      <c r="D164">
        <v>558.76041499999997</v>
      </c>
      <c r="E164">
        <v>1787.1240290000001</v>
      </c>
      <c r="F164">
        <v>406.86437100000001</v>
      </c>
    </row>
    <row r="165" spans="1:6" x14ac:dyDescent="0.3">
      <c r="A165" s="6">
        <v>41121</v>
      </c>
      <c r="B165">
        <v>4388.0358050000004</v>
      </c>
      <c r="C165">
        <v>4972.9923449999997</v>
      </c>
      <c r="D165">
        <v>546.60142299999995</v>
      </c>
      <c r="E165">
        <v>1792.303954</v>
      </c>
      <c r="F165">
        <v>398.44372099999998</v>
      </c>
    </row>
    <row r="166" spans="1:6" x14ac:dyDescent="0.3">
      <c r="A166" s="6">
        <v>41089</v>
      </c>
      <c r="B166">
        <v>4331.1554029999998</v>
      </c>
      <c r="C166">
        <v>4911.0158490000003</v>
      </c>
      <c r="D166">
        <v>539.04396799999995</v>
      </c>
      <c r="E166">
        <v>1756.769753</v>
      </c>
      <c r="F166">
        <v>392.77530200000001</v>
      </c>
    </row>
    <row r="167" spans="1:6" x14ac:dyDescent="0.3">
      <c r="A167" s="6">
        <v>41060</v>
      </c>
      <c r="B167">
        <v>4119.2063859999998</v>
      </c>
      <c r="C167">
        <v>4607.1108789999998</v>
      </c>
      <c r="D167">
        <v>513.43092100000001</v>
      </c>
      <c r="E167">
        <v>1690.7215570000001</v>
      </c>
      <c r="F167">
        <v>370.743289</v>
      </c>
    </row>
    <row r="168" spans="1:6" x14ac:dyDescent="0.3">
      <c r="A168" s="6">
        <v>41029</v>
      </c>
      <c r="B168">
        <v>4503.679588</v>
      </c>
      <c r="C168">
        <v>5192.8994480000001</v>
      </c>
      <c r="D168">
        <v>563.44352500000002</v>
      </c>
      <c r="E168">
        <v>1903.163916</v>
      </c>
      <c r="F168">
        <v>417.749999</v>
      </c>
    </row>
    <row r="169" spans="1:6" x14ac:dyDescent="0.3">
      <c r="A169" s="6">
        <v>40998</v>
      </c>
      <c r="B169">
        <v>4552.2015570000003</v>
      </c>
      <c r="C169">
        <v>5276.7146990000001</v>
      </c>
      <c r="D169">
        <v>569.589426</v>
      </c>
      <c r="E169">
        <v>1925.6423769999999</v>
      </c>
      <c r="F169">
        <v>424.05699600000003</v>
      </c>
    </row>
    <row r="170" spans="1:6" x14ac:dyDescent="0.3">
      <c r="A170" s="6">
        <v>40968</v>
      </c>
      <c r="B170">
        <v>4491.9787079999996</v>
      </c>
      <c r="C170">
        <v>5312.6895180000001</v>
      </c>
      <c r="D170">
        <v>565.55591000000004</v>
      </c>
      <c r="E170">
        <v>1991.910844</v>
      </c>
      <c r="F170">
        <v>429.751825</v>
      </c>
    </row>
    <row r="171" spans="1:6" x14ac:dyDescent="0.3">
      <c r="A171" s="6">
        <v>40939</v>
      </c>
      <c r="B171">
        <v>4280.5207339999997</v>
      </c>
      <c r="C171">
        <v>5034.3387460000004</v>
      </c>
      <c r="D171">
        <v>538.20594300000005</v>
      </c>
      <c r="E171">
        <v>1879.011172</v>
      </c>
      <c r="F171">
        <v>406.78530799999999</v>
      </c>
    </row>
    <row r="172" spans="1:6" x14ac:dyDescent="0.3">
      <c r="A172" s="6">
        <v>40907</v>
      </c>
      <c r="B172">
        <v>4074.8336770000001</v>
      </c>
      <c r="C172">
        <v>4775.4274480000004</v>
      </c>
      <c r="D172">
        <v>508.49664799999999</v>
      </c>
      <c r="E172">
        <v>1687.30045</v>
      </c>
      <c r="F172">
        <v>380.86203399999999</v>
      </c>
    </row>
    <row r="173" spans="1:6" x14ac:dyDescent="0.3">
      <c r="A173" s="6">
        <v>40877</v>
      </c>
      <c r="B173">
        <v>4075.5600850000001</v>
      </c>
      <c r="C173">
        <v>4827.1223689999997</v>
      </c>
      <c r="D173">
        <v>509.35052400000001</v>
      </c>
      <c r="E173">
        <v>1707.7187180000001</v>
      </c>
      <c r="F173">
        <v>385.09945699999997</v>
      </c>
    </row>
    <row r="174" spans="1:6" x14ac:dyDescent="0.3">
      <c r="A174" s="6">
        <v>40847</v>
      </c>
      <c r="B174">
        <v>4175.1029559999997</v>
      </c>
      <c r="C174">
        <v>5059.5098120000002</v>
      </c>
      <c r="D174">
        <v>524.79887699999995</v>
      </c>
      <c r="E174">
        <v>1829.55261</v>
      </c>
      <c r="F174">
        <v>405.71155299999998</v>
      </c>
    </row>
    <row r="175" spans="1:6" x14ac:dyDescent="0.3">
      <c r="A175" s="6">
        <v>40816</v>
      </c>
      <c r="B175">
        <v>3782.7570390000001</v>
      </c>
      <c r="C175">
        <v>4610.6322529999998</v>
      </c>
      <c r="D175">
        <v>473.89821799999999</v>
      </c>
      <c r="E175">
        <v>1615.4189879999999</v>
      </c>
      <c r="F175">
        <v>367.01118100000002</v>
      </c>
    </row>
    <row r="176" spans="1:6" x14ac:dyDescent="0.3">
      <c r="A176" s="6">
        <v>40786</v>
      </c>
      <c r="B176">
        <v>4138.5623219999998</v>
      </c>
      <c r="C176">
        <v>5123.2872589999997</v>
      </c>
      <c r="D176">
        <v>523.09423000000004</v>
      </c>
      <c r="E176">
        <v>1890.763322</v>
      </c>
      <c r="F176">
        <v>412.80681099999998</v>
      </c>
    </row>
    <row r="177" spans="1:6" x14ac:dyDescent="0.3">
      <c r="A177" s="6">
        <v>40753</v>
      </c>
      <c r="B177">
        <v>4450.2492510000002</v>
      </c>
      <c r="C177">
        <v>5595.5537839999997</v>
      </c>
      <c r="D177">
        <v>564.06743500000005</v>
      </c>
      <c r="E177">
        <v>2075.4750749999998</v>
      </c>
      <c r="F177">
        <v>451.402379</v>
      </c>
    </row>
    <row r="178" spans="1:6" x14ac:dyDescent="0.3">
      <c r="A178" s="6">
        <v>40724</v>
      </c>
      <c r="B178">
        <v>4531.207531</v>
      </c>
      <c r="C178">
        <v>5688.234246</v>
      </c>
      <c r="D178">
        <v>573.21501599999999</v>
      </c>
      <c r="E178">
        <v>2083.3097539999999</v>
      </c>
      <c r="F178">
        <v>457.50034199999999</v>
      </c>
    </row>
    <row r="179" spans="1:6" x14ac:dyDescent="0.3">
      <c r="A179" s="6">
        <v>40694</v>
      </c>
      <c r="B179">
        <v>4602.2407569999996</v>
      </c>
      <c r="C179">
        <v>5768.683575</v>
      </c>
      <c r="D179">
        <v>582.16187400000001</v>
      </c>
      <c r="E179">
        <v>2114.9555099999998</v>
      </c>
      <c r="F179">
        <v>464.083032</v>
      </c>
    </row>
    <row r="180" spans="1:6" x14ac:dyDescent="0.3">
      <c r="A180" s="6">
        <v>40662</v>
      </c>
      <c r="B180">
        <v>4694.8839079999998</v>
      </c>
      <c r="C180">
        <v>5936.5656870000003</v>
      </c>
      <c r="D180">
        <v>594.38271499999996</v>
      </c>
      <c r="E180">
        <v>2171.0378009999999</v>
      </c>
      <c r="F180">
        <v>477.30380300000002</v>
      </c>
    </row>
    <row r="181" spans="1:6" x14ac:dyDescent="0.3">
      <c r="A181" s="6">
        <v>40633</v>
      </c>
      <c r="B181">
        <v>4500.8252419999999</v>
      </c>
      <c r="C181">
        <v>5624.9558489999999</v>
      </c>
      <c r="D181">
        <v>570.70524699999999</v>
      </c>
      <c r="E181">
        <v>2105.2745519999999</v>
      </c>
      <c r="F181">
        <v>454.74153000000001</v>
      </c>
    </row>
    <row r="182" spans="1:6" x14ac:dyDescent="0.3">
      <c r="A182" s="6">
        <v>40602</v>
      </c>
      <c r="B182">
        <v>4543.5461340000002</v>
      </c>
      <c r="C182">
        <v>5737.1966240000002</v>
      </c>
      <c r="D182">
        <v>571.03765699999997</v>
      </c>
      <c r="E182">
        <v>1988.074247</v>
      </c>
      <c r="F182">
        <v>455.60646500000001</v>
      </c>
    </row>
    <row r="183" spans="1:6" x14ac:dyDescent="0.3">
      <c r="A183" s="6">
        <v>40574</v>
      </c>
      <c r="B183">
        <v>4387.9695439999996</v>
      </c>
      <c r="C183">
        <v>5530.8045739999998</v>
      </c>
      <c r="D183">
        <v>554.65934700000003</v>
      </c>
      <c r="E183">
        <v>2006.4894320000001</v>
      </c>
      <c r="F183">
        <v>443.819658</v>
      </c>
    </row>
    <row r="184" spans="1:6" x14ac:dyDescent="0.3">
      <c r="A184" s="6">
        <v>40543</v>
      </c>
      <c r="B184">
        <v>4290.0453680000001</v>
      </c>
      <c r="C184">
        <v>5413.2995449999999</v>
      </c>
      <c r="D184">
        <v>545.96707000000004</v>
      </c>
      <c r="E184">
        <v>2062.04187</v>
      </c>
      <c r="F184">
        <v>439.41951299999999</v>
      </c>
    </row>
    <row r="185" spans="1:6" x14ac:dyDescent="0.3">
      <c r="A185" s="6">
        <v>40512</v>
      </c>
      <c r="B185">
        <v>3994.994271</v>
      </c>
      <c r="C185">
        <v>5009.1703680000001</v>
      </c>
      <c r="D185">
        <v>508.57359000000002</v>
      </c>
      <c r="E185">
        <v>1924.4851650000001</v>
      </c>
      <c r="F185">
        <v>407.45333699999998</v>
      </c>
    </row>
    <row r="186" spans="1:6" x14ac:dyDescent="0.3">
      <c r="A186" s="6">
        <v>40480</v>
      </c>
      <c r="B186">
        <v>4081.1862700000001</v>
      </c>
      <c r="C186">
        <v>5229.2010630000004</v>
      </c>
      <c r="D186">
        <v>519.92764799999998</v>
      </c>
      <c r="E186">
        <v>1976.5825890000001</v>
      </c>
      <c r="F186">
        <v>423.71151400000002</v>
      </c>
    </row>
    <row r="187" spans="1:6" x14ac:dyDescent="0.3">
      <c r="A187" s="6">
        <v>40451</v>
      </c>
      <c r="B187">
        <v>3933.681227</v>
      </c>
      <c r="C187">
        <v>5048.828501</v>
      </c>
      <c r="D187">
        <v>501.694253</v>
      </c>
      <c r="E187">
        <v>1920.6469090000001</v>
      </c>
      <c r="F187">
        <v>409.71493299999997</v>
      </c>
    </row>
    <row r="188" spans="1:6" x14ac:dyDescent="0.3">
      <c r="A188" s="6">
        <v>40421</v>
      </c>
      <c r="B188">
        <v>3596.9021729999999</v>
      </c>
      <c r="C188">
        <v>4605.7772569999997</v>
      </c>
      <c r="D188">
        <v>457.74238300000002</v>
      </c>
      <c r="E188">
        <v>1728.3434500000001</v>
      </c>
      <c r="F188">
        <v>372.56364000000002</v>
      </c>
    </row>
    <row r="189" spans="1:6" x14ac:dyDescent="0.3">
      <c r="A189" s="6">
        <v>40389</v>
      </c>
      <c r="B189">
        <v>3734.8157719999999</v>
      </c>
      <c r="C189">
        <v>4746.8841210000001</v>
      </c>
      <c r="D189">
        <v>474.12767700000001</v>
      </c>
      <c r="E189">
        <v>1761.969008</v>
      </c>
      <c r="F189">
        <v>383.00902200000002</v>
      </c>
    </row>
    <row r="190" spans="1:6" x14ac:dyDescent="0.3">
      <c r="A190" s="6">
        <v>40359</v>
      </c>
      <c r="B190">
        <v>3453.8910839999999</v>
      </c>
      <c r="C190">
        <v>4344.6706260000001</v>
      </c>
      <c r="D190">
        <v>438.32307200000002</v>
      </c>
      <c r="E190">
        <v>1625.4572519999999</v>
      </c>
      <c r="F190">
        <v>351.19771500000002</v>
      </c>
    </row>
    <row r="191" spans="1:6" x14ac:dyDescent="0.3">
      <c r="A191" s="6">
        <v>40326</v>
      </c>
      <c r="B191">
        <v>3576.6129559999999</v>
      </c>
      <c r="C191">
        <v>4410.8714540000001</v>
      </c>
      <c r="D191">
        <v>451.648618</v>
      </c>
      <c r="E191">
        <v>1620.2701770000001</v>
      </c>
      <c r="F191">
        <v>355.04479199999997</v>
      </c>
    </row>
    <row r="192" spans="1:6" x14ac:dyDescent="0.3">
      <c r="A192" s="6">
        <v>40298</v>
      </c>
      <c r="B192">
        <v>3949.7178389999999</v>
      </c>
      <c r="C192">
        <v>4946.6490139999996</v>
      </c>
      <c r="D192">
        <v>498.95712600000002</v>
      </c>
      <c r="E192">
        <v>1794.24236</v>
      </c>
      <c r="F192">
        <v>397.01375400000001</v>
      </c>
    </row>
    <row r="193" spans="1:6" x14ac:dyDescent="0.3">
      <c r="A193" s="6">
        <v>40268</v>
      </c>
      <c r="B193">
        <v>3946.9600089999999</v>
      </c>
      <c r="C193">
        <v>5017.4429520000003</v>
      </c>
      <c r="D193">
        <v>497.85978299999999</v>
      </c>
      <c r="E193">
        <v>1772.3726369999999</v>
      </c>
      <c r="F193">
        <v>400.26652799999999</v>
      </c>
    </row>
    <row r="194" spans="1:6" x14ac:dyDescent="0.3">
      <c r="A194" s="6">
        <v>40235</v>
      </c>
      <c r="B194">
        <v>3714.8302920000001</v>
      </c>
      <c r="C194">
        <v>4711.1572930000002</v>
      </c>
      <c r="D194">
        <v>467.55102199999999</v>
      </c>
      <c r="E194">
        <v>1639.853032</v>
      </c>
      <c r="F194">
        <v>374.59073599999999</v>
      </c>
    </row>
    <row r="195" spans="1:6" x14ac:dyDescent="0.3">
      <c r="A195" s="6">
        <v>40207</v>
      </c>
      <c r="B195">
        <v>3661.7519779999998</v>
      </c>
      <c r="C195">
        <v>4715.3228069999996</v>
      </c>
      <c r="D195">
        <v>461.50081999999998</v>
      </c>
      <c r="E195">
        <v>1633.7595449999999</v>
      </c>
      <c r="F195">
        <v>374.53842700000001</v>
      </c>
    </row>
    <row r="196" spans="1:6" x14ac:dyDescent="0.3">
      <c r="A196" s="6">
        <v>40178</v>
      </c>
      <c r="B196">
        <v>3818.8590380000001</v>
      </c>
      <c r="C196">
        <v>4946.6947819999996</v>
      </c>
      <c r="D196">
        <v>482.24831899999998</v>
      </c>
      <c r="E196">
        <v>1729.9634900000001</v>
      </c>
      <c r="F196">
        <v>393.73406699999998</v>
      </c>
    </row>
    <row r="197" spans="1:6" x14ac:dyDescent="0.3">
      <c r="A197" s="6">
        <v>40147</v>
      </c>
      <c r="B197">
        <v>3750.3060860000001</v>
      </c>
      <c r="C197">
        <v>4868.2034919999996</v>
      </c>
      <c r="D197">
        <v>472.327854</v>
      </c>
      <c r="E197">
        <v>1664.0429670000001</v>
      </c>
      <c r="F197">
        <v>385.52671199999997</v>
      </c>
    </row>
    <row r="198" spans="1:6" x14ac:dyDescent="0.3">
      <c r="A198" s="6">
        <v>40116</v>
      </c>
      <c r="B198">
        <v>3601.3220670000001</v>
      </c>
      <c r="C198">
        <v>4749.3854959999999</v>
      </c>
      <c r="D198">
        <v>453.475235</v>
      </c>
      <c r="E198">
        <v>1595.4304380000001</v>
      </c>
      <c r="F198">
        <v>374.70290199999999</v>
      </c>
    </row>
    <row r="199" spans="1:6" x14ac:dyDescent="0.3">
      <c r="A199" s="6">
        <v>40086</v>
      </c>
      <c r="B199">
        <v>3665.7555579999998</v>
      </c>
      <c r="C199">
        <v>4826.4451600000002</v>
      </c>
      <c r="D199">
        <v>460.49802099999999</v>
      </c>
      <c r="E199">
        <v>1593.312467</v>
      </c>
      <c r="F199">
        <v>379.36890599999998</v>
      </c>
    </row>
    <row r="200" spans="1:6" x14ac:dyDescent="0.3">
      <c r="A200" s="6">
        <v>40056</v>
      </c>
      <c r="B200">
        <v>3524.0750579999999</v>
      </c>
      <c r="C200">
        <v>4634.1828960000003</v>
      </c>
      <c r="D200">
        <v>440.16330199999999</v>
      </c>
      <c r="E200">
        <v>1460.5027030000001</v>
      </c>
      <c r="F200">
        <v>360.76153799999997</v>
      </c>
    </row>
    <row r="201" spans="1:6" x14ac:dyDescent="0.3">
      <c r="A201" s="6">
        <v>40025</v>
      </c>
      <c r="B201">
        <v>3383.0093360000001</v>
      </c>
      <c r="C201">
        <v>4421.4724669999996</v>
      </c>
      <c r="D201">
        <v>424.79266200000001</v>
      </c>
      <c r="E201">
        <v>1465.3545690000001</v>
      </c>
      <c r="F201">
        <v>347.82019500000001</v>
      </c>
    </row>
    <row r="202" spans="1:6" x14ac:dyDescent="0.3">
      <c r="A202" s="6">
        <v>39994</v>
      </c>
      <c r="B202">
        <v>3117.9821510000002</v>
      </c>
      <c r="C202">
        <v>4041.317219</v>
      </c>
      <c r="D202">
        <v>390.29880100000003</v>
      </c>
      <c r="E202">
        <v>1316.388649</v>
      </c>
      <c r="F202">
        <v>316.75724300000002</v>
      </c>
    </row>
    <row r="203" spans="1:6" x14ac:dyDescent="0.3">
      <c r="A203" s="6">
        <v>39962</v>
      </c>
      <c r="B203">
        <v>3130.78568</v>
      </c>
      <c r="C203">
        <v>4082.2730369999999</v>
      </c>
      <c r="D203">
        <v>392.34101900000002</v>
      </c>
      <c r="E203">
        <v>1334.094828</v>
      </c>
      <c r="F203">
        <v>320.18897800000002</v>
      </c>
    </row>
    <row r="204" spans="1:6" x14ac:dyDescent="0.3">
      <c r="A204" s="6">
        <v>39933</v>
      </c>
      <c r="B204">
        <v>2867.3716420000001</v>
      </c>
      <c r="C204">
        <v>3618.426093</v>
      </c>
      <c r="D204">
        <v>356.40570300000002</v>
      </c>
      <c r="E204">
        <v>1138.840721</v>
      </c>
      <c r="F204">
        <v>281.63835999999998</v>
      </c>
    </row>
    <row r="205" spans="1:6" x14ac:dyDescent="0.3">
      <c r="A205" s="6">
        <v>39903</v>
      </c>
      <c r="B205">
        <v>2575.8163730000001</v>
      </c>
      <c r="C205">
        <v>3200.8115550000002</v>
      </c>
      <c r="D205">
        <v>318.51507199999998</v>
      </c>
      <c r="E205">
        <v>976.23564499999998</v>
      </c>
      <c r="F205">
        <v>247.58865700000001</v>
      </c>
    </row>
    <row r="206" spans="1:6" x14ac:dyDescent="0.3">
      <c r="A206" s="6">
        <v>39871</v>
      </c>
      <c r="B206">
        <v>2393.8739949999999</v>
      </c>
      <c r="C206">
        <v>3001.4164179999998</v>
      </c>
      <c r="D206">
        <v>294.125563</v>
      </c>
      <c r="E206">
        <v>853.468074</v>
      </c>
      <c r="F206">
        <v>229.09403699999999</v>
      </c>
    </row>
    <row r="207" spans="1:6" x14ac:dyDescent="0.3">
      <c r="A207" s="6">
        <v>39843</v>
      </c>
      <c r="B207">
        <v>2664.8471719999998</v>
      </c>
      <c r="C207">
        <v>3338.199955</v>
      </c>
      <c r="D207">
        <v>325.82660099999998</v>
      </c>
      <c r="E207">
        <v>904.33210299999996</v>
      </c>
      <c r="F207">
        <v>252.58946399999999</v>
      </c>
    </row>
    <row r="208" spans="1:6" x14ac:dyDescent="0.3">
      <c r="A208" s="6">
        <v>39813</v>
      </c>
      <c r="B208">
        <v>2919.7826140000002</v>
      </c>
      <c r="C208">
        <v>3680.9356579999999</v>
      </c>
      <c r="D208">
        <v>356.14576699999998</v>
      </c>
      <c r="E208">
        <v>966.34409600000004</v>
      </c>
      <c r="F208">
        <v>277.00449900000001</v>
      </c>
    </row>
    <row r="209" spans="1:6" x14ac:dyDescent="0.3">
      <c r="A209" s="6">
        <v>39780</v>
      </c>
      <c r="B209">
        <v>2827.6075310000001</v>
      </c>
      <c r="C209">
        <v>3496.035977</v>
      </c>
      <c r="D209">
        <v>343.52626099999998</v>
      </c>
      <c r="E209">
        <v>896.19916799999999</v>
      </c>
      <c r="F209">
        <v>262.02505500000001</v>
      </c>
    </row>
    <row r="210" spans="1:6" x14ac:dyDescent="0.3">
      <c r="A210" s="6">
        <v>39752</v>
      </c>
      <c r="B210">
        <v>3021.0735970000001</v>
      </c>
      <c r="C210">
        <v>3694.6151329999998</v>
      </c>
      <c r="D210">
        <v>367.432458</v>
      </c>
      <c r="E210">
        <v>969.08011099999999</v>
      </c>
      <c r="F210">
        <v>277.99174099999999</v>
      </c>
    </row>
    <row r="211" spans="1:6" x14ac:dyDescent="0.3">
      <c r="A211" s="6">
        <v>39721</v>
      </c>
      <c r="B211">
        <v>3726.6876179999999</v>
      </c>
      <c r="C211">
        <v>4664.4941879999997</v>
      </c>
      <c r="D211">
        <v>458.09127345000002</v>
      </c>
      <c r="E211">
        <v>1333.962432</v>
      </c>
      <c r="F211">
        <v>356.438919</v>
      </c>
    </row>
    <row r="212" spans="1:6" x14ac:dyDescent="0.3">
      <c r="A212" s="6">
        <v>39689</v>
      </c>
      <c r="B212">
        <v>4227.7122550000004</v>
      </c>
      <c r="C212">
        <v>5449.331451</v>
      </c>
      <c r="D212">
        <v>523.28296831</v>
      </c>
      <c r="E212">
        <v>1616.7191350000001</v>
      </c>
      <c r="F212">
        <v>419.29256900000001</v>
      </c>
    </row>
    <row r="213" spans="1:6" x14ac:dyDescent="0.3">
      <c r="A213" s="6">
        <v>39660</v>
      </c>
      <c r="B213">
        <v>4285.968828</v>
      </c>
      <c r="C213">
        <v>5666.8984129999999</v>
      </c>
      <c r="D213">
        <v>534.57131570000001</v>
      </c>
      <c r="E213">
        <v>1756.441086</v>
      </c>
      <c r="F213">
        <v>439.74544900000001</v>
      </c>
    </row>
    <row r="214" spans="1:6" x14ac:dyDescent="0.3">
      <c r="A214" s="6">
        <v>39629</v>
      </c>
      <c r="B214">
        <v>4392.1724400000003</v>
      </c>
      <c r="C214">
        <v>5875.3230400000002</v>
      </c>
      <c r="D214">
        <v>548.64648985999997</v>
      </c>
      <c r="E214">
        <v>1823.791962</v>
      </c>
      <c r="F214">
        <v>456.05519099999998</v>
      </c>
    </row>
    <row r="215" spans="1:6" x14ac:dyDescent="0.3">
      <c r="A215" s="6">
        <v>39598</v>
      </c>
      <c r="B215">
        <v>4770.9934350000003</v>
      </c>
      <c r="C215">
        <v>6369.0625970000001</v>
      </c>
      <c r="D215">
        <v>597.51116855999999</v>
      </c>
      <c r="E215">
        <v>2025.5888789999999</v>
      </c>
      <c r="F215">
        <v>496.77341300000001</v>
      </c>
    </row>
    <row r="216" spans="1:6" x14ac:dyDescent="0.3">
      <c r="A216" s="6">
        <v>39568</v>
      </c>
      <c r="B216">
        <v>4693.576591</v>
      </c>
      <c r="C216">
        <v>6262.8538820000003</v>
      </c>
      <c r="D216">
        <v>587.65884043999995</v>
      </c>
      <c r="E216">
        <v>1988.1278239999999</v>
      </c>
      <c r="F216">
        <v>488.310991</v>
      </c>
    </row>
    <row r="217" spans="1:6" x14ac:dyDescent="0.3">
      <c r="A217" s="6">
        <v>39538</v>
      </c>
      <c r="B217">
        <v>4455.8039710000003</v>
      </c>
      <c r="C217">
        <v>5926.2469090000004</v>
      </c>
      <c r="D217">
        <v>556.22205770999994</v>
      </c>
      <c r="E217">
        <v>1838.6202040000001</v>
      </c>
      <c r="F217">
        <v>460.00176599999998</v>
      </c>
    </row>
    <row r="218" spans="1:6" x14ac:dyDescent="0.3">
      <c r="A218" s="6">
        <v>39507</v>
      </c>
      <c r="B218">
        <v>4496.6943140000003</v>
      </c>
      <c r="C218">
        <v>6009.0691610000003</v>
      </c>
      <c r="D218">
        <v>564.24944109</v>
      </c>
      <c r="E218">
        <v>1941.1704580000001</v>
      </c>
      <c r="F218">
        <v>470.139884</v>
      </c>
    </row>
    <row r="219" spans="1:6" x14ac:dyDescent="0.3">
      <c r="A219" s="6">
        <v>39478</v>
      </c>
      <c r="B219">
        <v>4520.6715139999997</v>
      </c>
      <c r="C219">
        <v>5900.2645810000004</v>
      </c>
      <c r="D219">
        <v>562.39476751999996</v>
      </c>
      <c r="E219">
        <v>1807.1252890000001</v>
      </c>
      <c r="F219">
        <v>456.89892500000002</v>
      </c>
    </row>
    <row r="220" spans="1:6" x14ac:dyDescent="0.3">
      <c r="A220" s="6">
        <v>39447</v>
      </c>
      <c r="B220">
        <v>4893.5418449999997</v>
      </c>
      <c r="C220">
        <v>6484.1025820000004</v>
      </c>
      <c r="D220">
        <v>612.41342724000003</v>
      </c>
      <c r="E220">
        <v>2064.108565</v>
      </c>
      <c r="F220">
        <v>505.84417200000001</v>
      </c>
    </row>
    <row r="221" spans="1:6" x14ac:dyDescent="0.3">
      <c r="A221" s="6">
        <v>39416</v>
      </c>
      <c r="B221">
        <v>4956.0480809999999</v>
      </c>
      <c r="C221">
        <v>6607.6513910000003</v>
      </c>
      <c r="D221">
        <v>619.10309646999997</v>
      </c>
      <c r="E221">
        <v>2056.7235930000002</v>
      </c>
      <c r="F221">
        <v>513.26251999999999</v>
      </c>
    </row>
    <row r="222" spans="1:6" x14ac:dyDescent="0.3">
      <c r="A222" s="6">
        <v>39386</v>
      </c>
      <c r="B222">
        <v>5164.8237499999996</v>
      </c>
      <c r="C222">
        <v>6874.6423839999998</v>
      </c>
      <c r="D222">
        <v>647.46530799000004</v>
      </c>
      <c r="E222">
        <v>2213.5369959999998</v>
      </c>
      <c r="F222">
        <v>537.41085299999997</v>
      </c>
    </row>
    <row r="223" spans="1:6" x14ac:dyDescent="0.3">
      <c r="A223" s="6">
        <v>39353</v>
      </c>
      <c r="B223">
        <v>5010.0681409999997</v>
      </c>
      <c r="C223">
        <v>6587.4292640000003</v>
      </c>
      <c r="D223">
        <v>623.03274273</v>
      </c>
      <c r="E223">
        <v>1991.309831</v>
      </c>
      <c r="F223">
        <v>508.99894799999998</v>
      </c>
    </row>
    <row r="224" spans="1:6" x14ac:dyDescent="0.3">
      <c r="A224" s="6">
        <v>39325</v>
      </c>
      <c r="B224">
        <v>4781.0744100000002</v>
      </c>
      <c r="C224">
        <v>6231.9983819999998</v>
      </c>
      <c r="D224">
        <v>591.11434396000004</v>
      </c>
      <c r="E224">
        <v>1793.133178</v>
      </c>
      <c r="F224">
        <v>477.38594899999998</v>
      </c>
    </row>
    <row r="225" spans="1:6" x14ac:dyDescent="0.3">
      <c r="A225" s="6">
        <v>39294</v>
      </c>
      <c r="B225">
        <v>4782.6235729999999</v>
      </c>
      <c r="C225">
        <v>6321.879825</v>
      </c>
      <c r="D225">
        <v>592.50224904000004</v>
      </c>
      <c r="E225">
        <v>1831.4546419999999</v>
      </c>
      <c r="F225">
        <v>484.83011499999998</v>
      </c>
    </row>
    <row r="226" spans="1:6" x14ac:dyDescent="0.3">
      <c r="A226" s="6">
        <v>39262</v>
      </c>
      <c r="B226">
        <v>4889.9212150000003</v>
      </c>
      <c r="C226">
        <v>6409.7304169999998</v>
      </c>
      <c r="D226">
        <v>601.54893718999995</v>
      </c>
      <c r="E226">
        <v>1738.808884</v>
      </c>
      <c r="F226">
        <v>486.21551099999999</v>
      </c>
    </row>
    <row r="227" spans="1:6" x14ac:dyDescent="0.3">
      <c r="A227" s="6">
        <v>39233</v>
      </c>
      <c r="B227">
        <v>4926.1903419999999</v>
      </c>
      <c r="C227">
        <v>6401.133812</v>
      </c>
      <c r="D227">
        <v>603.10617580999997</v>
      </c>
      <c r="E227">
        <v>1660.2774429999999</v>
      </c>
      <c r="F227">
        <v>482.11039299999999</v>
      </c>
    </row>
    <row r="228" spans="1:6" x14ac:dyDescent="0.3">
      <c r="A228" s="6">
        <v>39202</v>
      </c>
      <c r="B228">
        <v>4787.3172880000002</v>
      </c>
      <c r="C228">
        <v>6254.2560030000004</v>
      </c>
      <c r="D228">
        <v>585.16459469999995</v>
      </c>
      <c r="E228">
        <v>1582.9668610000001</v>
      </c>
      <c r="F228">
        <v>469.24827800000003</v>
      </c>
    </row>
    <row r="229" spans="1:6" x14ac:dyDescent="0.3">
      <c r="A229" s="6">
        <v>39171</v>
      </c>
      <c r="B229">
        <v>4582.5116539999999</v>
      </c>
      <c r="C229">
        <v>5977.1252249999998</v>
      </c>
      <c r="D229">
        <v>559.99548617999994</v>
      </c>
      <c r="E229">
        <v>1511.062244</v>
      </c>
      <c r="F229">
        <v>448.45208300000002</v>
      </c>
    </row>
    <row r="230" spans="1:6" x14ac:dyDescent="0.3">
      <c r="A230" s="6">
        <v>39141</v>
      </c>
      <c r="B230">
        <v>4498.2576820000004</v>
      </c>
      <c r="C230">
        <v>5825.0791680000002</v>
      </c>
      <c r="D230">
        <v>548.75818700000002</v>
      </c>
      <c r="E230">
        <v>1452.8634709999999</v>
      </c>
      <c r="F230">
        <v>436.16337800000002</v>
      </c>
    </row>
    <row r="231" spans="1:6" x14ac:dyDescent="0.3">
      <c r="A231" s="6">
        <v>39113</v>
      </c>
      <c r="B231">
        <v>4519.9145840000001</v>
      </c>
      <c r="C231">
        <v>5777.9331460000003</v>
      </c>
      <c r="D231">
        <v>551.44645500000001</v>
      </c>
      <c r="E231">
        <v>1461.328252</v>
      </c>
      <c r="F231">
        <v>433.51396999999997</v>
      </c>
    </row>
    <row r="232" spans="1:6" x14ac:dyDescent="0.3">
      <c r="A232" s="6">
        <v>39080</v>
      </c>
      <c r="B232">
        <v>4466.298194</v>
      </c>
      <c r="C232">
        <v>5742.3617979999999</v>
      </c>
      <c r="D232">
        <v>545.89692200000002</v>
      </c>
      <c r="E232">
        <v>1476.2389330000001</v>
      </c>
      <c r="F232">
        <v>431.901411</v>
      </c>
    </row>
    <row r="233" spans="1:6" x14ac:dyDescent="0.3">
      <c r="A233" s="6">
        <v>39051</v>
      </c>
      <c r="B233">
        <v>4376.1534650000003</v>
      </c>
      <c r="C233">
        <v>5581.778448</v>
      </c>
      <c r="D233">
        <v>533.84900900000002</v>
      </c>
      <c r="E233">
        <v>1412.502305</v>
      </c>
      <c r="F233">
        <v>418.84824800000001</v>
      </c>
    </row>
    <row r="234" spans="1:6" x14ac:dyDescent="0.3">
      <c r="A234" s="6">
        <v>39021</v>
      </c>
      <c r="B234">
        <v>4269.3907479999998</v>
      </c>
      <c r="C234">
        <v>5418.7857100000001</v>
      </c>
      <c r="D234">
        <v>518.92344500000002</v>
      </c>
      <c r="E234">
        <v>1314.5965779999999</v>
      </c>
      <c r="F234">
        <v>404.17357700000002</v>
      </c>
    </row>
    <row r="235" spans="1:6" x14ac:dyDescent="0.3">
      <c r="A235" s="6">
        <v>38989</v>
      </c>
      <c r="B235">
        <v>4117.4289600000002</v>
      </c>
      <c r="C235">
        <v>5212.2744679999996</v>
      </c>
      <c r="D235">
        <v>500.06895500000002</v>
      </c>
      <c r="E235">
        <v>1254.924722</v>
      </c>
      <c r="F235">
        <v>388.35983599999997</v>
      </c>
    </row>
    <row r="236" spans="1:6" x14ac:dyDescent="0.3">
      <c r="A236" s="6">
        <v>38960</v>
      </c>
      <c r="B236">
        <v>4067.7535459999999</v>
      </c>
      <c r="C236">
        <v>5215.3543579999996</v>
      </c>
      <c r="D236">
        <v>494.17544299999997</v>
      </c>
      <c r="E236">
        <v>1244.464058</v>
      </c>
      <c r="F236">
        <v>388.10810600000002</v>
      </c>
    </row>
    <row r="237" spans="1:6" x14ac:dyDescent="0.3">
      <c r="A237" s="6">
        <v>38929</v>
      </c>
      <c r="B237">
        <v>3962.8607769999999</v>
      </c>
      <c r="C237">
        <v>5069.7856069999998</v>
      </c>
      <c r="D237">
        <v>481.45020599999998</v>
      </c>
      <c r="E237">
        <v>1212.953211</v>
      </c>
      <c r="F237">
        <v>377.41095899999999</v>
      </c>
    </row>
    <row r="238" spans="1:6" x14ac:dyDescent="0.3">
      <c r="A238" s="6">
        <v>38898</v>
      </c>
      <c r="B238">
        <v>3937.4328700000001</v>
      </c>
      <c r="C238">
        <v>5022.0847830000002</v>
      </c>
      <c r="D238">
        <v>478.069163</v>
      </c>
      <c r="E238">
        <v>1195.3741399999999</v>
      </c>
      <c r="F238">
        <v>373.589268</v>
      </c>
    </row>
    <row r="239" spans="1:6" x14ac:dyDescent="0.3">
      <c r="A239" s="6">
        <v>38868</v>
      </c>
      <c r="B239">
        <v>3936.9635050000002</v>
      </c>
      <c r="C239">
        <v>5026.3286939999998</v>
      </c>
      <c r="D239">
        <v>478.08097500000002</v>
      </c>
      <c r="E239">
        <v>1197.914276</v>
      </c>
      <c r="F239">
        <v>373.96222599999999</v>
      </c>
    </row>
    <row r="240" spans="1:6" x14ac:dyDescent="0.3">
      <c r="A240" s="6">
        <v>38835</v>
      </c>
      <c r="B240">
        <v>4072.4260180000001</v>
      </c>
      <c r="C240">
        <v>5218.6043129999998</v>
      </c>
      <c r="D240">
        <v>497.26518600000003</v>
      </c>
      <c r="E240">
        <v>1337.8002899999999</v>
      </c>
      <c r="F240">
        <v>392.03582899999998</v>
      </c>
    </row>
    <row r="241" spans="1:6" x14ac:dyDescent="0.3">
      <c r="A241" s="6">
        <v>38807</v>
      </c>
      <c r="B241">
        <v>3950.381312</v>
      </c>
      <c r="C241">
        <v>4977.1250819999996</v>
      </c>
      <c r="D241">
        <v>481.011461</v>
      </c>
      <c r="E241">
        <v>1248.6899330000001</v>
      </c>
      <c r="F241">
        <v>372.81338799999997</v>
      </c>
    </row>
    <row r="242" spans="1:6" x14ac:dyDescent="0.3">
      <c r="A242" s="6">
        <v>38776</v>
      </c>
      <c r="B242">
        <v>3863.6790460000002</v>
      </c>
      <c r="C242">
        <v>4821.851514</v>
      </c>
      <c r="D242">
        <v>470.90302600000001</v>
      </c>
      <c r="E242">
        <v>1237.595652</v>
      </c>
      <c r="F242">
        <v>362.28956399999998</v>
      </c>
    </row>
    <row r="243" spans="1:6" x14ac:dyDescent="0.3">
      <c r="A243" s="6">
        <v>38748</v>
      </c>
      <c r="B243">
        <v>3867.8137700000002</v>
      </c>
      <c r="C243">
        <v>4837.255776</v>
      </c>
      <c r="D243">
        <v>471.40394400000002</v>
      </c>
      <c r="E243">
        <v>1238.7824929999999</v>
      </c>
      <c r="F243">
        <v>363.338729</v>
      </c>
    </row>
    <row r="244" spans="1:6" x14ac:dyDescent="0.3">
      <c r="A244" s="6">
        <v>38716</v>
      </c>
      <c r="B244">
        <v>3701.7945850000001</v>
      </c>
      <c r="C244">
        <v>4549.1741149999998</v>
      </c>
      <c r="D244">
        <v>449.19174600000002</v>
      </c>
      <c r="E244">
        <v>1113.7074930000001</v>
      </c>
      <c r="F244">
        <v>339.65670799999998</v>
      </c>
    </row>
    <row r="245" spans="1:6" x14ac:dyDescent="0.3">
      <c r="A245" s="6">
        <v>38686</v>
      </c>
      <c r="B245">
        <v>3620.657193</v>
      </c>
      <c r="C245">
        <v>4347.1993839999996</v>
      </c>
      <c r="D245">
        <v>438.30415900000003</v>
      </c>
      <c r="E245">
        <v>1051.4231830000001</v>
      </c>
      <c r="F245">
        <v>324.06538399999999</v>
      </c>
    </row>
    <row r="246" spans="1:6" x14ac:dyDescent="0.3">
      <c r="A246" s="6">
        <v>38656</v>
      </c>
      <c r="B246">
        <v>3502.0628889999998</v>
      </c>
      <c r="C246">
        <v>4233.8691310000004</v>
      </c>
      <c r="D246">
        <v>422.69463300000001</v>
      </c>
      <c r="E246">
        <v>971.02518599999996</v>
      </c>
      <c r="F246">
        <v>313.52418699999998</v>
      </c>
    </row>
    <row r="247" spans="1:6" x14ac:dyDescent="0.3">
      <c r="A247" s="6">
        <v>38625</v>
      </c>
      <c r="B247">
        <v>3588.4095600000001</v>
      </c>
      <c r="C247">
        <v>4374.9055799999996</v>
      </c>
      <c r="D247">
        <v>434.31197600000002</v>
      </c>
      <c r="E247">
        <v>1038.902474</v>
      </c>
      <c r="F247">
        <v>325.36900300000002</v>
      </c>
    </row>
    <row r="248" spans="1:6" x14ac:dyDescent="0.3">
      <c r="A248" s="6">
        <v>38595</v>
      </c>
      <c r="B248">
        <v>3496.5812529999998</v>
      </c>
      <c r="C248">
        <v>4183.0997090000001</v>
      </c>
      <c r="D248">
        <v>421.51181200000002</v>
      </c>
      <c r="E248">
        <v>950.29084</v>
      </c>
      <c r="F248">
        <v>309.40867700000001</v>
      </c>
    </row>
    <row r="249" spans="1:6" x14ac:dyDescent="0.3">
      <c r="A249" s="6">
        <v>38562</v>
      </c>
      <c r="B249">
        <v>3468.822784</v>
      </c>
      <c r="C249">
        <v>4069.5313030000002</v>
      </c>
      <c r="D249">
        <v>418.14221400000002</v>
      </c>
      <c r="E249">
        <v>941.81278299999997</v>
      </c>
      <c r="F249">
        <v>301.68795799999998</v>
      </c>
    </row>
    <row r="250" spans="1:6" x14ac:dyDescent="0.3">
      <c r="A250" s="6">
        <v>38533</v>
      </c>
      <c r="B250">
        <v>3351.0191799999998</v>
      </c>
      <c r="C250">
        <v>3941.9485749999999</v>
      </c>
      <c r="D250">
        <v>403.128063</v>
      </c>
      <c r="E250">
        <v>879.57579199999998</v>
      </c>
      <c r="F250">
        <v>290.95282200000003</v>
      </c>
    </row>
    <row r="251" spans="1:6" x14ac:dyDescent="0.3">
      <c r="A251" s="6">
        <v>38503</v>
      </c>
      <c r="B251">
        <v>3320.8180750000001</v>
      </c>
      <c r="C251">
        <v>3876.9765520000001</v>
      </c>
      <c r="D251">
        <v>398.91937100000001</v>
      </c>
      <c r="E251">
        <v>850.22740499999998</v>
      </c>
      <c r="F251">
        <v>285.578463</v>
      </c>
    </row>
    <row r="252" spans="1:6" x14ac:dyDescent="0.3">
      <c r="A252" s="6">
        <v>38471</v>
      </c>
      <c r="B252">
        <v>3260.3901620000001</v>
      </c>
      <c r="C252">
        <v>3866.0283939999999</v>
      </c>
      <c r="D252">
        <v>391.318985</v>
      </c>
      <c r="E252">
        <v>821.31015500000001</v>
      </c>
      <c r="F252">
        <v>283.79981199999997</v>
      </c>
    </row>
    <row r="253" spans="1:6" x14ac:dyDescent="0.3">
      <c r="A253" s="6">
        <v>38442</v>
      </c>
      <c r="B253">
        <v>3330.6346199999998</v>
      </c>
      <c r="C253">
        <v>3962.8242270000001</v>
      </c>
      <c r="D253">
        <v>399.871872</v>
      </c>
      <c r="E253">
        <v>843.79992600000003</v>
      </c>
      <c r="F253">
        <v>290.97606100000002</v>
      </c>
    </row>
    <row r="254" spans="1:6" x14ac:dyDescent="0.3">
      <c r="A254" s="6">
        <v>38411</v>
      </c>
      <c r="B254">
        <v>3395.1334820000002</v>
      </c>
      <c r="C254">
        <v>4053.2452210000001</v>
      </c>
      <c r="D254">
        <v>408.71401600000002</v>
      </c>
      <c r="E254">
        <v>903.31105700000001</v>
      </c>
      <c r="F254">
        <v>299.08917400000001</v>
      </c>
    </row>
    <row r="255" spans="1:6" x14ac:dyDescent="0.3">
      <c r="A255" s="6">
        <v>38383</v>
      </c>
      <c r="B255">
        <v>3289.4389080000001</v>
      </c>
      <c r="C255">
        <v>3879.731127</v>
      </c>
      <c r="D255">
        <v>394.85142300000001</v>
      </c>
      <c r="E255">
        <v>830.39473699999996</v>
      </c>
      <c r="F255">
        <v>285.03022900000002</v>
      </c>
    </row>
    <row r="256" spans="1:6" x14ac:dyDescent="0.3">
      <c r="A256" s="6">
        <v>38352</v>
      </c>
      <c r="B256">
        <v>3364.5583449999999</v>
      </c>
      <c r="C256">
        <v>3957.3189269999998</v>
      </c>
      <c r="D256">
        <v>403.31969900000001</v>
      </c>
      <c r="E256">
        <v>827.77509099999997</v>
      </c>
      <c r="F256">
        <v>290.02550000000002</v>
      </c>
    </row>
    <row r="257" spans="1:6" x14ac:dyDescent="0.3">
      <c r="A257" s="6">
        <v>38321</v>
      </c>
      <c r="B257">
        <v>3239.8950690000001</v>
      </c>
      <c r="C257">
        <v>3796.5964720000002</v>
      </c>
      <c r="D257">
        <v>388.18870500000003</v>
      </c>
      <c r="E257">
        <v>789.75463500000001</v>
      </c>
      <c r="F257">
        <v>278.08497399999999</v>
      </c>
    </row>
    <row r="258" spans="1:6" x14ac:dyDescent="0.3">
      <c r="A258" s="6">
        <v>38289</v>
      </c>
      <c r="B258">
        <v>3076.904211</v>
      </c>
      <c r="C258">
        <v>3558.8880060000001</v>
      </c>
      <c r="D258">
        <v>367.97615300000001</v>
      </c>
      <c r="E258">
        <v>722.80498699999998</v>
      </c>
      <c r="F258">
        <v>260.03629999999998</v>
      </c>
    </row>
    <row r="259" spans="1:6" x14ac:dyDescent="0.3">
      <c r="A259" s="6">
        <v>38260</v>
      </c>
      <c r="B259">
        <v>3002.6954999999998</v>
      </c>
      <c r="C259">
        <v>3435.178167</v>
      </c>
      <c r="D259">
        <v>359.11425400000002</v>
      </c>
      <c r="E259">
        <v>705.89422400000001</v>
      </c>
      <c r="F259">
        <v>251.29572400000001</v>
      </c>
    </row>
    <row r="260" spans="1:6" x14ac:dyDescent="0.3">
      <c r="A260" s="6">
        <v>38230</v>
      </c>
      <c r="B260">
        <v>2946.0222050000002</v>
      </c>
      <c r="C260">
        <v>3337.3525549999999</v>
      </c>
      <c r="D260">
        <v>351.70389599999999</v>
      </c>
      <c r="E260">
        <v>667.34990800000003</v>
      </c>
      <c r="F260">
        <v>243.46766700000001</v>
      </c>
    </row>
    <row r="261" spans="1:6" x14ac:dyDescent="0.3">
      <c r="A261" s="6">
        <v>38198</v>
      </c>
      <c r="B261">
        <v>2931.9641929999998</v>
      </c>
      <c r="C261">
        <v>3322.7384699999998</v>
      </c>
      <c r="D261">
        <v>349.43522899999999</v>
      </c>
      <c r="E261">
        <v>640.53663900000004</v>
      </c>
      <c r="F261">
        <v>241.53356600000001</v>
      </c>
    </row>
    <row r="262" spans="1:6" x14ac:dyDescent="0.3">
      <c r="A262" s="6">
        <v>38168</v>
      </c>
      <c r="B262">
        <v>3030.093073</v>
      </c>
      <c r="C262">
        <v>3426.7340450000002</v>
      </c>
      <c r="D262">
        <v>360.88286799999997</v>
      </c>
      <c r="E262">
        <v>652.06662500000004</v>
      </c>
      <c r="F262">
        <v>248.78386699999999</v>
      </c>
    </row>
    <row r="263" spans="1:6" x14ac:dyDescent="0.3">
      <c r="A263" s="6">
        <v>38135</v>
      </c>
      <c r="B263">
        <v>2965.6198359999999</v>
      </c>
      <c r="C263">
        <v>3342.351553</v>
      </c>
      <c r="D263">
        <v>353.58283299999999</v>
      </c>
      <c r="E263">
        <v>653.364597</v>
      </c>
      <c r="F263">
        <v>243.28637699999999</v>
      </c>
    </row>
    <row r="264" spans="1:6" x14ac:dyDescent="0.3">
      <c r="A264" s="6">
        <v>38107</v>
      </c>
      <c r="B264">
        <v>2939.0757229999999</v>
      </c>
      <c r="C264">
        <v>3329.3452980000002</v>
      </c>
      <c r="D264">
        <v>350.77498200000002</v>
      </c>
      <c r="E264">
        <v>662.14299100000005</v>
      </c>
      <c r="F264">
        <v>242.73829499999999</v>
      </c>
    </row>
    <row r="265" spans="1:6" x14ac:dyDescent="0.3">
      <c r="A265" s="6">
        <v>38077</v>
      </c>
      <c r="B265">
        <v>2998.8299900000002</v>
      </c>
      <c r="C265">
        <v>3415.9863009999999</v>
      </c>
      <c r="D265">
        <v>359.01568500000002</v>
      </c>
      <c r="E265">
        <v>721.09794899999997</v>
      </c>
      <c r="F265">
        <v>250.52366799999999</v>
      </c>
    </row>
    <row r="266" spans="1:6" x14ac:dyDescent="0.3">
      <c r="A266" s="6">
        <v>38044</v>
      </c>
      <c r="B266">
        <v>3017.6753440000002</v>
      </c>
      <c r="C266">
        <v>3397.635726</v>
      </c>
      <c r="D266">
        <v>360.93772200000001</v>
      </c>
      <c r="E266">
        <v>711.95044600000006</v>
      </c>
      <c r="F266">
        <v>248.991534</v>
      </c>
    </row>
    <row r="267" spans="1:6" x14ac:dyDescent="0.3">
      <c r="A267" s="6">
        <v>38016</v>
      </c>
      <c r="B267">
        <v>2966.931861</v>
      </c>
      <c r="C267">
        <v>3320.6684460000001</v>
      </c>
      <c r="D267">
        <v>354.397809</v>
      </c>
      <c r="E267">
        <v>680.55557899999997</v>
      </c>
      <c r="F267">
        <v>242.81791200000001</v>
      </c>
    </row>
    <row r="268" spans="1:6" x14ac:dyDescent="0.3">
      <c r="A268" s="6">
        <v>37986</v>
      </c>
      <c r="B268">
        <v>2919.4417699999999</v>
      </c>
      <c r="C268">
        <v>3274.785355</v>
      </c>
      <c r="D268">
        <v>348.42747900000001</v>
      </c>
      <c r="E268">
        <v>657.21501599999999</v>
      </c>
      <c r="F268">
        <v>238.98049</v>
      </c>
    </row>
    <row r="269" spans="1:6" x14ac:dyDescent="0.3">
      <c r="A269" s="6">
        <v>37953</v>
      </c>
      <c r="B269">
        <v>2746.4636289999999</v>
      </c>
      <c r="C269">
        <v>3041.3509749999998</v>
      </c>
      <c r="D269">
        <v>327.65144099999998</v>
      </c>
      <c r="E269">
        <v>612.79047600000001</v>
      </c>
      <c r="F269">
        <v>222.02933400000001</v>
      </c>
    </row>
    <row r="270" spans="1:6" x14ac:dyDescent="0.3">
      <c r="A270" s="6">
        <v>37925</v>
      </c>
      <c r="B270">
        <v>2704.6335370000002</v>
      </c>
      <c r="C270">
        <v>2973.4819360000001</v>
      </c>
      <c r="D270">
        <v>322.70674100000002</v>
      </c>
      <c r="E270">
        <v>605.35126700000001</v>
      </c>
      <c r="F270">
        <v>217.29103599999999</v>
      </c>
    </row>
    <row r="271" spans="1:6" x14ac:dyDescent="0.3">
      <c r="A271" s="6">
        <v>37894</v>
      </c>
      <c r="B271">
        <v>2552.6430030000001</v>
      </c>
      <c r="C271">
        <v>2798.045615</v>
      </c>
      <c r="D271">
        <v>304.24970200000001</v>
      </c>
      <c r="E271">
        <v>557.877431</v>
      </c>
      <c r="F271">
        <v>204.06333900000001</v>
      </c>
    </row>
    <row r="272" spans="1:6" x14ac:dyDescent="0.3">
      <c r="A272" s="6">
        <v>37862</v>
      </c>
      <c r="B272">
        <v>2536.553097</v>
      </c>
      <c r="C272">
        <v>2715.9910850000001</v>
      </c>
      <c r="D272">
        <v>302.31900000000002</v>
      </c>
      <c r="E272">
        <v>553.81696299999999</v>
      </c>
      <c r="F272">
        <v>198.50499500000001</v>
      </c>
    </row>
    <row r="273" spans="1:6" x14ac:dyDescent="0.3">
      <c r="A273" s="6">
        <v>37833</v>
      </c>
      <c r="B273">
        <v>2482.3277819999998</v>
      </c>
      <c r="C273">
        <v>2647.222096</v>
      </c>
      <c r="D273">
        <v>295.30880500000001</v>
      </c>
      <c r="E273">
        <v>518.982933</v>
      </c>
      <c r="F273">
        <v>192.76058499999999</v>
      </c>
    </row>
    <row r="274" spans="1:6" x14ac:dyDescent="0.3">
      <c r="A274" s="6">
        <v>37802</v>
      </c>
      <c r="B274">
        <v>2432.4746</v>
      </c>
      <c r="C274">
        <v>2587.4637360000002</v>
      </c>
      <c r="D274">
        <v>288.89802500000002</v>
      </c>
      <c r="E274">
        <v>488.395847</v>
      </c>
      <c r="F274">
        <v>187.758171</v>
      </c>
    </row>
    <row r="275" spans="1:6" x14ac:dyDescent="0.3">
      <c r="A275" s="6">
        <v>37771</v>
      </c>
      <c r="B275">
        <v>2390.2201180000002</v>
      </c>
      <c r="C275">
        <v>2524.65735</v>
      </c>
      <c r="D275">
        <v>283.454365</v>
      </c>
      <c r="E275">
        <v>462.06146799999999</v>
      </c>
      <c r="F275">
        <v>182.700828</v>
      </c>
    </row>
    <row r="276" spans="1:6" x14ac:dyDescent="0.3">
      <c r="A276" s="6">
        <v>37741</v>
      </c>
      <c r="B276">
        <v>2259.9563290000001</v>
      </c>
      <c r="C276">
        <v>2375.1991760000001</v>
      </c>
      <c r="D276">
        <v>267.86576300000002</v>
      </c>
      <c r="E276">
        <v>431.11932999999999</v>
      </c>
      <c r="F276">
        <v>171.75937200000001</v>
      </c>
    </row>
    <row r="277" spans="1:6" x14ac:dyDescent="0.3">
      <c r="A277" s="6">
        <v>37711</v>
      </c>
      <c r="B277">
        <v>2074.6660000000002</v>
      </c>
      <c r="C277">
        <v>2165.0569999999998</v>
      </c>
      <c r="D277">
        <v>245.90600000000001</v>
      </c>
      <c r="E277">
        <v>395.85899999999998</v>
      </c>
      <c r="F277">
        <v>156.66300000000001</v>
      </c>
    </row>
    <row r="278" spans="1:6" x14ac:dyDescent="0.3">
      <c r="A278" s="6">
        <v>37680</v>
      </c>
      <c r="B278">
        <v>2080.3820000000001</v>
      </c>
      <c r="C278">
        <v>2205.9369999999999</v>
      </c>
      <c r="D278">
        <v>246.839</v>
      </c>
      <c r="E278">
        <v>407.411</v>
      </c>
      <c r="F278">
        <v>159.762</v>
      </c>
    </row>
    <row r="279" spans="1:6" x14ac:dyDescent="0.3">
      <c r="A279" s="6">
        <v>37652</v>
      </c>
      <c r="B279">
        <v>2116.6239999999998</v>
      </c>
      <c r="C279">
        <v>2250.0360000000001</v>
      </c>
      <c r="D279">
        <v>251.24199999999999</v>
      </c>
      <c r="E279">
        <v>418.71199999999999</v>
      </c>
      <c r="F279">
        <v>163.066</v>
      </c>
    </row>
    <row r="280" spans="1:6" x14ac:dyDescent="0.3">
      <c r="A280" s="6">
        <v>37621</v>
      </c>
      <c r="B280">
        <v>2182.5700000000002</v>
      </c>
      <c r="C280">
        <v>2338.944</v>
      </c>
      <c r="D280">
        <v>258.79500000000002</v>
      </c>
      <c r="E280">
        <v>420.54300000000001</v>
      </c>
      <c r="F280">
        <v>168.999</v>
      </c>
    </row>
    <row r="281" spans="1:6" x14ac:dyDescent="0.3">
      <c r="A281" s="6">
        <v>37589</v>
      </c>
      <c r="B281">
        <v>2293.2539999999999</v>
      </c>
      <c r="C281">
        <v>2416.817</v>
      </c>
      <c r="D281">
        <v>271.75099999999998</v>
      </c>
      <c r="E281">
        <v>434.99599999999998</v>
      </c>
      <c r="F281">
        <v>174.64099999999999</v>
      </c>
    </row>
    <row r="282" spans="1:6" x14ac:dyDescent="0.3">
      <c r="A282" s="6">
        <v>37560</v>
      </c>
      <c r="B282">
        <v>2175.4749999999999</v>
      </c>
      <c r="C282">
        <v>2310.1370000000002</v>
      </c>
      <c r="D282">
        <v>257.65699999999998</v>
      </c>
      <c r="E282">
        <v>406.98200000000003</v>
      </c>
      <c r="F282">
        <v>166.62799999999999</v>
      </c>
    </row>
    <row r="283" spans="1:6" x14ac:dyDescent="0.3">
      <c r="A283" s="6">
        <v>37529</v>
      </c>
      <c r="B283">
        <v>2025.606</v>
      </c>
      <c r="C283">
        <v>2194.654</v>
      </c>
      <c r="D283">
        <v>239.98500000000001</v>
      </c>
      <c r="E283">
        <v>382.18299999999999</v>
      </c>
      <c r="F283">
        <v>158.14400000000001</v>
      </c>
    </row>
    <row r="284" spans="1:6" x14ac:dyDescent="0.3">
      <c r="A284" s="6">
        <v>37498</v>
      </c>
      <c r="B284">
        <v>2275.335</v>
      </c>
      <c r="C284">
        <v>2454.3130000000001</v>
      </c>
      <c r="D284">
        <v>269.55</v>
      </c>
      <c r="E284">
        <v>428.404</v>
      </c>
      <c r="F284">
        <v>176.88900000000001</v>
      </c>
    </row>
    <row r="285" spans="1:6" x14ac:dyDescent="0.3">
      <c r="A285" s="6">
        <v>37468</v>
      </c>
      <c r="B285">
        <v>2270.6129999999998</v>
      </c>
      <c r="C285">
        <v>2457.5309999999999</v>
      </c>
      <c r="D285">
        <v>268.85500000000002</v>
      </c>
      <c r="E285">
        <v>421.90300000000002</v>
      </c>
      <c r="F285">
        <v>176.87799999999999</v>
      </c>
    </row>
    <row r="286" spans="1:6" x14ac:dyDescent="0.3">
      <c r="A286" s="6">
        <v>37435</v>
      </c>
      <c r="B286">
        <v>2479.2849999999999</v>
      </c>
      <c r="C286">
        <v>2728.5439999999999</v>
      </c>
      <c r="D286">
        <v>293.46600000000001</v>
      </c>
      <c r="E286">
        <v>456.63299999999998</v>
      </c>
      <c r="F286">
        <v>195.977</v>
      </c>
    </row>
    <row r="287" spans="1:6" x14ac:dyDescent="0.3">
      <c r="A287" s="6">
        <v>37407</v>
      </c>
      <c r="B287">
        <v>2638.855</v>
      </c>
      <c r="C287">
        <v>2843.1129999999998</v>
      </c>
      <c r="D287">
        <v>312.53899999999999</v>
      </c>
      <c r="E287">
        <v>493.66899999999998</v>
      </c>
      <c r="F287">
        <v>204.821</v>
      </c>
    </row>
    <row r="288" spans="1:6" x14ac:dyDescent="0.3">
      <c r="A288" s="6">
        <v>37376</v>
      </c>
      <c r="B288">
        <v>2632.752</v>
      </c>
      <c r="C288">
        <v>2803.924</v>
      </c>
      <c r="D288">
        <v>312.09800000000001</v>
      </c>
      <c r="E288">
        <v>501.66199999999998</v>
      </c>
      <c r="F288">
        <v>202.614</v>
      </c>
    </row>
    <row r="289" spans="1:6" x14ac:dyDescent="0.3">
      <c r="A289" s="6">
        <v>37343</v>
      </c>
      <c r="B289">
        <v>2729.4969999999998</v>
      </c>
      <c r="C289">
        <v>2798.0210000000002</v>
      </c>
      <c r="D289">
        <v>322.89600000000002</v>
      </c>
      <c r="E289">
        <v>498.47500000000002</v>
      </c>
      <c r="F289">
        <v>202.09899999999999</v>
      </c>
    </row>
    <row r="290" spans="1:6" x14ac:dyDescent="0.3">
      <c r="A290" s="6">
        <v>37315</v>
      </c>
      <c r="B290">
        <v>2608.413</v>
      </c>
      <c r="C290">
        <v>2643.953</v>
      </c>
      <c r="D290">
        <v>308.38</v>
      </c>
      <c r="E290">
        <v>470.14699999999999</v>
      </c>
      <c r="F290">
        <v>190.934</v>
      </c>
    </row>
    <row r="291" spans="1:6" x14ac:dyDescent="0.3">
      <c r="A291" s="6">
        <v>37287</v>
      </c>
      <c r="B291">
        <v>2630.77</v>
      </c>
      <c r="C291">
        <v>2627.768</v>
      </c>
      <c r="D291">
        <v>310.66199999999998</v>
      </c>
      <c r="E291">
        <v>462.548</v>
      </c>
      <c r="F291">
        <v>189.56899999999999</v>
      </c>
    </row>
    <row r="292" spans="1:6" x14ac:dyDescent="0.3">
      <c r="A292" s="6">
        <v>37256</v>
      </c>
      <c r="B292">
        <v>2712.6579999999999</v>
      </c>
      <c r="C292">
        <v>2768.3429999999998</v>
      </c>
      <c r="D292">
        <v>319.41399999999999</v>
      </c>
      <c r="E292">
        <v>447.387</v>
      </c>
      <c r="F292">
        <v>198.05099999999999</v>
      </c>
    </row>
    <row r="293" spans="1:6" x14ac:dyDescent="0.3">
      <c r="A293" s="6">
        <v>37225</v>
      </c>
      <c r="B293">
        <v>2695.3850000000002</v>
      </c>
      <c r="C293">
        <v>2750.5859999999998</v>
      </c>
      <c r="D293">
        <v>316.44799999999998</v>
      </c>
      <c r="E293">
        <v>414.48700000000002</v>
      </c>
      <c r="F293">
        <v>195.53200000000001</v>
      </c>
    </row>
    <row r="294" spans="1:6" x14ac:dyDescent="0.3">
      <c r="A294" s="6">
        <v>37195</v>
      </c>
      <c r="B294">
        <v>2544.471</v>
      </c>
      <c r="C294">
        <v>2646.364</v>
      </c>
      <c r="D294">
        <v>298.11399999999998</v>
      </c>
      <c r="E294">
        <v>375.30399999999997</v>
      </c>
      <c r="F294">
        <v>186.98</v>
      </c>
    </row>
    <row r="295" spans="1:6" x14ac:dyDescent="0.3">
      <c r="A295" s="6">
        <v>37162</v>
      </c>
      <c r="B295">
        <v>2496.4009999999998</v>
      </c>
      <c r="C295">
        <v>2583.163</v>
      </c>
      <c r="D295">
        <v>291.911</v>
      </c>
      <c r="E295">
        <v>353.37400000000002</v>
      </c>
      <c r="F295">
        <v>181.88399999999999</v>
      </c>
    </row>
    <row r="296" spans="1:6" x14ac:dyDescent="0.3">
      <c r="A296" s="6">
        <v>37134</v>
      </c>
      <c r="B296">
        <v>2737.2330000000002</v>
      </c>
      <c r="C296">
        <v>2872.38</v>
      </c>
      <c r="D296">
        <v>321.25599999999997</v>
      </c>
      <c r="E296">
        <v>418.08499999999998</v>
      </c>
      <c r="F296">
        <v>203.47</v>
      </c>
    </row>
    <row r="297" spans="1:6" x14ac:dyDescent="0.3">
      <c r="A297" s="6">
        <v>37103</v>
      </c>
      <c r="B297">
        <v>2874.6559999999999</v>
      </c>
      <c r="C297">
        <v>2950.5070000000001</v>
      </c>
      <c r="D297">
        <v>336.73099999999999</v>
      </c>
      <c r="E297">
        <v>422.25</v>
      </c>
      <c r="F297">
        <v>208.65199999999999</v>
      </c>
    </row>
    <row r="298" spans="1:6" x14ac:dyDescent="0.3">
      <c r="A298" s="6">
        <v>37071</v>
      </c>
      <c r="B298">
        <v>2913.0160000000001</v>
      </c>
      <c r="C298">
        <v>3002.99</v>
      </c>
      <c r="D298">
        <v>342.12299999999999</v>
      </c>
      <c r="E298">
        <v>450.73200000000003</v>
      </c>
      <c r="F298">
        <v>213.4</v>
      </c>
    </row>
    <row r="299" spans="1:6" x14ac:dyDescent="0.3">
      <c r="A299" s="6">
        <v>37042</v>
      </c>
      <c r="B299">
        <v>3006.7959999999998</v>
      </c>
      <c r="C299">
        <v>3129.42</v>
      </c>
      <c r="D299">
        <v>352.93599999999998</v>
      </c>
      <c r="E299">
        <v>460.178</v>
      </c>
      <c r="F299">
        <v>221.911</v>
      </c>
    </row>
    <row r="300" spans="1:6" x14ac:dyDescent="0.3">
      <c r="A300" s="6">
        <v>37011</v>
      </c>
      <c r="B300">
        <v>3044.6109999999999</v>
      </c>
      <c r="C300">
        <v>3233.3470000000002</v>
      </c>
      <c r="D300">
        <v>356.91500000000002</v>
      </c>
      <c r="E300">
        <v>454.75</v>
      </c>
      <c r="F300">
        <v>228.21299999999999</v>
      </c>
    </row>
    <row r="301" spans="1:6" x14ac:dyDescent="0.3">
      <c r="A301" s="6">
        <v>36980</v>
      </c>
      <c r="B301">
        <v>2834.3969999999999</v>
      </c>
      <c r="C301">
        <v>3021.2719999999999</v>
      </c>
      <c r="D301">
        <v>332.68299999999999</v>
      </c>
      <c r="E301">
        <v>433.33800000000002</v>
      </c>
      <c r="F301">
        <v>213.68</v>
      </c>
    </row>
    <row r="302" spans="1:6" x14ac:dyDescent="0.3">
      <c r="A302" s="6">
        <v>36950</v>
      </c>
      <c r="B302">
        <v>3033.04</v>
      </c>
      <c r="C302">
        <v>3239.462</v>
      </c>
      <c r="D302">
        <v>356.69400000000002</v>
      </c>
      <c r="E302">
        <v>480.536</v>
      </c>
      <c r="F302">
        <v>229.93299999999999</v>
      </c>
    </row>
    <row r="303" spans="1:6" x14ac:dyDescent="0.3">
      <c r="A303" s="6">
        <v>36922</v>
      </c>
      <c r="B303">
        <v>3312.6260000000002</v>
      </c>
      <c r="C303">
        <v>3517.78</v>
      </c>
      <c r="D303">
        <v>389.46300000000002</v>
      </c>
      <c r="E303">
        <v>521.35900000000004</v>
      </c>
      <c r="F303">
        <v>249.702</v>
      </c>
    </row>
    <row r="304" spans="1:6" x14ac:dyDescent="0.3">
      <c r="A304" s="6">
        <v>36889</v>
      </c>
      <c r="B304">
        <v>3249.51293945312</v>
      </c>
      <c r="C304">
        <v>3511.13891601562</v>
      </c>
      <c r="D304">
        <v>379.85900878906199</v>
      </c>
      <c r="E304">
        <v>458.25698852539102</v>
      </c>
      <c r="F304">
        <v>246.01199340820301</v>
      </c>
    </row>
    <row r="305" spans="1:6" x14ac:dyDescent="0.3">
      <c r="A305" s="6">
        <v>36860</v>
      </c>
      <c r="B305">
        <v>3197.337890625</v>
      </c>
      <c r="C305">
        <v>3391.59912109375</v>
      </c>
      <c r="D305">
        <v>373.61801147460898</v>
      </c>
      <c r="E305">
        <v>447.45401000976602</v>
      </c>
      <c r="F305">
        <v>237.88800048828099</v>
      </c>
    </row>
    <row r="306" spans="1:6" x14ac:dyDescent="0.3">
      <c r="A306" s="6">
        <v>36830</v>
      </c>
      <c r="B306">
        <v>3403.5380859375</v>
      </c>
      <c r="C306">
        <v>3533.19702148438</v>
      </c>
      <c r="D306">
        <v>398.29299926757801</v>
      </c>
      <c r="E306">
        <v>490.32501220703102</v>
      </c>
      <c r="F306">
        <v>249.06199645996099</v>
      </c>
    </row>
    <row r="307" spans="1:6" x14ac:dyDescent="0.3">
      <c r="A307" s="6">
        <v>36798</v>
      </c>
      <c r="B307">
        <v>3461.09497070312</v>
      </c>
      <c r="C307">
        <v>3631.43896484375</v>
      </c>
      <c r="D307">
        <v>406.24099731445301</v>
      </c>
      <c r="E307">
        <v>528.65399169921898</v>
      </c>
      <c r="F307">
        <v>257.23800659179699</v>
      </c>
    </row>
    <row r="308" spans="1:6" x14ac:dyDescent="0.3">
      <c r="A308" s="6">
        <v>36769</v>
      </c>
      <c r="B308">
        <v>3655.01196289062</v>
      </c>
      <c r="C308">
        <v>3829.05200195312</v>
      </c>
      <c r="D308">
        <v>429.85000610351602</v>
      </c>
      <c r="E308">
        <v>579.22998046875</v>
      </c>
      <c r="F308">
        <v>272.34500122070301</v>
      </c>
    </row>
    <row r="309" spans="1:6" x14ac:dyDescent="0.3">
      <c r="A309" s="6">
        <v>36738</v>
      </c>
      <c r="B309">
        <v>3539.43310546875</v>
      </c>
      <c r="C309">
        <v>3778.92407226562</v>
      </c>
      <c r="D309">
        <v>416.89001464843801</v>
      </c>
      <c r="E309">
        <v>576.39599609375</v>
      </c>
      <c r="F309">
        <v>269.01800537109398</v>
      </c>
    </row>
    <row r="310" spans="1:6" x14ac:dyDescent="0.3">
      <c r="A310" s="6">
        <v>36707</v>
      </c>
      <c r="B310">
        <v>3641.498046875</v>
      </c>
      <c r="C310">
        <v>3928.31689453125</v>
      </c>
      <c r="D310">
        <v>429.50500488281199</v>
      </c>
      <c r="E310">
        <v>607.64697265625</v>
      </c>
      <c r="F310">
        <v>280.07501220703102</v>
      </c>
    </row>
    <row r="311" spans="1:6" x14ac:dyDescent="0.3">
      <c r="A311" s="6">
        <v>36677</v>
      </c>
      <c r="B311">
        <v>3522.40405273438</v>
      </c>
      <c r="C311">
        <v>3764.72192382812</v>
      </c>
      <c r="D311">
        <v>415.42401123046898</v>
      </c>
      <c r="E311">
        <v>586.97100830078102</v>
      </c>
      <c r="F311">
        <v>268.63699340820301</v>
      </c>
    </row>
    <row r="312" spans="1:6" x14ac:dyDescent="0.3">
      <c r="A312" s="6">
        <v>36644</v>
      </c>
      <c r="B312">
        <v>3613.44091796875</v>
      </c>
      <c r="C312">
        <v>3857.42309570312</v>
      </c>
      <c r="D312">
        <v>426.49200439453102</v>
      </c>
      <c r="E312">
        <v>612.28399658203102</v>
      </c>
      <c r="F312">
        <v>275.68899536132801</v>
      </c>
    </row>
    <row r="313" spans="1:6" x14ac:dyDescent="0.3">
      <c r="A313" s="6">
        <v>36616</v>
      </c>
      <c r="B313">
        <v>3772.52197265625</v>
      </c>
      <c r="C313">
        <v>4067.66796875</v>
      </c>
      <c r="D313">
        <v>446.52099609375</v>
      </c>
      <c r="E313">
        <v>676.40197753906205</v>
      </c>
      <c r="F313">
        <v>291.98599243164102</v>
      </c>
    </row>
    <row r="314" spans="1:6" x14ac:dyDescent="0.3">
      <c r="A314" s="6">
        <v>36585</v>
      </c>
      <c r="B314">
        <v>3528.21704101562</v>
      </c>
      <c r="C314">
        <v>3906.56591796875</v>
      </c>
      <c r="D314">
        <v>418.97799682617199</v>
      </c>
      <c r="E314">
        <v>673.11700439453102</v>
      </c>
      <c r="F314">
        <v>281.39599609375</v>
      </c>
    </row>
    <row r="315" spans="1:6" x14ac:dyDescent="0.3">
      <c r="A315" s="6">
        <v>36556</v>
      </c>
      <c r="B315">
        <v>3518.2900390625</v>
      </c>
      <c r="C315">
        <v>3798.15991210938</v>
      </c>
      <c r="D315">
        <v>417.55999755859398</v>
      </c>
      <c r="E315">
        <v>664.343017578125</v>
      </c>
      <c r="F315">
        <v>273.99499511718801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FdsFormulaCache xmlns="urn:fdsformulacache" version="2" timestamp="1774313654"><![CDATA[{"990100^FG_PRICE(0)":3296.483711,"990100^JULIAN(FG_PRICE(0).DATES)":46101,"990100^FG_COMPANY_NAME()":"MSCI World Index","991000^FG_PRICE(0)":1843.819766,"991000^JULIAN(FG_PRICE(0).DATES)":46101,"991000^FG_COMPANY_NAME()":"MSCI World ex USA","892400^FG_PRICE(0)":1178.669381,"892400^JULIAN(FG_PRICE(0).DATES)":46101,"892400^FG_COMPANY_NAME()":"MSCI AC World","891800^FG_PRICE(0)":92606.390281,"891800^JULIAN(FG_PRICE(0).DATES)":46101,"891800^FG_COMPANY_NAME()":"MSCI EM (Emerging Markets)","990100^FG_PRICE(0,,,,,0)":3296.483711,"990100^JULIAN(FG_PRICE(0,,,,,0).DATES)":46101,"991000^FG_PRICE(0,,,,,0)":1843.819766,"991000^JULIAN(FG_PRICE(0,,,,,0).DATES)":46101,"892400^FG_PRICE(0,,,,,0)":1178.669381,"892400^JULIAN(FG_PRICE(0,,,,,0).DATES)":46101,"891800^FG_PRICE(0,,,,,0)":92606.390281,"891800^JULIAN(FG_PRICE(0,,,,,0).DATES)":46101,"990100^FG_PRICE(0,,,USD)":4244.08568,"990100^JULIAN(FG_PRICE(0,,,USD).DATES)":46101,"991000^FG_PRICE(0,,,USD)":2907.824246,"991000^JULIAN(FG_PRICE(0,,,USD).DATES)":46101,"892400^FG_PRICE(0,,,USD)":981.311465,"892400^JULIAN(FG_PRICE(0,,,USD).DATES)":46101,"891800^FG_PRICE(0,,,USD)":1463.333128,"891800^JULIAN(FG_PRICE(0,,,USD).DATES)":46101,"990100^FG_PRICE(0,,,GBP)":7656.49759699191,"990100^JULIAN(FG_PRICE(0,,,GBP).DATES)":46101,"991000^FG_PRICE(0,,,GBP)":5245.82938013961,"991000^JULIAN(FG_PRICE(0,,,GBP).DATES)":46101,"892400^FG_PRICE(0,,,GBP)":1380.1223669238,"892400^JULIAN(FG_PRICE(0,,,GBP).DATES)":46101,"891800^FG_PRICE(0,,,GBP)":2058.04054293136,"891800^JULIAN(FG_PRICE(0,,,GBP).DATES)":46101,"990100^FG_PRICE(0,,,KZT)":1377.71783182854,"990100^JULIAN(FG_PRICE(0,,,KZT).DATES)":46101,"991000^FG_PRICE(0,,,KZT)":802.266048006982,"991000^JULIAN(FG_PRICE(0,,,KZT).DATES)":46101,"892400^FG_PRICE(0,,,KZT)":1324.22557566368,"892400^JULIAN(FG_PRICE(0,,,KZT).DATES)":46101,"891800^FG_PRICE(0,,,KZT)":1327.6959809092,"891800^JULIAN(FG_PRICE(0,,,KZT).DATES)":46101,"990100^FG_PRICE(0,,,KRW)":1969.98139494517,"990100^JULIAN(FG_PRICE(0,,,KRW).DATES)":46101,"991000^FG_PRICE(0,,,KRW)":759.254911144803,"991000^JULIAN(FG_PRICE(0,,,KRW).DATES)":46101,"892400^FG_PRICE(0,,,KRW)":1858.39803411482,"892400^JULIAN(FG_PRICE(0,,,KRW).DATES)":46101,"891800^FG_PRICE(0,,,KRW)":2771.24593497977,"891800^JULIAN(FG_PRICE(0,,,KRW).DATES)":46101,"990100^FG_PRICE(3/17/2026,,,USD)":4387.326865,"990100^JULIAN(FG_PRICE(3/17/2026,,,USD).DATES)":46098,"991000^FG_PRICE(3/17/2026,,,USD)":3017.454402,"991000^JULIAN(FG_PRICE(3/17/2026,,,USD).DATES)":46098,"892400^FG_PRICE(3/17/2026,,,USD)":1013.05454,"892400^JULIAN(FG_PRICE(3/17/2026,,,USD).DATES)":46098,"891800^FG_PRICE(3/17/2026,,,USD)":1495.431148,"891800^JULIAN(FG_PRICE(3/17/2026,,,USD).DATES)":46098,"990100^FG_PRICE(2/27/2026,,,USD)":4556.789568,"990100^JULIAN(FG_PRICE(2/27/2026,,,USD).DATES)":46080,"991000^FG_PRICE(2/27/2026,,,USD)":3244.755968,"991000^JULIAN(FG_PRICE(2/27/2026,,,USD).DATES)":46080,"892400^FG_PRICE(2/27/2026,,,USD)":1056.764821,"892400^JULIAN(FG_PRICE(2/27/2026,,,USD).DATES)":46080,"891800^FG_PRICE(2/27/2026,,,USD)":1610.700504,"891800^JULIAN(FG_PRICE(2/27/2026,,,USD).DATES)":46080,"990100^FG_PRICE(2/27/2026,1/31/2000,,USD)":[4556.789568,4565.866401,4578.084849,4540.376078,4517.311203,4555.107174,4528.334381,4541.483116,4507.945156,4509.685389,4515.820123,4568.935638,4570.50699,4570.787071,4528.993049,4452.133793,4505.150696,4523.15458,4538.486419,4527.589087,4546.294324,4552.762897,4560.731032,4534.474386,4505.183265,4500.05992,4469.603863,4438.225879,4515.277901,4518.146412,4508.852889,4519.077004,4522.39979,4511.009571,4484.287436,4490.236093,4506.641969,4477.921527,4445.212031,4430.381331,4458.277409,4461.192613,4473.230564,4474.199952,4463.966987,4442.649215,4413.790366,4382.406739,4352.020412,4392.75477,4408.603281,4407.817186,4444.317704,4424.737189,4400.152046,4405.026653,4418.627626,4418.461248,4402.444071,4385.758336,4378.363794,4398.435697,4372.482072,4334.459767,4296.118138,4242.672268,4217.236763,4264.126439,4257.667889,4305.437735,4343.639168,4357.501653,4415.239381,4404.494703,4384.773602,4325.031861,4323.69985,4356.693971,4347.452163,4394.90934,4390.422081,4381.344754,4424.835344,4426.069551,4418.660676,4371.266455,4343.58337,4322.930981,4341.533078,4345.789894,4296.405771,4292.084024,4302.27193,4277.744626,4285.802493,4237.721503,4337.775611,4352.17722,4331.478476,4351.883153,4337.293948,4327.485664,4322.701477,4306.703835,4288.358629,4276.227247,4252.353491,4277.346095,4293.661355,4309.232964,4293.853997,4279.33668,4264.862064,4269.826929,4273.267902,4252.634506,4255.231027,4223.672009,4213.109875,4204.414569,4191.231953,4189.100499,4158.875247,4143.339921,4177.716122,4199.989651,4180.826142,4177.263779,4174.128475,4192.803329,4132.084457,4148.827726,4155.02262,4170.72452,4174.555954,4174.172902,4177.97393,4156.475244,4113.113779,4125.298059,4098.078431,4093.260518,4063.297327,4072.664014,4022.694519,4076.038046,4095.583247,4102.804525,4119.122445,4127.468875,4124.254327,4115.241931,4074.993766,4072.136734,4065.679209,4060.506851,4035.772288,4031.19814,4051.500813,4046.839533,4063.964219,4055.88515,4030.006367,4035.120573,4063.043569,4036.252516,4021.568097,4026.443438,4009.036462,3984.499959,3950.112946,3957.830367,3905.857624,3881.692896,3899.458161,3901.808749,3936.02961,3900.895585,3944.576355,3929.36164,3934.936123,3919.165824,3914.721219,3889.6733,3903.910706,3894.529929,3881.405948,3863.483223,3862.338502,3845.70412,3869.058128,3802.772779,3818.900676,3829.815535,3870.027793,3874.124164,3863.290981,3842.187548,3830.711238,3823.071492,3793.703057,3711.676171,3707.887919,3697.543204,3687.159572,3707.375521,3724.621589,3663.739161,3655.523833,3647.213919,3628.482342,3618.475161,3596.160252,3537.974984,3487.986774,3424.327234,3474.060386,3468.467977,3522.799878,3514.161249,3471.274543,3421.90753,3464.761845,3254.235695,3267.004101,3326.280668,3532.638686,3668.533617,3649.560147,3628.642275,3634.706893,3696.163795,3709.185464,3746.867505,3735.727865,3689.854005,3693.554992,3701.864966,3672.57106,3697.211207,3665.705164,3599.666062,3643.013926,3623.174987,3651.484054,3740.365171,3730.931016,3777.644798,3724.686426,3770.339517,3805.325826,3767.353589,3821.038586,3814.345667,3828.177123,3843.077388,3893.651637,3906.824118,3910.706126,3898.868092,3894.238565,3848.184918,3854.959554,3854.093337,3832.820403,3864.031283,3848.647138,3826.360753,3796.528732,3836.583459,3853.492882,3828.450523,3836.253443,3813.330058,3856.778555,3856.168773,3838.185251,3817.277386,3777.850023,3746.860499,3744.473505,3682.461332,3674.915344,3678.223906,3732.199658,3733.549051,3763.145563,3737.500699,3702.678658,3707.837386,3718.93887,3755.355239,3778.695345,3777.892029,3745.127714,3723.22203,3696.054078,3720.409088,3812.072086,3826.994073,3817.236652,3826.083279,3842.385458,3816.757006,3837.627419,3855.068005,3848.480799,3849.717662,3830.115306,3817.719791,3810.141269,3786.041839,3790.306266,3781.788019,3765.964919,3753.509687,3732.766634,3738.952442,3723.357812,3710.500827,3752.69741,3767.054667,3773.232235,3795.298285,3791.227607,3787.268439,3752.148803,3692.957431,3656.142542,3660.031572,3647.137347,3706.285486,3717.860416,3716.608817,3705.809593,3707.181942,3697.598581,3731.324772,3740.267546,3753.040904,3737.866783,3735.291749,3728.397875,3753.486081,3731.927839,3710.70969,3716.171065,3694.301779,3678.749423,3698.411706,3675.885322,3685.923856,3693.496074,3723.032105,3726.795325,3720.507534,3695.891416,3702.331339,3688.333592,3676.837297,3689.520946,3629.691667,3640.50204,3640.731759,3634.855561,3611.298631,3578.649459,3552.027587,3546.400988,3518.582921,3567.494033,3580.057975,3595.43959,3661.241222,3632.154995,3631.195255,3647.297472,3641.806365,3649.557652,3607.634123,3630.660675,3615.767386,3618.408122,3584.192802,3568.102588,3522.415366,3501.908037,3446.330914,3447.74616,3427.784456,3372.319721,3380.90783,3342.72872,3448.800115,3518.005456,3571.574663,3514.370093,3526.514331,3524.080442,3490.817314,3515.96763,3580.865231,3584.663862,3553.763866,3579.835706,3607.735865,3642.951065,3629.577237,3627.515777,3606.148842,3613.614545,3579.329025,3582.69576,3580.90272,3562.22682,3537.506676,3520.043735,3511.781801,3521.89957,3520.208197,3520.731184,3508.947133,3507.808018,3519.679894,3522.679799,3508.248348,3492.052677,3504.474993,3516.298753,3479.941807,3482.22445,3478.699699,3489.893526,3483.396519,3453.709257,3453.440814,3445.172449,3420.319617,3430.004584,3464.61294,3462.133237,3446.42498,3465.552671,3479.841199,3477.066092,3472.519085,3468.711922,3472.26371,3435.151346,3421.111633,3419.922733,3411.109946,3395.637281,3401.766779,3391.132025,3361.412556,3321.809759,3294.005232,3305.295943,3347.040902,3335.076569,3306.67769,3323.288066,3322.536761,3282.090699,3255.621138,3280.101481,3281.114195,3297.137714,3317.678389,3351.010263,3391.010746,3379.724573,3412.091303,3408.567708,3402.356674,3386.30782,3409.618143,3403.399943,3424.73061,3436.780555,3436.982393,3414.287435,3420.177081,3428.12268,3434.69092,3414.885746,3393.368388,3380.665809,3363.033667,3382.479999,3396.185099,3397.253205,3367.077168,3380.13845,3391.255195,3357.029346,3337.197443,3362.275725,3364.043606,3337.204496,3322.641754,3331.880734,3325.785204,3334.042582,3329.858574,3272.189526,3274.332729,3285.119021,3289.742264,3265.665395,3240.260397,3281.007693,3281.421619,3266.138766,3265.065843,3244.512511,3233.531117,3247.642196,3226.796631,3205.316794,3236.761864,3236.322549,3216.234282,3212.324142,3203.552263,3190.903629,3189.097205,3175.362206,3143.20074,3120.43574,3146.04331,3168.307287,3157.324455,3161.49827,3146.968303,3153.616946,3120.548503,3114.120971,3115.682088,3145.419023,3169.179629,3178.048078,3175.65225,3162.650618,3152.258472,3145.088576,3121.789505,3153.344659,3131.34889,3126.137857,3128.892989,3101.079408,3067.443054,3056.417124,3047.21403,3037.449941,3020.981629,3023.222237,3026.586371,3040.69595,3023.629602,3013.929827,3012.567688,3007.991756,3015.190086,3004.757681,2999.867808,3004.876789,2985.187903,2973.002984,2975.190675,2963.356285,2904.641712,2900.762766,2878.976907,2888.41012,2887.392823,2889.436663,2883.801309,2852.553195,2797.490517,2768.62128,2757.588931,2731.991593,2740.964204,2772.107967,2801.963758,2786.74819,2791.240656,2824.449248,2851.886176,2888.618933,2885.348074,2862.144288,2884.059106,2899.503856,2887.894792,2858.705271,2845.227985,2816.43237,2810.860755,2799.636016,2838.775754,2853.235215,2855.876975,2840.815675,2844.831824,2879.785689,2879.848855,2886.070841,2936.357886,2951.17082,2956.140702,2960.976473,2982.684916,2956.842155,2955.869303,2969.450073,2948.806745,2947.113408,2955.815182,2973.454456,2989.505209,2986.023244,2991.523312,2975.501301,2935.707246,2911.9883,2906.254004,2937.695935,2909.185523,2910.521672,2897.504496,2901.838745,2925.632858,2948.222214,2976.857234,2972.734,2984.810545,2976.314348,2988.096589,3003.766603,2986.54442,2990.132665,3000.534536,3048.595995,3064.296723,3057.838349,3034.413344,3044.703817,3045.389408,3037.435742,3028.709084,3029.695948,3047.985742,3042.528414,3021.964118,3017.936357,3019.709802,2987.189767,2953.121927,2931.046832,2924.191756,2924.551905,2960.75672,2972.029647,2966.723985,2933.864029,2924.919573,2921.19262,2894.932701,2902.337223,2930.365932,2927.720673,2939.538298,2962.335824,2966.434191,2939.590847,2929.681286,2906.013751,2885.630925,2882.131783,2866.586123,2877.966077,2870.27204,2873.365172,2831.656561,2800.557051,2825.59547,2827.93166,2796.862387,2788.816601,2816.846581,2845.707477,2842.760676,2840.121944,2820.922447,2802.389255,2819.469493,2809.350421,2814.857356,2822.601122,2815.28784,2827.379129,2821.990442,2779.25996,2796.309258,2803.068323,2833.595322,2835.928022,2815.76828,2779.710662,2789.541672,2826.854019,2823.073757,2822.536045,2833.389762,2835.888817,2827.237551,2825.750404,2829.196564,2795.480231,2797.073333,2786.202153,2790.100109,2784.047512,2796.779085,2803.625117,2791.438289,2759.704672,2739.419195,2704.762174,2702.415976,2692.548926,2696.854112,2686.134373,2711.83906,2678.290849,2656.192416,2677.987902,2638.463249,2674.360542,2643.641684,2657.407511,2691.167738,2725.231989,2724.804357,2764.64092,2757.970264,2719.683763,2706.786389,2714.571102,2721.630463,2706.905048,2737.413723,2730.880424,2740.378271,2779.877134,2790.627552,2815.454159,2812.53201,2810.035533,2783.912221,2790.530577,2801.957297,2820.4909,2793.586331,2820.734995,2847.822509,2809.936394,2784.995279,2759.316001,2785.840234,2777.61868,2756.733478,2755.960897,2754.960922,2725.395594,2685.316536,2713.537085,2736.451934,2735.723605,2720.093198,2700.754699,2671.203751,2663.171878,2649.760828,2594.685022,2624.350528,2600.907474,2602.685022,2611.979102,2575.155828,2600.943248,2605.186422,2595.247074,2626.916712,2592.860196,2585.890501,2606.009736,2636.914738,2705.314916,2715.489691,2683.557703,2662.857516,2670.271276,2654.343499,2662.070312,2696.296099,2733.031469,2741.076543,2720.888674,2663.246826,2668.435986,2703.665696,2697.388324,2675.458528,2640.440297,2658.898204,2642.335067,2657.578604,2678.226383,2653.941695,2674.076621,2636.547292,2509.765311,2554.873545,2533.634568,2507.220244,2467.8889,2499.784987,2546.395241,2547.715764,2561.043812,2523.58706,2535.6746,2537.536996,2493.062135,2462.422752,2429.258084,2439.303097,2457.861096,2431.839154,2376.644713,2411.689376,2367.689115,2376.287728,2395.613684,2417.722197,2478.420772,2500.075156,2511.721193,2429.908494,2378.645284,2401.316939,2438.776753,2403.878002,2408.438989,2438.50365,2489.360106,2516.590527,2554.023175,2580.549496,2569.293523,2591.995383,2617.841383,2619.499518,2719.007779,2682.895072,2636.168535,2614.102616,2584.969532,2605.210275,2610.254932,2627.320953,2645.373293,2668.785746,2694.616801,2768.480189,2736.006704,2730.354134,2736.098457,2787.705051,2826.414374,2822.872756,2844.419834,2842.480368,2834.51254,2802.228856,2803.371245,2743.624121,2758.723485,2752.060053,2761.650027,2755.245253,2728.299684,2749.261116,2746.364566,2709.821394,2675.084832,2624.492067,2651.222145,2650.819164,2663.836961,2643.931623,2628.335832,2567.678119,2568.635019,2520.915086,2544.676586,2554.184517,2572.333329,2603.619085,2602.030992,2561.198582,2553.954113,2559.951063,2546.185327,2574.450743,2584.255775,2623.196778,2619.475673,2549.052501,2537.255467,2543.355941,2485.773093,2490.537704,2556.670519,2525.88083,2545.044664,2641.694226,2721.846582,2783.290778,2805.324502,2789.828103,2779.06462,2814.025839,2770.431384,2791.012712,2802.586703,2743.963393,2700.089096,2680.458633,2702.252438,2655.912816,2651.554392,2665.060202,2746.819623,2693.953138,2701.326642,2639.752869,2652.586917,2677.245068,2671.828026,2762.213014,2784.116186,2864.430488,2809.815398,2796.329669,2795.615306,2861.54898,2807.510051,2810.99563,2877.704711,2882.452693,2959.916837,2994.638739,2984.699036,2954.151815,2960.638973,2985.065301,2959.776531,2972.400676,3012.193961,3014.076619,3012.23637,3049.393702,3081.383628,3057.066618,3053.07008,3096.666849,3110.808783,3061.630887,3049.111717,3041.477204,3012.794096,3040.369663,3010.082766,3010.587291,2981.312954,2936.325218,2865.88947,2826.488515,2840.044991,2871.521402,2881.776172,2797.696102,2819.539012,2896.523026,2942.44787,2964.243761,2930.764755,2977.953985,2980.204335,2905.94425,2909.331033,2949.641397,2983.585697,3009.088921,3060.288925,3054.256892,3011.452171,3039.176169,3087.982884,3124.927847,3077.133655,3059.438236,3061.46406,3052.496701,3113.835291,3086.615522,3059.047155,3005.629706,2955.340895,2979.697011,2975.483652,3005.515202,3025.097169,3082.250948,3098.599716,3124.206734,3173.120108,3182.063473,3214.188096,3193.392756,3166.139824,3177.537999,3184.623708,3203.027078,3248.118249,3241.430703,3231.726975,3237.069284,3243.946545,3239.28286,3237.699046,3206.08232,3183.623261,3152.311472,3100.497381,3139.751998,3167.333453,3175.110088,3138.057968,3161.997747,3188.255707,3172.489049,3196.391428,3184.172383,3117.305686,3086.44195,3111.167252,3087.97513,3101.795856,3155.729202,3131.977018,3198.12408,3196.882886,3201.491815,3219.904229,3226.372038,3221.033436,3231.948072,3226.445863,3223.815447,3201.994463,3201.570079,3227.797448,3237.633421,3232.255435,3224.632639,3212.353041,3195.669039,3190.535793,3174.72534,3179.444218,3152.051409,3167.437613,3159.883629,3151.157797,3152.326605,3147.699296,3136.193868,3114.011281,3109.465761,3084.589195,3039.013022,3024.722163,3031.570818,3043.744391,3046.5702,3015.950208,3016.191607,2992.885797,3022.829105,3006.604139,3028.749424,3032.703456,3095.558952,3103.529815,3106.421158,3074.354849,3049.675169,3046.202602,3096.614564,3122.57259,3127.714375,3116.078087,3126.101864,3122.067495,3136.039485,3146.957791,3158.93673,3163.986851,3161.459545,3151.664638,3141.350937,3146.628715,3133.669261,3110.271236,3125.828664,3121.997155,3112.569508,3080.019824,3063.224489,3078.013878,3100.117587,3121.985657,3125.117399,3115.736244,3109.967368,3099.49393,3097.060923,3098.062928,3102.226535,3085.831225,3092.512003,3077.109529,3069.249002,3089.817756,3069.492477,3068.867295,3080.404739,3072.378203,3046.597811,3036.718945,3005.856655,2975.546546,3024.648486,3043.515661,3058.583169,3059.269199,3068.259096,3053.115637,3022.235095,3049.654985,3042.625684,3046.087622,3028.194973,3017.222403,3024.43084,3025.208969,3024.937339,3013.359858,2998.002743,3001.135694,2982.106721,2954.186803,2996.511258,3008.478386,3017.267863,3019.880612,3012.672241,3007.462027,2996.63967,3001.834352,3000.97183,2997.357188,2972.869464,2985.973318,2982.024588,2979.297181,2970.64314,2969.509616,2965.510212,2966.435032,2943.128766,2942.214409,2910.94026,2928.681809,2934.179309,2938.625483,2892.480754,2876.790991,2928.331618,2961.574453,2979.406556,2952.025396,2932.844617,2922.496891,2948.674395,2938.763958,2963.311784,2951.881365,2952.005561,2956.132519,2946.112516,2923.912178,2932.976466,2915.780359,2944.050959,2953.347154,2941.746847,2913.532625,2918.191606,2907.253213,2910.095125,2895.612811,2881.147879,2876.228313,2872.966143,2840.186928,2811.698918,2805.104163,2811.532854,2814.856578,2775.054906,2767.257852,2788.01033,2809.64958,2796.139564,2802.270734,2826.790145,2823.687452,2821.852765,2807.208556,2806.070105,2775.344291,2761.816471,2722.635472,2728.556506,2706.475743,2741.684073,2768.246514,2783.701378,2726.909919,2760.261634,2802.39506,2789.213127,2788.107587,2806.471093,2802.92058,2815.977093,2828.153196,2818.846055,2807.158199,2800.682601,2798.552103,2795.892486,2773.449518,2757.662233,2737.932444,2731.952111,2697.876919,2661.69054,2710.602741,2694.423263,2754.116514,2756.866936,2755.662716,2765.566192,2761.484056,2732.481401,2714.812254,2738.085897,2739.869623,2734.40126,2730.049525,2753.307064,2734.190621,2699.511813,2684.178015,2670.042638,2690.044169,2686.056332,2682.184721,2676.801425,2659.03965,2651.414292,2643.072812,2644.972685,2666.304889,2674.867773,2654.7916,2643.737425,2619.429757,2621.893758,2628.584708,2627.527614,2642.051274,2635.880354,2639.655877,2621.275529,2613.912815,2609.006296,2583.143358,2601.449135,2589.669764,2587.191871,2546.900359,2540.023214,2546.308243,2543.360507,2558.428804,2561.496281,2529.290946,2509.238476,2528.249074,2507.101115,2502.062775,2470.048471,2466.580754,2416.612614,2369.273812,2322.139308,2292.925435,2318.43726,2306.647844,2381.653228,2390.077184,2430.541298,2421.001145,2417.833905,2422.707491,2417.925123,2440.135842,2435.929477,2453.612316,2464.178765,2477.916184,2447.755135,2427.357729,2409.394753,2382.569713,2403.499881,2362.405882,2380.021256,2367.270462,2359.63421,2366.405979,2326.852565,2300.297195,2305.571279,2343.38791,2329.49421,2367.993181,2383.538456,2403.500366,2407.974793,2396.374069,2368.14263,2367.80034,2393.751049,2354.409585,2399.601104,2425.782923,2494.100843,2467.249453,2455.512157,2456.855194,2442.785818,2446.050233,2422.949358,2417.053606,2392.108188,2389.150147,2394.467644,2399.365617,2393.971938,2384.198556,2390.084758,2391.795314,2359.465698,2360.868799,2355.972933,2359.889549,2355.939334,2336.824421,2324.082239,2304.982465,2304.008515,2319.710819,2299.906128,2311.623283,2291.578453,2308.117122,2327.764065,2321.549461,2312.954363,2293.916491,2288.80997,2298.78239,2270.685053,2253.759036,2259.596524,2240.733596,2252.639073,2243.166287,2264.286827,2227.648324,2211.272456,2201.788466,2176.439086,2157.191013,2193.395647,2180.122265,2236.036628,2217.819609,2208.967148,2215.643964,2217.896743,2219.096931,2171.442999,2164.456541,2154.436591,2267.364105,2275.276174,2288.040943,2266.756243,2218.502804,2222.537623,2187.087789,2163.924958,2147.882039,2148.332711,2136.898788,2114.2715,2071.901633,2074.097746,2092.030543,2061.372125,2069.003941,2008.41026,1999.892124,1998.48442,2034.057844,2060.702436,2061.885572,2026.121746,2007.596601,2018.114982,1997.746895,2004.785187,2052.845322,2070.763952,2023.350943,2022.494608,1987.647167,1974.381786,1968.267676,1932.249712,1994.02669,2017.508487,1964.326395,1960.20152,2006.805233,1956.752426,1970.671329,1940.082161,1895.040322,1881.477614,1776.861394,1803.067463,1781.266113,1852.726663,1870.477214,1827.170512,1875.563299,1785.986086,1742.605891,1602.105288,1650.939594,1694.449002,1682.2522,1772.934914,1702.787796,1881.641288,1776.524997,1972.044867,2051.957127,1995.222276,2149.286077,2192.345467,2243.09238,2179.482065,2212.38405,2141.123595,2177.248396,2258.619753,2269.419514,2330.75205,2402.804081,2420.20943,2431.224507,2421.467862,2431.365226,2429.892625,2434.951953,2421.261713,2413.100754,2404.746175,2416.477004,2404.962801,2383.295297,2351.451986,2342.413562,2372.014269,2373.516537,2372.522401,2356.092518,2395.309322,2406.137258,2410.228311,2409.29199,2415.51197,2406.167611,2392.063618,2388.495739,2388.24673,2377.619123,2379.854215,2366.925722,2362.428034,2364.490769,2363.120329,2375.93792,2358.468438,2353.252994,2364.903663,2360.213609,2351.841885,2350.746007,2349.870944,2340.654431,2333.278918,2336.61534,2337.45043,2319.734256,2309.364366,2295.019585,2289.672499,2292.584105,2296.392348,2278.628296,2275.467117,2263.096983,2276.396831,2292.259205,2302.671226,2294.776547,2290.650732,2273.886141,2270.359553,2274.916465,2284.84865,2285.758441,2282.798908,2265.286943,2268.325858,2270.012622,2266.362819,2268.828882,2266.693837,2261.37063,2259.256905,2261.448851,2252.067405,2233.525725,2237.314776,2232.446179,2231.397753,2222.754399,2215.642899,2208.283487,2204.287636,2209.340621,2195.278386,2201.917389,2195.348465,2196.611369,2175.27879,2179.328332,2150.160097,2137.617696,2124.14549,2151.822408,2153.825206,2131.356645,2121.469801,2158.471702,2180.018237,2175.541718,2183.456258,2184.562408,2182.072357,2193.73965,2197.545838,2204.673171,2201.024834,2201.767254,2195.880388,2205.809234,2201.814076,2194.423765,2179.425422,2178.405021,2178.89664,2174.265921,2149.797486,2126.924913,2138.521184,2133.076568,2111.916676,2104.845409,2105.217226,2094.632789,2131.676661,2135.52475,2119.573976,2131.809518,2108.502049,2082.838247,2086.260779,2134.537132,2117.647048,2135.343183,2146.906693,2114.053303,2109.200775,2097.318682,2149.993281,2173.176642,2187.563594,2203.402001,2212.503719,2215.708354,2206.922048,2217.750958,2209.586931,2197.67231,2194.611862,2198.399093,2197.936223,2208.087859,2214.340418,2212.645309,2205.345618,2201.137702,2193.645131,2194.61551,2205.567658,2213.345952,2198.547121,2192.237886,2178.346522,2166.481752,2158.409717,2163.728964,2178.166206,2178.157486,2183.356818,2161.595477,2150.912464,2130.86252,2130.95244,2136.961946,2134.418544,2139.742838,2135.506385,2126.881656,2104.182273,2095.831542,2077.65951,2045.06419,2046.245937,2066.482378,2064.79979,2084.572401,2095.025356,2087.457014,2111.783728,2117.661499,2104.643645,2116.504948,2126.059301,2110.395859,2098.758064,2086.455995,2126.319666,2119.308149,2131.898097,2135.494131,2166.65633,2177.767298,2161.114277,2170.032833,2178.67429,2175.58887,2173.816276,2165.363261,2168.809482,2174.392157,2161.579434,2160.205663,2160.938959,2163.084454,2161.144492,2159.392946,2147.611323,2147.986823,2143.195564,2152.894817,2149.847886,2142.749738,2143.022331,2131.711525,2131.793605,2107.742125,2095.175249,2094.018324,2102.621096,2087.056547,2094.812003,2127.930494,2112.045998,2120.434754,2117.988643,2108.77947,2096.324537,2095.666756,2083.383651,2074.656844,2051.123352,2061.411604,2078.688801,2087.502005,2090.39958,2096.354084,2085.844635,2092.122233,2091.698705,2091.834807,2086.966025,2077.436106,2083.635985,2075.906756,2066.584638,2047.563536,2052.76168,2045.118159,2021.5952,2020.533169,2026.935975,2047.113547,2051.357039,2037.757763,2029.546015,2028.492315,2010.954744,1989.5977,1989.183379,2001.860444,1983.233177,1980.145285,1978.831207,2000.757367,1975.608455,1966.502794,1963.613118,1948.163259,1957.168073,1957.692533,1950.985228,1935.787002,1919.751357,1904.17693,1853.17775,1881.149102,1883.901399,1870.800351,1862.382136,1850.70033,1802.951504,1834.968899,1862.820913,1892.712921,1908.156563,1914.32858,1942.546581,1974.411102,1975.881133,1954.652078,1952.830058,1965.242726,1990.845883,2016.889863,2066.618059,2041.358676,2034.885311,2029.775321,2000.073583,1999.204636,1975.090056,1984.730984,1976.906711,2009.60517,2031.757791,2026.296954,2015.143223,2026.523005,2028.618626,2063.156538,2082.467372,2084.447537,2050.64661,2040.683938,2036.702772,2040.933057,2021.982259,1997.186051,1975.699589,1981.891792,2006.268291,1988.619979,2033.889962,2053.438017,2062.334841,2064.474623,2089.503723,2091.206467,2055.107087,2063.434905,2044.951759,2089.095433,2138.462482,2143.564746,2151.423074,2165.431323,2183.631648,2183.620722,2188.184858,2184.008868,2188.705855,2189.310069,2194.195867,2193.006558,2200.006858,2195.677162,2177.743329,2172.268934,2160.525918,2166.587426,2162.675757,2152.697191,2147.672377,2142.64007,2137.602229,2144.027951,2152.773141,2162.828308,2175.498067,2181.561655,2190.749653,2182.504629,2179.949695,2161.608742,2149.223568,2155.987078,2151.788724,2145.241307,2138.107847,2131.051988,2115.699994,2137.355074,2127.466341,2139.842718,2163.69324,2166.149325,2166.851831,2157.335958,2155.389541,2147.57557,2149.362432,2153.096357,2148.249707,2156.107086,2161.932478,2161.75558,2151.077466,2139.436905,2139.171024,2134.843495,2142.24272,2138.148329,2132.792407,2134.599519,2130.861263,2117.30007,2135.872352,2131.141897,2113.739648,2096.18808,2082.048164,2082.080693,2089.30065,2079.616404,2076.301196,2088.407821,2085.590085,2114.900666,2105.929813,2117.758391,2111.442603,2125.789561,2134.150689,2142.01667,2140.203043,2145.363334,2144.202748,2137.741036,2137.56592,2136.735404,2119.364741,2121.855143,2109.191868,2092.922608,2100.420887,2083.272966,2110.79803,2117.73196,2122.895379,2128.778109,2130.718714,2120.795533,2125.556503,2122.974072,2119.980456,2136.094354,2131.956109,2123.528011,2109.838179,2095.070845,2096.863097,2089.436311,2071.366702,2076.693717,2083.769968,2086.513815,2096.045696,2092.443684,2076.737755,2081.516979,2097.222611,2099.734771,2115.927047,2123.765927,2116.42883,2099.816737,2088.981693,2090.894967,2082.571816,2090.110495,2061.18698,2052.776853,2080.693719,2061.308662,2048.796633,2038.538599,2065.529204,2047.750258,2055.548258,2069.129882,2036.553941,2072.941381,2109.179766,2110.91366,2110.400098,2134.04653,2133.347022,2134.511096,2144.601518,2154.258778,2149.320747,2125.279761,2115.982245,2117.768912,2106.584489,2089.842793,2089.977228,2117.993247,2140.568919,2159.668387,2140.905468,2117.170852,2118.357264,2126.215801,2137.910836,2130.942372,2105.855088,2080.675543,2075.913661,2050.899146,2045.014051,2101.074548,2098.847382,2103.635728,2171.540807,2212.526897,2213.237747,2214.110371,2234.22187,2248.930081,2234.378852,2232.301376,2230.053035,2221.011801,2207.404193,2196.728093,2199.930075,2188.391387,2185.31184,2171.777957,2162.285055,2161.780645,2157.959649,2156.60007,2142.752415,2125.648161,2116.042064,2103.448341,2106.892794,2103.188651,2099.308634,2099.589289,2100.775269,2095.444773,2096.340778,2104.024217,2085.540652,2077.55147,2084.365009,2083.431745,2081.242516,2073.459601,2063.578511,2058.219694,2063.643886,2069.993032,2069.373641,2077.360121,2066.223344,2066.551347,2055.770373,2059.542115,2050.063125,2047.148237,2035.728703,2033.176629,2035.809962,2021.02851,2031.880532,2035.714989,2040.252472,2042.364271,2050.704451,2046.779792,2046.795017,2045.467762,2043.243047,2041.170178,2036.804419,2034.592102,2034.601376,2025.686474,2023.481383,2031.384182,2030.062109,2035.580252,2033.285112,2030.437801,2027.361541,2029.8891,2028.008675,2023.642845,2024.541757,2021.554673,2013.116018,2014.017744,2016.148411,2010.946245,2009.634347,2004.674547,2000.552748,1992.362213,1987.999978,1983.252207,1989.075532,1994.581048,1990.32739,1998.686531,1996.093537,1990.584016,1987.722694,1983.417954,1986.739506,1988.276838,1981.969895,1964.520603,1964.572878,1959.145614,1954.636919,1965.793667,1959.743396,1947.533233,1945.050115,1946.278582,1944.564381,1939.65044,1942.149214,1945.176348,1932.223744,1930.404784,1936.31709,1954.036589,1949.232741,1952.576494,1937.725544,1940.283874,1961.875608,1966.81332,1971.76132,1967.769114,1968.716194,1970.29269,1970.38625,1961.100222,1960.315986,1963.539975,1961.899133,1960.591085,1954.836367,1958.772577,1963.309776,1958.563595,1949.657673,1948.583876,1948.07455,1936.942054,1932.859658,1915.66814,1917.112002,1913.184374,1909.008233,1920.325391,1920.582134,1916.426269,1919.593664,1931.725298,1917.56792,1927.485915,1925.014657,1921.541187,1919.998657,1922.536112,1936.5196,1923.237069,1916.516454,1930.524724,1928.744114,1918.702115,1922.788657,1924.197744,1927.055561,1926.053352,1931.728094,1935.211521,1923.099635,1911.739593,1909.898796,1912.210434,1914.58756,1907.80666,1906.693935,1904.916236,1894.769879,1880.963681,1882.619343,1906.229746,1901.636711,1892.966576,1891.21128,1895.92665,1893.413508,1897.321553,1896.748014,1886.484007,1883.134973,1886.148989,1882.4874,1878.276124,1881.143203,1882.435546,1882.036189,1871.651958,1842.064082,1846.651819,1835.035214,1837.342214,1846.129878,1833.124698,1842.98488,1847.879546,1846.779402,1845.464493,1846.590215,1845.94883,1850.021886,1848.971764,1853.689997,1859.945242,1856.764995,1858.875712,1845.151378,1845.806974,1844.969438,1842.632478,1846.390096,1860.526401,1863.075994,1864.104242,1854.145663,1842.976626,1850.015856,1845.875574,1835.89547,1834.723599,1840.569933,1845.695502,1848.983172,1848.836886,1856.342186,1838.69908,1841.56919,1840.796524,1845.352889,1842.374219,1843.053651,1836.498314,1836.563112,1833.550277,1823.625829,1823.340033,1814.710023,1807.544924,1802.261081,1797.293186,1798.207148,1805.513005,1795.113206,1793.388946,1792.402944,1792.057277,1803.387689,1803.745217,1805.806993,1790.570408,1781.429692,1782.714522,1776.018242,1785.692274,1782.85591,1788.232612,1783.440189,1778.165355,1779.623844,1776.940696,1783.09587,1782.456678,1773.962113,1757.985831,1751.218957,1752.960024,1750.475058,1760.563707,1759.150035,1757.832631,1760.090955,1761.426802,1758.816429,1754.741442,1754.513061,1763.718781,1774.008431,1760.245067,1760.115133,1752.940386,1749.308632,1727.821805,1718.102279,1708.938913,1708.641013,1712.088792,1715.424197,1712.983143,1720.842339,1709.713077,1713.069229,1710.490555,1697.345577,1706.979502,1698.414273,1701.82252,1692.305024,1696.986898,1701.285523,1696.459362,1691.742037,1685.619491,1660.121819,1667.029529,1672.826376,1683.956065,1690.921701,1690.960046,1694.66074,1699.917459,1701.197654,1706.239593,1701.157843,1704.041954,1706.743387,1701.099296,1687.844218,1693.714048,1689.618567,1695.538752,1700.326218,1719.287278,1712.396351,1718.400288,1721.138573,1717.820048,1722.82412,1725.665202,1719.770121,1725.631461,1719.881129,1714.853732,1729.697652,1740.547974,1721.687046,1703.227044,1703.07585,1696.312581,1704.839401,1692.525752,1694.829836,1715.758314,1707.936449,1744.435377,1747.473736,1745.892938,1734.600125,1723.547952,1719.523719,1723.645102,1725.570062,1726.080902,1727.295514,1731.165679,1738.551722,1732.607342,1731.853492,1736.828558,1731.644402,1730.939923,1739.428312,1736.102803,1735.802576,1727.486087,1728.518193,1719.90895,1716.646759,1707.692619,1703.434901,1706.520434,1717.666481,1721.787902,1707.586861,1706.352301,1705.99498,1703.937749,1706.965496,1705.403756,1707.318251,1698.722944,1703.932206,1700.569665,1703.224997,1694.379399,1690.686524,1676.149248,1662.316491,1643.934921,1640.744947,1645.54324,1660.264082,1653.229419,1634.405079,1599.121654,1571.761934,1608.793254,1691.760489,1667.907159,1668.782487,1664.138079,1635.775735,1628.1294,1633.797684,1630.447262,1645.638582,1665.221985,1688.658382,1699.292032,1694.293215,1686.389814,1678.576143,1673.768833,1672.856726,1674.612863,1676.073155,1672.120692,1668.865094,1654.35533,1635.617804,1639.854074,1627.614629,1641.147166,1641.628038,1648.485181,1635.9212,1649.910086,1653.382185,1662.312045,1642.89413,1643.194898,1641.163631,1644.012374,1658.641794,1675.63819,1670.796146,1677.338842,1685.947308,1685.653854,1682.679051,1686.168951,1690.451946,1695.049785,1692.913546,1675.324222,1670.466755,1671.964153,1666.16793,1644.218977,1632.142833,1632.203155,1621.659538,1633.412532,1618.531801,1640.745318,1640.144873,1648.118461,1652.885774,1635.871134,1627.632398,1622.214107,1631.270626,1643.58165,1643.68187,1645.571987,1643.004359,1621.470957,1619.157163,1627.501736,1626.169157,1597.087834,1598.473957,1593.664034,1607.631982,1608.040262,1598.256406,1588.079515,1575.312249,1547.173833,1554.4743,1553.897051,1534.690603,1540.704259,1558.024639,1538.169805,1543.507711,1544.324648,1519.941979,1486.446048,1468.896603,1486.755967,1488.535284,1498.538751,1523.869991,1548.856892,1540.865798,1538.922812,1566.562024,1562.178142,1532.683049,1531.375761,1535.761995,1521.149391,1536.79135,1497.868659,1491.727125,1520.4923,1521.004886,1549.059097,1544.284822,1561.677917,1557.589748,1561.467169,1576.316252,1610.166987,1630.643997,1630.885802,1662.794366,1676.431631,1685.618001,1670.38741,1673.997639,1671.506107,1650.169596,1638.912267,1633.754982,1655.21698,1668.731373,1646.69249,1632.278475,1637.828324,1663.879347,1664.374746,1670.682892,1686.579858,1694.781805,1678.232598,1696.226095,1710.117531,1694.396624,1700.292858,1697.831515,1695.45738,1697.29937,1702.830154,1700.560451,1691.554283,1676.095004,1667.447194,1654.296449,1671.492411,1691.878339,1690.511262,1691.601462,1704.39156,1710.774757,1713.867196,1717.39448,1715.179031,1705.803474,1706.610686,1714.128587,1696.238663,1704.980696,1706.61153,1689.326349,1672.868544,1677.520581,1679.917632,1683.551426,1675.767456,1653.014339,1661.069802,1674.386903,1673.774664,1663.573209,1653.467779,1640.982695,1637.493478,1607.128725,1587.983492,1581.921901,1550.434966,1560.044045,1594.703826,1587.380333,1596.662275,1600.762528,1628.93026,1630.689498,1652.882254,1653.81262,1634.014074,1620.278584,1626.990146,1625.403396,1628.176216,1627.093591,1595.713317,1622.944923,1615.674317,1600.709736,1645.429575,1658.073655,1650.533623,1616.481371,1583.864895,1589.500522,1650.960171,1697.249274,1726.005468,1744.20361,1749.080842,1743.894576,1741.432599,1742.421203,1749.630049,1766.617274,1747.340106,1752.672863,1762.751645,1758.867364,1761.179301,1765.603743,1759.765725,1760.694403,1747.058714,1733.583504,1745.502316,1762.795019,1766.635017,1777.863444,1782.191265,1780.831051,1781.914187,1768.123888,1769.410433,1758.685261,1743.323608,1717.468432,1706.872569,1724.945262,1729.503382,1747.25089,1747.177062,1735.613449,1737.600982,1776.216637,1781.483359,1785.700348,1795.980801,1796.117766,1774.883503,1780.618785,1762.105532,1763.679461,1757.085391,1770.171608,1779.445957,1776.70981,1751.646631,1752.203568,1760.43042,1775.437826,1789.905055,1782.388337,1778.284773,1779.307339,1791.345086,1793.604246,1781.138635,1803.504042,1810.840869,1803.951418,1803.716956,1808.72785,1807.060595,1803.415487,1789.966069,1784.911565,1789.089515,1794.700397,1769.246063,1772.824047,1773.415446,1790.829302,1787.401216,1778.400121,1795.874828,1803.387419,1801.567068,1799.86347,1792.305445,1786.771058,1781.952064,1779.121084,1769.006222,1786.579945,1783.787493,1779.847832,1772.079487,1779.468263,1771.855497,1766.441639,1764.242455,1764.488748,1749.343696,1738.149946,1740.813663,1757.30587,1744.81858,1744.901281,1756.477414,1772.409856,1778.001306,1774.56544,1751.31005,1754.103957,1736.634689,1740.089856,1719.81913,1728.61796,1710.786735,1712.547912,1741.84241,1741.987275,1763.738874,1760.908325,1768.569265,1776.645542,1772.861889,1773.991881,1776.859572,1774.917891,1770.348572,1768.085252,1760.801938,1759.036428,1754.796194,1752.181106,1741.217676,1721.582881,1725.830852,1714.227058,1720.54955,1727.491439,1715.132466,1715.222443,1694.348496,1677.536843,1693.811895,1689.199118,1705.596139,1712.554774,1707.737523,1710.468131,1694.342113,1685.26981,1675.152223,1662.438836,1665.380722,1678.192532,1676.712783,1683.800562,1694.170712,1662.223304,1654.378354,1671.249447,1704.70785,1709.672168,1721.012432,1731.705865,1729.423095,1726.226772,1724.102528,1723.258789,1716.996983,1706.333742,1672.478475,1655.522958,1654.560394,1675.043243,1699.053312,1698.43107,1721.971195,1726.47495,1738.518666,1736.626461,1739.728887,1735.986618,1729.887552,1739.497106,1748.00483,1742.820735,1740.086492,1737.238497,1725.465324,1724.72716,1728.232271,1714.965488,1717.200853,1716.239794,1715.029048,1716.831209,1714.603931,1707.011499,1707.529369,1706.5109420000001,1698.215832,1699.086141,1708.092283,1689.221178,1686.347647,1684.539874,1666.823068,1667.87666,1659.971392,1647.214685,1651.14074,1626.051704,1613.556873,1592.602111,1595.213731,1610.735429,1613.607627,1626.678764,1652.9292,1673.47855,1661.358779,1679.819698,1675.289955,1667.983572,1679.17855,1698.40787,1702.176512,1707.874689,1703.093253,1723.667544,1716.231522,1726.471924,1740.316365,1742.741414,1735.34913,1732.545918,1726.860441,1729.496469,1736.993632,1735.785958,1733.206762,1744.302329,1750.627986,1748.615435,1751.996264,1747.223466,1748.688062,1744.368743,1750.701359,1749.166921,1745.263519,1735.962003,1741.905977,1735.808008,1734.892348,1727.398563,1714.257589,1715.727902,1708.759924,1699.368607,1701.629649,1690.593419,1684.728039,1693.152341,1698.244806,1710.158856,1705.75717,1714.353495,1740.217528,1744.22315,1748.256551,1748.253085,1756.27638,1754.124267,1750.776819,1740.125284,1744.310224,1735.108252,1751.509374,1741.455594,1747.055242,1736.021096,1734.49831,1746.069907,1741.638168,1754.802418,1764.115559,1756.959935,1754.755751,1743.415366,1740.862912,1737.268978,1738.158392,1737.824671,1746.285459,1747.434907,1748.405193,1737.77321,1728.74146,1726.992336,1727.208289,1725.491317,1731.200811,1735.317184,1735.984663,1734.471505,1725.599591,1717.764101,1715.821942,1717.269847,1715.184404,1713.248408,1706.145188,1707.665663,1697.938863,1692.355549,1686.513665,1678.007694,1685.88272,1683.692209,1682.338088,1694.803175,1697.987651,1694.880573,1683.364666,1686.786589,1684.043265,1683.524613,1689.772664,1688.988554,1690.393535,1687.741752,1682.378413,1672.648869,1670.760007,1681.155407,1679.253544,1681.980602,1672.396068,1669.812975,1664.846382,1646.671092,1644.361074,1638.434483,1656.091114,1675.323046,1663.767739,1659.286809,1676.251904,1685.139142,1687.463131,1683.697158,1673.87449,1661.836366,1653.121226,1654.340517,1655.689198,1645.967635,1653.384211,1654.317547,1658.049286,1665.493318,1653.935756,1641.134497,1651.677545,1665.553872,1672.192855,1676.525165,1681.173726,1686.10617,1679.064754,1677.852625,1655.418191,1675.399772,1668.398701,1664.845443,1669.408687,1668.309591,1659.850333,1656.01464,1655.044298,1660.543876,1650.116682,1643.194942,1637.705269,1634.466551,1616.779777,1611.778271,1592.6857,1572.365954,1569.927125,1571.919464,1598.456116,1607.460248,1603.669354,1611.35492,1604.922959,1618.360434,1650.452687,1661.740969,1659.491043,1657.316709,1659.336012,1660.002004,1651.73355,1645.413918,1655.105254,1646.368897,1650.165722,1647.65353,1641.161667,1646.054012,1645.217936,1661.068821,1656.147456,1654.156953,1646.275815,1639.652163,1637.276682,1626.656987,1618.383786,1613.751096,1592.78829,1598.214811,1587.694834,1588.709562,1600.116263,1614.228768,1617.6029,1612.607197,1598.88219,1604.737797,1613.313012,1621.336079,1628.424028,1624.818237,1621.906699,1623.696124,1623.151277,1616.341873,1611.338263,1616.435728,1622.823335,1621.495859,1612.85909,1601.560353,1598.550783,1600.843211,1596.279282,1588.467879,1607.717957,1599.426525,1603.814985,1597.855146,1602.860216,1611.85702,1614.333504,1610.22427,1607.961818,1607.920452,1601.64237,1610.793921,1599.726689,1598.139344,1586.637702,1570.339802,1558.187783,1562.774671,1557.350663,1545.94179,1519.778751,1523.129669,1536.396911,1547.499513,1542.794818,1551.016295,1553.510714,1543.672214,1554.992453,1556.737222,1553.745862,1555.566106,1557.866751,1563.258151,1573.128422,1561.533261,1547.237641,1546.517819,1533.722168,1532.927964,1535.733262,1529.138933,1515.913001,1502.400282,1497.581303,1496.293717,1486.06292,1472.738486,1481.11345,1480.03113,1484.400207,1504.406524,1508.489506,1497.797696,1489.650431,1500.58807,1501.38679,1508.802277,1508.13549,1527.040637,1527.194157,1524.060013,1526.904804,1527.822043,1519.329679,1528.058909,1530.462337,1533.852996,1524.914766,1507.912964,1510.324195,1508.856517,1516.206422,1517.722182,1518.380072,1519.765253,1520.616331,1513.517277,1511.125967,1503.378339,1500.526306,1500.938496,1498.306038,1496.672032,1473.314316,1468.468005,1457.516989,1449.051946,1440.585333,1444.855838,1444.334984,1433.547998,1436.028993,1425.512656,1412.533687,1400.975981,1421.185462,1423.867166,1474.879425,1483.038861,1476.972648,1463.828433,1464.20149,1457.574015,1463.42415,1473.129283,1470.216468,1454.909445,1450.946026,1473.481414,1472.73607,1471.932853,1491.786623,1489.440124,1497.12714,1492.74455,1493.443441,1512.89508,1520.635171,1518.40646,1512.983096,1508.015351,1510.866349,1505.972083,1497.398294,1495.838764,1495.741408,1503.662743,1492.064827,1481.850157,1482.457683,1469.722838,1466.532708,1476.139228,1468.437993,1457.798799,1459.25804,1450.792678,1443.855683,1427.075113,1422.252826,1413.722186,1420.703333,1438.807666,1431.094949,1456.536738,1462.815351,1452.412814,1433.009996,1426.451422,1419.10536,1422.21916,1425.587169,1435.411742,1428.035727,1434.619239,1428.946495,1432.63567,1426.713623,1432.331033,1426.662697,1434.352104,1426.753322,1430.966634,1444.476249,1440.207093,1429.838036,1433.278322,1434.828422,1428.716185,1424.88289,1422.258313,1420.254003,1404.941686,1401.748609,1405.180433,1399.42677,1386.05902,1391.218135,1402.052218,1392.105479,1410.01297,1419.814743,1406.915447,1411.589832,1413.805387,1413.833054,1405.700479,1410.441616,1401.919942,1408.347461,1405.149132,1399.680248,1416.788372,1405.4662,1409.466424,1410.675207,1403.040445,1405.465559,1396.135804,1393.039764,1393.619286,1388.11269,1386.160944,1378.915208,1382.741262,1380.205442,1381.94116,1378.484868,1367.153571,1362.246583,1366.907315,1370.111379,1364.386911,1367.383845,1338.499936,1326.83524,1336.299057,1335.980689,1338.336006,1341.064337,1351.852154,1348.901577,1347.92345,1335.204693,1325.492329,1327.620503,1332.270263,1329.939227,1321.958838,1320.739879,1319.125749,1315.397885,1314.016694,1314.300794,1315.492987,1314.670805,1303.848411,1299.361862,1302.63385,1304.854479,1284.323993,1281.289808,1280.859911,1253.305474,1253.859834,1257.115265,1271.853972,1274.319458,1276.024833,1276.724643,1289.11134,1311.419203,1303.371322,1305.773006,1313.187926,1301.521705,1300.227174,1302.76626,1298.764136,1299.994047,1320.863895,1322.284281,1339.545685,1339.648209,1329.430958,1312.778528,1306.020482,1308.8336,1305.144976,1313.460002,1326.365781,1334.629752,1329.004977,1318.913524,1319.515448,1318.824271,1311.504154,1320.173012,1309.401275,1327.245493,1331.805112,1338.047042,1334.481686,1341.495546,1337.163103,1342.30963,1347.613684,1329.482738,1316.702092,1311.711604,1306.306447,1312.078398,1297.595757,1273.214695,1274.652755,1279.208388,1272.019961,1283.226691,1284.25192,1286.547793,1285.840353,1285.282957,1287.842752,1293.427563,1289.752114,1290.231771,1287.617968,1276.822358,1277.508253,1276.256447,1278.359101,1277.792882,1276.092151,1276.403076,1267.848585,1259.649571,1234.965828,1248.102865,1250.568816,1253.89666,1250.01567,1227.82323,1201.743772,1202.881876,1212.045304,1231.352252,1247.821172,1239.070138,1229.118096,1225.351839,1225.546681,1207.471566,1218.814433,1218.790438,1224.124181,1229.355738,1242.387284,1251.400485,1240.495576,1235.715571,1199.934888,1201.706758,1190.430235,1188.273537,1205.670102,1206.860826,1229.50342,1226.935857,1211.712572,1208.529058,1196.003918,1190.173525,1191.915389,1184.097773,1188.858601,1190.738053,1183.598458,1158.301687,1151.205554,1152.971369,1177.644732,1181.365723,1201.505562,1188.559295,1191.463809,1187.358298,1199.880228,1191.452235,1178.43037,1191.484597,1204.634617,1213.993939,1224.337299,1242.404257,1245.042519,1240.848439,1250.582116,1260.927453,1264.98515,1284.440847,1291.501634,1296.98178,1293.991023,1298.712068,1293.430183,1285.520224,1271.804498,1264.214887,1281.712917,1277.721249,1283.872444,1287.090038,1266.941625,1268.349359,1284.254046,1266.597208,1259.339446,1280.141188,1290.089378,1291.811101,1316.884386,1324.256652,1312.010995,1305.420719,1312.447267,1322.318282,1323.377723,1308.247366,1304.325932,1312.393613,1316.706571,1325.651139,1320.957194,1314.448655,1305.705508,1308.591869,1289.613469,1291.861085,1290.382332,1270.771464,1265.483503,1292.050096,1298.504891,1304.481092,1298.720324,1302.996465,1298.084774,1300.56917,1294.344447,1288.977206,1294.618155,1288.050726,1280.15706,1274.572133,1273.911221,1279.203643,1269.663284,1284.241899,1281.234201,1278.270559,1273.460432,1273.742678,1259.91307,1257.584231,1240.893567,1238.887235,1246.037694,1250.633988,1243.353201,1237.124591,1242.689717,1235.638074,1233.003586,1222.17028,1211.635221,1201.058833,1207.369376,1204.300699,1207.553784,1192.484691,1191.667194,1197.031831,1203.619572,1206.092781,1182.594764,1177.557752,1167.96123,1183.58776,1182.239091,1173.460433,1164.162074,1163.89846,1135.299188,1146.475656,1142.850997,1139.044685,1159.39195,1168.922611,1187.286466,1174.599539,1197.310396,1193.675865,1199.331497,1187.635889,1184.458901,1184.604344,1139.696283,1132.349446,1097.810013,1102.891715,1127.248607,1130.984353,1157.499932,1162.670037,1178.948026,1191.203869,1194.555484,1205.459714,1178.919051,1180.591718,1215.6881,1204.973316,1203.066618,1206.761521,1189.295185,1174.773477,1217.296355,1254.203406,1250.822241,1200.42887,1195.813089,1211.885449,1194.329639,1166.9213,1174.969573,1177.541124,1171.839893,1186.399143,1169.206577,1175.707643,1159.276693,1156.538988,1126.152444,1123.845649,1096.161783,1074.4965,1074.812438,1104.06461,1129.69798,1122.446315,1140.156426,1109.429988,1094.9228,1089.332597,1137.175405,1161.937879,1156.533599,1176.026074,1169.474423,1145.071489,1134.648516,1122.683701,1134.677452,1169.618431,1173.437098,1141.908427,1175.26419,1203.166374,1211.224159,1196.180641,1190.919529,1163.018394,1154.638714,1168.581892,1157.747894,1131.333924,1131.691914,1147.862362,1200.344617,1196.576184,1204.799637,1180.821009,1166.539425,1130.330646,1164.913688,1132.907879,1194.049123,1208.396955,1262.707315,1269.436621,1297.225142,1306.054128,1312.62469,1318.959416,1342.401308,1340.93879,1348.694648,1343.718072,1324.115336,1316.538992,1297.040135,1313.168687,1310.830969,1320.340158,1307.279149,1314.811877,1343.125158,1352.385407,1341.980989,1345.932819,1343.805521,1331.182281,1314.000335,1296.429293,1281.770318,1275.447827,1281.572947,1299.53131,1301.774254,1281.548636,1280.578838,1273.56081,1283.970626,1305.837647,1288.485874,1288.491955,1307.925245,1301.837472,1311.898846,1309.77551,1320.112574,1325.359657,1335.58595,1354.607143,1338.467839,1326.95975,1320.261248,1315.762961,1313.692534,1336.64819,1345.733357,1341.983888,1329.329749,1336.646495,1343.166333,1351.135095,1357.348838,1366.364917,1353.772207,1359.269519,1355.452289,1371.363338,1382.986715,1391.863494,1388.620237,1384.943375,1371.376175,1366.686248,1357.498612,1360.954007,1350.218164,1324.451514,1316.906797,1338.037729,1336.540269,1338.748667,1333.85392,1348.647423,1351.431042,1345.196304,1348.860903,1343.636824,1345.622142,1341.445369,1334.92501,1335.975402,1323.811983,1321.605224,1325.851919,1324.040974,1311.617569,1311.007595,1307.41952,1287.129236,1279.69462,1260.149768,1271.869358,1301.313962,1315.074023,1313.55298,1339.582101,1341.045422,1338.868787,1348.43573,1352.05177,1337.943192,1340.888217,1351.647079,1341.299618,1327.055602,1329.899928,1338.117519,1362.621652,1359.681632,1352.025926,1344.274487,1344.830836,1340.993519,1337.848863,1342.337364,1347.355529,1339.436601,1331.65341,1329.933625,1332.772393,1330.269945,1308.083425,1302.12647,1321.139933,1318.322608,1310.927712,1312.183695,1302.543348,1295.092564,1308.808836,1316.173674,1308.996233,1305.338586,1298.464794,1282.234282,1275.611884,1281.406158,1283.657762,1285.137179,1289.260707,1287.943208,1280.071262,1276.693648,1279.085287,1275.536939,1272.938574,1273.47776,1273.728984,1271.277963,1259.818548,1257.844362,1260.039292,1259.679546,1267.704814,1265.316744,1256.518091,1251.218377,1246.556819,1249.358251,1244.750755,1247.148325,1237.413056,1216.675201,1193.558202,1200.862515,1210.358183,1221.906135,1210.645926,1231.422834,1235.331652,1234.121043,1214.574912,1212.556382,1235.368357,1236.35117,1248.132892,1250.407468,1258.774103,1261.366067,1264.732203,1263.41074,1233.94083,1233.978417,1223.306932,1222.225592,1221.34551,1213.887227,1223.803114,1229.689049,1222.958137,1224.92379,1221.86007,1208.853953,1227.860613,1223.43374,1226.069338,1222.061001,1207.823821,1210.442799,1209.774425,1206.359763,1205.327334,1198.999727,1175.344565,1184.192878,1179.194274,1183.962245,1184.132768,1180.599144,1183.028965,1163.327402,1170.546938,1169.469421,1171.558218,1156.099412,1157.074697,1159.209066,1158.154597,1154.475394,1139.022735,1136.706928,1128.584944,1123.68147,1131.487353,1119.146561,1111.515182,1080.699249,1083.62086,1089.237092,1077.337984,1073.831398,1079.04124,1093.235716,1093.774848,1106.911146,1119.657059,1118.886582,1106.211679,1103.559736,1106.066797,1112.82765,1145.357854,1158.180351,1152.248002,1153.012949,1152.498351,1152.989581,1152.168491,1124.825577,1128.228732,1129.302063,1130.920738,1129.747824,1117.451738,1110.100205,1088.380242,1093.509978,1089.310969,1089.88948,1113.118071,1113.075351,1109.01152,1091.466468,1091.531673,1084.871104,1071.747373,1051.59692,1036.615549,1036.083686,1041.322943,1048.085968,1082.585978,1079.520978,1082.394834,1095.858561,1105.206268,1120.549194,1115.348875,1112.763364,1111.109372,1108.341295,1091.215535,1080.678679,1075.33321,1050.352799,1045.480376,1041.401967,1060.272441,1090.995709,1079.220686,1069.535605,1080.297598,1084.674604,1053.250779,1048.528781,1064.013586,1073.610383,1063.608883,1095.694442,1111.913383,1116.024092,1123.784231,1152.636041,1158.705627,1144.892094,1153.480747,1099.576393,1125.362988,1157.863578,1171.397487,1202.318829,1198.563561,1208.259436,1194.226246,1202.484715,1228.593835,1225.379883,1218.734137,1225.365355,1228.046952,1217.511392,1222.249108,1241.700425,1239.307556,1226.009853,1229.345108,1223.319354,1211.268242,1213.33325,1218.119743,1217.360312,1212.140093,1200.530432,1201.097324,1200.615115,1193.413996,1191.751184,1190.328303,1200.858945,1193.453137,1190.779699,1196.712455,1202.50514,1193.726135,1181.98962,1187.374129,1182.688301,1180.314854,1174.110077,1174.701291,1170.45861,1155.595682,1157.366019,1149.391999,1140.584666,1133.347606,1124.022769,1133.203045,1128.518838,1139.816658,1134.449415,1138.936496,1133.789163,1124.859054,1107.324479,1108.273064,1101.441453,1101.183234,1092.632333,1095.48126,1106.372242,1138.90456,1144.956669,1129.287128,1119.536891,1128.32398,1140.276608,1143.441567,1148.988986,1149.893882,1166.92849,1184.487313,1203.332499,1195.656803,1207.979533,1201.612974,1199.341736,1207.218305,1198.256512,1192.905765,1193.523573,1192.887046,1189.392981,1168.467916,1171.287229,1177.967068,1176.348266,1172.162639,1166.320608,1159.318913,1155.78482,1144.113422,1145.378435,1165.705523,1157.842714,1164.87016,1155.544044,1154.065364,1148.935284,1151.378285,1165.328802,1168.901383,1170.565339,1173.863021,1171.943717,1149.00684,1144.583222,1170.714311,1160.136491,1165.829939,1145.724323,1151.979093,1171.542206,1169.560268,1175.395855,1158.257608,1152.500229,1162.163401,1156.844239,1157.712254,1132.191563,1128.342985,1115.33364,1104.091368,1109.242967,1106.170052,1127.807554,1108.97104,1131.438984,1139.865731,1153.422259,1163.502362,1163.515717,1166.031761,1170.638011,1156.19846,1166.651985,1162.569594,1142.152908,1145.925177,1139.844183,1137.587265,1122.974269,1121.628483,1099.442241,1088.902846,1102.035296,1126.984507,1125.570838,1127.597448,1115.39798,1122.924508,1137.892137,1143.385053,1130.869384,1139.428717,1142.292336,1138.328684,1119.90326,1118.306903,1119.225433,1114.797374,1106.314175,1098.553117,1075.408187,1064.263909,1058.947441,1066.630863,1085.598716,1094.09241,1085.778658,1086.604773,1090.654865,1087.768645,1080.572733,1063.122102,1050.650503,1045.117651,1034.275517,1063.978359,1071.060571,1058.57863,1049.344061,1060.147296,1063.206896,1059.239197,1061.640293,1066.794844,1065.585363,1044.753372,1038.791368,1023.420947,1028.211313,1032.264391,1027.49286,1024.711906,1005.286119,1004.783019,995.667616,982.495742,980.578676,972.238641,945.719069,934.77838,921.396544,926.599285,921.144622,929.895479,940.861502,947.705582,972.850011,964.048079,970.771735,963.773009,957.560428,951.089397,938.314472,939.168921,964.803308,958.47911,952.441609,960.018957,968.495203,994.393296,996.856099,987.53312,982.640484,975.18543,982.286439,986.029615,982.993719,1000.084301,994.497824,970.003651,954.956374,952.139193,958.274168,941.249509,937.593091,953.474363,947.683456,936.280262,920.845372,920.982215,919.733251,941.637398,943.518205,953.56738,933.917428,934.771594,922.55447,921.533187,896.219663,893.024719,886.034584,866.307261,876.427991,882.259302,863.998367,857.492479,856.378635,849.118414,881.268122,875.59215,863.482205,861.859147,866.413972,861.37092,835.519035,832.787154,848.542586,854.897525,852.757128,817.556456,805.216286,792.646664,824.691829,841.526677,829.440299,824.072881,830.155257,789.933496,803.109644,788.828931,778.581748,765.186406,756.409867,745.532417,730.950418,725.262397,688.637721,697.499984,700.456103,722.384851,705.350946,713.849757,750.862829,763.753499,763.810292,767.787815,757.293932,772.838993,790.180489,791.382914,796.666953,837.017916,837.683598,845.039697,846.422773,876.937081,870.73912,852.943593,847.951732,843.768716,828.891686,838.82699,857.929348,878.830695,854.457868,841.91655,825.382734,830.423713,838.425311,822.614947,865.830126,853.347019,862.247728,889.419111,902.582084,922.634611,938.555493,939.603017,949.687936,945.267911,945.966212,920.225651,915.972763,901.077148,893.419288,887.959861,888.308935,892.733714,906.918703,919.439512,928.124952,917.067711,891.239635,885.367264,892.29191,899.092926,887.651969,894.885247,848.398908,844.577137,860.187574,846.743409,830.330639,892.925783,876.871954,863.236517,849.286483,794.83916,771.523363,821.633605,861.51157,858.825642,879.419932,893.951141,869.979022,906.284427,940.75532,939.279292,925.090133,982.978021,1007.645287,961.492523,957.245207,952.146807,924.288942,892.187351,834.034892,871.637001,910.683379,909.838925,972.118926,989.589538,950.774284,937.094566,950.361991,1022.589499,997.024435,910.330972,958.044824,1003.687315,1039.719059,1072.993864,1138.674169,1141.415409,1184.288344,1182.442745,1163.529837,1250.368383,1261.194205,1244.025927,1249.65848,1264.891489,1286.437296,1216.768851,1191.370759,1228.089891,1236.902689,1283.139926,1263.081662,1264.269347,1264.90938,1297.559673,1269.131324,1282.034027,1318.194169,1328.554904,1344.864992,1347.307851,1330.448075,1321.829193,1324.167981,1337.53229,1327.633867,1322.530344,1314.414944,1335.283281,1342.964955,1347.217501,1341.667579,1357.046492,1369.68543,1357.828272,1352.234762,1369.231685,1360.735748,1338.705312,1351.91153,1366.699466,1374.933486,1353.233835,1345.797054,1360.690037,1364.276583,1385.423119,1377.57771,1369.163831,1362.520428,1359.96231,1337.531913,1323.96572,1341.639921,1345.471997,1359.91334,1361.740601,1365.938872,1364.976025,1372.835955,1375.407694,1392.58136,1402.128633,1397.593216,1403.359282,1428.384675,1421.083748,1424.4827,1430.437898,1450.146165,1456.845773,1468.736914,1467.59919,1459.954903,1447.358379,1453.185947,1469.132877,1489.014416,1496.478436,1518.64377,1504.555662,1509.22557,1515.991748,1525.725874,1520.350097,1515.145032,1512.949889,1517.408766,1534.082033,1532.580068,1547.876987,1560.677277,1555.61441,1545.570654,1530.807236,1526.118174,1526.614024,1513.689874,1527.521444,1523.274378,1537.269055,1529.739706,1530.194288,1515.928525,1508.987728,1510.016651,1518.063158,1514.520324,1500.737285,1504.507705,1503.292052,1512.642945,1504.556959,1488.124431,1491.391174,1456.90007,1451.212184,1461.41621,1479.618314,1476.893336,1486.768023,1498.540089,1492.568215,1485.483652,1481.231534,1467.763568,1437.402631,1435.61984,1443.659602,1446.744109,1448.566206,1417.088077,1404.407625,1400.351988,1424.576285,1378.556791,1407.992003,1428.618555,1430.930708,1420.854949,1390.807837,1411.264975,1429.806632,1444.993733,1432.950565,1441.746328,1455.560154,1485.42202,1498.201029,1487.421243,1471.832186,1448.925081,1447.353766,1443.235523,1453.42158,1439.499713,1445.958727,1445.472463,1438.11955,1414.44601,1414.581046,1416.491839,1425.067411,1436.178545,1484.324419,1487.557776,1466.346317,1449.370255,1458.25042,1443.390586,1438.959749,1440.016781,1397.174734,1391.492368,1437.800006,1448.788292,1469.557863,1494.109222,1530.287219,1515.929862,1529.875794,1529.688442,1526.90842,1537.13751,1543.308566,1576.462586,1578.132767,1588.8025,1594.789118,1590.148487,1598.194043,1589.448109,1580.546307,1556.929955,1552.415715,1556.839679,1552.769864,1582.115796,1601.349129,1622.881019,1619.767058,1641.140032,1630.052396,1623.890801,1609.845875,1593.08153,1604.064034,1610.941816,1601.573653,1592.202736,1561.926082,1553.547393,1566.899915,1542.569869,1570.736376,1555.750636,1581.10187,1585.160003,1607.88294,1601.805582,1576.249982,1598.08319,1621.029507,1630.315324,1651.59306,1634.740634,1647.073,1653.245353,1682.351432,1663.887322,1672.606199,1658.946966,1635.477274,1627.85196,1633.440034,1614.690283,1627.421133,1655.650075,1653.102203,1647.85179,1664.800978,1675.287107,1675.173401,1670.273501,1667.337916,1655.175475,1663.743031,1648.6295,1647.82096,1650.313448,1649.09687,1633.576446,1631.302091,1616.568381,1609.751377,1611.839957,1614.107078,1609.960975,1609.852126,1579.560287,1554.123026,1566.515524,1568.870499,1559.465332,1555.390548,1533.720473,1542.638461,1563.252746,1555.992091,1572.912737,1561.585133,1540.420596,1536.979741,1520.883221,1548.478213,1552.627419,1540.083814,1531.754059,1513.305616,1507.459098,1498.240373,1473.367903,1494.529735,1517.374992,1539.499713,1531.424165,1554.91123,1589.526002,1563.853588,1554.456972,1542.177521,1564.855594,1556.333699,1565.811315,1564.223217,1555.569694,1579.148294,1614.7923,1622.687772,1645.824436,1642.19893,1654.908641,1643.917118,1651.85476,1654.045447,1654.799586,1646.208457,1625.100086,1622.900951,1635.763278,1631.374008,1624.259853,1624.386632,1616.86582,1602.359909,1596.359513,1588.192595,1587.825033,1593.491588,1598.100063,1610.324889,1611.226185,1619.845706,1619.39476,1619.220082,1603.091666,1589.469055,1578.059318,1591.331765,1585.932891,1584.769782,1607.747138,1624.571486,1630.057645,1625.21929,1616.871376,1608.609868,1605.75328,1599.402862,1596.959658,1612.597604,1607.105516,1605.406172,1604.615271,1595.410136,1598.195732,1594.404842,1593.206349,1593.84122,1584.499119,1602.482702,1596.107864,1605.400783,1597.444881,1589.884665,1585.85261,1575.912547,1577.859595,1584.094226,1585.761878,1587.764002,1576.65789,1579.767217,1583.136173,1569.599787,1576.038238,1574.449094,1571.643138,1553.655057,1548.971072,1544.235914,1549.777742,1540.706379,1542.406809,1538.172555,1532.390811,1518.173096,1514.180641,1515.93547,1510.352264,1518.367172,1525.060428,1526.852384,1524.834823,1512.179148,1496.908871,1486.486883,1469.670506,1471.285098,1456.19108,1469.545102,1490.43743,1485.229822,1483.503161,1470.365693,1467.819443,1447.570396,1470.038714,1481.531522,1490.440282,1503.41739,1541.713606,1538.93346,1535.928658,1534.369509,1540.345129,1536.73535,1538.959515,1533.82967,1517.244213,1506.229483,1513.763721,1516.788454,1522.242721,1517.527089,1512.411859,1515.724427,1514.085821,1500.231671,1496.763707,1488.967086,1487.301866,1495.444838,1505.980395,1496.532487,1490.114329,1493.558242,1487.814461,1490.637408,1490.199579,1487.556143,1475.485558,1465.336006,1472.72922,1471.379135,1469.801661,1484.353967,1488.630523,1483.577994,1486.636104,1486.322017,1474.818556,1472.988183,1479.413923,1483.747866,1479.924999,1479.964663,1483.770495,1483.737316,1474.731953,1471.437335,1469.067631,1469.489785,1468.722608,1469.25186,1467.549808,1462.027432,1452.985952,1455.165743,1450.328644,1433.701047,1432.77278,1447.924405,1449.075922,1439.377731,1435.603317,1439.753763,1442.00732,1440.877332,1436.754267,1430.22081,1431.870086,1428.555792,1433.313837,1436.012857,1427.166492,1413.907239,1416.78111,1419.294863,1422.926482,1420.791178,1424.878127,1430.039241,1421.221357,1414.912265,1414.448268,1409.579218,1406.380586,1401.879311,1397.962805,1405.166714,1398.122815,1394.935275,1385.170477,1387.724567,1385.517545,1383.805848,1390.591713,1381.244206,1373.268019,1375.567217,1373.367672,1375.816665,1373.835608,1364.746418,1357.265232,1354.458006,1360.112052,1359.431574,1354.816948,1357.586639,1355.098745,1356.582542,1353.515289,1349.30599,1337.718051,1344.475108,1343.010594,1355.843629,1370.823418,1365.171287,1358.871581,1358.69615,1353.584835,1350.510924,1345.063601,1348.523715,1348.503469,1354.183854,1354.353512,1354.906833,1354.747552,1351.791888,1338.812082,1323.134014,1318.502769,1322.276778,1326.958865,1324.231633,1324.403552,1335.694314,1327.089646,1330.664216,1318.657845,1327.233159,1328.160748,1313.624508,1303.988943,1303.926799,1295.760085,1279.854371,1288.240975,1285.121974,1260.976926,1266.101637,1274.684692,1289.897445,1305.84888,1318.011701,1319.839978,1319.11465,1320.019518,1313.973763,1327.957959,1319.93448,1299.161244,1273.366883,1274.310646,1281.197435,1277.425006,1279.571733,1280.152296,1270.338785,1269.093561,1278.098205,1277.059978,1250.878033,1243.938416,1269.594641,1283.848829,1276.068295,1298.126287,1306.005845,1326.149173,1342.763233,1332.020895,1322.246057,1319.753978,1332.425896,1319.740162,1306.63233,1314.305645,1308.23259,1321.98237,1325.071702,1336.154318,1360.57362,1363.720086,1373.124036,1391.14981,1402.546547,1406.275548,1402.192522,1399.604099,1383.952227,1377.577274,1385.430054,1375.206597,1373.383507,1374.534243,1369.507793,1364.385525,1365.409456,1370.009457,1363.76203,1363.389061,1353.870577,1339.330585,1334.900907,1333.491927,1337.234229,1347.243341,1346.285169,1358.549101,1356.249564,1350.578371,1343.337689,1335.069312,1342.9254,1332.28781,1328.79912,1333.873676,1335.516744,1330.181083,1337.315734,1332.258263,1340.145148,1338.582651,1334.481276,1330.390512,1325.378342,1312.833606,1303.841548,1299.059362,1295.720754,1298.577992,1308.704208,1311.698068,1314.15952,1316.333452,1309.450996,1319.067494,1313.122559,1311.657299,1308.602933,1302.690115,1301.876136,1303.182554,1295.821933,1293.619116,1286.072253,1291.207513,1293.822864,1288.608811,1289.579881,1297.848402,1296.126573,1304.517564,1314.581855,1313.213624,1311.63474,1311.68429,1301.378992,1291.0646,1289.022492,1286.604388,1281.701117,1296.505557,1285.169019,1295.453062,1306.768387,1307.644659,1311.643843,1304.191573,1309.423501,1308.152705,1295.402094,1295.114661,1281.299932,1257.775395,1266.524984,1268.084556,1264.092782,1270.982656,1270.024212,1265.16677,1262.173192,1263.552431,1267.82904,1264.652177,1270.94325,1264.885478,1260.547378,1252.590593,1248.681906,1248.200696,1252.667435,1249.715406,1249.706047,1244.462392,1231.412414,1237.86766,1238.787573,1243.399331,1243.801057,1236.456696,1234.075364,1227.142316,1221.32954,1207.996229,1208.201936,1213.604659,1216.387008,1210.525919,1206.001082,1206.973267,1209.4995,1207.148649,1212.79503,1205.806808,1194.768224,1193.880108,1182.674384,1175.406113,1182.942737,1184.785378,1180.77116,1168.07945,1167.330281,1175.271127,1171.675847,1183.663095,1183.861979,1173.847913,1182.559587,1188.743387,1188.197832,1193.96863,1193.670997,1200.793818,1216.462131,1220.773159,1224.314012,1221.83331,1213.589465,1207.466234,1211.515253,1204.527584,1205.746913,1208.63476,1215.615472,1217.008354,1220.981928,1214.248818,1215.582258,1214.614717,1222.76945,1225.585288,1215.60111,1220.613861,1218.802447,1207.354723,1206.305089,1194.807033,1181.430091,1184.885403,1184.727908,1189.05185,1189.088968,1193.397679,1198.705724,1190.993094,1187.979277,1195.966566,1198.409173,1207.454375,1208.195891,1211.997508,1203.61331,1196.365037,1189.959568,1187.876856,1198.234058,1204.735494,1201.072365,1192.053552,1188.164757,1190.040399,1183.333735,1177.804617,1178.778511,1182.14121,1179.107722,1176.353638,1173.400485,1170.745977,1173.751517,1175.488958,1171.404029,1173.612562,1168.24095,1156.70023,1145.157956,1149.985787,1151.990149,1147.833775,1148.813064,1153.772262,1153.873948,1147.079536,1149.811195,1157.164368,1165.044027,1164.144088,1163.125948,1166.842419,1157.272847,1152.59367,1149.298456,1146.576206,1147.400096,1148.391419,1151.038452,1150.669216,1147.580057,1146.650953,1150.761739,1148.818832,1140.676843,1147.665864,1145.28037,1141.27215,1144.97272,1144.609891,1137.928388,1141.373461,1135.008036,1124.647712,1120.589879,1118.39839,1124.699816,1133.107224,1134.245734,1141.962482,1140.61454,1140.430095,1140.21987,1127.67736,1125.761037,1123.64164,1114.972891,1123.713805,1126.467829,1134.120083,1129.85907,1129.81765,1118.484188,1126.469394,1117.008604,1123.822654,1137.408298,1149.368179,1154.076614,1155.576044,1153.652126,1159.550608,1152.668826,1149.170472,1142.453839,1148.163544,1151.183791,1148.343539,1140.060098,1145.626726,1146.521677,1147.590081,1157.412848,1162.077891,1169.190721,1170.849987,1172.151794,1178.015981,1180.79567,1181.573611,1183.329823,1185.56326,1193.001568,1192.303907,1192.427094,1178.780075,1177.943407,1179.964,1176.702634,1177.135561,1165.42915,1160.736967,1162.934638,1169.156905,1167.526019,1169.647072,1172.317913,1168.618382,1163.29631,1156.068011,1149.077479,1154.026626,1156.228554,1157.969262,1147.036487,1152.682501,1147.972232,1142.349958,1133.394537,1137.933018,1137.960256,1128.650305,1128.371661,1128.218459,1130.987366,1141.44973,1146.442425,1141.071894,1138.803218,1145.902871,1141.113941,1144.147142,1139.905518,1142.084962,1142.251903,1148.834701,1161.534831,1169.340622,1169.97711,1165.80757,1167.715393,1162.886601,1159.71501,1155.542849,1150.13575,1146.194473,1139.285833,1146.055708,1150.456052,1142.969117,1139.604762,1128.094988,1129.511232,1130.694473,1135.333645,1142.741037,1144.320253,1141.060897,1139.469982,1127.33914,1132.527294,1132.844872,1127.099541,1121.921302,1120.438603,1121.204876,1127.013987,1128.173576,1119.348999,1124.590806,1122.83631,1112.223072,1104.666983,1105.4858,1107.600568,1108.502301,1102.023954,1090.383603,1078.922401,1075.616747,1072.698343,1072.650525,1068.275864,1056.370721,1047.084031,1049.822169,1054.674204,1051.090852,1052.375545,1053.42303,1051.215132,1047.008543,1051.656907,1056.891245,1064.647925,1064.102785,1064.868399,1071.90075,1067.61718,1066.110219,1062.846929,1047.860626,1044.859868,1040.56093,1035.593848,1041.525618,1042.203413,1045.285166,1055.968817,1047.570854,1051.617122,1047.800348,1044.593282,1055.038924,1052.734615,1049.522295,1042.288832,1043.58665,1045.126818,1036.243188,1041.493066,1034.345831,1029.630751,1026.992477,1032.599592,1029.25959,1026.451002,1020.92041,1022.954528,1023.343701,1020.512324,1018.036496,1010.980549,1008.436041,999.322489,997.726464,1005.115767,1011.003484,1000.76662,1003.809184,1013.364525,1022.498668,1027.710248,1029.562114,1026.991246,1024.313098,1017.889707,1016.544351,1012.909263,1016.779028,1027.720526,1030.261371,1039.617117,1037.692411,1039.197125,1038.089612,1044.645894,1046.969369,1048.748359,1047.731283,1044.66233,1048.479309,1045.166116,1054.753784,1056.450041,1062.513508,1061.008511,1063.592451,1059.648035,1064.663427,1059.486819,1053.216812,1054.894445,1056.674552,1053.16198,1052.395981,1048.328624,1042.392627,1055.642161,1051.611222,1062.658612,1061.623381,1043.434545,1037.840689,1044.900809,1041.62637,1041.845393,1043.90215,1033.011269,1027.876823,1017.577212,1016.320339,1008.611992,1014.131668,1003.912672,997.019208,1006.938322,1009.326666,1012.057414,1008.611174,1001.658524,1025.131328,1041.640521,1053.893621,1049.174919,1041.700376,1035.657355,1042.878062,1048.309373,1064.146903,1063.657146,1063.692145,1061.689331,1052.078066,1054.720119,1062.886819,1062.589877,1054.61836,1056.301796,1064.561425,1075.594611,1073.283882,1074.756599,1075.615149,1077.05185,1073.326597,1068.465074,1059.156753,1055.978889,1052.70899,1039.98,1039.868028,1025.894809,1028.753433,1030.270359,1043.961297,1050.841989,1049.5596,1039.732994,1030.144146,1041.9345,1037.080316,1055.026474,1071.21597,1075.524291,1082.160324,1074.161805,1069.358498,1074.816006,1081.07668,1068.647596,1066.04015,1067.52171,1067.676275,1070.409553,1070.7328,1079.220626,1082.278134,1085.795463,1074.316183,1078.052438,1076.262087,1069.771927,1065.996041,1064.195239,1051.357112,1048.375262,1057.776461,1055.640051,1052.288549,1053.869265,1061.352262,1069.614914,1073.841262,1071.693135,1073.706722,1072.508552,1065.002158,1059.630559,1056.716921,1059.702632,1054.595896,1058.006943,1056.784571,1059.435564,1052.089226,1054.328191,1051.889019,1038.06045,1036.318265,1032.264932,1028.181762,1018.307586,1016.696561,1015.887817,1012.461065,1008.523022,1007.168725,997.984428,997.056692,995.878297,995.216543,989.474913,983.09266,987.475739,990.686895,987.820996,992.251766,990.529899,989.34956,988.272089,976.019023,974.718051,968.170861,965.535066,955.978237,954.115395,957.418661,956.49454,957.911081,970.017471,972.72779,968.243546,958.32435,962.816912,967.327036,964.50355,964.089295,967.230545,966.841096,962.707074,964.589022,963.82245,960.510079,949.993684,946.113573,947.078934,953.54058,965.055538,963.094136,959.427428,967.054053,963.245754,964.297808,961.551426,956.272883,953.811903,947.361074,951.584952,946.826156,944.228669,933.32607,928.394682,909.64133,916.904136,912.187888,918.88958,925.676491,935.666972,932.745458,942.483744,944.095136,933.316797,931.848466,921.604978,922.988474,919.340579,918.010553,927.774544,931.5765,922.872352,924.453321,922.909225,916.592281,905.323801,901.241779,897.030441,895.155478,896.485335,897.740252,904.558635,903.239532,902.644349,901.284678,895.259149,894.786678,887.779661,889.21092,882.790166,878.398793,875.53347,869.976079,872.990758,880.925222,880.788606,887.780441,886.781055,891.688432,896.436624,894.612477,885.975782,883.999141,880.353542,874.567083,881.667533,874.813318,886.413429,892.497003,897.449678,889.533208,884.99237,894.786078,898.612516,897.993269,885.823434,886.364889,874.431752,871.065708,874.177336,877.820469,876.456201,877.848503,880.920538,894.190931,893.20636,905.355001,907.260082,903.273561,887.463291,894.313821,892.272077,879.567224,875.64606,883.293181,881.732164,875.957673,865.86517,865.511393,857.649033,852.526185,850.655965,847.740054,836.939832,834.240986,826.242954,826.132343,826.253561,844.286402,843.039712,838.026879,838.565304,839.966041,831.393686,821.617973,830.663353,834.826168,824.162549,822.497934,814.951727,813.302452,808.135669,806.666,794.409,805.296,810.797,803.888,790.628,792.656,782.68,789.094,781.179,770.296,772.938,771.811,778.792,782.854,774.865,771.598,773.24,756.638,748.628,762.954,766.602,770.102,771.798,764.795,785.873,770.799,768.823,762.883,760.214,740.352,732.313,710.794,716.176,721.252,737.976,739.075,745.768,742.542,752.712,752.864,746.792,741.42,747.713,753.139,763.519,757.089,761.159,768.08,754.254,742.415,742.731,750.675,750.648,750.077,756.983,765.281,764.514,774.548,767.478,762.445,769.991,766.396,761.209,777.969,792.893,786.962,795.879,808.766,818.893,821.253,830.673,824.671,824.474,822.243,809.471,822.022,829.408,813.908,811.357,792.215,789.432,784.081,796.999,797.344,798.339,796.23,787.865,791.588,804.569,809.054,793.309,801.175,804.151,801.909,794.431,810.424,806.437,815.667,819.997,831.764,833.471,830.529,812.622,827.991,828.581,829.284,810.483,803.045,806.078,809.751,803.131,789.427,792.902,786.383,800.399,807.159,820.108,818.875,811.187,798.855,791.883,789.865,779.681,793.427,792.807,784.438,786.761,789.687,798.064,789.828,787.778,772.038,786.107,750.737,749.32,721.46,703.704,716.104,713.602,727.578,742.197,750.193,755.634,738.179,752.079,765.114,747.113,734.825,747.048,760.801,762.389,777.498,786.269,796.248,798.166,802.639,821.567,817.328,809.931,808.07,795.96,803.933,797.896,830.582,830.345,835.092,854.383,855.863,852.46,867.209,856.63,846.345,857.051,842.656,841.104,829.6,813.782,822.06,829.45,821.488,798.213,787.158,772.989,795.794,806.186,830.549,826.752,821.126,785.778,782.041,776.156,756.697,776.933,806.138,835.135,842.754,832.66,841.384,853.37,855.418,862.32,889.658,901.812,905.023,873.24,877.57,896.826,907.81,895.861,884.669,888.545,893.162,894.902,904.24,913.964,927.548,925.844,905.699,914.731,924.733,926.641,934.334,933.08,938.78,948.983,948.825,953.863,967.847,967.188,970.515,974.79,980.381,986.017,981.831,979.27,986.321,994.873,986.611,982.055,979.059,967.702,956.612,967.247,975.925,949.589,957.169,968.424,972.495,975.199,968.25,961.348,967.58,977.539,978.135,982.317,986.97,996.907,997.132,998.039,995.604,975.601,976.237,973.534,991.976,981.699,986.178,990.926,993.596,994.947,999.751,1005.049,1005.522,999.951,996.771,994.056,1006.178,1010.175,1011.373,1024.416,1018.901,1020.334,1009.972,1006.788,1014.236,1022.266,1020.405,1016.817,1011.177,999.789,1005.088,980.73,962.732,963.414,958.537,957.994,946.272,942.524,946.226,942.277,961.945,970.535,968.036,961.071,962.106,949.109,939.364,937.039,943.319,951.276,967.444,972.418,959.972,959.17,980.643,978.142,982.123,977.349,971.613,980.084,985.299,977.39,992.22,988.179,997.014,1001.982,1004.584,1008.681,1016.525,1023.486,1017.717,1006.929,1003.516,1007.966,1003.834,991.827,989.995,992.426,989.628,996.086,995.93,991.778,979.912,980.218,996.17,994.296,996.576,1013.709,1022.871,1021.408,998.668,987.278,997.928,992.725,987.214,1001.754,1008.55,1002.483,995.569,1001.175,1008.046,998.955,997.004,993.923,991.415,977.824,986.334,988.744,981.881,983.037,973.129,960.787,959.323,943.2,943.17,959.091,976.418,969.856,966.665,964.73,959.566,949.265,953.151,965.268,968.137,960.869,968.045,969.005,957.243,941.799,948.194,952.51,951.365,942.582,932.319,921.979,926.023,906.525,898.607,899.188,888.682,856.596,879.457,907.638,917.065,921.02,968.082,971.413,985.587,1004.777,1012.491,1016.732,1014.601,1033.199,1041.832,1055.323,1057.948,1042.017,1047.196,1040.493,1042.746,1041.456,1055.818,1059.077,1059.298,1054.734,1053.897,1050.243,1055.555,1070.444,1068.046,1076.814,1082.969,1075.672,1069.669,1060.17,1058.542,1053.149,1046.543,1039.121,1049.456,1063.461,1066.98,1058.783,1060.596,1060.292,1066.907,1062.587,1045.698,1049.792,1056.093,1050.748,1071.72,1090.629,1095.408,1084.788,1080.883,1074.657,1078.831,1085.174,1087.416,1090.434,1081.698,1079.164,1077.855,1085.37,1091.971,1103.444,1106.23,1113.109,1125.447,1132.694,1128.336,1137.818,1127.677,1122.638,1121.088,1120.56,1136.419,1143.752,1154.265,1153.573,1166.365,1168.504,1155.993,1155.641,1148.861,1131.69,1125.214,1132.905,1141.981,1137.109,1144.191,1151.137,1150.752,1139.206,1153.797,1153.094,1138.087,1137.863,1128.379,1120.203,1108.899,1117.043,1130.579,1135.063,1118.755,1085.9,1082.287,1088.616,1075.41,1075.239,1057.974,1053.077,1062.645,1031.471,1024.601,1050.522,1061.262,1055.205,1065.396,1086.015,1063.742,1039.646,1014.634,1039.597,1052.208,1059.48,1050.533,1075.17,1066.231,1090.841,1093.098,1133.747,1152.918,1152.015,1149.102,1135.516,1130.224,1137.194,1137.879,1149.075,1150.115,1134.801,1142.867,1146.804,1162.402,1180.341,1196.277,1191.436,1198.793,1207.956,1194.633,1207.946,1219.203,1230.114,1232.543,1229.947,1249.184,1244.222,1243.546,1236.392,1231.862,1233.857,1236.389,1238.199,1229.822,1229.599,1233.699,1219.386,1212.339,1211.981,1213.185,1202.419,1200.297,1206.864,1211.43,1227.168,1227.486,1201.872,1221.253,1222.038,1219.151,1206.913,1197.947,1179.298,1178.156,1207.501,1216.816,1211.47,1233.084,1245.029,1253.391,1259.098,1245.374,1230.664,1236.407,1248.261,1216.204,1210.53,1203.054,1218.667,1217.804,1227.604,1214.758,1198.667,1222.016,1221.84,1243.874,1248.516,1264.264,1258.669,1235.31,1252.448,1274.764,1284.65,1299.047,1300.045,1295.781,1293.265,1288.208,1282.138,1261.502,1253.725,1238.106,1240.826,1264.392,1255.08,1252.556,1244.274,1216.995,1228.02,1245.865,1247.98,1226.485,1247.305,1269.419,1276.51,1289.478,1305.718,1304.132,1302.84,1307.241,1305.245,1312.458,1297.53,1299.697,1308.011,1309.528,1303.026,1308.375,1316.403,1307.983,1326.193,1336.424,1335.748,1336.414,1345.147,1353.765,1365.524,1364.397,1380.384,1395.154,1379.87,1374.85,1383.41,1388.213,1383.447,1378.79,1374.595,1371.257,1370.965,1370.686,1374.483,1371.308,1370.857,1369.143,1357.519,1353.636,1356.353,1356.297,1357.172,1347.827,1336.487,1341.126,1343.452,1337.647,1329.378,1353.727,1364.08,1374.138,1369.573,1377.749,1391.489,1381.313,1389.228,1405.833,1404.506,1395.928,1400.188,1396.118,1395.877,1394.346,1378.756,1376.179,1388.851,1377.722,1366.249,1376.126,1369.551,1368.005,1365.728,1374.648,1390.577,1394.379,1392.613,1380.483,1385.126,1390.047,1387.097,1376.86,1379.607,1385.367,1391.889,1390.11,1388.459,1390.178,1356.123,1334.136,1337.945,1302.288,1301.016,1300.419,1295.391,1302.551,1314.587,1340.342,1345.57,1369.778,1352.211,1344.754,1327.872,1317.035,1335.827,1348.434,1355.943,1345.104,1348.076,1378.142,1379.513,1370.108,1369.974,1379.563,1384.111,1363.39,1362.986,1357.039,1360.993,1333.898,1329.983,1384.06,1402.146,1417.992,1429.584,1432.618,1421.046,1411.027,1420.991,1426.94,1431.938,1419.584,1443.741,1445.784,1448.758,1447.933,1436.531,1421.473,1421.679,1402.369,1399.438,1392.79,1348.609,1342.833,1353.886,1373.675,1375.566,1354.186,1356.141,1375.608,1383.944,1370.659,1359.032,1340.583,1330.347,1332.035,1337.978,1341.997,1330.401,1333.475,1356.942,1350.401,1353.768,1359.944,1365.002,1379.694,1381.357,1391.962,1374.92,1380.884,1378.742,1356.332,1348.85,1338.246],"990100^JULIAN(FG_PRICE(2/27/2026,1/31/2000,,USD).DATES)":[46080,46079,46078,46077,46076,46073,46072,46071,46070,46066,46065,46064,46063,46062,46059,46058,46057,46056,46055,46052,46051,46050,46049,46048,46045,46044,46043,46042,46038,46037,46036,46035,46034,46031,46030,46029,46028,46027,46024,46022,46021,46020,46017,46015,46014,46013,46010,46009,46008,46007,46006,46003,46002,46001,46000,45999,45996,45995,45994,45993,45992,45989,45987,45986,45985,45982,45981,45980,45979,45978,45975,45974,45973,45972,45971,45968,45967,45966,45965,45964,45961,45960,45959,45958,45957,45954,45953,45952,45951,45950,45947,45946,45945,45944,45943,45940,45939,45938,45937,45936,45933,45932,45931,45930,45929,45926,45925,45924,45923,45922,45919,45918,45917,45916,45915,45912,45911,45910,45909,45908,45905,45904,45903,45902,45898,45897,45896,45895,45894,45891,45890,45889,45888,45887,45884,45883,45882,45881,45880,45877,45876,45875,45874,45873,45870,45869,45868,45867,45866,45863,45862,45861,45860,45859,45856,45855,45854,45853,45852,45849,45848,45847,45846,45845,45841,45840,45839,45838,45835,45834,45833,45832,45831,45828,45826,45825,45824,45821,45820,45819,45818,45817,45814,45813,45812,45811,45810,45807,45806,45805,45804,45800,45799,45798,45797,45796,45793,45792,45791,45790,45789,45786,45785,45784,45783,45782,45779,45778,45777,45776,45775,45772,45771,45770,45769,45768,45764,45763,45762,45761,45758,45757,45756,45755,45754,45751,45750,45749,45748,45747,45744,45743,45742,45741,45740,45737,45736,45735,45734,45733,45730,45729,45728,45727,45726,45723,45722,45721,45720,45719,45716,45715,45714,45713,45712,45709,45708,45707,45706,45702,45701,45700,45699,45698,45695,45694,45693,45692,45691,45688,45687,45686,45685,45684,45681,45680,45679,45678,45674,45673,45672,45671,45670,45667,45665,45664,45663,45660,45659,45657,45656,45653,45652,45650,45649,45646,45645,45644,45643,45642,45639,45638,45637,45636,45635,45632,45631,45630,45629,45628,45625,45623,45622,45621,45618,45617,45616,45615,45614,45611,45610,45609,45608,45607,45604,45603,45602,45601,45600,45597,45596,45595,45594,45593,45590,45589,45588,45587,45586,45583,45582,45581,45580,45579,45576,45575,45574,45573,45572,45569,45568,45567,45566,45565,45562,45561,45560,45559,45558,45555,45554,45553,45552,45551,45548,45547,45546,45545,45544,45541,45540,45539,45538,45534,45533,45532,45531,45530,45527,45526,45525,45524,45523,45520,45519,45518,45517,45516,45513,45512,45511,45510,45509,45506,45505,45504,45503,45502,45499,45498,45497,45496,45495,45492,45491,45490,45489,45488,45485,45484,45483,45482,45481,45478,45476,45475,45474,45471,45470,45469,45468,45467,45464,45463,45461,45460,45457,45456,45455,45454,45453,45450,45449,45448,45447,45446,45443,45442,45441,45440,45436,45435,45434,45433,45432,45429,45428,45427,45426,45425,45422,45421,45420,45419,45418,45415,45414,45413,45412,45411,45408,45407,45406,45405,45404,45401,45400,45399,45398,45397,45394,45393,45392,45391,45390,45387,45386,45385,45384,45383,45379,45378,45377,45376,45373,45372,45371,45370,45369,45366,45365,45364,45363,45362,45359,45358,45357,45356,45355,45352,45351,45350,45349,45348,45345,45344,45343,45342,45338,45337,45336,45335,45334,45331,45330,45329,45328,45327,45324,45323,45322,45321,45320,45317,45316,45315,45314,45313,45310,45309,45308,45307,45303,45302,45301,45300,45299,45296,45295,45294,45293,45289,45288,45287,45286,45282,45281,45280,45279,45278,45275,45274,45273,45272,45271,45268,45267,45266,45265,45264,45261,45260,45259,45258,45257,45254,45252,45251,45250,45247,45246,45245,45244,45243,45240,45239,45238,45237,45236,45233,45232,45231,45230,45229,45226,45225,45224,45223,45222,45219,45218,45217,45216,45215,45212,45211,45210,45209,45208,45205,45204,45203,45202,45201,45198,45197,45196,45195,45194,45191,45190,45189,45188,45187,45184,45183,45182,45181,45180,45177,45176,45175,45174,45170,45169,45168,45167,45166,45163,45162,45161,45160,45159,45156,45155,45154,45153,45152,45149,45148,45147,45146,45145,45142,45141,45140,45139,45138,45135,45134,45133,45132,45131,45128,45127,45126,45125,45124,45121,45120,45119,45118,45117,45114,45113,45112,45110,45107,45106,45105,45104,45103,45100,45099,45098,45097,45093,45092,45091,45090,45089,45086,45085,45084,45083,45082,45079,45078,45077,45076,45072,45071,45070,45069,45068,45065,45064,45063,45062,45061,45058,45057,45056,45055,45054,45051,45050,45049,45048,45047,45044,45043,45042,45041,45040,45037,45036,45035,45034,45033,45030,45029,45028,45027,45026,45022,45021,45020,45019,45016,45015,45014,45013,45012,45009,45008,45007,45006,45005,45002,45001,45000,44999,44998,44995,44994,44993,44992,44991,44988,44987,44986,44985,44984,44981,44980,44979,44978,44974,44973,44972,44971,44970,44967,44966,44965,44964,44963,44960,44959,44958,44957,44956,44953,44952,44951,44950,44949,44946,44945,44944,44943,44939,44938,44937,44936,44935,44932,44931,44930,44929,44925,44924,44923,44922,44918,44917,44916,44915,44914,44911,44910,44909,44908,44907,44904,44903,44902,44901,44900,44897,44896,44895,44894,44893,44890,44888,44887,44886,44883,44882,44881,44880,44879,44876,44875,44874,44873,44872,44869,44868,44867,44866,44865,44862,44861,44860,44859,44858,44855,44854,44853,44852,44851,44848,44847,44846,44845,44844,44841,44840,44839,44838,44837,44834,44833,44832,44831,44830,44827,44826,44825,44824,44823,44820,44819,44818,44817,44816,44813,44812,44811,44810,44806,44805,44804,44803,44802,44799,44798,44797,44796,44795,44792,44791,44790,44789,44788,44785,44784,44783,44782,44781,44778,44777,44776,44775,44774,44771,44770,44769,44768,44767,44764,44763,44762,44761,44760,44757,44756,44755,44754,44753,44750,44749,44748,44747,44743,44742,44741,44740,44739,44736,44735,44734,44733,44729,44728,44727,44726,44725,44722,44721,44720,44719,44718,44715,44714,44713,44712,44708,44707,44706,44705,44704,44701,44700,44699,44698,44697,44694,44693,44692,44691,44690,44687,44686,44685,44684,44683,44680,44679,44678,44677,44676,44673,44672,44671,44670,44669,44665,44664,44663,44662,44659,44658,44657,44656,44655,44652,44651,44650,44649,44648,44645,44644,44643,44642,44641,44638,44637,44636,44635,44634,44631,44630,44629,44628,44627,44624,44623,44622,44621,44620,44617,44616,44615,44614,44610,44609,44608,44607,44606,44603,44602,44601,44600,44599,44596,44595,44594,44593,44592,44589,44588,44587,44586,44585,44582,44581,44580,44579,44575,44574,44573,44572,44571,44568,44567,44566,44565,44564,44561,44560,44559,44558,44557,44553,44552,44551,44550,44547,44546,44545,44544,44543,44540,44539,44538,44537,44536,44533,44532,44531,44530,44529,44526,44524,44523,44522,44519,44518,44517,44516,44515,44512,44511,44510,44509,44508,44505,44504,44503,44502,44501,44498,44497,44496,44495,44494,44491,44490,44489,44488,44487,44484,44483,44482,44481,44480,44477,44476,44475,44474,44473,44470,44469,44468,44467,44466,44463,44462,44461,44460,44459,44456,44455,44454,44453,44452,44449,44448,44447,44446,44442,44441,44440,44439,44438,44435,44434,44433,44432,44431,44428,44427,44426,44425,44424,44421,44420,44419,44418,44417,44414,44413,44412,44411,44410,44407,44406,44405,44404,44403,44400,44399,44398,44397,44396,44393,44392,44391,44390,44389,44386,44385,44384,44383,44379,44378,44377,44376,44375,44372,44371,44370,44369,44368,44365,44364,44363,44362,44361,44358,44357,44356,44355,44354,44351,44350,44349,44348,44344,44343,44342,44341,44340,44337,44336,44335,44334,44333,44330,44329,44328,44327,44326,44323,44322,44321,44320,44319,44316,44315,44314,44313,44312,44309,44308,44307,44306,44305,44302,44301,44300,44299,44298,44295,44294,44293,44292,44291,44287,44286,44285,44284,44281,44280,44279,44278,44277,44274,44273,44272,44271,44270,44267,44266,44265,44264,44263,44260,44259,44258,44257,44256,44253,44252,44251,44250,44249,44246,44245,44244,44243,44239,44238,44237,44236,44235,44232,44231,44230,44229,44228,44225,44224,44223,44222,44221,44218,44217,44216,44215,44211,44210,44209,44208,44207,44204,44203,44202,44201,44200,44196,44195,44194,44193,44189,44188,44187,44186,44183,44182,44181,44180,44179,44176,44175,44174,44173,44172,44169,44168,44167,44166,44165,44162,44160,44159,44158,44155,44154,44153,44152,44151,44148,44147,44146,44145,44144,44141,44140,44139,44138,44137,44134,44133,44132,44131,44130,44127,44126,44125,44124,44123,44120,44119,44118,44117,44116,44113,44112,44111,44110,44109,44106,44105,44104,44103,44102,44099,44098,44097,44096,44095,44092,44091,44090,44089,44088,44085,44084,44083,44082,44078,44077,44076,44075,44074,44071,44070,44069,44068,44067,44064,44063,44062,44061,44060,44057,44056,44055,44054,44053,44050,44049,44048,44047,44046,44043,44042,44041,44040,44039,44036,44035,44034,44033,44032,44029,44028,44027,44026,44025,44022,44021,44020,44019,44018,44014,44013,44012,44011,44008,44007,44006,44005,44004,44001,44000,43999,43998,43997,43994,43993,43992,43991,43990,43987,43986,43985,43984,43983,43980,43979,43978,43977,43973,43972,43971,43970,43969,43966,43965,43964,43963,43962,43959,43958,43957,43956,43955,43952,43951,43950,43949,43948,43945,43944,43943,43942,43941,43938,43937,43936,43935,43934,43930,43929,43928,43927,43924,43923,43922,43921,43920,43917,43916,43915,43914,43913,43910,43909,43908,43907,43906,43903,43902,43901,43900,43899,43896,43895,43894,43893,43892,43889,43888,43887,43886,43885,43882,43881,43880,43879,43875,43874,43873,43872,43871,43868,43867,43866,43865,43864,43861,43860,43859,43858,43857,43854,43853,43852,43851,43847,43846,43845,43844,43843,43840,43839,43838,43837,43836,43833,43832,43830,43829,43826,43825,43823,43822,43819,43818,43817,43816,43815,43812,43811,43810,43809,43808,43805,43804,43803,43802,43801,43798,43796,43795,43794,43791,43790,43789,43788,43787,43784,43783,43782,43781,43780,43777,43776,43775,43774,43773,43770,43769,43768,43767,43766,43763,43762,43761,43760,43759,43756,43755,43754,43753,43752,43749,43748,43747,43746,43745,43742,43741,43740,43739,43738,43735,43734,43733,43732,43731,43728,43727,43726,43725,43724,43721,43720,43719,43718,43717,43714,43713,43712,43711,43707,43706,43705,43704,43703,43700,43699,43698,43697,43696,43693,43692,43691,43690,43689,43686,43685,43684,43683,43682,43679,43678,43677,43676,43675,43672,43671,43670,43669,43668,43665,43664,43663,43662,43661,43658,43657,43656,43655,43654,43651,43649,43648,43647,43644,43643,43642,43641,43640,43637,43636,43635,43634,43633,43630,43629,43628,43627,43626,43623,43622,43621,43620,43619,43616,43615,43614,43613,43609,43608,43607,43606,43605,43602,43601,43600,43599,43598,43595,43594,43593,43592,43591,43588,43587,43586,43585,43584,43581,43580,43579,43578,43577,43573,43572,43571,43570,43567,43566,43565,43564,43563,43560,43559,43558,43557,43556,43553,43552,43551,43550,43549,43546,43545,43544,43543,43542,43539,43538,43537,43536,43535,43532,43531,43530,43529,43528,43525,43524,43523,43522,43521,43518,43517,43516,43515,43511,43510,43509,43508,43507,43504,43503,43502,43501,43500,43497,43496,43495,43494,43493,43490,43489,43488,43487,43483,43482,43481,43480,43479,43476,43475,43474,43473,43472,43469,43468,43467,43465,43462,43461,43460,43458,43455,43454,43453,43452,43451,43448,43447,43446,43445,43444,43441,43440,43438,43437,43434,43433,43432,43431,43430,43427,43425,43424,43423,43420,43419,43418,43417,43416,43413,43412,43411,43410,43409,43406,43405,43404,43403,43402,43399,43398,43397,43396,43395,43392,43391,43390,43389,43388,43385,43384,43383,43382,43381,43378,43377,43376,43375,43374,43371,43370,43369,43368,43367,43364,43363,43362,43361,43360,43357,43356,43355,43354,43353,43350,43349,43348,43347,43343,43342,43341,43340,43339,43336,43335,43334,43333,43332,43329,43328,43327,43326,43325,43322,43321,43320,43319,43318,43315,43314,43313,43312,43311,43308,43307,43306,43305,43304,43301,43300,43299,43298,43297,43294,43293,43292,43291,43290,43287,43286,43284,43283,43280,43279,43278,43277,43276,43273,43272,43271,43270,43269,43266,43265,43264,43263,43262,43259,43258,43257,43256,43255,43252,43251,43250,43249,43245,43244,43243,43242,43241,43238,43237,43236,43235,43234,43231,43230,43229,43228,43227,43224,43223,43222,43221,43220,43217,43216,43215,43214,43213,43210,43209,43208,43207,43206,43203,43202,43201,43200,43199,43196,43195,43194,43193,43192,43188,43187,43186,43185,43182,43181,43180,43179,43178,43175,43174,43173,43172,43171,43168,43167,43166,43165,43164,43161,43160,43159,43158,43157,43154,43153,43152,43151,43147,43146,43145,43144,43143,43140,43139,43138,43137,43136,43133,43132,43131,43130,43129,43126,43125,43124,43123,43122,43119,43118,43117,43116,43112,43111,43110,43109,43108,43105,43104,43103,43102,43098,43097,43096,43095,43091,43090,43089,43088,43087,43084,43083,43082,43081,43080,43077,43076,43075,43074,43073,43070,43069,43068,43067,43066,43063,43061,43060,43059,43056,43055,43054,43053,43052,43049,43048,43047,43046,43045,43042,43041,43040,43039,43038,43035,43034,43033,43032,43031,43028,43027,43026,43025,43024,43021,43020,43019,43018,43017,43014,43013,43012,43011,43010,43007,43006,43005,43004,43003,43000,42999,42998,42997,42996,42993,42992,42991,42990,42989,42986,42985,42984,42983,42979,42978,42977,42976,42975,42972,42971,42970,42969,42968,42965,42964,42963,42962,42961,42958,42957,42956,42955,42954,42951,42950,42949,42948,42947,42944,42943,42942,42941,42940,42937,42936,42935,42934,42933,42930,42929,42928,42927,42926,42923,42922,42921,42919,42916,42915,42914,42913,42912,42909,42908,42907,42906,42905,42902,42901,42900,42899,42898,42895,42894,42893,42892,42891,42888,42887,42886,42885,42881,42880,42879,42878,42877,42874,42873,42872,42871,42870,42867,42866,42865,42864,42863,42860,42859,42858,42857,42856,42853,42852,42851,42850,42849,42846,42845,42844,42843,42842,42838,42837,42836,42835,42832,42831,42830,42829,42828,42825,42824,42823,42822,42821,42818,42817,42816,42815,42814,42811,42810,42809,42808,42807,42804,42803,42802,42801,42800,42797,42796,42795,42794,42793,42790,42789,42788,42787,42783,42782,42781,42780,42779,42776,42775,42774,42773,42772,42769,42768,42767,42766,42765,42762,42761,42760,42759,42758,42755,42754,42753,42752,42748,42747,42746,42745,42744,42741,42740,42739,42738,42734,42733,42732,42731,42727,42726,42725,42724,42723,42720,42719,42718,42717,42716,42713,42712,42711,42710,42709,42706,42705,42704,42703,42702,42699,42697,42696,42695,42692,42691,42690,42689,42688,42685,42684,42683,42682,42681,42678,42677,42676,42675,42674,42671,42670,42669,42668,42667,42664,42663,42662,42661,42660,42657,42656,42655,42654,42653,42650,42649,42648,42647,42646,42643,42642,42641,42640,42639,42636,42635,42634,42633,42632,42629,42628,42627,42626,42625,42622,42621,42620,42619,42615,42614,42613,42612,42611,42608,42607,42606,42605,42604,42601,42600,42599,42598,42597,42594,42593,42592,42591,42590,42587,42586,42585,42584,42583,42580,42579,42578,42577,42576,42573,42572,42571,42570,42569,42566,42565,42564,42563,42562,42559,42558,42557,42556,42552,42551,42550,42549,42548,42545,42544,42543,42542,42541,42538,42537,42536,42535,42534,42531,42530,42529,42528,42527,42524,42523,42522,42521,42517,42516,42515,42514,42513,42510,42509,42508,42507,42506,42503,42502,42501,42500,42499,42496,42495,42494,42493,42492,42489,42488,42487,42486,42485,42482,42481,42480,42479,42478,42475,42474,42473,42472,42471,42468,42467,42466,42465,42464,42461,42460,42459,42458,42457,42453,42452,42451,42450,42447,42446,42445,42444,42443,42440,42439,42438,42437,42436,42433,42432,42431,42430,42429,42426,42425,42424,42423,42422,42419,42418,42417,42416,42412,42411,42410,42409,42408,42405,42404,42403,42402,42401,42398,42397,42396,42395,42394,42391,42390,42389,42388,42384,42383,42382,42381,42380,42377,42376,42375,42374,42373,42369,42368,42367,42366,42362,42361,42360,42359,42356,42355,42354,42353,42352,42349,42348,42347,42346,42345,42342,42341,42340,42339,42338,42335,42333,42332,42331,42328,42327,42326,42325,42324,42321,42320,42319,42318,42317,42314,42313,42312,42311,42310,42307,42306,42305,42304,42303,42300,42299,42298,42297,42296,42293,42292,42291,42290,42289,42286,42285,42284,42283,42282,42279,42278,42277,42276,42275,42272,42271,42270,42269,42268,42265,42264,42263,42262,42261,42258,42257,42256,42255,42251,42250,42249,42248,42247,42244,42243,42242,42241,42240,42237,42236,42235,42234,42233,42230,42229,42228,42227,42226,42223,42222,42221,42220,42219,42216,42215,42214,42213,42212,42209,42208,42207,42206,42205,42202,42201,42200,42199,42198,42195,42194,42193,42192,42191,42187,42186,42185,42184,42181,42180,42179,42178,42177,42174,42173,42172,42171,42170,42167,42166,42165,42164,42163,42160,42159,42158,42157,42156,42153,42152,42151,42150,42146,42145,42144,42143,42142,42139,42138,42137,42136,42135,42132,42131,42130,42129,42128,42125,42124,42123,42122,42121,42118,42117,42116,42115,42114,42111,42110,42109,42108,42107,42104,42103,42102,42101,42100,42096,42095,42094,42093,42090,42089,42088,42087,42086,42083,42082,42081,42080,42079,42076,42075,42074,42073,42072,42069,42068,42067,42066,42065,42062,42061,42060,42059,42058,42055,42054,42053,42052,42048,42047,42046,42045,42044,42041,42040,42039,42038,42037,42034,42033,42032,42031,42030,42027,42026,42025,42024,42020,42019,42018,42017,42016,42013,42012,42011,42010,42009,42006,42004,42003,42002,41999,41997,41996,41995,41992,41991,41990,41989,41988,41985,41984,41983,41982,41981,41978,41977,41976,41975,41974,41971,41969,41968,41967,41964,41963,41962,41961,41960,41957,41956,41955,41954,41953,41950,41949,41948,41947,41946,41943,41942,41941,41940,41939,41936,41935,41934,41933,41932,41929,41928,41927,41926,41925,41922,41921,41920,41919,41918,41915,41914,41913,41912,41911,41908,41907,41906,41905,41904,41901,41900,41899,41898,41897,41894,41893,41892,41891,41890,41887,41886,41885,41884,41880,41879,41878,41877,41876,41873,41872,41871,41870,41869,41866,41865,41864,41863,41862,41859,41858,41857,41856,41855,41852,41851,41850,41849,41848,41845,41844,41843,41842,41841,41838,41837,41836,41835,41834,41831,41830,41829,41828,41827,41823,41822,41821,41820,41817,41816,41815,41814,41813,41810,41809,41808,41807,41806,41803,41802,41801,41800,41799,41796,41795,41794,41793,41792,41789,41788,41787,41786,41782,41781,41780,41779,41778,41775,41774,41773,41772,41771,41768,41767,41766,41765,41764,41761,41760,41759,41758,41757,41754,41753,41752,41751,41750,41746,41745,41744,41743,41740,41739,41738,41737,41736,41733,41732,41731,41730,41729,41726,41725,41724,41723,41722,41719,41718,41717,41716,41715,41712,41711,41710,41709,41708,41705,41704,41703,41702,41701,41698,41697,41696,41695,41694,41691,41690,41689,41688,41684,41683,41682,41681,41680,41677,41676,41675,41674,41673,41670,41669,41668,41667,41666,41663,41662,41661,41660,41656,41655,41654,41653,41652,41649,41648,41647,41646,41645,41642,41641,41639,41638,41635,41634,41632,41631,41628,41627,41626,41625,41624,41621,41620,41619,41618,41617,41614,41613,41612,41611,41610,41607,41605,41604,41603,41600,41599,41598,41597,41596,41593,41592,41591,41590,41589,41586,41585,41584,41583,41582,41579,41578,41577,41576,41575,41572,41571,41570,41569,41568,41565,41564,41563,41562,41561,41558,41557,41556,41555,41554,41551,41550,41549,41548,41547,41544,41543,41542,41541,41540,41537,41536,41535,41534,41533,41530,41529,41528,41527,41526,41523,41522,41521,41520,41516,41515,41514,41513,41512,41509,41508,41507,41506,41505,41502,41501,41500,41499,41498,41495,41494,41493,41492,41491,41488,41487,41486,41485,41484,41481,41480,41479,41478,41477,41474,41473,41472,41471,41470,41467,41466,41465,41464,41463,41460,41458,41457,41456,41453,41452,41451,41450,41449,41446,41445,41444,41443,41442,41439,41438,41437,41436,41435,41432,41431,41430,41429,41428,41425,41424,41423,41422,41418,41417,41416,41415,41414,41411,41410,41409,41408,41407,41404,41403,41402,41401,41400,41397,41396,41395,41394,41393,41390,41389,41388,41387,41386,41383,41382,41381,41380,41379,41376,41375,41374,41373,41372,41369,41368,41367,41366,41365,41361,41360,41359,41358,41355,41354,41353,41352,41351,41348,41347,41346,41345,41344,41341,41340,41339,41338,41337,41334,41333,41332,41331,41330,41327,41326,41325,41324,41320,41319,41318,41317,41316,41313,41312,41311,41310,41309,41306,41305,41304,41303,41302,41299,41298,41297,41296,41292,41291,41290,41289,41288,41285,41284,41283,41282,41281,41278,41277,41276,41274,41271,41270,41269,41267,41264,41263,41262,41261,41260,41257,41256,41255,41254,41253,41250,41249,41248,41247,41246,41243,41242,41241,41240,41239,41236,41234,41233,41232,41229,41228,41227,41226,41225,41222,41221,41220,41219,41218,41215,41214,41213,41208,41207,41206,41205,41204,41201,41200,41199,41198,41197,41194,41193,41192,41191,41190,41187,41186,41185,41184,41183,41180,41179,41178,41177,41176,41173,41172,41171,41170,41169,41166,41165,41164,41163,41162,41159,41158,41157,41156,41152,41151,41150,41149,41148,41145,41144,41143,41142,41141,41138,41137,41136,41135,41134,41131,41130,41129,41128,41127,41124,41123,41122,41121,41120,41117,41116,41115,41114,41113,41110,41109,41108,41107,41106,41103,41102,41101,41100,41099,41096,41095,41093,41092,41089,41088,41087,41086,41085,41082,41081,41080,41079,41078,41075,41074,41073,41072,41071,41068,41067,41066,41065,41064,41061,41060,41059,41058,41054,41053,41052,41051,41050,41047,41046,41045,41044,41043,41040,41039,41038,41037,41036,41033,41032,41031,41030,41029,41026,41025,41024,41023,41022,41019,41018,41017,41016,41015,41012,41011,41010,41009,41008,41004,41003,41002,41001,40998,40997,40996,40995,40994,40991,40990,40989,40988,40987,40984,40983,40982,40981,40980,40977,40976,40975,40974,40973,40970,40969,40968,40967,40966,40963,40962,40961,40960,40956,40955,40954,40953,40952,40949,40948,40947,40946,40945,40942,40941,40940,40939,40938,40935,40934,40933,40932,40931,40928,40927,40926,40925,40921,40920,40919,40918,40917,40914,40913,40912,40911,40907,40906,40905,40904,40900,40899,40898,40897,40896,40893,40892,40891,40890,40889,40886,40885,40884,40883,40882,40879,40878,40877,40876,40875,40872,40870,40869,40868,40865,40864,40863,40862,40861,40858,40857,40856,40855,40854,40851,40850,40849,40848,40847,40844,40843,40842,40841,40840,40837,40836,40835,40834,40833,40830,40829,40828,40827,40826,40823,40822,40821,40820,40819,40816,40815,40814,40813,40812,40809,40808,40807,40806,40805,40802,40801,40800,40799,40798,40795,40794,40793,40792,40788,40787,40786,40785,40784,40781,40780,40779,40778,40777,40774,40773,40772,40771,40770,40767,40766,40765,40764,40763,40760,40759,40758,40757,40756,40753,40752,40751,40750,40749,40746,40745,40744,40743,40742,40739,40738,40737,40736,40735,40732,40731,40730,40729,40725,40724,40723,40722,40721,40718,40717,40716,40715,40714,40711,40710,40709,40708,40707,40704,40703,40702,40701,40700,40697,40696,40695,40694,40690,40689,40688,40687,40686,40683,40682,40681,40680,40679,40676,40675,40674,40673,40672,40669,40668,40667,40666,40665,40662,40661,40660,40659,40658,40654,40653,40652,40651,40648,40647,40646,40645,40644,40641,40640,40639,40638,40637,40634,40633,40632,40631,40630,40627,40626,40625,40624,40623,40620,40619,40618,40617,40616,40613,40612,40611,40610,40609,40606,40605,40604,40603,40602,40599,40598,40597,40596,40592,40591,40590,40589,40588,40585,40584,40583,40582,40581,40578,40577,40576,40575,40574,40571,40570,40569,40568,40567,40564,40563,40562,40561,40557,40556,40555,40554,40553,40550,40549,40548,40547,40546,40543,40542,40541,40540,40539,40535,40534,40533,40532,40529,40528,40527,40526,40525,40522,40521,40520,40519,40518,40515,40514,40513,40512,40511,40508,40506,40505,40504,40501,40500,40499,40498,40497,40494,40493,40492,40491,40490,40487,40486,40485,40484,40483,40480,40479,40478,40477,40476,40473,40472,40471,40470,40469,40466,40465,40464,40463,40462,40459,40458,40457,40456,40455,40452,40451,40450,40449,40448,40445,40444,40443,40442,40441,40438,40437,40436,40435,40434,40431,40430,40429,40428,40424,40423,40422,40421,40420,40417,40416,40415,40414,40413,40410,40409,40408,40407,40406,40403,40402,40401,40400,40399,40396,40395,40394,40393,40392,40389,40388,40387,40386,40385,40382,40381,40380,40379,40378,40375,40374,40373,40372,40371,40368,40367,40366,40365,40361,40360,40359,40358,40357,40354,40353,40352,40351,40350,40347,40346,40345,40344,40343,40340,40339,40338,40337,40336,40333,40332,40331,40330,40326,40325,40324,40323,40322,40319,40318,40317,40316,40315,40312,40311,40310,40309,40308,40305,40304,40303,40302,40301,40298,40297,40296,40295,40294,40291,40290,40289,40288,40287,40284,40283,40282,40281,40280,40277,40276,40275,40274,40273,40269,40268,40267,40266,40263,40262,40261,40260,40259,40256,40255,40254,40253,40252,40249,40248,40247,40246,40245,40242,40241,40240,40239,40238,40235,40234,40233,40232,40231,40228,40227,40226,40225,40221,40220,40219,40218,40217,40214,40213,40212,40211,40210,40207,40206,40205,40204,40203,40200,40199,40198,40197,40193,40192,40191,40190,40189,40186,40185,40184,40183,40182,40178,40177,40176,40175,40171,40170,40169,40168,40165,40164,40163,40162,40161,40158,40157,40156,40155,40154,40151,40150,40149,40148,40147,40144,40142,40141,40140,40137,40136,40135,40134,40133,40130,40129,40128,40127,40126,40123,40122,40121,40120,40119,40116,40115,40114,40113,40112,40109,40108,40107,40106,40105,40102,40101,40100,40099,40098,40095,40094,40093,40092,40091,40088,40087,40086,40085,40084,40081,40080,40079,40078,40077,40074,40073,40072,40071,40070,40067,40066,40065,40064,40060,40059,40058,40057,40056,40053,40052,40051,40050,40049,40046,40045,40044,40043,40042,40039,40038,40037,40036,40035,40032,40031,40030,40029,40028,40025,40024,40023,40022,40021,40018,40017,40016,40015,40014,40011,40010,40009,40008,40007,40004,40003,40002,40001,40000,39996,39995,39994,39993,39990,39989,39988,39987,39986,39983,39982,39981,39980,39979,39976,39975,39974,39973,39972,39969,39968,39967,39966,39965,39962,39961,39960,39959,39955,39954,39953,39952,39951,39948,39947,39946,39945,39944,39941,39940,39939,39938,39937,39934,39933,39932,39931,39930,39927,39926,39925,39924,39923,39920,39919,39918,39917,39916,39912,39911,39910,39909,39906,39905,39904,39903,39902,39899,39898,39897,39896,39895,39892,39891,39890,39889,39888,39885,39884,39883,39882,39881,39878,39877,39876,39875,39874,39871,39870,39869,39868,39867,39864,39863,39862,39861,39857,39856,39855,39854,39853,39850,39849,39848,39847,39846,39843,39842,39841,39840,39839,39836,39835,39834,39833,39829,39828,39827,39826,39825,39822,39821,39820,39819,39818,39815,39813,39812,39811,39808,39806,39805,39804,39801,39800,39799,39798,39797,39794,39793,39792,39791,39790,39787,39786,39785,39784,39783,39780,39778,39777,39776,39773,39772,39771,39770,39769,39766,39765,39764,39763,39762,39759,39758,39757,39756,39755,39752,39751,39750,39749,39748,39745,39744,39743,39742,39741,39738,39737,39736,39735,39734,39731,39730,39729,39728,39727,39724,39723,39722,39721,39720,39717,39716,39715,39714,39713,39710,39709,39708,39707,39706,39703,39702,39701,39700,39699,39696,39695,39694,39693,39689,39688,39687,39686,39685,39682,39681,39680,39679,39678,39675,39674,39673,39672,39671,39668,39667,39666,39665,39664,39661,39660,39659,39658,39657,39654,39653,39652,39651,39650,39647,39646,39645,39644,39643,39640,39639,39638,39637,39636,39632,39631,39630,39629,39626,39625,39624,39623,39622,39619,39618,39617,39616,39615,39612,39611,39610,39609,39608,39605,39604,39603,39602,39601,39598,39597,39596,39595,39591,39590,39589,39588,39587,39584,39583,39582,39581,39580,39577,39576,39575,39574,39573,39570,39569,39568,39567,39566,39563,39562,39561,39560,39559,39556,39555,39554,39553,39552,39549,39548,39547,39546,39545,39542,39541,39540,39539,39538,39535,39534,39533,39532,39531,39527,39526,39525,39524,39521,39520,39519,39518,39517,39514,39513,39512,39511,39510,39507,39506,39505,39504,39503,39500,39499,39498,39497,39493,39492,39491,39490,39489,39486,39485,39484,39483,39482,39479,39478,39477,39476,39475,39472,39471,39470,39469,39465,39464,39463,39462,39461,39458,39457,39456,39455,39454,39451,39450,39449,39447,39444,39443,39442,39440,39437,39436,39435,39434,39433,39430,39429,39428,39427,39426,39423,39422,39421,39420,39419,39416,39415,39414,39413,39412,39409,39407,39406,39405,39402,39401,39400,39399,39398,39395,39394,39393,39392,39391,39388,39387,39386,39385,39384,39381,39380,39379,39378,39377,39374,39373,39372,39371,39370,39367,39366,39365,39364,39363,39360,39359,39358,39357,39356,39353,39352,39351,39350,39349,39346,39345,39344,39343,39342,39339,39338,39337,39336,39335,39332,39331,39330,39329,39325,39324,39323,39322,39321,39318,39317,39316,39315,39314,39311,39310,39309,39308,39307,39304,39303,39302,39301,39300,39297,39296,39295,39294,39293,39290,39289,39288,39287,39286,39283,39282,39281,39280,39279,39276,39275,39274,39273,39272,39269,39268,39266,39265,39262,39261,39260,39259,39258,39255,39254,39253,39252,39251,39248,39247,39246,39245,39244,39241,39240,39239,39238,39237,39234,39233,39232,39231,39227,39226,39225,39224,39223,39220,39219,39218,39217,39216,39213,39212,39211,39210,39209,39206,39205,39204,39203,39202,39199,39198,39197,39196,39195,39192,39191,39190,39189,39188,39185,39184,39183,39182,39181,39177,39176,39175,39174,39171,39170,39169,39168,39167,39164,39163,39162,39161,39160,39157,39156,39155,39154,39153,39150,39149,39148,39147,39146,39143,39142,39141,39140,39139,39136,39135,39134,39133,39129,39128,39127,39126,39125,39122,39121,39120,39119,39118,39115,39114,39113,39112,39111,39108,39107,39106,39105,39104,39101,39100,39099,39098,39094,39093,39092,39091,39090,39087,39086,39085,39080,39079,39078,39077,39073,39072,39071,39070,39069,39066,39065,39064,39063,39062,39059,39058,39057,39056,39055,39052,39051,39050,39049,39048,39045,39043,39042,39041,39038,39037,39036,39035,39034,39031,39030,39029,39028,39027,39024,39023,39022,39021,39020,39017,39016,39015,39014,39013,39010,39009,39008,39007,39006,39003,39002,39001,39000,38999,38996,38995,38994,38993,38992,38989,38988,38987,38986,38985,38982,38981,38980,38979,38978,38975,38974,38973,38972,38971,38968,38967,38966,38965,38961,38960,38959,38958,38957,38954,38953,38952,38951,38950,38947,38946,38945,38944,38943,38940,38939,38938,38937,38936,38933,38932,38931,38930,38929,38926,38925,38924,38923,38922,38919,38918,38917,38916,38915,38912,38911,38910,38909,38908,38905,38904,38903,38901,38898,38897,38896,38895,38894,38891,38890,38889,38888,38887,38884,38883,38882,38881,38880,38877,38876,38875,38874,38873,38870,38869,38868,38867,38863,38862,38861,38860,38859,38856,38855,38854,38853,38852,38849,38848,38847,38846,38845,38842,38841,38840,38839,38838,38835,38834,38833,38832,38831,38828,38827,38826,38825,38824,38820,38819,38818,38817,38814,38813,38812,38811,38810,38807,38806,38805,38804,38803,38800,38799,38798,38797,38796,38793,38792,38791,38790,38789,38786,38785,38784,38783,38782,38779,38778,38777,38776,38775,38772,38771,38770,38769,38765,38764,38763,38762,38761,38758,38757,38756,38755,38754,38751,38750,38749,38748,38747,38744,38743,38742,38741,38740,38737,38736,38735,38734,38730,38729,38728,38727,38726,38723,38722,38721,38720,38716,38715,38714,38713,38709,38708,38707,38706,38705,38702,38701,38700,38699,38698,38695,38694,38693,38692,38691,38688,38687,38686,38685,38684,38681,38679,38678,38677,38674,38673,38672,38671,38670,38667,38666,38665,38664,38663,38660,38659,38658,38657,38656,38653,38652,38651,38650,38649,38646,38645,38644,38643,38642,38639,38638,38637,38636,38635,38632,38631,38630,38629,38628,38625,38624,38623,38622,38621,38618,38617,38616,38615,38614,38611,38610,38609,38608,38607,38604,38603,38602,38601,38597,38596,38595,38594,38593,38590,38589,38588,38587,38586,38583,38582,38581,38580,38579,38576,38575,38574,38573,38572,38569,38568,38567,38566,38565,38562,38561,38560,38559,38558,38555,38554,38553,38552,38551,38548,38547,38546,38545,38544,38541,38540,38539,38538,38534,38533,38532,38531,38530,38527,38526,38525,38524,38523,38520,38519,38518,38517,38516,38513,38512,38511,38510,38509,38506,38505,38504,38503,38499,38498,38497,38496,38495,38492,38491,38490,38489,38488,38485,38484,38483,38482,38481,38478,38477,38476,38475,38474,38471,38470,38469,38468,38467,38464,38463,38462,38461,38460,38457,38456,38455,38454,38453,38450,38449,38448,38447,38446,38443,38442,38441,38440,38439,38435,38434,38433,38432,38429,38428,38427,38426,38425,38422,38421,38420,38419,38418,38415,38414,38413,38412,38411,38408,38407,38406,38405,38401,38400,38399,38398,38397,38394,38393,38392,38391,38390,38387,38386,38385,38384,38383,38380,38379,38378,38377,38376,38373,38372,38371,38370,38366,38365,38364,38363,38362,38359,38358,38357,38356,38355,38352,38351,38350,38349,38348,38344,38343,38342,38341,38338,38337,38336,38335,38334,38331,38330,38329,38328,38327,38324,38323,38322,38321,38320,38317,38315,38314,38313,38310,38309,38308,38307,38306,38303,38302,38301,38300,38299,38296,38295,38294,38293,38292,38289,38288,38287,38286,38285,38282,38281,38280,38279,38278,38275,38274,38273,38272,38271,38268,38267,38266,38265,38264,38261,38260,38259,38258,38257,38254,38253,38252,38251,38250,38247,38246,38245,38244,38243,38240,38239,38238,38237,38233,38232,38231,38230,38229,38226,38225,38224,38223,38222,38219,38218,38217,38216,38215,38212,38211,38210,38209,38208,38205,38204,38203,38202,38201,38198,38197,38196,38195,38194,38191,38190,38189,38188,38187,38184,38183,38182,38181,38180,38177,38176,38175,38174,38170,38169,38168,38167,38166,38163,38162,38161,38160,38159,38156,38155,38154,38153,38152,38148,38147,38146,38145,38142,38141,38140,38139,38135,38134,38133,38132,38131,38128,38127,38126,38125,38124,38121,38120,38119,38118,38117,38114,38113,38112,38111,38110,38107,38106,38105,38104,38103,38100,38099,38098,38097,38096,38093,38092,38091,38090,38089,38085,38084,38083,38082,38079,38078,38077,38076,38075,38072,38071,38070,38069,38068,38065,38064,38063,38062,38061,38058,38057,38056,38055,38054,38051,38050,38049,38048,38047,38044,38043,38042,38041,38040,38037,38036,38035,38034,38030,38029,38028,38027,38026,38023,38022,38021,38020,38019,38016,38015,38014,38013,38012,38009,38008,38007,38006,38002,38001,38000,37999,37998,37995,37994,37993,37992,37991,37988,37986,37985,37984,37981,37979,37978,37977,37974,37973,37972,37971,37970,37967,37966,37965,37964,37963,37960,37959,37958,37957,37956,37953,37951,37950,37949,37946,37945,37944,37943,37942,37939,37938,37937,37936,37935,37932,37931,37930,37929,37928,37925,37924,37923,37922,37921,37918,37917,37916,37915,37914,37911,37910,37909,37908,37907,37904,37903,37902,37901,37900,37897,37896,37895,37894,37893,37890,37889,37888,37887,37886,37883,37882,37881,37880,37879,37876,37875,37874,37873,37872,37869,37868,37867,37866,37862,37861,37860,37859,37858,37855,37854,37853,37852,37851,37848,37847,37846,37845,37844,37841,37840,37839,37838,37837,37834,37833,37832,37831,37830,37827,37826,37825,37824,37823,37820,37819,37818,37817,37816,37813,37812,37811,37810,37809,37805,37804,37803,37802,37799,37798,37797,37796,37795,37792,37791,37790,37789,37788,37785,37784,37783,37782,37781,37778,37777,37776,37775,37774,37771,37770,37769,37768,37764,37763,37762,37761,37760,37757,37756,37755,37754,37753,37750,37749,37748,37747,37746,37743,37742,37741,37740,37739,37736,37735,37734,37733,37732,37728,37727,37726,37725,37722,37721,37720,37719,37718,37715,37714,37713,37712,37711,37708,37707,37706,37705,37704,37701,37700,37699,37698,37697,37694,37693,37692,37691,37690,37687,37686,37685,37684,37683,37680,37679,37678,37677,37676,37673,37672,37671,37670,37666,37665,37664,37663,37662,37659,37658,37657,37656,37655,37652,37651,37650,37649,37648,37645,37644,37643,37642,37638,37637,37636,37635,37634,37631,37630,37629,37628,37627,37624,37623,37621,37620,37617,37616,37614,37613,37610,37609,37608,37607,37606,37603,37602,37601,37600,37599,37596,37595,37594,37593,37592,37589,37587,37586,37585,37582,37581,37580,37579,37578,37575,37574,37573,37572,37571,37568,37567,37566,37565,37564,37561,37560,37559,37558,37557,37554,37553,37552,37551,37550,37547,37546,37545,37544,37543,37540,37539,37538,37537,37536,37533,37532,37531,37530,37529,37526,37525,37524,37523,37522,37519,37518,37517,37516,37515,37512,37511,37510,37509,37508,37505,37504,37503,37502,37498,37497,37496,37495,37494,37491,37490,37489,37488,37487,37484,37483,37482,37481,37480,37477,37476,37475,37474,37473,37470,37469,37468,37467,37466,37463,37462,37461,37460,37459,37456,37455,37454,37453,37452,37449,37448,37447,37446,37445,37442,37440,37439,37438,37435,37434,37433,37432,37431,37428,37427,37426,37425,37424,37421,37420,37419,37418,37417,37414,37413,37412,37411,37410,37407,37406,37405,37404,37400,37399,37398,37397,37396,37393,37392,37391,37390,37389,37386,37385,37384,37383,37382,37379,37378,37377,37376,37375,37372,37371,37370,37369,37368,37365,37364,37363,37362,37361,37358,37357,37356,37355,37354,37351,37350,37349,37348,37347,37343,37342,37341,37340,37337,37336,37335,37334,37333,37330,37329,37328,37327,37326,37323,37322,37321,37320,37319,37316,37315,37314,37313,37312,37309,37308,37307,37306,37302,37301,37300,37299,37298,37295,37294,37293,37292,37291,37288,37287,37286,37285,37284,37281,37280,37279,37278,37274,37273,37272,37271,37270,37267,37266,37265,37264,37263,37260,37259,37258,37256,37253,37252,37251,37249,37246,37245,37244,37243,37242,37239,37238,37237,37236,37235,37232,37231,37230,37229,37228,37225,37224,37223,37222,37221,37218,37216,37215,37214,37211,37210,37209,37208,37207,37204,37203,37202,37201,37200,37197,37196,37195,37194,37193,37190,37189,37188,37187,37186,37183,37182,37181,37180,37179,37176,37175,37174,37173,37172,37169,37168,37167,37166,37165,37162,37161,37160,37159,37158,37155,37154,37153,37152,37151,37144,37141,37140,37139,37138,37134,37133,37132,37131,37130,37127,37126,37125,37124,37123,37120,37119,37118,37117,37116,37113,37112,37111,37110,37109,37106,37105,37104,37103,37102,37099,37098,37097,37096,37095,37092,37091,37090,37089,37088,37085,37084,37083,37082,37081,37078,37077,37075,37074,37071,37070,37069,37068,37067,37064,37063,37062,37061,37060,37057,37056,37055,37054,37053,37050,37049,37048,37047,37046,37043,37042,37041,37040,37036,37035,37034,37033,37032,37029,37028,37027,37026,37025,37022,37021,37020,37019,37018,37015,37014,37013,37012,37011,37008,37007,37006,37005,37004,37001,37000,36999,36998,36997,36993,36992,36991,36990,36987,36986,36985,36984,36983,36980,36979,36978,36977,36976,36973,36972,36971,36970,36969,36966,36965,36964,36963,36962,36959,36958,36957,36956,36955,36952,36951,36950,36949,36948,36945,36944,36943,36942,36938,36937,36936,36935,36934,36931,36930,36929,36928,36927,36924,36923,36922,36921,36920,36917,36916,36915,36914,36913,36910,36909,36908,36907,36903,36902,36901,36900,36899,36896,36895,36894,36893,36889,36888,36887,36886,36882,36881,36880,36879,36878,36875,36874,36873,36872,36871,36868,36867,36866,36865,36864,36861,36860,36859,36858,36857,36854,36852,36851,36850,36847,36846,36845,36844,36843,36840,36839,36838,36837,36836,36833,36832,36831,36830,36829,36826,36825,36824,36823,36822,36819,36818,36817,36816,36815,36812,36811,36810,36809,36808,36805,36804,36803,36802,36801,36798,36797,36796,36795,36794,36791,36790,36789,36788,36787,36784,36783,36782,36781,36780,36777,36776,36775,36774,36770,36769,36768,36767,36766,36763,36762,36761,36760,36759,36756,36755,36754,36753,36752,36749,36748,36747,36746,36745,36742,36741,36740,36739,36738,36735,36734,36733,36732,36731,36728,36727,36726,36725,36724,36721,36720,36719,36718,36717,36714,36713,36712,36710,36707,36706,36705,36704,36703,36700,36699,36698,36697,36696,36693,36692,36691,36690,36689,36686,36685,36684,36683,36682,36679,36678,36677,36676,36672,36671,36670,36669,36668,36665,36664,36663,36662,36661,36658,36657,36656,36655,36654,36651,36650,36649,36648,36647,36644,36643,36642,36641,36640,36636,36635,36634,36633,36630,36629,36628,36627,36626,36623,36622,36621,36620,36619,36616,36615,36614,36613,36612,36609,36608,36607,36606,36605,36602,36601,36600,36599,36598,36595,36594,36593,36592,36591,36588,36587,36586,36585,36584,36581,36580,36579,36578,36574,36573,36572,36571,36570,36567,36566,36565,36564,36563,36560,36559,36558,36557,36556],"991000^FG_PRICE(2/27/2026,1/31/2000,,USD)":[3244.755968,3231.79482,3220.400592,3193.425856,3198.543095,3205.365767,3189.826064,3201.311919,3164.485404,3176.109176,3196.44412,3199.30432,3200.942493,3176.913652,3116.572101,3084.53168,3115.5639,3117.982807,3086.70306,3099.576387,3106.371096,3108.683189,3126.081529,3096.15439,3064.988276,3053.540698,3023.987137,3034.594856,3057.978879,3060.770817,3056.86873,3040.596762,3033.207784,3018.396902,3002.180237,3014.217085,3027.75521,3005.519356,2978.350883,2961.080596,2970.448497,2966.438608,2967.906069,2967.685753,2967.276969,2949.49927,2931.085626,2924.94694,2912.835212,2920.0864,2940.682961,2923.74092,2926.645571,2896.101685,2888.259966,2892.017074,2897.882838,2910.584631,2880.951653,2866.629218,2869.462202,2877.338766,2858.232273,2818.402573,2795.711818,2782.003547,2791.633766,2786.010189,2797.452439,2851.185177,2872.322144,2900.907839,2907.892442,2885.200767,2853.67512,2826.362406,2833.396366,2825.080965,2830.574338,2850.834641,2851.936459,2856.815981,2882.670686,2884.77001,2882.534117,2864.162771,2856.15795,2852.941202,2854.240562,2866.151635,2829.031263,2856.748447,2832.924287,2803.505118,2811.419839,2811.015206,2846.263062,2860.323061,2856.402158,2873.65085,2866.947764,2842.402541,2837.970674,2823.832778,2806.114083,2797.448022,2783.674449,2806.093819,2822.425736,2816.998248,2813.562856,2815.011258,2818.931356,2824.447453,2824.208528,2810.408874,2811.6314,2798.200326,2793.077177,2793.793073,2780.36837,2753.661908,2741.582677,2739.044768,2772.275826,2777.553519,2758.764606,2766.740669,2789.78293,2803.509346,2768.492566,2780.667597,2778.552162,2770.504457,2779.453424,2759.288216,2768.20398,2738.804199,2714.554064,2724.884242,2711.574528,2695.887683,2675.918797,2663.031716,2649.402384,2660.354032,2683.165326,2692.297785,2710.60273,2732.577355,2754.143325,2737.432922,2695.811154,2692.788789,2685.077294,2675.0959,2653.874131,2666.41257,2686.787376,2688.800761,2705.405383,2701.703567,2682.946585,2688.481341,2700.938396,2695.430265,2694.553958,2694.580821,2691.51603,2668.623478,2641.549008,2658.637658,2611.393635,2616.699145,2642.963916,2647.889706,2674.790664,2654.360191,2682.327825,2670.275963,2665.263538,2662.131193,2656.110337,2663.255749,2663.240785,2642.614329,2650.980677,2635.971988,2634.206063,2620.019025,2639.459539,2614.043046,2607.640505,2632.66392,2620.479333,2604.627849,2584.339617,2580.983393,2578.325765,2568.537733,2548.257722,2560.009506,2547.02598,2562.69325,2563.682126,2563.113181,2566.293504,2512.499969,2530.837046,2519.287925,2511.30866,2491.817445,2484.234914,2469.266109,2449.345577,2442.921617,2422.2996,2417.900687,2415.239695,2386.37621,2331.619629,2319.017572,2208.793904,2237.286691,2178.414245,2306.578216,2439.851,2454.719156,2453.916123,2429.429686,2475.072822,2495.812856,2502.238864,2515.91076,2500.091865,2506.625776,2521.936624,2527.946968,2528.43551,2517.346412,2485.015505,2460.282772,2473.260169,2458.844083,2483.30214,2514.27831,2525.170328,2511.974805,2459.120844,2490.077738,2455.139294,2468.893715,2491.464396,2477.568828,2475.44828,2474.284555,2474.662568,2473.211506,2494.65397,2482.609858,2472.568765,2433.561821,2431.30471,2427.982584,2423.051153,2434.695402,2421.404024,2394.841429,2370.902647,2415.923741,2423.188644,2401.689259,2389.199247,2398.686262,2400.648251,2380.005901,2373.069871,2363.694143,2329.803567,2322.54288,2305.373614,2277.497389,2268.471116,2286.63699,2314.44307,2328.431984,2322.152448,2298.875385,2301.685416,2302.710493,2299.745415,2315.226802,2295.732117,2290.632988,2285.841047,2278.167714,2286.992868,2338.20539,2351.925542,2359.14158,2362.887407,2382.216614,2384.055274,2380.589253,2407.091129,2401.2088,2405.998802,2393.233091,2394.367481,2369.756598,2368.033343,2346.814633,2331.28752,2345.517948,2328.863187,2325.694044,2314.697218,2331.82695,2324.55375,2322.058377,2335.079651,2326.744227,2341.022457,2374.213592,2378.392011,2395.743132,2361.89107,2386.815212,2378.165887,2370.795338,2366.325674,2389.633961,2396.429334,2404.214349,2396.768212,2396.88387,2390.312432,2410.840505,2427.521078,2445.032327,2435.248689,2428.465787,2442.294112,2452.656582,2450.548937,2440.6578,2442.21593,2435.784194,2458.734881,2445.898427,2450.554169,2464.347014,2483.358747,2495.321405,2529.547226,2506.83975,2473.298085,2476.430587,2459.111374,2449.587532,2467.353829,2431.885743,2440.362587,2442.370448,2436.972681,2415.443239,2384.910512,2387.487348,2401.13282,2404.582981,2415.865402,2428.470344,2453.868917,2475.251605,2468.695144,2467.071692,2466.177572,2462.245505,2460.68173,2434.158056,2431.897463,2425.305425,2417.447032,2396.261761,2369.978136,2360.410298,2334.184428,2302.760978,2305.424656,2285.939669,2288.648009,2263.712745,2232.000746,2308.287163,2359.912753,2400.4661,2360.013799,2358.597961,2357.141519,2344.360836,2376.178231,2384.988473,2385.477755,2378.377477,2399.282955,2416.270148,2408.429074,2418.171573,2431.908823,2416.639003,2382.998531,2362.970858,2374.312045,2376.620403,2365.079082,2337.536541,2332.931191,2328.850393,2328.884283,2332.742013,2343.381419,2339.823348,2318.455954,2337.32877,2328.753928,2310.378098,2317.598902,2343.723481,2383.053309,2348.335775,2369.359751,2378.541249,2396.759263,2379.387906,2379.46492,2386.23623,2371.463907,2353.953231,2341.710251,2380.45367,2374.366074,2377.528718,2378.627679,2395.306248,2401.339615,2397.081173,2395.298855,2390.837599,2372.298136,2367.62871,2362.992772,2350.38331,2342.610766,2356.021202,2336.501937,2325.669273,2300.361326,2287.146278,2295.938134,2304.875653,2295.121913,2285.340771,2300.259555,2299.471879,2272.213031,2257.401513,2265.930202,2255.890075,2260.417997,2297.59993,2305.965427,2315.912108,2331.665625,2354.230815,2353.650874,2337.745754,2363.175827,2347.978939,2340.450057,2348.598611,2364.655551,2370.921249,2364.388078,2363.250098,2366.081722,2372.597263,2345.841229,2347.282831,2348.496466,2341.967349,2350.463018,2363.918307,2356.306556,2347.6977,2371.285354,2359.617513,2337.206235,2321.053111,2320.427241,2318.868939,2300.558867,2295.47066,2307.537165,2303.336219,2304.237641,2294.931814,2275.143669,2284.190728,2274.207887,2256.62706,2231.919009,2227.209103,2247.206796,2243.138635,2239.687292,2242.643065,2238.934951,2227.020328,2241.740313,2249.363721,2265.285349,2251.651231,2245.957308,2241.740436,2229.827564,2235.113139,2207.423818,2217.789003,2199.735567,2189.83277,2181.665523,2212.437065,2244.956131,2222.967112,2229.390051,2223.997195,2231.948665,2228.777974,2222.735933,2209.522802,2235.235842,2256.807538,2260.960859,2256.936047,2233.471602,2231.670976,2223.241568,2222.194117,2218.775398,2198.273994,2209.334418,2214.988119,2166.898974,2158.27996,2155.417622,2154.295512,2153.190885,2153.786188,2139.353615,2143.421492,2149.580031,2141.738251,2138.285809,2134.079564,2128.825147,2136.984058,2116.196488,2124.955145,2126.090982,2116.578254,2095.579043,2104.540425,2084.413954,2041.410793,2028.663055,2051.151056,2033.495268,2035.025107,2056.584024,2049.773314,2023.390977,1982.041839,1961.285429,1965.5241,1957.82555,1957.900745,1978.032576,1977.702926,1975.999109,1978.069018,1996.809602,2019.872171,2040.50419,2032.85927,2029.564209,2055.664839,2060.360472,2053.286868,2010.252754,2008.873137,1998.055204,1978.09374,1989.824881,2015.821603,2049.037407,2043.766743,2037.101617,2050.017892,2063.006376,2082.418379,2087.529355,2125.165267,2115.15451,2115.897882,2129.948151,2121.640548,2100.293242,2102.11792,2105.705721,2090.994568,2093.867491,2098.981919,2106.225117,2124.024801,2126.585017,2134.271553,2116.714772,2095.197439,2069.30443,2088.313799,2095.440188,2081.86743,2072.083455,2074.28733,2085.332104,2102.605515,2119.110618,2129.630345,2147.815294,2169.769088,2151.251397,2143.390861,2157.288116,2159.283474,2141.111083,2154.240477,2195.140238,2218.204749,2212.968263,2209.02439,2200.341222,2202.225233,2198.0000449999998,2195.693698,2199.785195,2205.231889,2204.874499,2191.490307,2204.087407,2201.724624,2169.629697,2124.339387,2108.248812,2105.475106,2094.843207,2139.281362,2155.957481,2150.290632,2130.997866,2129.971393,2121.490494,2115.180618,2112.001486,2140.989257,2152.306809,2153.45092,2184.024687,2175.345465,2170.860519,2151.031215,2128.701141,2125.996426,2122.548429,2115.04728,2121.818807,2115.299307,2113.661609,2083.703728,2055.807315,2088.313604,2094.382518,2082.576294,2099.546057,2133.938037,2150.592047,2147.026864,2132.98999,2131.911978,2142.480798,2151.320697,2142.690597,2147.262987,2158.107591,2162.340712,2171.079851,2162.351975,2143.622348,2152.248297,2138.046601,2156.572342,2160.609692,2149.073306,2149.140017,2155.537393,2169.788526,2163.59088,2165.761738,2163.963887,2168.990571,2152.991403,2164.531712,2163.070019,2143.284658,2127.790423,2103.089493,2117.447831,2118.363761,2133.868375,2122.806656,2108.256297,2099.191788,2076.907126,2057.830098,2045.119882,2029.957404,2062.654307,2049.987777,2036.942011,2016.292854,2001.364005,2004.383051,1986.007308,2040.252973,2038.771616,2064.937014,2078.257045,2075.739675,2080.461499,2107.627956,2092.692889,2073.376417,2075.496972,2073.608237,2077.808415,2056.601482,2081.316864,2088.531894,2106.419554,2108.972389,2118.932351,2114.716046,2126.150507,2121.876217,2111.22752,2134.533412,2120.392758,2113.665506,2108.031744,2142.614941,2156.811646,2136.366152,2126.172509,2131.048906,2133.713627,2128.224447,2129.080557,2126.589456,2119.631741,2103.700633,2091.50076,2124.103791,2111.258006,2102.424836,2084.199219,2054.184117,2040.948679,2052.059348,2018.925772,1982.763416,2002.690067,1980.266116,1966.335803,1977.737207,1964.308947,1974.759716,1966.818191,1966.633904,1979.731846,1961.506424,1950.009448,1957.867232,1983.302114,2034.250339,2031.854047,1989.485112,2002.682549,1988.102526,1984.207264,1994.930004,2011.24908,2014.761315,2027.63654,1977.939763,1977.590205,1982.19052,1997.326412,1980.978524,1956.323018,1931.765237,1956.015958,1936.912764,1956.668691,1965.509327,1948.998422,1955.523584,1910.795102,1843.927543,1860.781329,1834.254488,1810.511538,1769.38805,1801.607757,1803.226802,1790.447757,1790.393976,1802.064328,1806.138114,1779.74673,1745.825864,1719.202509,1733.940192,1727.219289,1741.451546,1726.81826,1703.303482,1688.860754,1682.475944,1690.91198,1708.825832,1729.126198,1755.036388,1765.329461,1784.279762,1717.263075,1698.022509,1693.055571,1694.481375,1692.101968,1696.221806,1724.601117,1773.139103,1798.046631,1814.128761,1827.532803,1829.868941,1848.804552,1861.097063,1880.507576,1920.882936,1883.435057,1843.208975,1822.542304,1833.186869,1863.007738,1829.956542,1878.578274,1887.543144,1894.414742,1924.676305,1943.601996,1932.986678,1934.534106,1938.550966,1961.164351,1988.65907,1989.863701,2003.07758,2005.910118,2005.287345,2009.711056,2006.856066,1968.136412,1980.729401,1960.917154,1977.664754,1960.997008,1970.399402,1994.034609,1975.688116,1952.521273,1924.128592,1918.679991,1928.052423,1931.424672,1916.908823,1913.942084,1907.804188,1880.415801,1849.011177,1816.994675,1858.240178,1862.465271,1865.784644,1887.320473,1879.245979,1848.96655,1844.02455,1870.450486,1883.42902,1910.931655,1929.452485,1933.178325,1910.417563,1872.550567,1888.419134,1898.152596,1860.152204,1884.627255,1902.043551,1891.861373,1921.858667,1979.892082,2039.017412,2074.446938,2078.59813,2086.747299,2075.682706,2081.373793,2067.570529,2082.105441,2078.217704,2051.951632,2036.815229,2034.7095,2043.221847,2010.367661,2000.837471,2013.059731,2024.605686,1988.43262,1983.084197,1947.859169,1976.936493,1958.474578,1956.80034,2017.725983,2037.959765,2053.71728,2060.645226,2048.271558,2075.28321,2059.280816,2045.866598,2061.379649,2083.881791,2124.886428,2175.034542,2179.460341,2148.099164,2157.435832,2167.532467,2162.831554,2161.460112,2174.583595,2187.134267,2175.496984,2190.402816,2225.137687,2231.883475,2218.863357,2228.137617,2251.805021,2248.858738,2200.214942,2209.381268,2210.903662,2214.102089,2218.429968,2206.43715,2202.192049,2195.107011,2152.00093,2097.397595,2102.887627,2094.270797,2103.001752,2104.849717,2028.53553,2048.379773,2085.044114,2150.688179,2167.924466,2175.6971,2213.424243,2210.912044,2141.2051,2227.432787,2232.909442,2262.448952,2283.76283,2295.23881,2282.200336,2261.831056,2309.581266,2327.548103,2324.642258,2288.857549,2288.711501,2276.325937,2288.575102,2305.482572,2281.023643,2252.413331,2228.202873,2229.202712,2259.175923,2238.154701,2243.95239,2306.348481,2344.373559,2328.723803,2340.676666,2359.034307,2383.170721,2377.842305,2341.526273,2328.496113,2349.330166,2342.272753,2380.923604,2376.270969,2349.697875,2357.514612,2354.1709,2357.684775,2352.665174,2340.05602,2334.876483,2315.098476,2291.862568,2263.920787,2296.917776,2317.554842,2283.535808,2280.919835,2296.469373,2310.318524,2316.803141,2328.063701,2320.826107,2272.780031,2256.631739,2264.466205,2282.345926,2245.389283,2272.796407,2281.630977,2323.628915,2335.695761,2351.100665,2368.657533,2374.565334,2376.76337,2386.662343,2395.963812,2389.645546,2378.424878,2381.201795,2394.554439,2401.765464,2396.866049,2394.466099,2386.760718,2380.451384,2386.182216,2358.908318,2379.267299,2365.140653,2371.015818,2361.205039,2364.714213,2357.351013,2364.165735,2355.07515,2339.979054,2348.432503,2325.355438,2300.169058,2286.919524,2295.545391,2290.779025,2285.865462,2256.747271,2278.950697,2275.339405,2277.940604,2292.77085,2292.746916,2306.725121,2349.330976,2350.488886,2362.562947,2344.705141,2333.071899,2324.116998,2356.562882,2374.898295,2382.392419,2396.362903,2391.71887,2390.489284,2384.706335,2389.007842,2408.140549,2402.201508,2396.939588,2388.212383,2367.317672,2370.302325,2362.204651,2351.176715,2358.653491,2361.397416,2349.52695,2316.684496,2317.995363,2356.979299,2356.838421,2373.872582,2390.225156,2375.511502,2377.061346,2362.207154,2357.985718,2357.574128,2370.542485,2362.45061,2359.43513,2360.781566,2335.232802,2355.142703,2326.689521,2327.814102,2330.120471,2319.945585,2311.146327,2299.374814,2265.876398,2269.053781,2313.345844,2324.8607,2344.898961,2347.95019,2349.949536,2328.162344,2310.02322,2332.371291,2329.269822,2331.795472,2325.062968,2321.283034,2340.641745,2344.770872,2358.124469,2346.324207,2338.523862,2342.608228,2325.462427,2321.587514,2363.577491,2396.481929,2393.28598,2386.301821,2379.965879,2379.318407,2378.908511,2382.088314,2381.452312,2373.25148,2358.983321,2369.376171,2366.347334,2356.610145,2341.142727,2343.273114,2344.427618,2337.184638,2328.989284,2322.487921,2302.127292,2331.540848,2308.809611,2305.956003,2268.389633,2282.368878,2302.306515,2345.480348,2334.741287,2306.022322,2291.44063,2266.487233,2291.593628,2277.009386,2300.240775,2299.965672,2295.257296,2303.094446,2290.657924,2290.449483,2272.636907,2274.659941,2309.376207,2304.301173,2290.477361,2277.745598,2267.625262,2262.151608,2268.457159,2268.038114,2257.463925,2250.911168,2243.329968,2226.335891,2213.440899,2219.576097,2222.123824,2222.387091,2199.192304,2201.54533,2219.487466,2235.977898,2236.798834,2251.983607,2236.861114,2241.534313,2228.631199,2225.783405,2225.436956,2206.367901,2198.501768,2176.418872,2159.51631,2184.907527,2204.790038,2200.58871,2197.905687,2168.051795,2231.060831,2218.837361,2231.478842,2231.413238,2230.171463,2217.558907,2228.961271,2252.103558,2224.92985,2218.755662,2213.491057,2208.333632,2199.263824,2178.467123,2161.435526,2163.066918,2151.175041,2133.443997,2116.955146,2152.422387,2159.844202,2187.071342,2181.358339,2192.711098,2204.188606,2195.441709,2186.698457,2179.617842,2203.847111,2191.843547,2187.382131,2182.004653,2209.692505,2188.707091,2173.857479,2158.030313,2154.936276,2140.705997,2154.356742,2151.895651,2128.763224,2114.803412,2110.019514,2089.683116,2091.393684,2127.089836,2137.926665,2120.294811,2101.727133,2096.313768,2089.648466,2099.998761,2099.699865,2092.721761,2092.383191,2098.687692,2091.822555,2076.345379,2069.169804,2049.537193,2075.581765,2061.155792,2054.165387,2021.029191,2029.55061,2019.99861,2032.442769,2027.572995,2021.446806,1990.380537,1993.048937,2001.05829,1985.39194,1964.299768,1920.84881,1913.774638,1873.030449,1847.857155,1804.098741,1778.886936,1788.093467,1802.1908,1848.457922,1858.440943,1883.458797,1874.25433,1885.78277,1887.633469,1891.703723,1882.849493,1872.092939,1907.603939,1907.629029,1919.301021,1910.478462,1896.77552,1883.80279,1885.408711,1883.539533,1854.239673,1858.232466,1853.140633,1864.936739,1863.954395,1830.148589,1828.512031,1850.200263,1850.213178,1853.817481,1907.227725,1906.771697,1920.582311,1912.950045,1908.578975,1894.726673,1894.721539,1892.084562,1876.649405,1871.329179,1899.849124,1916.157926,1906.676745,1911.945889,1913.793245,1905.825965,1919.986058,1906.745591,1906.602884,1882.256829,1888.508619,1915.297029,1909.513399,1906.629389,1899.480328,1912.151493,1912.134,1889.744243,1862.590321,1857.545076,1865.404588,1877.459464,1856.125479,1838.710902,1821.676119,1846.001406,1871.150571,1870.363894,1872.723321,1855.814123,1870.296643,1869.710917,1875.593189,1858.410332,1848.145888,1847.983287,1858.628901,1825.228478,1831.764524,1807.904851,1800.042368,1810.882944,1817.650828,1831.867815,1802.225736,1779.836982,1776.440732,1769.801932,1771.292655,1775.61033,1782.290439,1825.093812,1796.231308,1797.749906,1795.877189,1804.554051,1796.844274,1747.704845,1762.744921,1780.43736,1843.031699,1847.277138,1850.446014,1842.434571,1814.432986,1808.825014,1771.032862,1743.689503,1720.853628,1739.00971,1705.362804,1699.794043,1640.020716,1654.156868,1671.924941,1653.275082,1638.622248,1594.471157,1587.179177,1619.579456,1646.909354,1643.979462,1648.02366,1617.879687,1612.804748,1618.06638,1599.990178,1631.636377,1655.075271,1666.057184,1638.933824,1619.970875,1586.806172,1598.246123,1582.651115,1567.11565,1616.863217,1617.481201,1574.991961,1582.848787,1625.165656,1599.440079,1602.278659,1575.65179,1569.432806,1534.461853,1480.385367,1499.50134,1507.044935,1549.77954,1545.775478,1534.355137,1552.918772,1509.955179,1441.272097,1339.062037,1382.101065,1373.218458,1362.957872,1430.912806,1418.207258,1482.393075,1480.37326,1656.411235,1689.753698,1702.163199,1815.692784,1859.299189,1864.421138,1850.868089,1835.69509,1814.20683,1872.111994,1913.400036,1924.270792,1961.166153,2008.727749,2010.500786,2023.568642,2018.555486,2032.16235,2036.259596,2043.779417,2035.225904,2023.647543,2030.755896,2038.681819,2023.505262,2007.871218,1988.292556,1994.984806,2001.90278,2017.015385,2012.076923,2009.319573,2045.563142,2038.621053,2052.401509,2052.379665,2058.40063,2049.578045,2046.712244,2044.449166,2038.686551,2039.435268,2035.001736,2028.183996,2035.219511,2030.998361,2040.33104,2046.689865,2035.383152,2033.601771,2040.337835,2029.300337,2027.589966,2024.710136,2025.737679,2021.298895,2019.794385,2026.391476,2029.052491,2012.589977,1988.747664,1982.56701,1979.397643,1982.518121,1980.448286,1969.002248,1966.455815,1957.746357,1967.390473,1974.385273,1984.361841,1980.186189,1977.950806,1964.86349,1963.937147,1969.094071,1981.245797,1982.512496,1977.544684,1962.555063,1972.627406,1979.277821,1975.89325,1976.085904,1980.185873,1977.372075,1974.353846,1974.90987,1964.508995,1953.037236,1951.684712,1950.928663,1945.175548,1943.195025,1940.399214,1931.312513,1931.066403,1930.591334,1919.67179,1922.226352,1916.105451,1911.045819,1892.885249,1898.078975,1865.548862,1856.156547,1853.310214,1867.474831,1858.2267,1850.076509,1852.468693,1883.058272,1893.701955,1899.912383,1900.289462,1894.892878,1909.406473,1908.43326,1917.02543,1917.644903,1909.195952,1911.279937,1906.272622,1921.44041,1908.565889,1900.401052,1888.821909,1887.069697,1886.519552,1878.276309,1861.942514,1842.633053,1847.803758,1836.868536,1826.896526,1829.939238,1820.266783,1828.927799,1833.550917,1840.435545,1829.537662,1833.987346,1816.504152,1801.356513,1816.373214,1836.114773,1842.822382,1845.490651,1850.975281,1833.614762,1825.240676,1838.142004,1866.078181,1895.448772,1899.671434,1902.222674,1915.099821,1916.390677,1920.550563,1927.922774,1925.085597,1919.127283,1921.281286,1909.769235,1920.527479,1924.416159,1927.410078,1924.321768,1922.674804,1920.041931,1916.814974,1924.764637,1933.918766,1946.851528,1937.400504,1931.760441,1923.860946,1914.611058,1908.676619,1917.341279,1920.288596,1913.277163,1920.464556,1899.018022,1884.096601,1867.867898,1871.611859,1879.851137,1886.864359,1893.301171,1881.508306,1876.891387,1856.049834,1855.048454,1837.385901,1825.456682,1818.88851,1827.492423,1829.815062,1855.125714,1854.289672,1840.954961,1860.02277,1864.669432,1861.138559,1867.610809,1870.984047,1862.010989,1853.07736,1850.100278,1866.545504,1861.607125,1881.946446,1885.677801,1905.648586,1917.899195,1910.103657,1924.342381,1920.739615,1916.206954,1915.471801,1910.492221,1916.572042,1922.833631,1920.95559,1921.20384,1928.028174,1924.853016,1921.410471,1915.543662,1908.498895,1909.668435,1910.315957,1913.803219,1910.050261,1908.079173,1914.28515,1894.926376,1894.894646,1874.070387,1865.173324,1873.770422,1879.563431,1864.946371,1880.25006,1898.10084,1894.775258,1905.493553,1898.864812,1888.761439,1874.265618,1869.906643,1861.969078,1850.410701,1839.263792,1857.257423,1873.586684,1874.04354,1877.174705,1878.453267,1874.152718,1880.361955,1879.622034,1877.581517,1869.946947,1867.924506,1871.311198,1858.133939,1840.52319,1828.128873,1832.663326,1823.270376,1806.33926,1806.135185,1823.359024,1843.975762,1847.226763,1829.306712,1829.984228,1831.021454,1815.321702,1810.2414,1804.474724,1811.967366,1793.66958,1790.815957,1793.533387,1803.979695,1781.980127,1782.500699,1782.633957,1776.301593,1782.118774,1782.962321,1780.255094,1756.517306,1746.374893,1730.147433,1702.228852,1701.383827,1710.882961,1703.294022,1680.298905,1675.610945,1690.987411,1695.4038,1704.909275,1731.922308,1725.554165,1740.466865,1747.15708,1767.768645,1769.773139,1735.577779,1729.737473,1764.183484,1755.128434,1813.480292,1832.134519,1806.323123,1815.730633,1797.02831,1794.721461,1800.450829,1789.25192,1793.244024,1784.795191,1809.337905,1810.556666,1804.27878,1810.003671,1814.290674,1815.121186,1836.292694,1853.127623,1848.779062,1832.120625,1827.123667,1832.493097,1822.740974,1811.272908,1785.835846,1780.745026,1775.62223,1782.030542,1794.977797,1808.397327,1838.494564,1846.771002,1849.670357,1864.06709,1866.620226,1846.313717,1848.559415,1847.691463,1889.701276,1902.69011,1909.900925,1925.931352,1940.531899,1956.055304,1958.779876,1968.154978,1969.331767,1980.299006,1990.493705,1991.121504,1985.001378,1990.636472,1978.626937,1961.242482,1951.325993,1940.370706,1935.476265,1927.457653,1920.428734,1910.0773,1909.757115,1904.310418,1912.125805,1921.13921,1934.633254,1959.319983,1974.575137,1982.04842,1980.545484,1975.228933,1955.863632,1946.910027,1957.139531,1946.427538,1938.230428,1928.807999,1922.178732,1910.285795,1936.841897,1932.972432,1949.643936,1984.57813,1986.486589,1987.02709,1973.757494,1980.355045,1975.091124,1996.357084,2002.270682,2006.34699,2005.981421,1998.038902,1988.475829,1991.752002,1977.066654,1981.50698,1967.990084,1973.821176,1970.067656,1970.431816,1970.886617,1964.804836,1959.520568,1981.884489,1980.927901,1966.701143,1951.107049,1943.409767,1928.736668,1955.227117,1934.716491,1945.193711,1947.281109,1947.358529,1974.292933,1958.398907,1966.177081,1956.971367,1978.43685,1992.674913,2008.717431,2012.736709,2012.627515,2016.04467,2003.959798,2013.366099,2008.36255,1993.686118,2002.293058,1985.921346,1980.355748,1977.46856,1974.335197,2006.104985,2015.410489,2021.62369,2045.80861,2040.236847,2038.75864,2042.605011,2034.268198,2039.280725,2057.15707,2049.385902,2033.933692,2028.542302,2021.592052,2025.57132,2019.013251,2013.297648,2019.459866,2015.915621,2029.636851,2028.994341,2022.566853,2015.857684,2031.60521,2029.730127,2035.670599,2049.131009,2050.915791,2036.122751,2029.049154,2027.303999,2022.820059,2026.536416,2028.70971,2009.045624,1998.059816,2000.418249,1974.694163,1978.290129,1989.216145,1988.258782,1985.651869,1994.866451,1975.586465,1975.170055,2000.49268,2011.314909,2010.666306,2013.949545,2027.294631,2031.15838,2030.870727,2037.942139,2041.306661,2026.426638,2020.888009,2011.728428,2015.380322,1997.653166,1990.953975,2007.519576,2035.270505,2055.73597,2062.133353,2051.701168,2042.969947,2047.702326,2050.24352,2060.603202,2044.838118,2020.968465,2001.545361,1998.667984,1979.184935,2007.247085,2029.290163,2010.095644,2071.359378,2108.884931,2140.974817,2140.968981,2144.535261,2158.130295,2171.73219,2173.951549,2171.014757,2164.039414,2149.568621,2142.25856,2131.599208,2134.415115,2135.870151,2117.120016,2104.716198,2103.972061,2098.799217,2093.734104,2096.254233,2084.278983,2055.549938,2051.956841,2046.466912,2038.994559,2035.924111,2028.958104,2026.496865,2028.067074,2021.505772,2021.066506,2029.684611,2001.90541,2009.109381,2013.298262,2009.647748,2008.714764,1999.742805,1992.397571,1988.73882,2000.942667,2005.145222,1999.204299,2012.303798,2008.707374,2007.824216,2010.137158,2017.657196,2001.175625,1992.111198,1983.536574,1981.414574,1981.343216,1969.530387,1979.84378,1982.346941,1996.029866,1998.870598,2007.919604,2002.782867,2001.873968,2002.540444,2006.728409,2001.790788,1995.507768,1993.685303,1984.029569,1985.435531,1984.777545,1990.221934,1991.630161,1993.109477,2002.157356,1996.784196,1991.455899,1999.485532,1999.712182,1991.312236,1988.534326,1986.508276,1972.560229,1969.143129,1971.143596,1974.536055,1974.799438,1968.712957,1970.060663,1960.848908,1953.185174,1953.350929,1967.406576,1973.982926,1965.895882,1977.430619,1972.854359,1962.514031,1960.243376,1955.110949,1960.127226,1965.555895,1960.192921,1948.370813,1944.476246,1930.696866,1928.146913,1933.804979,1925.04556,1912.265832,1919.385721,1924.419004,1921.472598,1913.887171,1915.106721,1913.581366,1910.002568,1908.732028,1917.788389,1917.57312,1910.370787,1916.654594,1908.608785,1918.703394,1929.952654,1940.116591,1945.159978,1940.063365,1947.556483,1945.440188,1946.282771,1930.657734,1926.794014,1930.685828,1923.725575,1921.054248,1915.349298,1922.656584,1932.527134,1920.965533,1914.78856,1913.986116,1912.496566,1898.500726,1893.808909,1872.154116,1874.095575,1867.316895,1874.963654,1875.742302,1879.613722,1875.647105,1887.533239,1892.916369,1883.088619,1884.217073,1879.163959,1875.656489,1871.172258,1875.97971,1890.998035,1881.613348,1866.105337,1893.403271,1886.18526,1875.094872,1882.367061,1882.278424,1890.219686,1892.027084,1897.725253,1902.302196,1883.159523,1877.475273,1872.143357,1874.543522,1881.078169,1876.714648,1881.278716,1881.764018,1871.462184,1856.285632,1870.165287,1877.773874,1864.679638,1856.942123,1848.912918,1854.086995,1851.011491,1857.643004,1855.275969,1842.467318,1835.575517,1838.24818,1831.573539,1826.758292,1828.32525,1833.808288,1831.721518,1823.179961,1780.583859,1783.563153,1775.236066,1776.459418,1790.387725,1781.631965,1787.815119,1789.221504,1783.078713,1782.040004,1782.456003,1786.534722,1787.667069,1786.804273,1793.337892,1802.695599,1802.386546,1810.965434,1796.898344,1796.226247,1792.378571,1783.862094,1797.903744,1797.857711,1798.189455,1797.663455,1769.813729,1765.370893,1773.645069,1765.444084,1750.466208,1749.591827,1757.278887,1761.860818,1761.014375,1761.933982,1764.006154,1756.785989,1756.2419,1757.515348,1772.615252,1765.838133,1764.375218,1764.749813,1769.611422,1759.683988,1748.818502,1758.805263,1751.45067,1743.2159,1745.387196,1735.450694,1738.193793,1750.436214,1744.542176,1742.142985,1740.544677,1738.399244,1750.041634,1748.876996,1751.270704,1735.130188,1730.469353,1727.169785,1718.990791,1733.333612,1731.480596,1736.623014,1730.420763,1712.364091,1722.782199,1716.570165,1722.611927,1730.57161,1708.197267,1685.627565,1690.925351,1683.491022,1676.842792,1679.583315,1682.025609,1682.527666,1682.827953,1679.771023,1682.832499,1677.615074,1673.054409,1704.933985,1708.714847,1692.184138,1688.604323,1685.208831,1682.135243,1662.492606,1647.88689,1641.094043,1640.951964,1638.98502,1639.984879,1637.37646,1642.792433,1625.945246,1636.078296,1635.159192,1621.915415,1639.470265,1630.76337,1635.398206,1630.694687,1642.376673,1649.604311,1641.166665,1656.652663,1651.124508,1641.621672,1654.814328,1657.924658,1668.305409,1668.576478,1668.918281,1670.731122,1675.569127,1674.247617,1676.689465,1676.57942,1683.736262,1686.483523,1678.214801,1661.123465,1668.120366,1658.317399,1664.885932,1679.089844,1694.111397,1688.493272,1694.94267,1701.51117,1703.954003,1703.934897,1702.978475,1708.259778,1699.101644,1698.316348,1701.299456,1716.360077,1728.825237,1699.444562,1681.29237,1681.467032,1665.601755,1677.230772,1671.951609,1676.365084,1690.58708,1707.213053,1734.509503,1735.9785,1731.990256,1712.148821,1696.207638,1686.98747,1691.382711,1691.099109,1705.218954,1704.27848,1710.52142,1714.899824,1705.454059,1702.871193,1711.458102,1704.531359,1706.849237,1713.277568,1712.536696,1709.965989,1701.416891,1696.7088,1677.275938,1667.221101,1665.740098,1656.095728,1671.925755,1683.033896,1689.937578,1659.857172,1661.402491,1657.217488,1653.281279,1653.417741,1660.911645,1657.558897,1647.957966,1656.882557,1654.627721,1658.883221,1650.084261,1641.168729,1622.451987,1597.243973,1589.443146,1580.381943,1604.957668,1623.81928,1611.700289,1597.839146,1552.051653,1526.66605,1573.359984,1687.335816,1661.815861,1659.678377,1654.44214,1599.594903,1573.322609,1594.117455,1582.149865,1615.082157,1644.136386,1677.852972,1699.083212,1694.863526,1678.741767,1671.437649,1652.696003,1658.36733,1665.792375,1667.719795,1668.588045,1659.954859,1641.09027,1627.678976,1632.940304,1618.183498,1642.404399,1644.089795,1638.205709,1630.694906,1645.027416,1652.993484,1651.931682,1634.368507,1637.29439,1639.741137,1645.695493,1667.289952,1687.111859,1694.213114,1698.121017,1696.763659,1699.692321,1697.349023,1701.550785,1712.931163,1712.419244,1709.298391,1673.33023,1677.006647,1678.611912,1664.306309,1635.376362,1628.323327,1621.503152,1602.202402,1602.180366,1591.652868,1621.900789,1612.643712,1647.687143,1655.650718,1624.148288,1625.392488,1613.181264,1634.911517,1649.053603,1647.949534,1655.130702,1659.420316,1621.955197,1629.84458,1645.000289,1638.601513,1606.079128,1609.172762,1608.712016,1616.040907,1619.187687,1602.562781,1586.340916,1564.879531,1549.657151,1549.118718,1544.428295,1522.952377,1547.772017,1562.053787,1545.720344,1558.92397,1550.054223,1527.126645,1481.957015,1480.94726,1497.998721,1502.7087,1525.089824,1554.110066,1571.658448,1555.910709,1562.086562,1586.833031,1575.600804,1557.873464,1565.404924,1551.069183,1546.688021,1549.738016,1499.294967,1494.607891,1540.331658,1541.132375,1561.602743,1586.303277,1571.357994,1578.326672,1588.666847,1600.231254,1627.663308,1645.969628,1651.097586,1693.055084,1704.683767,1709.811275,1697.644818,1701.307505,1691.249846,1668.888519,1661.84977,1666.755656,1677.994191,1674.63907,1655.360332,1645.272585,1668.764656,1686.10747,1692.849301,1689.241373,1713.630189,1715.648227,1723.003114,1731.737343,1738.501099,1725.475637,1728.436055,1723.942796,1718.328504,1726.682512,1737.596981,1741.086617,1715.509921,1716.748122,1691.921841,1694.743831,1710.686554,1726.722792,1714.792105,1721.19332,1728.762057,1743.701414,1747.947224,1748.643866,1749.837497,1756.448541,1747.384747,1764.186735,1749.973201,1765.626164,1765.235081,1748.680433,1746.235616,1742.518885,1744.513513,1753.86545,1745.385357,1724.550139,1733.268859,1749.943461,1750.374751,1726.747945,1722.220571,1710.28085,1692.637194,1659.185413,1645.611527,1634.945173,1600.017447,1626.154256,1651.003664,1630.823314,1645.653833,1650.475599,1691.148892,1705.128896,1722.287261,1718.863092,1690.321697,1685.901577,1692.956385,1699.502974,1718.406383,1683.011791,1662.627235,1694.978818,1680.148595,1684.780213,1726.219386,1737.311666,1720.927911,1693.604943,1698.786078,1682.697511,1741.806309,1780.295358,1797.919082,1822.119498,1827.583862,1828.467429,1832.01845,1831.450273,1851.679498,1869.641268,1854.004886,1860.185984,1864.386937,1862.925624,1863.214027,1866.642236,1846.625322,1849.892153,1834.406217,1831.615731,1845.732017,1862.246536,1857.720118,1879.50955,1878.708209,1877.202598,1882.608379,1868.1186,1868.670397,1853.988986,1843.111465,1808.854207,1788.112379,1790.676559,1816.845102,1851.499341,1850.427827,1838.714665,1851.137302,1894.402184,1906.040656,1909.079907,1915.067459,1917.216622,1879.266778,1880.387281,1859.211176,1868.260851,1866.185509,1887.170043,1892.696927,1891.088755,1858.266874,1860.577554,1864.594015,1899.801048,1913.922889,1900.954164,1888.101379,1895.39387,1909.584709,1911.929328,1903.614694,1933.388267,1946.364657,1935.490555,1933.847537,1944.760652,1949.005311,1942.389695,1935.711814,1921.969708,1925.241024,1926.328188,1895.658298,1913.978638,1904.904309,1918.032663,1916.710905,1920.996765,1938.821042,1948.513409,1949.9132,1934.924586,1920.695466,1913.171087,1913.715117,1903.393458,1900.754347,1915.669486,1906.775176,1910.032711,1894.393711,1901.053789,1895.07415,1892.8918,1894.55668,1889.780971,1868.860477,1850.229146,1847.266714,1866.815883,1865.757419,1872.244798,1895.714532,1898.298711,1896.840598,1883.488734,1847.684662,1842.977666,1829.783822,1830.750958,1813.4356,1820.641161,1806.66072,1806.867337,1837.982123,1848.030509,1866.364028,1863.160382,1871.100815,1880.385181,1886.64412,1881.791498,1885.087083,1879.395459,1874.120214,1867.545681,1864.963822,1858.075703,1846.997434,1844.400329,1828.260335,1803.166548,1814.253459,1811.746492,1817.095251,1826.111653,1821.111515,1810.987785,1794.469138,1783.035327,1792.695686,1803.593895,1811.365157,1796.546626,1792.364725,1786.204499,1783.176239,1772.544964,1750.562579,1751.095756,1735.608858,1753.594543,1744.012653,1741.980621,1747.414664,1710.937321,1719.806657,1740.160437,1778.587458,1790.535076,1793.265857,1807.421608,1803.650515,1804.312172,1798.732945,1801.144507,1794.742222,1779.831738,1753.327464,1760.145223,1737.327969,1773.019209,1793.799595,1803.226423,1820.809006,1831.978802,1843.084007,1842.254437,1846.960652,1847.604855,1847.774682,1853.541727,1867.941092,1862.02688,1852.323637,1852.555311,1836.404511,1839.898066,1844.940503,1824.47385,1831.536246,1830.038036,1827.94331,1831.133245,1827.585245,1815.836432,1818.450766,1825.660813,1818.00075,1811.899348,1834.240354,1815.526898,1823.548435,1814.802405,1799.04219,1797.675859,1794.696893,1791.680628,1783.328121,1766.256579,1755.993588,1732.372796,1740.410414,1762.310588,1773.194359,1767.251284,1805.203762,1807.14972,1817.202969,1827.53572,1812.622182,1820.574118,1848.849057,1865.118781,1867.296717,1875.490431,1884.230714,1896.891075,1897.247615,1908.896254,1923.025893,1927.723072,1920.432289,1916.412864,1920.075395,1923.466943,1927.374213,1926.871999,1929.091972,1940.841833,1949.559082,1956.800343,1961.141682,1947.16506,1949.698345,1947.134543,1959.037714,1955.561684,1948.509989,1936.529855,1946.915592,1938.547224,1942.378773,1935.367858,1922.66598,1926.623926,1919.289843,1911.822112,1913.152679,1892.309225,1904.145865,1912.290858,1924.709747,1932.096775,1937.872404,1952.986,1970.225145,1980.871481,1980.461278,1981.061321,1989.336331,1985.327746,1981.388916,1966.895482,1971.681583,1973.366838,1986.394651,1971.042908,1979.899519,1963.940085,1963.454189,1982.57362,1982.566415,1998.184837,2011.641359,2006.572373,2002.004835,1989.427817,1983.024619,1978.825612,1978.284946,1989.104502,1994.552515,1997.35884,2004.356789,1980.469842,1976.045261,1976.807432,1979.365433,1982.575296,1980.124967,1982.520193,1983.294539,1981.631913,1970.049738,1965.812217,1965.566021,1968.426439,1965.025361,1964.242256,1959.024183,1960.197634,1949.507795,1945.440784,1936.412101,1933.796981,1938.359496,1942.190211,1947.217865,1957.310072,1954.449648,1947.375604,1940.754824,1953.216298,1942.177538,1953.508681,1948.263656,1951.069934,1951.973756,1945.638382,1939.626262,1926.654835,1928.197693,1934.750154,1933.323196,1934.398894,1920.283695,1922.691624,1913.302147,1891.397053,1900.747364,1903.931638,1926.692748,1926.684096,1922.886242,1920.879421,1938.063637,1930.458945,1932.603236,1929.569715,1921.734019,1909.806794,1898.695328,1897.679598,1884.641026,1869.35973,1876.240166,1871.677507,1894.440257,1898.760133,1886.357372,1875.387794,1896.461986,1904.421903,1922.3116,1921.280654,1931.357062,1944.318471,1930.016928,1926.455732,1904.302518,1938.00413,1925.762779,1928.376189,1940.266811,1934.429612,1927.302285,1913.471405,1925.139662,1924.406841,1901.825074,1894.791662,1894.365048,1886.177823,1865.831967,1856.968235,1837.750316,1813.241981,1802.77456,1824.518203,1841.29883,1850.164709,1865.499382,1862.373539,1860.217185,1882.953903,1916.621725,1924.904174,1921.033634,1921.860473,1918.356008,1917.338397,1908.10629,1916.715203,1912.101475,1895.400433,1905.423501,1898.735746,1896.776129,1903.362808,1900.271379,1919.916847,1916.925814,1911.557371,1890.660421,1884.415757,1885.2391029999999,1870.142356,1860.907525,1847.082497,1829.951934,1837.606523,1824.846142,1828.111471,1849.475527,1859.616552,1861.660511,1853.255941,1842.29804,1848.122784,1867.409604,1880.845384,1893.167124,1882.314137,1880.555086,1885.989149,1881.427571,1875.024133,1880.781112,1885.702399,1896.548034,1883.232863,1870.835825,1852.589997,1863.39957,1864.192879,1854.2619,1862.908707,1881.850247,1869.279848,1874.251903,1866.79397,1885.382059,1900.297906,1895.365701,1896.343807,1892.808805,1901.462568,1892.898084,1905.240515,1888.924108,1884.903118,1870.259597,1843.819656,1842.321872,1839.23968,1834.199392,1818.559727,1797.296127,1806.406313,1813.041024,1823.25431,1826.3477,1828.008385,1832.762598,1825.327777,1841.805156,1837.87242,1838.129965,1837.463785,1838.494717,1842.157062,1851.78723,1818.859287,1808.243328,1816.078214,1794.716916,1798.295229,1798.330105,1788.389106,1770.026164,1756.523253,1744.810139,1744.285507,1734.613601,1709.130468,1723.595862,1725.572074,1742.489311,1760.338468,1763.073475,1744.746552,1741.878801,1758.044492,1768.730751,1775.407417,1766.892484,1784.870686,1774.077563,1771.323414,1776.095078,1771.422822,1757.975489,1772.299398,1765.83788,1771.606657,1752.340871,1735.944465,1741.843219,1739.856909,1751.046358,1756.442361,1765.337705,1760.928575,1759.33658,1745.580962,1742.671274,1733.452931,1732.118862,1725.175171,1721.692707,1723.992072,1692.495269,1680.856504,1667.937425,1656.823026,1655.289366,1668.050261,1665.374404,1649.12209,1647.221492,1633.547751,1619.729691,1609.123569,1636.647715,1647.996302,1726.649541,1719.068338,1719.434642,1701.208867,1690.89714,1703.666013,1701.357871,1704.868713,1696.83287,1683.527091,1690.969901,1720.485149,1707.264843,1716.394355,1737.493026,1739.202731,1743.773939,1745.118309,1745.466665,1789.075185,1790.721271,1788.678342,1773.076454,1781.366565,1778.140358,1775.934291,1774.622235,1770.419544,1779.0297,1791.679022,1770.645176,1755.060657,1760.433483,1748.246324,1758.844594,1764.429362,1750.453269,1737.553444,1737.553319,1723.980515,1706.598644,1684.235601,1681.055244,1677.079731,1681.927042,1700.003367,1708.319535,1726.6438,1737.110221,1717.993811,1692.543247,1682.424993,1675.898399,1675.837572,1692.435243,1696.629994,1687.133117,1695.005324,1688.595959,1697.479958,1697.552415,1705.240676,1704.484606,1708.020093,1701.904533,1707.758782,1731.491822,1717.212302,1701.754308,1713.018397,1712.332133,1702.715374,1701.550022,1698.612114,1695.61277,1674.846194,1675.427019,1688.35972,1672.144687,1661.907119,1686.641111,1679.984349,1671.350045,1704.716756,1705.514537,1686.003257,1695.743585,1702.714835,1703.964064,1685.851275,1696.621399,1686.008777,1698.761733,1691.73234,1697.331091,1719.187419,1708.831144,1714.609192,1710.438177,1699.602326,1702.564645,1689.354374,1681.940313,1686.049643,1680.536472,1681.777868,1673.790059,1683.447466,1679.234751,1681.992623,1673.339804,1657.883715,1651.032938,1657.305412,1659.74645,1654.362589,1658.614157,1630.094175,1630.163672,1635.016644,1632.177289,1629.256346,1631.977855,1642.576083,1644.836604,1629.22881,1617.509608,1613.317818,1611.419515,1611.820774,1606.108703,1597.07266,1594.715898,1595.83454,1592.262708,1591.781652,1589.468427,1583.972941,1582.584461,1562.71803,1565.115548,1564.564307,1566.675317,1536.746194,1533.094944,1533.287198,1496.553157,1506.786811,1512.038423,1525.618552,1524.794921,1529.363512,1534.150565,1544.373981,1559.206694,1552.624858,1562.381787,1564.424499,1554.517659,1552.101831,1556.960664,1551.823206,1549.707869,1577.484261,1581.76636,1595.763768,1591.920099,1573.162695,1549.165634,1546.113539,1547.916408,1539.23788,1549.299186,1564.236249,1579.095449,1564.006592,1551.127611,1559.089662,1559.221438,1544.967963,1559.471745,1549.427973,1584.80686,1576.834109,1588.522309,1579.430546,1595.769991,1586.917021,1597.527717,1604.664863,1566.172493,1562.354536,1553.460408,1545.036981,1548.530387,1519.117685,1492.646697,1494.538085,1504.510211,1495.086079,1510.134076,1514.304996,1519.106056,1516.338174,1526.040773,1518.528968,1533.269053,1517.712042,1518.79342,1515.464042,1500.542986,1504.851827,1501.504666,1504.403114,1507.00018,1503.467374,1505.320018,1492.760534,1475.996762,1445.371191,1466.330323,1467.19307,1467.830938,1456.888759,1432.922509,1393.863982,1396.473214,1404.429933,1438.476679,1463.177048,1445.631034,1431.595184,1434.632424,1431.057308,1412.191157,1433.017419,1432.380794,1431.964282,1442.280191,1459.186858,1474.63388,1458.050766,1450.255457,1400.672219,1401.245766,1386.764178,1389.434075,1407.16424,1422.169505,1441.695939,1432.325403,1409.981572,1404.93318,1390.216713,1392.755713,1384.963761,1384.146883,1374.649057,1392.907678,1373.647035,1346.172851,1337.999471,1342.338348,1363.978347,1369.23918,1396.417949,1381.569129,1385.661131,1377.348252,1412.46471,1391.458267,1385.172579,1406.115268,1413.647277,1430.092791,1446.754962,1473.86439,1475.03497,1468.684924,1482.177663,1501.388077,1512.614302,1534.001618,1537.40078,1547.243041,1549.290698,1554.369515,1544.921475,1536.489913,1525.610996,1512.088457,1542.182697,1533.989222,1539.667794,1541.086172,1516.082248,1518.278024,1537.609296,1516.302844,1510.671564,1533.70777,1539.343542,1542.745995,1588.54297,1600.562116,1582.65965,1572.475564,1587.979109,1604.02861,1601.345779,1586.860393,1582.467271,1590.237503,1598.398311,1615.526969,1610.389256,1595.730031,1583.87192,1588.690073,1571.361458,1576.909387,1579.238734,1546.0424,1544.612107,1585.746111,1595.169828,1604.943707,1601.262108,1604.05219,1597.156956,1605.567995,1592.440875,1586.373041,1595.412952,1579.197843,1562.312231,1567.361649,1556.779933,1569.047741,1556.038853,1581.365131,1576.63519,1572.61149,1563.453969,1563.76495,1552.919614,1549.133512,1521.750783,1516.009941,1530.342596,1539.889358,1511.511323,1510.416519,1523.285301,1505.983514,1500.010151,1480.377226,1471.789006,1450.349015,1458.5338,1454.849303,1464.079695,1440.054917,1441.757341,1451.793631,1474.154903,1480.968556,1445.065833,1425.489803,1417.812434,1437.554752,1434.327329,1425.997142,1415.227546,1417.520386,1389.703635,1400.009158,1396.273243,1391.583793,1425.848581,1436.265471,1459.809575,1453.642114,1477.85445,1471.294156,1487.309969,1473.332432,1465.038105,1462.498107,1412.6133,1397.017798,1351.167496,1360.357216,1389.557574,1392.936766,1432.611112,1445.011714,1460.081283,1465.15604,1481.672581,1494.708081,1457.146003,1474.387297,1504.82035,1495.80469,1500.65793,1501.067183,1485.648024,1472.956164,1538.102797,1593.097988,1585.15271,1509.099464,1513.457946,1522.590244,1498.859306,1457.658278,1485.154076,1471.635833,1488.222414,1495.174826,1477.871807,1490.795458,1463.160765,1456.9255,1428.884913,1410.517399,1366.395838,1336.522401,1369.266553,1402.613671,1431.75076,1423.873347,1437.955693,1374.843823,1370.171777,1364.528782,1439.619204,1458.629607,1441.422808,1476.891952,1468.378526,1431.122205,1424.777916,1407.766262,1448.92901,1498.639537,1492.349167,1454.095864,1529.520797,1562.43356,1564.715268,1533.238622,1523.569324,1494.604746,1496.340574,1508.390438,1499.896824,1481.310944,1482.36904,1501.825588,1568.524191,1559.608367,1565.545355,1536.807846,1507.979206,1481.292564,1505.831068,1492.209678,1546.564416,1581.711968,1643.432498,1669.011748,1697.960568,1714.031542,1720.733372,1732.0194,1757.352907,1746.890499,1756.942741,1746.102462,1718.04323,1697.383007,1674.553901,1702.05219,1706.354195,1719.137906,1690.716843,1702.627623,1744.125728,1756.305775,1747.35691,1759.377092,1752.219002,1744.037416,1716.391831,1684.788573,1668.424088,1666.859157,1663.525524,1705.991077,1701.455486,1671.927231,1678.284715,1664.519889,1693.334619,1720.98678,1696.78959,1697.302963,1724.224529,1720.398075,1739.312587,1732.501418,1740.909001,1737.873838,1762.472852,1772.492139,1748.731004,1726.144173,1715.896718,1710.130922,1703.191571,1741.865507,1752.545571,1746.554563,1729.188776,1747.291294,1753.114494,1759.652241,1784.098582,1788.016882,1769.482296,1792.011848,1788.903113,1814.664733,1832.72064,1848.988279,1837.775489,1832.495041,1803.477279,1802.323833,1793.979,1800.1008,1781.32585,1737.764763,1727.776128,1763.740318,1766.767849,1772.611337,1760.935905,1785.809455,1788.234275,1765.278776,1772.128605,1762.060327,1767.037635,1756.88679,1749.015759,1749.166793,1729.514596,1735.879281,1742.108017,1743.165034,1726.830626,1730.093112,1714.724285,1686.705274,1674.427309,1645.019128,1643.735542,1701.686655,1727.592047,1735.366579,1770.500049,1771.810862,1780.82487,1791.223039,1787.944999,1780.666247,1791.082246,1791.899683,1773.874282,1755.312851,1761.086736,1771.421913,1798.988208,1794.435953,1780.012251,1770.808645,1766.219988,1760.73209,1762.213727,1775.36952,1783.648175,1770.257428,1760.571683,1760.698628,1771.843865,1760.868668,1730.911811,1728.088616,1747.622008,1743.885055,1732.39384,1736.355245,1721.054502,1705.316066,1738.562292,1740.179153,1724.268139,1726.936563,1706.410029,1678.823746,1668.125892,1681.234707,1684.443577,1684.915502,1703.700154,1697.791737,1695.575803,1686.376916,1690.342354,1683.345221,1677.659419,1679.828573,1677.892667,1676.78122,1656.571426,1655.609396,1663.348472,1672.437762,1685.055376,1680.504924,1657.598916,1653.396211,1647.041707,1659.479551,1648.18579,1652.67758,1631.83198,1597.593844,1570.528186,1579.84115,1602.449885,1620.922432,1614.768873,1646.525873,1654.825263,1656.114048,1628.663547,1624.231018,1658.214054,1659.105702,1670.696296,1670.167347,1699.310209,1693.701628,1699.674286,1702.126881,1655.159443,1660.600854,1644.799838,1643.51917,1641.156148,1623.563804,1645.927232,1662.016921,1648.096375,1656.979837,1651.760618,1633.95672,1658.736263,1657.753805,1668.314733,1652.158932,1625.784896,1638.578138,1637.18149,1637.695066,1632.747965,1614.631067,1583.460245,1594.54197,1588.119123,1595.875285,1593.036722,1591.355439,1589.355373,1568.725623,1575.834761,1566.103046,1567.713141,1549.545554,1553.560665,1558.823266,1561.32117,1550.913714,1526.760032,1527.827094,1513.319805,1509.596217,1513.498254,1499.948809,1493.065285,1453.045472,1460.808357,1455.258153,1446.708285,1426.82447,1445.112606,1461.882142,1457.538915,1486.937995,1496.375578,1496.446872,1480.829624,1474.118218,1475.090856,1485.36347,1529.23642,1553.568508,1545.974595,1542.848638,1539.767429,1550.47826,1541.204473,1501.211625,1510.740465,1506.990939,1500.944725,1495.913732,1480.010258,1472.420192,1446.834899,1441.979692,1447.295332,1457.189143,1476.88339,1478.316515,1467.561007,1443.48109,1444.463525,1437.089556,1415.899075,1405.420114,1373.188214,1365.769912,1375.320208,1379.536791,1425.57558,1414.55832,1426.036336,1436.823388,1457.066736,1473.384496,1454.029668,1449.322188,1446.706525,1438.394985,1427.131524,1397.221487,1390.141841,1365.707313,1345.160399,1348.566614,1378.724691,1409.357606,1385.314081,1396.308417,1399.130244,1392.949236,1356.868649,1336.913731,1378.105606,1385.090043,1379.994741,1406.824287,1441.529181,1431.007824,1453.074434,1499.693232,1497.019935,1482.501764,1500.127919,1422.177139,1466.626277,1502.262323,1526.973955,1570.04678,1580.340876,1579.141846,1562.329589,1594.039809,1625.376393,1609.804902,1604.090586,1625.411789,1630.423187,1616.150895,1635.081309,1660.938718,1655.742044,1638.584049,1648.415891,1635.213027,1614.225489,1624.687886,1628.061032,1628.557676,1627.763985,1608.794059,1605.381053,1604.426945,1594.493801,1591.223511,1584.067393,1603.334133,1595.120976,1596.15325,1603.500437,1617.523099,1603.152302,1584.458951,1598.803286,1586.345756,1586.124587,1576.913361,1581.157254,1569.918876,1551.559254,1561.337912,1540.713042,1521.346838,1517.400127,1494.772795,1516.159087,1517.504321,1529.201437,1513.325094,1528.212677,1524.117467,1507.213471,1486.577759,1485.521745,1481.843313,1477.849931,1473.315328,1468.782294,1501.274406,1541.654776,1549.543105,1527.045266,1521.729227,1530.616769,1544.467681,1559.707327,1568.102426,1576.963349,1588.996302,1607.827006,1641.850324,1640.666379,1656.77574,1643.497814,1650.358188,1656.594986,1635.411663,1625.941801,1633.238628,1632.864043,1628.363019,1597.280622,1589.629072,1607.545093,1601.058867,1591.723307,1584.100521,1569.492899,1565.508353,1549.775108,1561.873783,1598.341499,1579.724046,1590.554312,1576.644249,1577.760074,1573.015673,1584.854787,1606.428484,1612.538856,1624.591363,1620.687412,1616.31869,1573.659131,1567.147997,1610.844471,1589.882406,1604.319826,1570.317311,1581.909623,1613.598794,1607.287874,1624.229342,1599.886545,1593.164222,1603.650405,1596.821966,1599.030561,1563.132025,1556.167989,1548.576265,1520.462475,1538.540877,1539.338106,1556.934696,1538.175051,1568.980238,1586.138349,1604.949646,1613.906321,1629.012662,1622.747096,1625.57041,1601.328759,1617.475082,1612.657534,1583.575941,1589.515469,1579.670134,1581.641,1554.118776,1554.46306,1514.914675,1507.200035,1535.598905,1565.318254,1556.997022,1559.476191,1552.215934,1564.006157,1589.718547,1589.282599,1565.674925,1583.879246,1594.793552,1579.670203,1552.484732,1552.820828,1563.951984,1550.734619,1542.549477,1532.704672,1483.887103,1472.026812,1469.904643,1485.84765,1506.64248,1517.575895,1493.028467,1499.034443,1509.724617,1504.990887,1484.992064,1463.432849,1444.624552,1439.374013,1424.16484,1470.029659,1476.892586,1453.30517,1444.246981,1455.868886,1459.378875,1466.607917,1465.422134,1475.009403,1475.532469,1441.328286,1426.510753,1401.217125,1407.261755,1414.432879,1405.13436,1402.56585,1381.157811,1379.24961,1360.398424,1339.919001,1334.443616,1323.605619,1289.192885,1266.902579,1260.287215,1269.370877,1259.263566,1280.780023,1285.836155,1306.111223,1337.012243,1318.73581,1326.570466,1318.720585,1300.90875,1309.445808,1283.994082,1289.020816,1319.110705,1306.307603,1300.087238,1318.533752,1324.775646,1363.438759,1371.209444,1354.422152,1337.28758,1322.758695,1339.993574,1346.782668,1353.066403,1380.194947,1367.952268,1335.224259,1311.894139,1322.704464,1316.298692,1302.437206,1291.118554,1312.709216,1291.610562,1259.547561,1254.988259,1241.767861,1250.653713,1275.5539,1279.213116,1279.584098,1256.85168,1242.276472,1229.818772,1222.135566,1194.922649,1192.715162,1173.374536,1146.455885,1170.1315,1173.995763,1145.459426,1138.673441,1126.970621,1131.396524,1166.522078,1157.322427,1143.534437,1152.910722,1142.114928,1131.330062,1104.634643,1110.317858,1124.842999,1132.194681,1138.175287,1076.670849,1061.261163,1041.681192,1088.905813,1110.148501,1103.911073,1099.380644,1093.435224,1058.931842,1073.098448,1022.47454,1016.707951,1013.716158,986.159325,964.612058,965.345845,952.311552,913.171607,927.484045,936.737064,954.279855,931.526722,948.54508,999.87919,1011.340402,995.370215,995.097824,1007.755786,1012.566493,1046.977993,1037.731216,1050.603677,1107.322605,1098.051083,1120.261349,1132.267339,1156.868169,1142.208018,1125.669705,1130.93626,1112.332533,1089.792567,1115.838771,1141.161586,1157.964933,1131.386889,1110.482666,1072.653563,1092.554861,1095.863758,1100.966357,1154.903836,1130.425623,1156.702962,1189.300281,1227.398212,1252.869421,1269.438989,1277.079969,1266.154136,1264.731488,1261.759958,1231.743112,1237.917903,1226.510663,1201.181689,1193.396524,1200.422429,1201.526908,1217.328296,1254.561027,1252.279625,1212.345391,1203.739016,1172.903332,1200.648184,1183.923568,1168.331445,1159.710827,1081.081925,1112.777289,1119.105977,1112.989736,1112.894642,1171.21798,1140.039102,1145.571421,1116.584293,1041.419518,1043.415191,1103.038829,1137.705195,1141.270582,1165.81766,1153.110181,1169.105058,1202.711913,1266.948955,1246.129392,1243.718005,1333.247107,1327.392123,1257.458755,1242.112432,1248.57498,1207.42575,1111.623403,1077.975589,1139.669181,1202.147878,1212.81383,1299.820907,1305.627586,1262.949948,1220.376809,1307.276886,1377.32263,1299.538411,1210.527402,1322.87617,1344.450266,1425.479688,1431.670939,1548.402917,1534.715084,1583.207468,1569.736469,1600.062413,1687.404566,1720.017246,1705.020159,1716.969006,1732.042225,1723.857635,1605.778062,1605.528084,1626.238685,1678.110206,1721.673429,1673.763819,1699.375868,1712.333662,1739.934675,1695.877305,1737.912802,1783.493762,1805.624012,1839.808912,1822.230419,1802.481984,1793.675121,1806.694594,1808.02833,1800.607745,1791.353401,1780.579701,1820.725009,1814.677797,1832.434394,1827.316492,1865.123033,1878.238456,1858.627032,1883.170048,1897.99928,1882.602091,1870.872803,1888.494143,1918.442337,1916.938882,1888.502577,1907.042284,1915.995003,1933.215845,1948.837022,1933.769486,1932.47869,1916.132798,1909.215351,1868.639076,1872.258396,1900.850825,1896.942032,1917.316887,1934.822178,1907.487299,1933.815673,1940.239329,1946.88746,1959.057174,1990.709754,1980.647405,1990.128511,2004.4724,1995.625651,1998.090606,2014.286417,2033.344439,2056.98675,2071.017052,2056.999798,2037.888414,2031.975457,2052.860721,2064.620277,2112.130497,2133.468937,2135.121147,2135.296106,2146.72183,2154.768691,2161.756395,2151.17262,2147.631741,2150.006155,2174.129653,2194.192718,2195.108587,2204.832926,2221.76987,2209.182197,2185.775891,2167.210981,2161.886497,2163.253544,2149.209404,2174.25909,2170.593773,2174.295445,2168.847138,2162.540635,2130.533028,2143.181871,2139.243828,2152.594286,2141.036745,2116.609584,2137.948299,2140.00593,2148.7274,2124.916189,2114.102735,2123.449597,2073.046461,2065.913101,2087.236271,2097.815398,2099.958508,2110.792585,2133.71921,2120.588463,2103.87593,2095.449448,2056.393052,2039.000739,2044.922356,2051.881239,2039.119775,2028.565483,1950.359555,1945.209518,1975.558067,1996.249338,1946.059191,2007.28451,2025.657239,2041.817103,1999.869197,1983.725601,2010.099479,2044.397344,2044.991306,2022.829151,2040.015077,2077.853143,2107.766278,2125.451759,2094.033309,2065.184562,2029.983661,2039.923499,2005.226859,2047.967809,2009.219804,2027.738849,2001.208887,2006.936085,1955.871589,1967.420276,1966.124899,2002.945207,2018.333474,2087.678741,2076.55013,2044.09173,2029.794215,2043.85413,2015.163237,2035.78693,2009.528384,1914.685918,1937.295209,2041.703267,2060.409835,2061.833662,2116.700029,2165.557028,2148.084151,2158.998776,2173.33959,2190.508001,2182.15724,2203.785827,2243.433782,2247.419085,2247.967004,2250.520538,2240.741724,2233.405746,2211.670515,2204.043284,2173.415648,2172.267701,2182.136814,2183.082082,2231.246835,2254.950854,2314.912842,2318.195013,2323.438195,2309.455403,2290.562627,2283.654748,2268.681658,2285.08209,2292.321407,2282.170829,2258.45884,2232.238875,2237.774226,2229.206242,2195.554375,2240.543701,2208.197861,2241.801109,2263.218895,2298.362644,2267.705571,2256.518972,2293.627502,2326.132259,2349.074461,2346.461882,2326.370962,2348.437815,2366.293355,2389.568769,2365.014401,2374.364327,2346.143876,2311.669932,2288.955315,2298.930037,2266.658912,2310.182466,2331.950219,2323.39846,2313.086632,2343.977518,2353.817782,2364.076111,2339.945105,2329.553068,2313.93003,2329.936388,2310.063672,2312.551146,2309.37934,2305.992301,2291.97811,2279.899017,2249.868981,2242.456474,2247.672736,2243.567969,2242.047919,2228.036359,2159.195234,2149.193995,2171.546296,2178.421901,2169.954667,2158.913827,2127.735618,2148.520212,2169.814566,2158.454987,2181.259009,2172.444724,2138.854988,2122.090541,2121.451156,2148.715607,2142.680921,2131.83969,2107.392057,2081.291453,2068.67043,2044.104519,2024.621374,2085.326431,2118.366631,2141.953243,2119.078324,2181.529095,2215.403659,2175.830148,2163.706515,2176.197989,2184.367902,2171.060716,2209.640143,2180.21365,2177.174483,2209.077339,2256.601369,2286.004333,2306.436516,2306.236103,2314.833056,2294.895736,2311.511957,2318.031807,2316.433623,2300.262271,2281.981236,2287.269429,2292.044367,2281.412501,2269.887497,2271.573544,2258.565401,2242.060277,2222.648484,2199.842752,2217.516123,2225.970379,2230.701535,2237.539489,2252.509899,2247.434152,2249.886819,2246.883952,2217.403898,2191.148022,2191.090509,2205.039506,2192.539448,2212.600935,2237.2603,2263.343999,2266.787765,2258.084334,2243.518279,2222.179452,2231.54523,2218.824385,2223.63141,2244.693076,2226.960815,2221.91335,2223.767422,2212.407333,2217.557166,2224.516854,2217.982329,2215.484398,2210.319019,2229.716948,2219.655969,2242.227702,2225.753338,2209.619168,2207.192395,2194.458079,2205.28965,2204.97122,2208.992688,2213.4125,2203.477998,2211.277919,2216.160304,2197.985229,2211.885452,2208.701185,2205.332656,2178.165782,2172.500605,2171.783823,2173.294412,2153.947815,2159.674971,2154.309201,2141.107156,2121.225231,2116.008511,2118.973118,2110.970604,2117.016087,2122.758868,2129.21129,2125.463457,2090.868445,2082.758551,2067.124997,2043.159898,2040.260374,2007.320184,2055.000555,2072.286231,2063.725473,2060.583302,2038.856851,2027.598147,2002.550383,2043.723571,2051.964044,2070.829621,2115.798359,2150.249522,2140.164011,2125.13875,2119.293829,2132.854635,2129.396497,2133.974855,2122.688844,2093.479656,2079.008442,2092.076972,2085.508025,2097.848065,2088.668948,2076.650137,2084.039149,2083.46159,2056.608985,2060.391157,2050.64629,2044.513077,2064.047438,2070.184341,2061.889135,2051.742705,2050.658443,2041.207553,2042.234622,2039.237949,2034.240311,2011.382406,1997.588052,2022.556629,2018.711588,2018.541569,2045.530416,2060.392653,2045.035763,2044.660472,2040.80413,2023.421797,2026.415511,2033.623032,2037.963796,2025.101172,2029.201079,2032.34142,2033.987367,2026.012822,2019.12875,2010.363624,2015.730928,2016.698031,2010.099131,2002.86583,1995.415523,1987.887995,1989.162997,1977.978885,1951.310478,1955.276772,1969.146407,1965.597647,1944.422866,1937.504667,1948.307859,1956.295897,1957.340076,1951.189304,1946.065546,1955.072595,1949.691642,1952.524397,1964.574494,1944.640415,1930.249377,1934.05896,1940.05372,1935.247204,1929.536225,1941.257667,1938.826627,1926.607851,1916.495244,1915.377296,1913.983832,1906.576014,1896.202953,1888.214308,1900.140512,1886.464425,1882.196208,1873.745258,1875.534796,1873.826177,1871.699772,1884.475328,1864.531192,1865.496888,1875.099502,1862.596686,1864.494528,1862.835379,1839.342849,1833.013784,1841.573716,1852.02487,1840.084306,1836.889828,1840.133999,1835.230444,1844.037597,1832.754525,1828.491835,1816.492672,1835.218337,1837.842765,1864.113061,1886.000776,1874.278689,1867.185374,1866.90847,1853.807817,1849.362713,1844.255228,1852.284677,1856.548205,1863.347214,1865.383974,1859.862335,1866.147092,1861.011299,1840.638658,1822.969449,1812.587114,1815.234486,1835.898659,1820.345573,1813.988735,1839.683505,1814.811798,1827.129304,1805.425161,1820.013953,1820.645932,1803.143829,1768.812508,1767.813528,1758.146101,1744.0075,1753.147894,1728.416037,1695.536439,1712.401136,1733.145348,1764.945204,1785.132591,1798.522378,1810.36707,1810.147144,1800.202699,1787.961913,1811.841462,1804.388483,1745.325191,1713.596324,1725.143737,1727.780785,1726.012592,1731.629201,1723.581749,1715.101989,1710.971254,1718.940428,1709.840829,1676.579874,1666.58285,1717.786766,1732.927779,1704.565052,1765.808504,1775.712381,1827.150511,1839.787715,1814.531528,1810.365827,1817.836059,1824.126882,1799.702415,1784.316724,1807.686867,1783.280591,1813.174048,1828.611445,1846.602706,1882.26096,1887.427929,1916.874409,1944.715034,1952.203309,1958.989691,1948.435162,1940.42496,1917.410203,1906.733631,1920.896105,1903.45037,1890.895913,1895.252102,1888.435488,1879.430749,1873.891385,1882.60567,1864.69679,1865.793573,1843.636036,1834.888865,1817.666068,1815.404514,1827.32004,1840.471987,1839.010317,1854.020704,1844.240098,1836.709616,1827.882369,1808.869333,1823.538412,1791.26046,1795.887546,1798.473424,1800.7076,1788.853127,1804.181602,1800.888907,1810.98664,1803.936636,1796.082953,1787.538207,1781.891824,1766.86143,1745.986096,1745.330945,1727.081565,1737.557522,1760.979703,1756.450435,1760.46101,1763.859289,1759.960758,1767.306168,1758.082793,1756.793268,1742.325519,1739.525356,1731.474127,1731.866308,1725.397331,1725.712757,1722.580495,1729.32746,1740.797225,1723.585142,1740.790485,1748.486245,1745.48237,1758.712717,1769.431822,1768.043627,1757.869467,1760.259484,1745.535379,1730.363049,1720.741847,1719.58712,1710.082537,1716.287729,1695.614969,1716.07499,1740.079718,1744.479007,1743.389922,1729.253029,1743.304135,1746.682171,1729.489434,1728.995465,1698.541378,1663.543421,1678.887334,1677.772556,1669.385829,1671.107131,1669.263739,1663.523978,1659.775498,1663.554666,1663.737644,1650.011404,1664.43312,1655.219562,1653.41608,1634.179208,1628.381,1625.61804,1628.812954,1622.609684,1617.815721,1604.393223,1590.651343,1597.401908,1599.914957,1596.646918,1601.599335,1588.069926,1590.798588,1581.48603,1573.224083,1554.143387,1558.028272,1566.322201,1572.763764,1562.271363,1564.573004,1569.758153,1570.362611,1567.723979,1583.597218,1572.51792,1560.511232,1552.556399,1534.727784,1541.919449,1544.506442,1541.713009,1526.615778,1519.859819,1522.165102,1519.231472,1533.944191,1549.466228,1554.987373,1541.606288,1564.178131,1569.782881,1564.955627,1568.713543,1574.049415,1586.167397,1603.275001,1597.541424,1605.146426,1601.287674,1593.990867,1578.548958,1588.90368,1570.947017,1575.452004,1589.167726,1592.136261,1582.958875,1584.392645,1580.006081,1584.768138,1576.049946,1585.396787,1592.524948,1578.876783,1585.855802,1585.388717,1575.328014,1567.610666,1537.705969,1518.319739,1522.300781,1532.047372,1533.496756,1537.542635,1538.537068,1547.695892,1529.646926,1522.540038,1542.269225,1550.132449,1554.999663,1561.713017,1562.264438,1551.702274,1528.820541,1522.956857,1511.633798,1525.634572,1530.44128,1521.361076,1508.7706,1500.109307,1492.785913,1484.164781,1476.939587,1483.108731,1485.200235,1485.931374,1466.592701,1466.584631,1471.523053,1470.45646,1477.570631,1470.507574,1477.516039,1466.658778,1445.883385,1434.034446,1451.294489,1443.486715,1446.706868,1453.887553,1455.866522,1453.698116,1450.586512,1456.994495,1464.442947,1467.789445,1465.615519,1459.410997,1468.667086,1450.694064,1444.56575,1439.21741,1435.809118,1441.904533,1440.527693,1456.665255,1451.680406,1442.86288,1442.48382,1442.426655,1440.505825,1433.364736,1441.754811,1436.962075,1436.707113,1440.779615,1439.99649,1428.316211,1435.372594,1426.093162,1414.316429,1414.690996,1424.714569,1434.641963,1441.615738,1451.024249,1455.069317,1461.711319,1459.445354,1454.926878,1441.199619,1434.910813,1436.585186,1431.947432,1437.241378,1450.986699,1458.029643,1460.124103,1449.3864,1449.207894,1450.029332,1434.296355,1457.043138,1468.174557,1484.24096,1477.742582,1491.190176,1485.799556,1487.938071,1479.448015,1473.588759,1462.713388,1481.999948,1479.570494,1470.781183,1470.362309,1473.445423,1479.771958,1481.77194,1508.987635,1505.288057,1517.056893,1520.923101,1527.185437,1529.281597,1524.537195,1537.117635,1529.644216,1538.569031,1541.389424,1531.609585,1536.802774,1516.182093,1514.02415,1519.1806,1519.57431,1509.839571,1494.074546,1494.410317,1509.394846,1501.995862,1498.871714,1491.367513,1498.742604,1493.980226,1481.017778,1472.960795,1460.832228,1459.805511,1466.894558,1469.574728,1458.856757,1468.972246,1461.505685,1457.264646,1446.509149,1454.281438,1454.377197,1437.52743,1442.60306,1436.43463,1433.595433,1449.922122,1447.652977,1448.820451,1452.675705,1457.982387,1451.920617,1449.843749,1444.245901,1448.08481,1454.120272,1465.443796,1480.448624,1487.234457,1486.762747,1475.756311,1480.867347,1479.897424,1464.201571,1453.939303,1445.04837,1449.778773,1431.689587,1438.225444,1446.283489,1430.191749,1428.026719,1410.951815,1413.063334,1425.102909,1445.571622,1447.122414,1450.232995,1442.636993,1436.568188,1427.833631,1435.252828,1430.736556,1416.335732,1409.228342,1404.715999,1416.342745,1413.645403,1419.232901,1404.71487,1407.657253,1402.541442,1389.218966,1383.416222,1384.192362,1388.632544,1388.911625,1377.23596,1371.05297,1357.84641,1348.590521,1341.196955,1344.986445,1335.871942,1323.822806,1320.592908,1326.242754,1324.10038,1318.396851,1322.560149,1310.766355,1313.098577,1308.068239,1306.406519,1309.540062,1327.211,1329.002994,1319.569903,1322.648326,1321.300628,1315.96233,1312.392484,1295.439113,1286.849772,1282.005132,1277.188951,1284.05751,1288.215769,1289.037751,1296.464075,1283.742213,1286.548964,1282.871297,1278.885254,1295.993313,1292.834112,1287.229649,1275.08604,1281.678898,1278.988123,1265.35831,1272.98317,1270.410365,1260.488983,1260.768956,1263.854079,1258.847198,1251.584479,1248.609654,1255.027355,1252.1005,1255.027475,1242.455146,1242.317033,1239.328844,1234.473287,1232.163697,1234.362034,1245.856126,1237.196991,1247.202859,1249.98253,1250.328823,1262.822554,1258.425923,1258.460196,1253.257528,1243.094084,1240.04052,1244.811711,1251.61679,1266.171223,1277.361922,1281.586759,1287.127609,1290.534145,1280.419005,1291.784062,1292.872856,1298.869242,1297.628221,1294.757164,1292.191288,1286.401189,1299.392848,1299.234541,1298.989693,1301.585093,1312.620565,1300.607973,1305.228783,1286.441217,1283.077294,1293.57899,1291.600361,1286.088725,1281.809086,1273.220765,1266.774002,1287.052967,1283.254753,1297.904721,1297.106628,1272.551148,1265.488129,1272.509343,1268.634556,1269.982597,1274.393667,1253.364154,1242.21435,1238.720252,1237.987505,1223.174078,1239.147944,1207.781964,1199.607868,1210.231245,1215.026302,1221.277268,1214.164047,1207.095413,1254.006378,1277.79976,1300.572253,1290.545193,1273.209904,1271.116171,1281.641866,1284.464137,1305.430899,1307.60377,1301.43971,1296.668449,1292.808063,1308.552734,1306.032151,1307.715852,1293.669654,1299.376954,1319.900049,1327.97677,1329.658065,1332.216167,1323.963749,1323.60424,1325.676575,1325.503889,1309.035845,1299.272346,1296.672857,1282.105053,1280.112017,1267.119262,1271.041196,1273.005865,1290.128182,1291.206604,1285.529371,1276.655008,1259.447319,1269.141767,1275.125605,1300.375166,1321.293416,1323.768133,1328.270911,1309.546404,1301.685339,1319.003369,1326.557498,1307.568189,1300.328739,1306.458979,1313.554772,1318.575203,1315.031544,1334.032855,1335.140699,1337.397306,1321.206948,1322.525734,1309.77871,1308.907614,1306.768828,1297.650422,1282.583112,1276.597713,1288.750144,1283.585402,1279.701908,1280.280797,1308.009165,1308.906231,1304.136356,1317.602769,1319.642246,1311.270978,1303.29428,1287.34604,1290.689078,1300.695933,1299.710604,1300.114121,1304.38352,1297.833989,1285.86927,1295.177054,1290.255306,1271.749276,1262.710154,1254.785455,1243.674528,1235.849052,1233.859876,1229.111576,1224.347137,1219.3608,1215.101719,1208.319607,1207.492099,1213.968809,1203.896611,1192.322114,1191.830696,1202.305094,1197.926834,1200.896697,1201.309318,1203.50473,1197.221024,1189.987562,1173.28544,1169.5289,1158.137639,1153.635567,1150.612157,1147.919068,1144.699645,1153.969487,1144.649217,1168.309368,1164.552544,1152.631288,1142.840176,1153.991804,1157.580297,1143.029654,1150.657203,1157.513506,1148.373156,1148.890601,1159.120568,1155.430251,1148.18311,1141.959892,1134.585235,1131.120004,1153.648499,1162.729847,1159.668421,1157.105249,1162.826371,1157.449725,1156.001672,1154.309082,1150.023146,1142.7089,1131.797125,1135.809809,1129.751525,1128.743551,1112.65667,1102.138694,1081.844796,1086.813538,1087.923526,1097.231105,1106.67742,1106.379333,1107.264953,1115.051234,1114.584827,1104.522815,1096.071909,1088.385899,1086.287122,1079.351667,1083.429949,1091.895061,1090.03396,1081.194398,1076.47147,1074.844501,1063.455218,1052.010359,1048.140443,1045.249449,1040.457265,1048.148826,1052.172651,1056.55871,1057.019391,1052.48831,1052.368492,1048.942366,1048.163652,1037.952381,1032.87147,1028.754291,1021.192794,1018.111411,1013.194703,1023.188185,1020.052185,1023.334374,1028.06194,1029.414813,1040.207212,1043.564464,1035.867822,1036.311819,1020.677377,1011.754117,1008.726544,1007.647309,1005.037073,1019.583043,1026.745243,1035.798915,1022.889527,1023.827796,1031.315397,1034.369051,1037.465012,1030.865753,1021.409224,1004.955141,1006.031259,1012.083954,1008.944522,1020.054315,1013.339718,1023.77396,1040.209985,1038.723687,1050.895741,1053.467825,1044.066696,1031.675688,1036.411873,1031.913148,1015.151623,1016.927936,1020.665474,1013.182048,1002.905354,995.804547,1001.173929,984.339157,989.015793,978.985721,973.175474,969.174138,964.210589,954.685125,959.635883,958.313038,974.456395,968.134971,964.630317,962.567092,962.496251,955.498137,947.313215,958.982711,963.905332,945.933497,936.666052,935.032242,930.24678,915.400547,915.302,904.261,915.985,920.493,913.094,903.999,907.482,899.591,902.272,888.297,882.049,884.764,889.039,890.848,899.477,879.983,874.66,873.081,859.284,851.892,868.897,871.737,878.984,876.807,872.191,885.526,872.266,869.768,863.792,861.894,848.843,829.418,809.32,827.985,832.621,848.088,860.15,867.574,870.282,880.314,872.293,861.674,860.545,862.316,884.749,891.595,889.465,889.41,899.969,885.915,877.873,876.832,883.294,873.625,880.668,887.529,902.547,894.215,904.313,891.439,893.405,886.718,885.182,886.441,911.955,916.657,913.19,924.886,940.519,949.853,950.958,957.815,949.863,947.545,942.13,931.799,947.173,958.944,945.779,938.548,927.278,920.7,911.179,925.922,922.567,918.219,915.023,908.309,908.837,927.208,928.87,915.45,920.145,923.755,918.609,915.703,930.447,927.701,937.508,944.22,956.593,958.859,947.46,934.759,948.624,953.912,951.158,928.485,932.526,935.836,933.225,922.737,915.632,923.656,915.673,927.228,934.116,939.394,947.553,937.333,915.323,917.691,906.104,891.584,916.642,905.124,903.173,890.639,906.259,916.367,914.718,916.1,900.736,908.946,869.355,873.95,842.5,832.418,836.443,846.878,863.538,877.337,886.529,874.01,872.493,893.665,890.309,862.275,857.243,869.951,891.593,897.851,901.873,919.863,922.406,929.613,944.885,964.282,952.846,941.985,948.915,936.87,938.335,943.036,977.546,974.003,986.462,1014.759,999.802,1000.667,1009.655,999.581,988.933,999.296,990.901,985.31,968.616,974.788,969.138,982.667,965.428,943.216,937.477,933.83,954.025,954.297,981.421,983.593,974.394,943.566,954.764,931.278,941.868,965.117,1005.223,1038.236,1023.693,1005.306,1007.136,1035.791,1034.138,1063.421,1094.57,1093.388,1084.928,1048.003,1067.859,1092.165,1090.626,1057.659,1050.58,1056.426,1045.193,1055.223,1055.766,1061.081,1073.94,1070.687,1056.026,1077.665,1090.745,1105.885,1101.428,1102.402,1114.433,1112.739,1124.448,1138.523,1138.761,1138.905,1144.016,1145.81,1148.665,1145.995,1149.804,1150.88,1153.454,1156.468,1146.204,1143.757,1129.072,1129.463,1126.078,1130.754,1132.083,1116.71,1131.581,1133.901,1129.196,1132.827,1127.691,1124.82,1126.589,1132.23,1132.464,1133.705,1136.124,1138.889,1140.261,1140.972,1131.825,1113.47,1103.679,1106.152,1118.314,1107.156,1108.345,1122.805,1124.935,1129.476,1127.748,1128.228,1128.331,1117.456,1116.3,1117.046,1126.999,1131.401,1137.127,1146.523,1137.73,1140.55,1131.08,1121.177,1125.567,1142.594,1143.078,1142.728,1120.913,1112.269,1116.261,1082.357,1069.65,1067.534,1055.534,1053.659,1048.338,1050.172,1038.196,1046.716,1070.989,1075.759,1067.353,1063.258,1060.352,1046.517,1042.466,1032.302,1040.294,1056.422,1062.45,1064.496,1053.496,1066.196,1080.252,1073.906,1085.785,1078.218,1074.384,1084.921,1083.007,1077.756,1092.276,1092.537,1106.233,1105.177,1113.543,1116.868,1131.625,1139.547,1134.402,1121.224,1122.051,1116.284,1110.137,1089.371,1090.649,1095.779,1093.663,1098.142,1107.182,1107.11,1091.798,1096.724,1115.155,1110.97,1112.466,1132.821,1144.601,1137.629,1110.906,1100.336,1115.179,1101.818,1101.537,1112.825,1119.683,1112.721,1111.168,1118.15,1124.763,1117.163,1107.927,1103.008,1100.884,1091.619,1109.335,1117.469,1105.328,1104.161,1099.203,1086.13,1085.122,1073.807,1072.254,1089.828,1100.963,1089.376,1097.596,1092.182,1073.21,1067.699,1083.032,1103.769,1087.028,1078.05,1093.917,1089.863,1080.055,1070.797,1078.983,1079.471,1078.133,1053.061,1051.387,1040.489,1048.444,1026.78,1020.126,1016.616,1000.317,967.443,1002.075,1034.147,1038.598,1042.182,1092.466,1110.328,1120.561,1137.309,1155.986,1167.798,1168.777,1190.453,1195.273,1207.486,1207.047,1194.795,1203.272,1195.65,1184.62,1192.194,1203.353,1215.692,1206.041,1188.707,1186.723,1185.874,1198.181,1210.306,1210.155,1215.167,1223.179,1211.644,1201.945,1185.959,1181.492,1170.247,1166.778,1169.946,1172.577,1183.018,1186.389,1174.802,1171.701,1185.128,1187.811,1185.996,1177.252,1185.787,1182.255,1180.201,1198.826,1225.736,1233.724,1223.964,1211.188,1214.503,1218.711,1230.48,1227.599,1220.869,1214.837,1223.705,1225.507,1237.763,1246.092,1250.089,1241.545,1259.727,1278.883,1282.933,1279.565,1287.106,1280.122,1275.796,1277.88,1285.524,1302.435,1308.831,1317.238,1321.122,1329.705,1331.198,1322.013,1323.621,1310.34,1309.222,1293.19,1316.333,1327.31,1314.762,1324.97,1338.406,1334.304,1327.829,1341.174,1341.045,1325.205,1320.73,1317.159,1304.534,1300.539,1302.731,1313.964,1313.366,1293.241,1265.456,1271.554,1283.763,1270.543,1266.376,1258.395,1257.522,1255.181,1235.841,1215.644,1231.888,1241.334,1241.047,1260.749,1278.007,1260.298,1219.115,1184.756,1238.387,1244.63,1230.084,1231.619,1263.64,1249.393,1273.162,1300.936,1336.556,1348.004,1349.126,1350.833,1330.364,1325.343,1332.217,1335.023,1341.198,1332.912,1322.773,1334.202,1340.047,1351.124,1369.182,1384.046,1384.802,1398.295,1406.614,1393.325,1402.049,1419.213,1432.588,1437.27,1437.365,1455.012,1451.202,1440.733,1434.954,1433.186,1434.994,1432.843,1443.855,1442.22,1440.672,1445.569,1431.326,1415.823,1426.059,1420.765,1409.378,1418.276,1442.362,1449.753,1447.515,1430.917,1441.628,1448.888,1435.162,1433.935,1418.659,1406.781,1395.816,1405.056,1424.343,1425.969,1424.207,1439.778,1446.049,1455.07,1461.246,1442.723,1438.968,1443.34,1443.087,1424.462,1421.002,1401.389,1406.771,1413.315,1421.577,1398.627,1383.746,1410.05,1412.622,1434.197,1440.276,1460.074,1454.39,1434.776,1458.249,1471.847,1484.972,1494.381,1497.44,1493.77,1484.422,1483.134,1461.792,1448.023,1447.479,1426.437,1434.925,1461.563,1442.889,1438.103,1425.171,1410.357,1429.487,1445.472,1448.985,1445.305,1454.957,1477.292,1477.87,1499.895,1511.323,1508.025,1516.226,1513.284,1504.294,1497.982,1496.168,1500.505,1506.052,1497.853,1482.418,1495.549,1506.014,1503.235,1523.429,1530.671,1523.859,1527.021,1540.058,1554.982,1575.932,1582.028,1602.269,1623.017,1588.111,1589.077,1600.06,1607.921,1605.843,1594.189,1586.558,1587.693,1584.95,1593.691,1596.427,1602.351,1596.6,1584.281,1577.487,1579.572,1572.739,1560.709,1567.346,1553.856,1543.017,1566.656,1573.059,1569.162,1558.576,1586.183,1614.941,1613.85,1610.297,1612.812,1625.49,1617.024,1626.382,1648.22,1646.027,1639.205,1651.018,1653.308,1656.894,1649.235,1635.303,1639.181,1645.25,1633.145,1618.539,1631.186,1621.674,1614.344,1620.083,1629.827,1640.145,1653.421,1640.331,1634.97,1628.532,1649.79,1643.723,1643.031,1637.252,1642.474,1646.671,1658.213,1644.33,1639.653,1589.42,1567.088,1573.415,1536.519,1529.348,1507.62,1521.596,1510.298,1530.461,1561.826,1560.868,1594.875,1580.41,1583.558,1557.701,1559.919,1573.302,1590.803,1599.921,1597.962,1597.726,1634.443,1614.646,1607.601,1593.704,1619.897,1614.178,1613.893,1607.061,1601.978,1592.934,1572.504,1613.94,1645.461,1658.343,1660.448,1683.158,1679.643,1667.335,1656.812,1671.17,1675.701,1697.192,1678.877,1712.834,1718.529,1708.778,1703.552,1676.541,1672.662,1682.263,1678.419,1666.342,1656.249,1625.273,1647.014,1648.181,1684.686,1680.122,1665.786,1683.096,1688.515,1684.881,1683.16,1663.638,1631.812,1628.676,1649.054,1640.214,1643.316,1627.532,1639.926,1650.343,1633.95,1621.914,1646.866,1662.411,1666.146,1673.576,1663.347,1639.417,1654.393,1647.437,1612.546,1592.617,1588.323],"991000^JULIAN(FG_PRICE(2/27/2026,1/31/2000,,USD).DATES)":[46080,46079,46078,46077,46076,46073,46072,46071,46070,46066,46065,46064,46063,46062,46059,46058,46057,46056,46055,46052,46051,46050,46049,46048,46045,46044,46043,46042,46038,46037,46036,46035,46034,46031,46030,46029,46028,46027,46024,46022,46021,46020,46017,46015,46014,46013,46010,46009,46008,46007,46006,46003,46002,46001,46000,45999,45996,45995,45994,45993,45992,45989,45987,45986,45985,45982,45981,45980,45979,45978,45975,45974,45973,45972,45971,45968,45967,45966,45965,45964,45961,45960,45959,45958,45957,45954,45953,45952,45951,45950,45947,45946,45945,45944,45943,45940,45939,45938,45937,45936,45933,45932,45931,45930,45929,45926,45925,45924,45923,45922,45919,45918,45917,45916,45915,45912,45911,45910,45909,45908,45905,45904,45903,45902,45898,45897,45896,45895,45894,45891,45890,45889,45888,45887,45884,45883,45882,45881,45880,45877,45876,45875,45874,45873,45870,45869,45868,45867,45866,45863,45862,45861,45860,45859,45856,45855,45854,45853,45852,45849,45848,45847,45846,45845,45841,45840,45839,45838,45835,45834,45833,45832,45831,45828,45826,45825,45824,45821,45820,45819,45818,45817,45814,45813,45812,45811,45810,45807,45806,45805,45804,45800,45799,45798,45797,45796,45793,45792,45791,45790,45789,45786,45785,45784,45783,45782,45779,45778,45777,45776,45775,45772,45771,45770,45769,45768,45764,45763,45762,45761,45758,45757,45756,45755,45754,45751,45750,45749,45748,45747,45744,45743,45742,45741,45740,45737,45736,45735,45734,45733,45730,45729,45728,45727,45726,45723,45722,45721,45720,45719,45716,45715,45714,45713,45712,45709,45708,45707,45706,45702,45701,45700,45699,45698,45695,45694,45693,45692,45691,45688,45687,45686,45685,45684,45681,45680,45679,45678,45674,45673,45672,45671,45670,45667,45665,45664,45663,45660,45659,45657,45656,45653,45652,45650,45649,45646,45645,45644,45643,45642,45639,45638,45637,45636,45635,45632,45631,45630,45629,45628,45625,45623,45622,45621,45618,45617,45616,45615,45614,45611,45610,45609,45608,45607,45604,45603,45602,45601,45600,45597,45596,45595,45594,45593,45590,45589,45588,45587,45586,45583,45582,45581,45580,45579,45576,45575,45574,45573,45572,45569,45568,45567,45566,45565,45562,45561,45560,45559,45558,45555,45554,45553,45552,45551,45548,45547,45546,45545,45544,45541,45540,45539,45538,45534,45533,45532,45531,45530,45527,45526,45525,45524,45523,45520,45519,45518,45517,45516,45513,45512,45511,45510,45509,45506,45505,45504,45503,45502,45499,45498,45497,45496,45495,45492,45491,45490,45489,45488,45485,45484,45483,45482,45481,45478,45476,45475,45474,45471,45470,45469,45468,45467,45464,45463,45461,45460,45457,45456,45455,45454,45453,45450,45449,45448,45447,45446,45443,45442,45441,45440,45436,45435,45434,45433,45432,45429,45428,45427,45426,45425,45422,45421,45420,45419,45418,45415,45414,45413,45412,45411,45408,45407,45406,45405,45404,45401,45400,45399,45398,45397,45394,45393,45392,45391,45390,45387,45386,45385,45384,45383,45379,45378,45377,45376,45373,45372,45371,45370,45369,45366,45365,45364,45363,45362,45359,45358,45357,45356,45355,45352,45351,45350,45349,45348,45345,45344,45343,45342,45338,45337,45336,45335,45334,45331,45330,45329,45328,45327,45324,45323,45322,45321,45320,45317,45316,45315,45314,45313,45310,45309,45308,45307,45303,45302,45301,45300,45299,45296,45295,45294,45293,45289,45288,45287,45286,45282,45281,45280,45279,45278,45275,45274,45273,45272,45271,45268,45267,45266,45265,45264,45261,45260,45259,45258,45257,45254,45252,45251,45250,45247,45246,45245,45244,45243,45240,45239,45238,45237,45236,45233,45232,45231,45230,45229,45226,45225,45224,45223,45222,45219,45218,45217,45216,45215,45212,45211,45210,45209,45208,45205,45204,45203,45202,45201,45198,45197,45196,45195,45194,45191,45190,45189,45188,45187,45184,45183,45182,45181,45180,45177,45176,45175,45174,45170,45169,45168,45167,45166,45163,45162,45161,45160,45159,45156,45155,45154,45153,45152,45149,45148,45147,45146,45145,45142,45141,45140,45139,45138,45135,45134,45133,45132,45131,45128,45127,45126,45125,45124,45121,45120,45119,45118,45117,45114,45113,45112,45110,45107,45106,45105,45104,45103,45100,45099,45098,45097,45093,45092,45091,45090,45089,45086,45085,45084,45083,45082,45079,45078,45077,45076,45072,45071,45070,45069,45068,45065,45064,45063,45062,45061,45058,45057,45056,45055,45054,45051,45050,45049,45048,45047,45044,45043,45042,45041,45040,45037,45036,45035,45034,45033,45030,45029,45028,45027,45026,45022,45021,45020,45019,45016,45015,45014,45013,45012,45009,45008,45007,45006,45005,45002,45001,45000,44999,44998,44995,44994,44993,44992,44991,44988,44987,44986,44985,44984,44981,44980,44979,44978,44974,44973,44972,44971,44970,44967,44966,44965,44964,44963,44960,44959,44958,44957,44956,44953,44952,44951,44950,44949,44946,44945,44944,44943,44939,44938,44937,44936,44935,44932,44931,44930,44929,44925,44924,44923,44922,44918,44917,44916,44915,44914,44911,44910,44909,44908,44907,44904,44903,44902,44901,44900,44897,44896,44895,44894,44893,44890,44888,44887,44886,44883,44882,44881,44880,44879,44876,44875,44874,44873,44872,44869,44868,44867,44866,44865,44862,44861,44860,44859,44858,44855,44854,44853,44852,44851,44848,44847,44846,44845,44844,44841,44840,44839,44838,44837,44834,44833,44832,44831,44830,44827,44826,44825,44824,44823,44820,44819,44818,44817,44816,44813,44812,44811,44810,44806,44805,44804,44803,44802,44799,44798,44797,44796,44795,44792,44791,44790,44789,44788,44785,44784,44783,44782,44781,44778,44777,44776,44775,44774,44771,44770,44769,44768,44767,44764,44763,44762,44761,44760,44757,44756,44755,44754,44753,44750,44749,44748,44747,44743,44742,44741,44740,44739,44736,44735,44734,44733,44729,44728,44727,44726,44725,44722,44721,44720,44719,44718,44715,44714,44713,44712,44708,44707,44706,44705,44704,44701,44700,44699,44698,44697,44694,44693,44692,44691,44690,44687,44686,44685,44684,44683,44680,44679,44678,44677,44676,44673,44672,44671,44670,44669,44665,44664,44663,44662,44659,44658,44657,44656,44655,44652,44651,44650,44649,44648,44645,44644,44643,44642,44641,44638,44637,44636,44635,44634,44631,44630,44629,44628,44627,44624,44623,44622,44621,44620,44617,44616,44615,44614,44610,44609,44608,44607,44606,44603,44602,44601,44600,44599,44596,44595,44594,44593,44592,44589,44588,44587,44586,44585,44582,44581,44580,44579,44575,44574,44573,44572,44571,44568,44567,44566,44565,44564,44561,44560,44559,44558,44557,44553,44552,44551,44550,44547,44546,44545,44544,44543,44540,44539,44538,44537,44536,44533,44532,44531,44530,44529,44526,44524,44523,44522,44519,44518,44517,44516,44515,44512,44511,44510,44509,44508,44505,44504,44503,44502,44501,44498,44497,44496,44495,44494,44491,44490,44489,44488,44487,44484,44483,44482,44481,44480,44477,44476,44475,44474,44473,44470,44469,44468,44467,44466,44463,44462,44461,44460,44459,44456,44455,44454,44453,44452,44449,44448,44447,44446,44442,44441,44440,44439,44438,44435,44434,44433,44432,44431,44428,44427,44426,44425,44424,44421,44420,44419,44418,44417,44414,44413,44412,44411,44410,44407,44406,44405,44404,44403,44400,44399,44398,44397,44396,44393,44392,44391,44390,44389,44386,44385,44384,44383,44379,44378,44377,44376,44375,44372,44371,44370,44369,44368,44365,44364,44363,44362,44361,44358,44357,44356,44355,44354,44351,44350,44349,44348,44344,44343,44342,44341,44340,44337,44336,44335,44334,44333,44330,44329,44328,44327,44326,44323,44322,44321,44320,44319,44316,44315,44314,44313,44312,44309,44308,44307,44306,44305,44302,44301,44300,44299,44298,44295,44294,44293,44292,44291,44287,44286,44285,44284,44281,44280,44279,44278,44277,44274,44273,44272,44271,44270,44267,44266,44265,44264,44263,44260,44259,44258,44257,44256,44253,44252,44251,44250,44249,44246,44245,44244,44243,44239,44238,44237,44236,44235,44232,44231,44230,44229,44228,44225,44224,44223,44222,44221,44218,44217,44216,44215,44211,44210,44209,44208,44207,44204,44203,44202,44201,44200,44196,44195,44194,44193,44189,44188,44187,44186,44183,44182,44181,44180,44179,44176,44175,44174,44173,44172,44169,44168,44167,44166,44165,44162,44160,44159,44158,44155,44154,44153,44152,44151,44148,44147,44146,44145,44144,44141,44140,44139,44138,44137,44134,44133,44132,44131,44130,44127,44126,44125,44124,44123,44120,44119,44118,44117,44116,44113,44112,44111,44110,44109,44106,44105,44104,44103,44102,44099,44098,44097,44096,44095,44092,44091,44090,44089,44088,44085,44084,44083,44082,44078,44077,44076,44075,44074,44071,44070,44069,44068,44067,44064,44063,44062,44061,44060,44057,44056,44055,44054,44053,44050,44049,44048,44047,44046,44043,44042,44041,44040,44039,44036,44035,44034,44033,44032,44029,44028,44027,44026,44025,44022,44021,44020,44019,44018,44014,44013,44012,44011,44008,44007,44006,44005,44004,44001,44000,43999,43998,43997,43994,43993,43992,43991,43990,43987,43986,43985,43984,43983,43980,43979,43978,43977,43973,43972,43971,43970,43969,43966,43965,43964,43963,43962,43959,43958,43957,43956,43955,43952,43951,43950,43949,43948,43945,43944,43943,43942,43941,43938,43937,43936,43935,43934,43930,43929,43928,43927,43924,43923,43922,43921,43920,43917,43916,43915,43914,43913,43910,43909,43908,43907,43906,43903,43902,43901,43900,43899,43896,43895,43894,43893,43892,43889,43888,43887,43886,43885,43882,43881,43880,43879,43875,43874,43873,43872,43871,43868,43867,43866,43865,43864,43861,43860,43859,43858,43857,43854,43853,43852,43851,43847,43846,43845,43844,43843,43840,43839,43838,43837,43836,43833,43832,43830,43829,43826,43825,43823,43822,43819,43818,43817,43816,43815,43812,43811,43810,43809,43808,43805,43804,43803,43802,43801,43798,43796,43795,43794,43791,43790,43789,43788,43787,43784,43783,43782,43781,43780,43777,43776,43775,43774,43773,43770,43769,43768,43767,43766,43763,43762,43761,43760,43759,43756,43755,43754,43753,43752,43749,43748,43747,43746,43745,43742,43741,43740,43739,43738,43735,43734,43733,43732,43731,43728,43727,43726,43725,43724,43721,43720,43719,43718,43717,43714,43713,43712,43711,43707,43706,43705,43704,43703,43700,43699,43698,43697,43696,43693,43692,43691,43690,43689,43686,43685,43684,43683,43682,43679,43678,43677,43676,43675,43672,43671,43670,43669,43668,43665,43664,43663,43662,43661,43658,43657,43656,43655,43654,43651,43649,43648,43647,43644,43643,43642,43641,43640,43637,43636,43635,43634,43633,43630,43629,43628,43627,43626,43623,43622,43621,43620,43619,43616,43615,43614,43613,43609,43608,43607,43606,43605,43602,43601,43600,43599,43598,43595,43594,43593,43592,43591,43588,43587,43586,43585,43584,43581,43580,43579,43578,43577,43573,43572,43571,43570,43567,43566,43565,43564,43563,43560,43559,43558,43557,43556,43553,43552,43551,43550,43549,43546,43545,43544,43543,43542,43539,43538,43537,43536,43535,43532,43531,43530,43529,43528,43525,43524,43523,43522,43521,43518,43517,43516,43515,43511,43510,43509,43508,43507,43504,43503,43502,43501,43500,43497,43496,43495,43494,43493,43490,43489,43488,43487,43483,43482,43481,43480,43479,43476,43475,43474,43473,43472,43469,43468,43467,43465,43462,43461,43460,43458,43455,43454,43453,43452,43451,43448,43447,43446,43445,43444,43441,43440,43438,43437,43434,43433,43432,43431,43430,43427,43425,43424,43423,43420,43419,43418,43417,43416,43413,43412,43411,43410,43409,43406,43405,43404,43403,43402,43399,43398,43397,43396,43395,43392,43391,43390,43389,43388,43385,43384,43383,43382,43381,43378,43377,43376,43375,43374,43371,43370,43369,43368,43367,43364,43363,43362,43361,43360,43357,43356,43355,43354,43353,43350,43349,43348,43347,43343,43342,43341,43340,43339,43336,43335,43334,43333,43332,43329,43328,43327,43326,43325,43322,43321,43320,43319,43318,43315,43314,43313,43312,43311,43308,43307,43306,43305,43304,43301,43300,43299,43298,43297,43294,43293,43292,43291,43290,43287,43286,43284,43283,43280,43279,43278,43277,43276,43273,43272,43271,43270,43269,43266,43265,43264,43263,43262,43259,43258,43257,43256,43255,43252,43251,43250,43249,43245,43244,43243,43242,43241,43238,43237,43236,43235,43234,43231,43230,43229,43228,43227,43224,43223,43222,43221,43220,43217,43216,43215,43214,43213,43210,43209,43208,43207,43206,43203,43202,43201,43200,43199,43196,43195,43194,43193,43192,43188,43187,43186,43185,43182,43181,43180,43179,43178,43175,43174,43173,43172,43171,43168,43167,43166,43165,43164,43161,43160,43159,43158,43157,43154,43153,43152,43151,43147,43146,43145,43144,43143,43140,43139,43138,43137,43136,43133,43132,43131,43130,43129,43126,43125,43124,43123,43122,43119,43118,43117,43116,43112,43111,43110,43109,43108,43105,43104,43103,43102,43098,43097,43096,43095,43091,43090,43089,43088,43087,43084,43083,43082,43081,43080,43077,43076,43075,43074,43073,43070,43069,43068,43067,43066,43063,43061,43060,43059,43056,43055,43054,43053,43052,43049,43048,43047,43046,43045,43042,43041,43040,43039,43038,43035,43034,43033,43032,43031,43028,43027,43026,43025,43024,43021,43020,43019,43018,43017,43014,43013,43012,43011,43010,43007,43006,43005,43004,43003,43000,42999,42998,42997,42996,42993,42992,42991,42990,42989,42986,42985,42984,42983,42979,42978,42977,42976,42975,42972,42971,42970,42969,42968,42965,42964,42963,42962,42961,42958,42957,42956,42955,42954,42951,42950,42949,42948,42947,42944,42943,42942,42941,42940,42937,42936,42935,42934,42933,42930,42929,42928,42927,42926,42923,42922,42921,42919,42916,42915,42914,42913,42912,42909,42908,42907,42906,42905,42902,42901,42900,42899,42898,42895,42894,42893,42892,42891,42888,42887,42886,42885,42881,42880,42879,42878,42877,42874,42873,42872,42871,42870,42867,42866,42865,42864,42863,42860,42859,42858,42857,42856,42853,42852,42851,42850,42849,42846,42845,42844,42843,42842,42838,42837,42836,42835,42832,42831,42830,42829,42828,42825,42824,42823,42822,42821,42818,42817,42816,42815,42814,42811,42810,42809,42808,42807,42804,42803,42802,42801,42800,42797,42796,42795,42794,42793,42790,42789,42788,42787,42783,42782,42781,42780,42779,42776,42775,42774,42773,42772,42769,42768,42767,42766,42765,42762,42761,42760,42759,42758,42755,42754,42753,42752,42748,42747,42746,42745,42744,42741,42740,42739,42738,42734,42733,42732,42731,42727,42726,42725,42724,42723,42720,42719,42718,42717,42716,42713,42712,42711,42710,42709,42706,42705,42704,42703,42702,42699,42697,42696,42695,42692,42691,42690,42689,42688,42685,42684,42683,42682,42681,42678,42677,42676,42675,42674,42671,42670,42669,42668,42667,42664,42663,42662,42661,42660,42657,42656,42655,42654,42653,42650,42649,42648,42647,42646,42643,42642,42641,42640,42639,42636,42635,42634,42633,42632,42629,42628,42627,42626,42625,42622,42621,42620,42619,42615,42614,42613,42612,42611,42608,42607,42606,42605,42604,42601,42600,42599,42598,42597,42594,42593,42592,42591,42590,42587,42586,42585,42584,42583,42580,42579,42578,42577,42576,42573,42572,42571,42570,42569,42566,42565,42564,42563,42562,42559,42558,42557,42556,42552,42551,42550,42549,42548,42545,42544,42543,42542,42541,42538,42537,42536,42535,42534,42531,42530,42529,42528,42527,42524,42523,42522,42521,42517,42516,42515,42514,42513,42510,42509,42508,42507,42506,42503,42502,42501,42500,42499,42496,42495,42494,42493,42492,42489,42488,42487,42486,42485,42482,42481,42480,42479,42478,42475,42474,42473,42472,42471,42468,42467,42466,42465,42464,42461,42460,42459,42458,42457,42453,42452,42451,42450,42447,42446,42445,42444,42443,42440,42439,42438,42437,42436,42433,42432,42431,42430,42429,42426,42425,42424,42423,42422,42419,42418,42417,42416,42412,42411,42410,42409,42408,42405,42404,42403,42402,42401,42398,42397,42396,42395,42394,42391,42390,42389,42388,42384,42383,42382,42381,42380,42377,42376,42375,42374,42373,42369,42368,42367,42366,42362,42361,42360,42359,42356,42355,42354,42353,42352,42349,42348,42347,42346,42345,42342,42341,42340,42339,42338,42335,42333,42332,42331,42328,42327,42326,42325,42324,42321,42320,42319,42318,42317,42314,42313,42312,42311,42310,42307,42306,42305,42304,42303,42300,42299,42298,42297,42296,42293,42292,42291,42290,42289,42286,42285,42284,42283,42282,42279,42278,42277,42276,42275,42272,42271,42270,42269,42268,42265,42264,42263,42262,42261,42258,42257,42256,42255,42251,42250,42249,42248,42247,42244,42243,42242,42241,42240,42237,42236,42235,42234,42233,42230,42229,42228,42227,42226,42223,42222,42221,42220,42219,42216,42215,42214,42213,42212,42209,42208,42207,42206,42205,42202,42201,42200,42199,42198,42195,42194,42193,42192,42191,42187,42186,42185,42184,42181,42180,42179,42178,42177,42174,42173,42172,42171,42170,42167,42166,42165,42164,42163,42160,42159,42158,42157,42156,42153,42152,42151,42150,42146,42145,42144,42143,42142,42139,42138,42137,42136,42135,42132,42131,42130,42129,42128,42125,42124,42123,42122,42121,42118,42117,42116,42115,42114,42111,42110,42109,42108,42107,42104,42103,42102,42101,42100,42096,42095,42094,42093,42090,42089,42088,42087,42086,42083,42082,42081,42080,42079,42076,42075,42074,42073,42072,42069,42068,42067,42066,42065,42062,42061,42060,42059,42058,42055,42054,42053,42052,42048,42047,42046,42045,42044,42041,42040,42039,42038,42037,42034,42033,42032,42031,42030,42027,42026,42025,42024,42020,42019,42018,42017,42016,42013,42012,42011,42010,42009,42006,42004,42003,42002,41999,41997,41996,41995,41992,41991,41990,41989,41988,41985,41984,41983,41982,41981,41978,41977,41976,41975,41974,41971,41969,41968,41967,41964,41963,41962,41961,41960,41957,41956,41955,41954,41953,41950,41949,41948,41947,41946,41943,41942,41941,41940,41939,41936,41935,41934,41933,41932,41929,41928,41927,41926,41925,41922,41921,41920,41919,41918,41915,41914,41913,41912,41911,41908,41907,41906,41905,41904,41901,41900,41899,41898,41897,41894,41893,41892,41891,41890,41887,41886,41885,41884,41880,41879,41878,41877,41876,41873,41872,41871,41870,41869,41866,41865,41864,41863,41862,41859,41858,41857,41856,41855,41852,41851,41850,41849,41848,41845,41844,41843,41842,41841,41838,41837,41836,41835,41834,41831,41830,41829,41828,41827,41823,41822,41821,41820,41817,41816,41815,41814,41813,41810,41809,41808,41807,41806,41803,41802,41801,41800,41799,41796,41795,41794,41793,41792,41789,41788,41787,41786,41782,41781,41780,41779,41778,41775,41774,41773,41772,41771,41768,41767,41766,41765,41764,41761,41760,41759,41758,41757,41754,41753,41752,41751,41750,41746,41745,41744,41743,41740,41739,41738,41737,41736,41733,41732,41731,41730,41729,41726,41725,41724,41723,41722,41719,41718,41717,41716,41715,41712,41711,41710,41709,41708,41705,41704,41703,41702,41701,41698,41697,41696,41695,41694,41691,41690,41689,41688,41684,41683,41682,41681,41680,41677,41676,41675,41674,41673,41670,41669,41668,41667,41666,41663,41662,41661,41660,41656,41655,41654,41653,41652,41649,41648,41647,41646,41645,41642,41641,41639,41638,41635,41634,41632,41631,41628,41627,41626,41625,41624,41621,41620,41619,41618,41617,41614,41613,41612,41611,41610,41607,41605,41604,41603,41600,41599,41598,41597,41596,41593,41592,41591,41590,41589,41586,41585,41584,41583,41582,41579,41578,41577,41576,41575,41572,41571,41570,41569,41568,41565,41564,41563,41562,41561,41558,41557,41556,41555,41554,41551,41550,41549,41548,41547,41544,41543,41542,41541,41540,41537,41536,41535,41534,41533,41530,41529,41528,41527,41526,41523,41522,41521,41520,41516,41515,41514,41513,41512,41509,41508,41507,41506,41505,41502,41501,41500,41499,41498,41495,41494,41493,41492,41491,41488,41487,41486,41485,41484,41481,41480,41479,41478,41477,41474,41473,41472,41471,41470,41467,41466,41465,41464,41463,41460,41458,41457,41456,41453,41452,41451,41450,41449,41446,41445,41444,41443,41442,41439,41438,41437,41436,41435,41432,41431,41430,41429,41428,41425,41424,41423,41422,41418,41417,41416,41415,41414,41411,41410,41409,41408,41407,41404,41403,41402,41401,41400,41397,41396,41395,41394,41393,41390,41389,41388,41387,41386,41383,41382,41381,41380,41379,41376,41375,41374,41373,41372,41369,41368,41367,41366,41365,41361,41360,41359,41358,41355,41354,41353,41352,41351,41348,41347,41346,41345,41344,41341,41340,41339,41338,41337,41334,41333,41332,41331,41330,41327,41326,41325,41324,41320,41319,41318,41317,41316,41313,41312,41311,41310,41309,41306,41305,41304,41303,41302,41299,41298,41297,41296,41292,41291,41290,41289,41288,41285,41284,41283,41282,41281,41278,41277,41276,41274,41271,41270,41269,41267,41264,41263,41262,41261,41260,41257,41256,41255,41254,41253,41250,41249,41248,41247,41246,41243,41242,41241,41240,41239,41236,41234,41233,41232,41229,41228,41227,41226,41225,41222,41221,41220,41219,41218,41215,41214,41213,41208,41207,41206,41205,41204,41201,41200,41199,41198,41197,41194,41193,41192,41191,41190,41187,41186,41185,41184,41183,41180,41179,41178,41177,41176,41173,41172,41171,41170,41169,41166,41165,41164,41163,41162,41159,41158,41157,41156,41152,41151,41150,41149,41148,41145,41144,41143,41142,41141,41138,41137,41136,41135,41134,41131,41130,41129,41128,41127,41124,41123,41122,41121,41120,41117,41116,41115,41114,41113,41110,41109,41108,41107,41106,41103,41102,41101,41100,41099,41096,41095,41093,41092,41089,41088,41087,41086,41085,41082,41081,41080,41079,41078,41075,41074,41073,41072,41071,41068,41067,41066,41065,41064,41061,41060,41059,41058,41054,41053,41052,41051,41050,41047,41046,41045,41044,41043,41040,41039,41038,41037,41036,41033,41032,41031,41030,41029,41026,41025,41024,41023,41022,41019,41018,41017,41016,41015,41012,41011,41010,41009,41008,41004,41003,41002,41001,40998,40997,40996,40995,40994,40991,40990,40989,40988,40987,40984,40983,40982,40981,40980,40977,40976,40975,40974,40973,40970,40969,40968,40967,40966,40963,40962,40961,40960,40956,40955,40954,40953,40952,40949,40948,40947,40946,40945,40942,40941,40940,40939,40938,40935,40934,40933,40932,40931,40928,40927,40926,40925,40921,40920,40919,40918,40917,40914,40913,40912,40911,40907,40906,40905,40904,40900,40899,40898,40897,40896,40893,40892,40891,40890,40889,40886,40885,40884,40883,40882,40879,40878,40877,40876,40875,40872,40870,40869,40868,40865,40864,40863,40862,40861,40858,40857,40856,40855,40854,40851,40850,40849,40848,40847,40844,40843,40842,40841,40840,40837,40836,40835,40834,40833,40830,40829,40828,40827,40826,40823,40822,40821,40820,40819,40816,40815,40814,40813,40812,40809,40808,40807,40806,40805,40802,40801,40800,40799,40798,40795,40794,40793,40792,40788,40787,40786,40785,40784,40781,40780,40779,40778,40777,40774,40773,40772,40771,40770,40767,40766,40765,40764,40763,40760,40759,40758,40757,40756,40753,40752,40751,40750,40749,40746,40745,40744,40743,40742,40739,40738,40737,40736,40735,40732,40731,40730,40729,40725,40724,40723,40722,40721,40718,40717,40716,40715,40714,40711,40710,40709,40708,40707,40704,40703,40702,40701,40700,40697,40696,40695,40694,40690,40689,40688,40687,40686,40683,40682,40681,40680,40679,40676,40675,40674,40673,40672,40669,40668,40667,40666,40665,40662,40661,40660,40659,40658,40654,40653,40652,40651,40648,40647,40646,40645,40644,40641,40640,40639,40638,40637,40634,40633,40632,40631,40630,40627,40626,40625,40624,40623,40620,40619,40618,40617,40616,40613,40612,40611,40610,40609,40606,40605,40604,40603,40602,40599,40598,40597,40596,40592,40591,40590,40589,40588,40585,40584,40583,40582,40581,40578,40577,40576,40575,40574,40571,40570,40569,40568,40567,40564,40563,40562,40561,40557,40556,40555,40554,40553,40550,40549,40548,40547,40546,40543,40542,40541,40540,40539,40535,40534,40533,40532,40529,40528,40527,40526,40525,40522,40521,40520,40519,40518,40515,40514,40513,40512,40511,40508,40506,40505,40504,40501,40500,40499,40498,40497,40494,40493,40492,40491,40490,40487,40486,40485,40484,40483,40480,40479,40478,40477,40476,40473,40472,40471,40470,40469,40466,40465,40464,40463,40462,40459,40458,40457,40456,40455,40452,40451,40450,40449,40448,40445,40444,40443,40442,40441,40438,40437,40436,40435,40434,40431,40430,40429,40428,40424,40423,40422,40421,40420,40417,40416,40415,40414,40413,40410,40409,40408,40407,40406,40403,40402,40401,40400,40399,40396,40395,40394,40393,40392,40389,40388,40387,40386,40385,40382,40381,40380,40379,40378,40375,40374,40373,40372,40371,40368,40367,40366,40365,40361,40360,40359,40358,40357,40354,40353,40352,40351,40350,40347,40346,40345,40344,40343,40340,40339,40338,40337,40336,40333,40332,40331,40330,40326,40325,40324,40323,40322,40319,40318,40317,40316,40315,40312,40311,40310,40309,40308,40305,40304,40303,40302,40301,40298,40297,40296,40295,40294,40291,40290,40289,40288,40287,40284,40283,40282,40281,40280,40277,40276,40275,40274,40273,40269,40268,40267,40266,40263,40262,40261,40260,40259,40256,40255,40254,40253,40252,40249,40248,40247,40246,40245,40242,40241,40240,40239,40238,40235,40234,40233,40232,40231,40228,40227,40226,40225,40221,40220,40219,40218,40217,40214,40213,40212,40211,40210,40207,40206,40205,40204,40203,40200,40199,40198,40197,40193,40192,40191,40190,40189,40186,40185,40184,40183,40182,40178,40177,40176,40175,40171,40170,40169,40168,40165,40164,40163,40162,40161,40158,40157,40156,40155,40154,40151,40150,40149,40148,40147,40144,40142,40141,40140,40137,40136,40135,40134,40133,40130,40129,40128,40127,40126,40123,40122,40121,40120,40119,40116,40115,40114,40113,40112,40109,40108,40107,40106,40105,40102,40101,40100,40099,40098,40095,40094,40093,40092,40091,40088,40087,40086,40085,40084,40081,40080,40079,40078,40077,40074,40073,40072,40071,40070,40067,40066,40065,40064,40060,40059,40058,40057,40056,40053,40052,40051,40050,40049,40046,40045,40044,40043,40042,40039,40038,40037,40036,40035,40032,40031,40030,40029,40028,40025,40024,40023,40022,40021,40018,40017,40016,40015,40014,40011,40010,40009,40008,40007,40004,40003,40002,40001,40000,39996,39995,39994,39993,39990,39989,39988,39987,39986,39983,39982,39981,39980,39979,39976,39975,39974,39973,39972,39969,39968,39967,39966,39965,39962,39961,39960,39959,39955,39954,39953,39952,39951,39948,39947,39946,39945,39944,39941,39940,39939,39938,39937,39934,39933,39932,39931,39930,39927,39926,39925,39924,39923,39920,39919,39918,39917,39916,39912,39911,39910,39909,39906,39905,39904,39903,39902,39899,39898,39897,39896,39895,39892,39891,39890,39889,39888,39885,39884,39883,39882,39881,39878,39877,39876,39875,39874,39871,39870,39869,39868,39867,39864,39863,39862,39861,39857,39856,39855,39854,39853,39850,39849,39848,39847,39846,39843,39842,39841,39840,39839,39836,39835,39834,39833,39829,39828,39827,39826,39825,39822,39821,39820,39819,39818,39815,39813,39812,39811,39808,39806,39805,39804,39801,39800,39799,39798,39797,39794,39793,39792,39791,39790,39787,39786,39785,39784,39783,39780,39778,39777,39776,39773,39772,39771,39770,39769,39766,39765,39764,39763,39762,39759,39758,39757,39756,39755,39752,39751,39750,39749,39748,39745,39744,39743,39742,39741,39738,39737,39736,39735,39734,39731,39730,39729,39728,39727,39724,39723,39722,39721,39720,39717,39716,39715,39714,39713,39710,39709,39708,39707,39706,39703,39702,39701,39700,39699,39696,39695,39694,39693,39689,39688,39687,39686,39685,39682,39681,39680,39679,39678,39675,39674,39673,39672,39671,39668,39667,39666,39665,39664,39661,39660,39659,39658,39657,39654,39653,39652,39651,39650,39647,39646,39645,39644,39643,39640,39639,39638,39637,39636,39632,39631,39630,39629,39626,39625,39624,39623,39622,39619,39618,39617,39616,39615,39612,39611,39610,39609,39608,39605,39604,39603,39602,39601,39598,39597,39596,39595,39591,39590,39589,39588,39587,39584,39583,39582,39581,39580,39577,39576,39575,39574,39573,39570,39569,39568,39567,39566,39563,39562,39561,39560,39559,39556,39555,39554,39553,39552,39549,39548,39547,39546,39545,39542,39541,39540,39539,39538,39535,39534,39533,39532,39531,39527,39526,39525,39524,39521,39520,39519,39518,39517,39514,39513,39512,39511,39510,39507,39506,39505,39504,39503,39500,39499,39498,39497,39493,39492,39491,39490,39489,39486,39485,39484,39483,39482,39479,39478,39477,39476,39475,39472,39471,39470,39469,39465,39464,39463,39462,39461,39458,39457,39456,39455,39454,39451,39450,39449,39447,39444,39443,39442,39440,39437,39436,39435,39434,39433,39430,39429,39428,39427,39426,39423,39422,39421,39420,39419,39416,39415,39414,39413,39412,39409,39407,39406,39405,39402,39401,39400,39399,39398,39395,39394,39393,39392,39391,39388,39387,39386,39385,39384,39381,39380,39379,39378,39377,39374,39373,39372,39371,39370,39367,39366,39365,39364,39363,39360,39359,39358,39357,39356,39353,39352,39351,39350,39349,39346,39345,39344,39343,39342,39339,39338,39337,39336,39335,39332,39331,39330,39329,39325,39324,39323,39322,39321,39318,39317,39316,39315,39314,39311,39310,39309,39308,39307,39304,39303,39302,39301,39300,39297,39296,39295,39294,39293,39290,39289,39288,39287,39286,39283,39282,39281,39280,39279,39276,39275,39274,39273,39272,39269,39268,39266,39265,39262,39261,39260,39259,39258,39255,39254,39253,39252,39251,39248,39247,39246,39245,39244,39241,39240,39239,39238,39237,39234,39233,39232,39231,39227,39226,39225,39224,39223,39220,39219,39218,39217,39216,39213,39212,39211,39210,39209,39206,39205,39204,39203,39202,39199,39198,39197,39196,39195,39192,39191,39190,39189,39188,39185,39184,39183,39182,39181,39177,39176,39175,39174,39171,39170,39169,39168,39167,39164,39163,39162,39161,39160,39157,39156,39155,39154,39153,39150,39149,39148,39147,39146,39143,39142,39141,39140,39139,39136,39135,39134,39133,39129,39128,39127,39126,39125,39122,39121,39120,39119,39118,39115,39114,39113,39112,39111,39108,39107,39106,39105,39104,39101,39100,39099,39098,39094,39093,39092,39091,39090,39087,39086,39085,39080,39079,39078,39077,39073,39072,39071,39070,39069,39066,39065,39064,39063,39062,39059,39058,39057,39056,39055,39052,39051,39050,39049,39048,39045,39043,39042,39041,39038,39037,39036,39035,39034,39031,39030,39029,39028,39027,39024,39023,39022,39021,39020,39017,39016,39015,39014,39013,39010,39009,39008,39007,39006,39003,39002,39001,39000,38999,38996,38995,38994,38993,38992,38989,38988,38987,38986,38985,38982,38981,38980,38979,38978,38975,38974,38973,38972,38971,38968,38967,38966,38965,38961,38960,38959,38958,38957,38954,38953,38952,38951,38950,38947,38946,38945,38944,38943,38940,38939,38938,38937,38936,38933,38932,38931,38930,38929,38926,38925,38924,38923,38922,38919,38918,38917,38916,38915,38912,38911,38910,38909,38908,38905,38904,38903,38901,38898,38897,38896,38895,38894,38891,38890,38889,38888,38887,38884,38883,38882,38881,38880,38877,38876,38875,38874,38873,38870,38869,38868,38867,38863,38862,38861,38860,38859,38856,38855,38854,38853,38852,38849,38848,38847,38846,38845,38842,38841,38840,38839,38838,38835,38834,38833,38832,38831,38828,38827,38826,38825,38824,38820,38819,38818,38817,38814,38813,38812,38811,38810,38807,38806,38805,38804,38803,38800,38799,38798,38797,38796,38793,38792,38791,38790,38789,38786,38785,38784,38783,38782,38779,38778,38777,38776,38775,38772,38771,38770,38769,38765,38764,38763,38762,38761,38758,38757,38756,38755,38754,38751,38750,38749,38748,38747,38744,38743,38742,38741,38740,38737,38736,38735,38734,38730,38729,38728,38727,38726,38723,38722,38721,38720,38716,38715,38714,38713,38709,38708,38707,38706,38705,38702,38701,38700,38699,38698,38695,38694,38693,38692,38691,38688,38687,38686,38685,38684,38681,38679,38678,38677,38674,38673,38672,38671,38670,38667,38666,38665,38664,38663,38660,38659,38658,38657,38656,38653,38652,38651,38650,38649,38646,38645,38644,38643,38642,38639,38638,38637,38636,38635,38632,38631,38630,38629,38628,38625,38624,38623,38622,38621,38618,38617,38616,38615,38614,38611,38610,38609,38608,38607,38604,38603,38602,38601,38597,38596,38595,38594,38593,38590,38589,38588,38587,38586,38583,38582,38581,38580,38579,38576,38575,38574,38573,38572,38569,38568,38567,38566,38565,38562,38561,38560,38559,38558,38555,38554,38553,38552,38551,38548,38547,38546,38545,38544,38541,38540,38539,38538,38534,38533,38532,38531,38530,38527,38526,38525,38524,38523,38520,38519,38518,38517,38516,38513,38512,38511,38510,38509,38506,38505,38504,38503,38499,38498,38497,38496,38495,38492,38491,38490,38489,38488,38485,38484,38483,38482,38481,38478,38477,38476,38475,38474,38471,38470,38469,38468,38467,38464,38463,38462,38461,38460,38457,38456,38455,38454,38453,38450,38449,38448,38447,38446,38443,38442,38441,38440,38439,38435,38434,38433,38432,38429,38428,38427,38426,38425,38422,38421,38420,38419,38418,38415,38414,38413,38412,38411,38408,38407,38406,38405,38401,38400,38399,38398,38397,38394,38393,38392,38391,38390,38387,38386,38385,38384,38383,38380,38379,38378,38377,38376,38373,38372,38371,38370,38366,38365,38364,38363,38362,38359,38358,38357,38356,38355,38352,38351,38350,38349,38348,38344,38343,38342,38341,38338,38337,38336,38335,38334,38331,38330,38329,38328,38327,38324,38323,38322,38321,38320,38317,38315,38314,38313,38310,38309,38308,38307,38306,38303,38302,38301,38300,38299,38296,38295,38294,38293,38292,38289,38288,38287,38286,38285,38282,38281,38280,38279,38278,38275,38274,38273,38272,38271,38268,38267,38266,38265,38264,38261,38260,38259,38258,38257,38254,38253,38252,38251,38250,38247,38246,38245,38244,38243,38240,38239,38238,38237,38233,38232,38231,38230,38229,38226,38225,38224,38223,38222,38219,38218,38217,38216,38215,38212,38211,38210,38209,38208,38205,38204,38203,38202,38201,38198,38197,38196,38195,38194,38191,38190,38189,38188,38187,38184,38183,38182,38181,38180,38177,38176,38175,38174,38170,38169,38168,38167,38166,38163,38162,38161,38160,38159,38156,38155,38154,38153,38152,38148,38147,38146,38145,38142,38141,38140,38139,38135,38134,38133,38132,38131,38128,38127,38126,38125,38124,38121,38120,38119,38118,38117,38114,38113,38112,38111,38110,38107,38106,38105,38104,38103,38100,38099,38098,38097,38096,38093,38092,38091,38090,38089,38085,38084,38083,38082,38079,38078,38077,38076,38075,38072,38071,38070,38069,38068,38065,38064,38063,38062,38061,38058,38057,38056,38055,38054,38051,38050,38049,38048,38047,38044,38043,38042,38041,38040,38037,38036,38035,38034,38030,38029,38028,38027,38026,38023,38022,38021,38020,38019,38016,38015,38014,38013,38012,38009,38008,38007,38006,38002,38001,38000,37999,37998,37995,37994,37993,37992,37991,37988,37986,37985,37984,37981,37979,37978,37977,37974,37973,37972,37971,37970,37967,37966,37965,37964,37963,37960,37959,37958,37957,37956,37953,37951,37950,37949,37946,37945,37944,37943,37942,37939,37938,37937,37936,37935,37932,37931,37930,37929,37928,37925,37924,37923,37922,37921,37918,37917,37916,37915,37914,37911,37910,37909,37908,37907,37904,37903,37902,37901,37900,37897,37896,37895,37894,37893,37890,37889,37888,37887,37886,37883,37882,37881,37880,37879,37876,37875,37874,37873,37872,37869,37868,37867,37866,37862,37861,37860,37859,37858,37855,37854,37853,37852,37851,37848,37847,37846,37845,37844,37841,37840,37839,37838,37837,37834,37833,37832,37831,37830,37827,37826,37825,37824,37823,37820,37819,37818,37817,37816,37813,37812,37811,37810,37809,37805,37804,37803,37802,37799,37798,37797,37796,37795,37792,37791,37790,37789,37788,37785,37784,37783,37782,37781,37778,37777,37776,37775,37774,37771,37770,37769,37768,37764,37763,37762,37761,37760,37757,37756,37755,37754,37753,37750,37749,37748,37747,37746,37743,37742,37741,37740,37739,37736,37735,37734,37733,37732,37728,37727,37726,37725,37722,37721,37720,37719,37718,37715,37714,37713,37712,37711,37708,37707,37706,37705,37704,37701,37700,37699,37698,37697,37694,37693,37692,37691,37690,37687,37686,37685,37684,37683,37680,37679,37678,37677,37676,37673,37672,37671,37670,37666,37665,37664,37663,37662,37659,37658,37657,37656,37655,37652,37651,37650,37649,37648,37645,37644,37643,37642,37638,37637,37636,37635,37634,37631,37630,37629,37628,37627,37624,37623,37621,37620,37617,37616,37614,37613,37610,37609,37608,37607,37606,37603,37602,37601,37600,37599,37596,37595,37594,37593,37592,37589,37587,37586,37585,37582,37581,37580,37579,37578,37575,37574,37573,37572,37571,37568,37567,37566,37565,37564,37561,37560,37559,37558,37557,37554,37553,37552,37551,37550,37547,37546,37545,37544,37543,37540,37539,37538,37537,37536,37533,37532,37531,37530,37529,37526,37525,37524,37523,37522,37519,37518,37517,37516,37515,37512,37511,37510,37509,37508,37505,37504,37503,37502,37498,37497,37496,37495,37494,37491,37490,37489,37488,37487,37484,37483,37482,37481,37480,37477,37476,37475,37474,37473,37470,37469,37468,37467,37466,37463,37462,37461,37460,37459,37456,37455,37454,37453,37452,37449,37448,37447,37446,37445,37442,37440,37439,37438,37435,37434,37433,37432,37431,37428,37427,37426,37425,37424,37421,37420,37419,37418,37417,37414,37413,37412,37411,37410,37407,37406,37405,37404,37400,37399,37398,37397,37396,37393,37392,37391,37390,37389,37386,37385,37384,37383,37382,37379,37378,37377,37376,37375,37372,37371,37370,37369,37368,37365,37364,37363,37362,37361,37358,37357,37356,37355,37354,37351,37350,37349,37348,37347,37343,37342,37341,37340,37337,37336,37335,37334,37333,37330,37329,37328,37327,37326,37323,37322,37321,37320,37319,37316,37315,37314,37313,37312,37309,37308,37307,37306,37302,37301,37300,37299,37298,37295,37294,37293,37292,37291,37288,37287,37286,37285,37284,37281,37280,37279,37278,37274,37273,37272,37271,37270,37267,37266,37265,37264,37263,37260,37259,37258,37256,37253,37252,37251,37249,37246,37245,37244,37243,37242,37239,37238,37237,37236,37235,37232,37231,37230,37229,37228,37225,37224,37223,37222,37221,37218,37216,37215,37214,37211,37210,37209,37208,37207,37204,37203,37202,37201,37200,37197,37196,37195,37194,37193,37190,37189,37188,37187,37186,37183,37182,37181,37180,37179,37176,37175,37174,37173,37172,37169,37168,37167,37166,37165,37162,37161,37160,37159,37158,37155,37154,37153,37152,37151,37144,37141,37140,37139,37138,37134,37133,37132,37131,37130,37127,37126,37125,37124,37123,37120,37119,37118,37117,37116,37113,37112,37111,37110,37109,37106,37105,37104,37103,37102,37099,37098,37097,37096,37095,37092,37091,37090,37089,37088,37085,37084,37083,37082,37081,37078,37077,37075,37074,37071,37070,37069,37068,37067,37064,37063,37062,37061,37060,37057,37056,37055,37054,37053,37050,37049,37048,37047,37046,37043,37042,37041,37040,37036,37035,37034,37033,37032,37029,37028,37027,37026,37025,37022,37021,37020,37019,37018,37015,37014,37013,37012,37011,37008,37007,37006,37005,37004,37001,37000,36999,36998,36997,36993,36992,36991,36990,36987,36986,36985,36984,36983,36980,36979,36978,36977,36976,36973,36972,36971,36970,36969,36966,36965,36964,36963,36962,36959,36958,36957,36956,36955,36952,36951,36950,36949,36948,36945,36944,36943,36942,36938,36937,36936,36935,36934,36931,36930,36929,36928,36927,36924,36923,36922,36921,36920,36917,36916,36915,36914,36913,36910,36909,36908,36907,36903,36902,36901,36900,36899,36896,36895,36894,36893,36889,36888,36887,36886,36882,36881,36880,36879,36878,36875,36874,36873,36872,36871,36868,36867,36866,36865,36864,36861,36860,36859,36858,36857,36854,36852,36851,36850,36847,36846,36845,36844,36843,36840,36839,36838,36837,36836,36833,36832,36831,36830,36829,36826,36825,36824,36823,36822,36819,36818,36817,36816,36815,36812,36811,36810,36809,36808,36805,36804,36803,36802,36801,36798,36797,36796,36795,36794,36791,36790,36789,36788,36787,36784,36783,36782,36781,36780,36777,36776,36775,36774,36770,36769,36768,36767,36766,36763,36762,36761,36760,36759,36756,36755,36754,36753,36752,36749,36748,36747,36746,36745,36742,36741,36740,36739,36738,36735,36734,36733,36732,36731,36728,36727,36726,36725,36724,36721,36720,36719,36718,36717,36714,36713,36712,36710,36707,36706,36705,36704,36703,36700,36699,36698,36697,36696,36693,36692,36691,36690,36689,36686,36685,36684,36683,36682,36679,36678,36677,36676,36672,36671,36670,36669,36668,36665,36664,36663,36662,36661,36658,36657,36656,36655,36654,36651,36650,36649,36648,36647,36644,36643,36642,36641,36640,36636,36635,36634,36633,36630,36629,36628,36627,36626,36623,36622,36621,36620,36619,36616,36615,36614,36613,36612,36609,36608,36607,36606,36605,36602,36601,36600,36599,36598,36595,36594,36593,36592,36591,36588,36587,36586,36585,36584,36581,36580,36579,36578,36574,36573,36572,36571,36570,36567,36566,36565,36564,36563,36560,36559,36558,36557,36556],"892400^FG_PRICE(2/27/2026,1/31/2000,,USD)":[1056.764821,1059.296028,1061.413712,1051.90621,1046.494784,1052.972635,1047.206281,1049.691757,1042.443213,1042.751999,1045.218197,1055.573937,1054.724048,1053.972243,1042.821266,1027.243274,1040.046317,1043.980937,1043.767096,1044.257064,1050.188852,1051.668183,1051.077421,1044.17353,1037.548498,1036.032114,1028.647761,1022.273617,1038.32541,1038.377053,1036.573045,1038.093646,1038.288276,1034.867052,1029.447428,1031.475484,1035.151944,1028.023331,1019.638488,1014.623331,1020.164138,1020.688792,1022.805271,1022.579561,1020.101192,1015.494019,1008.392711,1001.177478,995.045051,1002.848634,1007.763273,1008.881167,1015.270583,1011.737116,1006.441231,1008.044729,1010.72709,1010.004384,1006.434244,1003.105144,1001.153426,1005.138919,1000.207749,991.058424,982.310446,970.763167,968.52909,977.214818,976.009887,987.81161,995.431621,1000.163314,1011.783444,1009.192569,1004.974413,991.321134,992.004746,997.886857,996.821157,1007.847153,1006.23243,1005.175097,1014.423123,1013.595176,1012.497982,1001.367214,995.086502,990.769742,994.847114,995.685526,983.903314,984.387099,985.422457,978.315962,981.087606,972.247349,993.470853,996.106649,992.133241,996.062744,993.214621,990.72671,988.57173,984.781269,980.539314,976.951426,973.514954,979.251729,982.159005,985.115615,981.754849,979.179336,976.384359,976.772737,976.60097,972.148811,971.44819,964.804029,961.695698,958.884883,955.710984,954.13672,948.395485,945.10253,951.56782,956.335422,953.041585,952.715359,952.956195,955.289122,942.513896,945.787222,947.901977,951.292309,952.023178,951.90918,953.076737,947.144165,938.163688,940.506121,935.469883,933.231105,927.243731,928.447879,917.393271,929.620497,934.334843,935.796895,939.373993,941.261665,941.349591,939.342458,929.784803,929.625277,927.987124,926.294639,921.109049,920.246913,923.464683,922.555062,926.218734,924.303166,919.306408,919.932112,926.477512,920.480072,917.403998,917.893023,914.7887,909.654177,902.14536,903.026007,890.09787,885.757816,889.667462,890.421525,897.505485,889.693161,899.607249,896.988425,897.512542,893.717497,891.96047,886.826047,888.93396,885.898087,882.877304,879.495992,880.257989,876.367349,881.16069,868.147078,871.008871,873.952121,881.619319,882.393576,880.624592,876.400631,874.064662,871.19644,865.584252,846.998683,845.850588,844.033412,841.911931,846.212478,849.246208,835.148963,833.537528,831.306698,827.212923,824.743294,819.862195,808.20895,796.263636,783.109803,792.895331,791.1335,803.104369,800.55915,790.627679,779.269158,785.278161,742.961127,745.484117,764.285458,807.640904,836.105735,832.149126,827.154603,829.894662,843.217707,845.956915,853.492555,851.728205,841.993192,843.472871,845.373267,839.532082,843.501495,836.143422,821.594526,830.847603,826.639991,832.728856,852.09848,850.379708,858.709932,846.136057,855.806409,862.948986,857.255357,869.113156,866.736449,870.598441,874.538662,883.731399,886.766348,887.718768,884.239454,882.366691,872.776588,873.668241,873.787848,869.439445,875.339219,871.694076,866.916189,859.330488,869.039821,872.681673,867.295112,868.644941,863.834881,872.910485,872.11421,868.514767,864.144308,855.232668,848.629526,847.300359,834.408691,831.786396,833.855737,845.950294,846.944385,852.90472,847.221927,839.930904,841.332072,843.828078,851.619769,856.532709,856.392181,849.45745,844.22801,839.409348,845.437304,864.016054,867.840975,866.140214,868.407961,871.392147,866.405889,870.852842,873.725667,872.16297,872.277188,868.039471,864.643278,862.488884,858.258563,859.080306,857.746281,854.129383,851.444607,847.844241,849.193899,845.602107,842.607912,851.195632,854.847677,856.842184,863.103249,863.021898,862.588482,854.735979,843.184704,834.937879,835.152697,832.302823,844.940491,848.075693,847.932876,845.487761,845.741352,844.342427,851.270731,853.579743,856.709169,852.065592,852.224404,851.252724,857.18048,852.731624,848.190735,848.638672,844.77862,843.718225,847.398968,842.30388,845.508757,845.874293,851.783138,852.835486,850.691623,843.60917,844.560594,840.051096,837.374192,839.485229,826.29073,828.715039,828.416058,826.927533,821.593915,813.611293,808.487331,807.379587,802.569617,812.668584,815.046354,819.469462,833.681831,827.343905,827.318106,830.811627,830.027669,831.34394,822.772657,827.48648,824.70173,825.174407,817.413431,812.780852,803.457874,798.834275,787.297472,787.157832,781.771845,770.703422,770.994181,762.080884,787.208124,803.403118,814.155372,801.432869,804.351152,803.475065,796.78478,802.580165,816.226132,816.892621,810.870337,817.449819,823.585653,831.252006,828.729093,828.554974,824.272791,824.772983,817.779698,818.138031,817.587112,812.814009,806.794809,803.78924,802.009859,803.752727,803.733627,803.773902,801.283132,801.246612,804.347572,803.908147,800.374724,797.257762,799.702705,801.597943,793.928972,794.746859,794.236,796.540013,794.417889,787.513753,788.768452,785.536924,781.120486,784.159227,792.451991,791.566378,788.971398,793.190057,795.978785,796.048973,794.956722,794.083788,793.769985,785.878429,782.829253,782.055039,779.638021,776.695281,778.076456,775.779069,769.285388,760.515746,754.259908,756.608886,765.578292,762.388008,755.592733,759.457007,758.152071,749.291278,743.284913,749.388637,749.136834,752.228897,758.010273,765.671052,774.881783,772.775988,779.22894,778.040298,776.507401,773.44297,777.811479,777.037763,780.825157,783.172134,782.938924,778.532428,779.44546,781.315504,783.338993,778.059606,773.318731,771.483326,767.615958,772.65079,775.300771,775.711661,768.770174,771.30234599999994,773.072174,765.875298,761.340322,767.134653,767.069369,761.282046,758.127032,760.69699,759.174092,761.182707,760.408497,747.91096,748.229459,750.237898,750.550808,744.947854,739.577581,747.888732,747.934079,744.946875,745.10028,740.680353,737.191992,740.453183,735.719632,730.838256,737.650986,738.276437,733.773075,733.209647,730.963622,727.444419,726.639644,724.324162,717.007692,712.113769,718.962007,724.769978,722.399212,722.825161,720.142462,721.78782,715.39577,714.239278,714.475352,721.568279,726.995723,728.753281,727.287278,723.774771,721.174979,720.153263,715.305889,721.869723,717.302392,716.454451,716.3948,709.265366,702.591221,700.077642,698.320435,695.951886,692.932336,693.172903,694.475336,697.514087,694.379875,692.086083,691.985885,690.459766,692.145241,690.242741,689.597066,690.4005,685.697094,683.615819,684.15833,679.925562,667.350545,666.261716,662.368802,664.430738,664.4246,665.453418,662.770864,655.045304,642.646244,636.654588,634.88183,629.463784,630.653358,637.78365,643.904685,640.56453,642.070603,649.282137,655.831326,663.978438,662.937482,658.543474,663.88738,666.631606,663.338665,656.665132,654.035654,647.591659,646.271547,644.796756,653.751967,656.820133,656.721752,653.932805,654.67975,662.619609,663.135659,663.826522,675.242583,678.555399,679.700258,681.344625,685.595263,679.725915,679.611215,682.534681,678.022485,677.654184,680.020692,683.972876,687.260858,686.150393,687.86294,684.51147,675.627009,670.230276,669.868613,675.462724,669.336321,669.109971,666.767599,668.345418,673.383324,678.473449,684.695904,684.678245,687.937679,686.193913,688.277536,692.420371,688.99822,689.576149,692.022663,703.598675,707.109431,705.509876,700.100823,701.982089,702.150913,699.145334,697.430941,697.886502,701.764671,700.824414,697.000308,696.223867,696.01018,688.224806,680.434614,674.94256,673.442349,673.809456,682.45961,685.070988,682.841342,675.900205,674.421201,673.868779,668.043744,669.760474,676.202575,675.885721,678.971101,684.886152,685.262031,679.103571,676.942387,671.333499,667.077504,665.757028,662.653051,664.493294,662.777461,663.245242,653.016483,646.374663,652.383859,653.047416,646.004101,644.836494,651.170436,657.459037,656.420477,655.941726,651.813532,648.232988,651.631768,649.222986,650.704351,652.432185,651.109056,654.118035,652.45057,643.254755,646.291113,647.994055,654.493645,654.996704,650.489453,642.739647,644.607411,653.148455,652.608497,653.143624,655.425155,656.667563,655.113701,654.571803,655.035827,647.831369,648.350924,645.566956,646.068076,645.063274,647.673591,649.1984,646.762076,639.891118,635.303109,627.476701,626.515443,625.062137,626.350638,622.974633,627.633933,620.034006,616.087515,619.855238,612.093937,619.375938,614.20755,616.603476,624.506367,632.227186,632.875657,641.478863,639.694402,631.224296,628.858427,629.022887,630.710908,627.999838,635.427903,633.675232,636.570385,645.025973,648.079355,652.758455,652.839622,652.255748,646.872629,649.010827,651.089748,654.555418,648.928235,656.25732,662.336928,654.318168,648.365288,643.953852,649.941352,648.334514,643.225209,642.919413,642.675738,636.398838,627.531326,633.510502,638.051195,638.075851,634.028481,629.932014,623.62956,621.934451,617.399399,605.69626,611.124658,605.456227,605.382332,607.377274,599.969626,605.236876,605.784989,604.392998,610.143917,602.977228,602.004004,606.134407,612.723351,627.804955,629.304813,622.592757,619.363502,620.249254,616.21784,618.819991,626.692437,633.536585,635.514603,630.91839,617.64051,617.148944,625.152326,623.240985,618.364108,611.382633,616.040353,612.571179,616.564385,621.278182,614.788471,618.664516,607.656308,582.207048,591.509469,586.932137,580.59949,570.773345,578.220241,587.470563,586.37446,588.947498,582.182843,584.142441,584.012963,574.696319,569.932352,563.057437,565.214812,569.977922,563.661965,552.080598,558.705567,550.371188,552.100161,557.514357,562.995503,576.445911,580.848504,582.13934,563.994346,553.371279,557.882277,565.806718,559.720557,560.430762,567.860273,579.554345,585.850241,594.579831,599.526894,597.592599,603.303355,608.926418,610.490675,631.002048,622.920007,612.339888,607.728428,602.319603,606.981086,608.313954,613.106716,616.747948,621.515113,627.897585,642.968105,634.969455,634.107963,635.461191,646.808297,655.3857,655.07231,659.435522,659.088879,657.567388,650.709729,649.752815,637.702392,640.833867,639.530645,640.936703,638.998178,633.318304,638.404313,637.717121,630.422384,622.694854,612.227728,617.560439,617.70715,620.423194,616.016034,612.326141,599.814659,598.708922,589.085392,594.352042,596.099739,600.821701,608.582585,607.888501,598.508173,597.739396,599.075655,596.773933,603.498449,606.705445,614.587336,612.674176,596.994871,594.431589,597.327467,584.549314,585.778253,600.300229,593.77259,597.640158,620.306708,637.767096,650.942866,654.614885,652.127241,649.160726,656.445061,647.87034,652.814217,652.84042,639.295349,629.967207,625.718072,631.441931,621.88954,619.580388,623.639956,640.428033,627.862414,629.18563,615.270608,619.541855,624.378795,623.769463,643.666082,650.08067,667.083779,656.132505,653.565586,653.667041,665.795989,653.899341,655.01094,668.610159,671.62894,688.468583,696.266187,694.231224,688.633318,690.713936,695.912311,690.055906,692.766789,702.129378,702.391162,703.14155,711.825939,718.794834,712.665883,711.557718,721.113213,723.159356,712.163392,709.581469,708.821392,703.135279,708.21018,700.819454,701.45571,695.246026,683.169168,664.832054,658.609592,663.531422,671.232867,672.527364,655.467968,660.771206,679.320561,690.745517,694.978003,688.590119,698.020195,698.533495,681.956076,686.225142,694.570556,703.335853,709.390247,720.096905,717.807486,708.336779,715.464715,726.314801,733.204489,721.920381,718.216861,718.758484,716.156261,729.083749,723.490162,717.375482,705.122811,694.753977,701.134869,700.192611,707.224957,712.804357,725.444428,727.74614,733.178068,744.413643,746.668813,753.609836,747.63139,741.239612,743.181847,744.033238,748.23907,758.429894,756.943488,754.828116,755.301892,756.398883,756.060402,755.364663,748.65759,743.332806,736.4111,724.73212,734.671066,740.912976,741.882958,734.717169,740.266362,746.256766,743.614842,748.114102,745.205861,729.854093,724.183527,730.104136,724.649988,726.531441,738.180523,733.527312,749.303185,749.197028,750.572437,754.916893,756.575493,756.347517,758.864173,757.468222,756.831222,752.021388,751.45854,756.809946,758.57338,757.13379,755.847294,752.890303,749.525617,748.498414,745.228628,746.975497,741.746233,745.835243,744.34714,742.25529,742.488733,742.077921,739.243062,733.852322,732.952297,726.632391,716.727622,713.311615,715.549005,717.494713,717.826878,709.694287,710.379889,705.531471,712.442226,709.511987,713.989299,715.461795,728.957519,730.460291,731.563887,724.24308,719.022394,718.085775,729.989366,735.207575,737.082332,735.171538,737.619644,737.283211,739.57717,742.769599,746.074335,746.463816,745.667589,743.66865,741.270534,740.793671,737.240953,731.936589,735.789542,734.635417,730.480811,722.584174,719.879768,724.925297,729.125649,734.781326,736.020548,734.754003,734.008453,732.01953,731.098339,731.19284,732.57092,729.430089,730.151756,726.880184,724.208978,729.675921,723.608378,722.408275,726.674167,727.132808,722.801536,719.784068,713.30081,707.421994,719.172083,723.661057,726.088302,726.324489,727.331827,723.59929,717.053813,724.406413,723.345997,724.661988,721.81463,719.969961,721.637675,722.053616,721.908067,718.676766,715.018864,714.744779,711.040808,705.966622,714.870887,717.83911,720.225231,721.101593,719.522816,718.227486,715.569497,716.962264,716.9972,716.311816,711.361293,714.415102,713.756093,711.151893,708.915739,708.522323,707.259056,706.198484,701.568422,701.328982,694.697909,698.768875,698.466097,699.130878,688.537692,686.76702,698.422713,706.496913,710.358368,704.137878,699.627016,697.601154,703.313055,701.830048,708.070344,705.717879,705.543626,706.31524,703.720897,698.324878,699.908918,697.04287,702.993641,704.939241,702.016576,695.840505,695.968923,693.582117,694.709968,692.558833,689.239882,688.757811,687.537694,680.473866,673.28772,672.118653,672.832804,673.349578,663.790564,662.833489,668.841996,674.181739,671.405413,673.380699,678.186496,677.957463,676.988156,674.467487,674.855618,666.279094,662.99244,654.184549,657.493076,653.361405,662.803488,667.113602,670.520293,657.146234,667.04607,675.366169,674.034425,673.768416,679.736549,678.672392,682.7039,685.060258,682.240685,679.7384,678.061474,676.704547,675.533952,670.558924,666.755591,662.973264,660.969343,652.535619,642.906565,654.495538,652.49749,666.091756,668.084187,666.68517,669.624215,668.435884,661.08826,655.864068,661.558433,661.488018,659.653177,658.482786,663.592055,657.533611,649.845076,646.958959,642.979601,646.268342,645.289274,642.999595,640.91647,637.297623,636.013642,633.650771,634.599587,639.798779,641.888354,637.098105,633.890225,628.841635,629.834419,631.053445,630.888017,633.806102,632.464543,633.094761,628.496028,626.247492,624.912531,618.265741,623.758764,620.488566,620.471262,611.692877,609.523901,610.265186,610.109965,612.863119,613.609104,605.922222,601.324434,605.088705,600.73635,600.490632,592.758247,591.375888,578.919428,568.089012,557.836585,550.99536,557.409287,554.986269,571.527338,573.071598,581.908123,579.919503,579.345766,580.10768,578.675612,583.112676,582.003665,586.674529,588.939785,591.86129,584.604034,580.010052,575.635723,569.674216,573.332907,564.112325,567.998851,565.148482,562.695922,564.182615,555.212864,549.571218,551.966655,560.209827,557.788969,567.017905,570.157986,574.991693,575.643758,572.6765,565.964475,565.473174,570.928031,562.814877,573.042345,579.123437,594.060979,588.51788,584.863934,586.435485,583.208291,584.027873,578.894627,577.243226,570.968469,569.622793,571.94772,573.329504,571.879275,569.395894,570.82274,571.039301,564.093297,564.080309,563.239325,565.16694,564.111612,559.246329,555.826385,551.894367,551.892048,555.472667,551.030333,552.914474,547.904125,552.466137,556.591852,555.808852,552.638666,548.046372,546.391431,549.785337,543.467771,540.68274,541.77104,538.489081,540.369639,537.257275,542.190365,532.143188,527.277056,524.90763,519.525946,515.811961,523.749266,521.377179,533.331402,528.590913,526.81199,527.813597,528.249711,528.196447,516.707065,516.56989,514.892869,539.757964,541.229421,543.765443,538.999437,528.00497,528.799989,520.059766,514.183394,509.470339,509.250568,506.975955,502.178705,491.937713,493.951217,497.811191,490.977711,491.787897,478.345673,476.538487,476.76489,484.243151,490.252781,490.235133,481.79753,478.019747,480.043634,475.279,478.56198,489.168665,492.601362,481.57966,480.937707,472.620405,470.610987,469.127555,460.910143,475.208242,480.265326,468.062957,467.40213,477.702792,466.364677,469.566892,462.28072,453.087112,448.715689,425.353165,431.28469,425.999295,442.346476,445.039631,436.599581,447.313068,427.571589,416.279268,384.037631,397.115197,403.95171,402.728641,424.212651,409.882372,451.088303,428.499639,473.550181,491.460409,478.500571,514.883135,525.635327,536.200513,522.211574,528.448618,512.757315,521.916925,539.816324,542.909079,555.733004,572.681312,577.03106,579.867836,577.317223,580.059628,579.735359,581.024599,577.5065,575.01539,573.550619,576.68453,573.457173,568.650819,560.39698,558.621185,565.495649,567.345407,567.397072,564.01909,573.286256,575.737998,577.294002,576.690471,579.23806,576.887412,573.757001,573.371205,573.327429,570.448699,570.654586,566.820468,566.14959,566.378343,566.793195,569.746656,565.243908,564.379979,566.846389,565.451349,563.503556,563.43207,563.000295,560.99857,559.605396,559.899655,559.168627,555.376277,552.191668,548.400953,546.735763,547.448107,548.116179,544.00008,542.946323,540.393607,543.367721,546.694995,549.683008,547.706718,547.172296,543.334449,542.351498,543.759041,546.16685,546.057383,545.233035,541.140678,541.87703,542.951812,542.003763,543.240826,543.311672,541.904975,541.599164,541.663156,538.761406,534.411202,535.183126,534.287524,534.020513,531.767075,530.357963,528.415954,527.758639,528.493344,525.252994,526.917361,525.271478,525.249042,520.63253,521.135318,514.070349,511.210704,508.418969,514.281955,514.849838,509.843369,507.569495,515.946052,520.650885,519.734611,521.873658,521.884417,521.703932,524.402158,525.567276,526.79317,526.30856,526.319836,525.5629,527.631522,526.530044,524.651513,520.9474,520.879715,520.825769,519.549806,513.636101,507.762595,510.877078,508.869437,504.115803,502.576945,502.434174,500.94479,508.911593,510.165583,506.607961,509.061264,503.684857,497.85094,498.629315,509.119439,505.86932,510.01301,512.645311,505.000759,503.97358,501.474667,514.439838,520.57194,524.350295,528.066244,530.146255,530.997589,529.464943,531.821851,530.100029,527.476942,527.044078,527.508467,527.596437,530.069342,531.239978,530.479753,529.181644,527.926692,525.959454,526.386009,529.508174,531.139562,528.237857,526.92655,523.442032,520.927522,518.809841,519.784708,523.298596,523.306499,524.441273,518.921021,515.816255,510.809419,511.068974,512.752552,512.456457,513.913564,512.440998,509.755909,504.673363,503.016306,499.208383,492.470063,492.115297,496.224888,495.313083,499.662982,501.803316,500.087949,506.012773,507.319035,504.270939,506.927165,509.794864,506.732304,504.170394,501.664703,511.109418,509.331949,513.285658,514.397011,521.347516,524.85047,521.089034,523.074287,524.843809,524.394465,523.74322,521.867221,523.04144,524.526478,521.756506,521.660941,522.035985,522.332504,521.505809,521.29433,518.695496,519.258245,518.090645,519.877363,519.039179,517.278561,517.284178,514.387023,514.345121,508.54849,505.143864,504.834583,507.024625,503.555804,505.879553,513.499712,510.048513,511.974682,511.358741,508.722658,505.557148,505.544719,502.988608,500.545184,494.911793,497.860496,502.223328,504.068499,504.600913,505.75202,503.480569,505.395256,505.510361,505.69007,504.150046,501.689985,502.918444,500.58055,498.238814,494.661096,495.91755,494.303919,488.912262,488.720497,490.417729,495.082822,496.179696,493.064756,491.434109,491.194144,486.712006,481.773472,481.590764,484.533142,479.840213,478.741766,478.409728,483.496358,477.630556,475.711496,474.856254,470.868814,473.258416,473.234171,471.565691,467.269176,463.987313,459.940072,448.205668,454.516142,455.662175,452.693179,450.322554,447.709871,437.67961,444.757194,450.833531,457.647423,460.680184,462.266414,468.511534,476.067063,476.010933,470.697066,470.196016,473.880218,479.203946,486.729921,497.480715,490.857326,489.660852,488.216221,481.238542,480.854124,475.296528,477.679696,475.873448,483.724478,488.341714,486.873978,483.788501,486.099922,486.568915,494.482057,499.565794,500.232101,492.703727,490.583368,489.974177,489.476064,484.570966,478.190715,473.521019,475.10646,480.830845,477.290732,487.369018,492.778542,494.04656,494.471997,500.524338,500.940074,492.51506,494.759187,489.404591,500.545491,511.544501,512.717647,514.686169,518.209294,523.459546,523.361175,525.060586,524.252671,525.443291,525.280112,526.088275,525.865608,527.863193,526.13585,521.983279,520.187283,517.497083,519.460741,518.023184,515.168843,514.028047,513.392222,512.965724,514.078054,516.134634,519.302136,522.881007,524.280335,526.93965,525.182335,524.555066,519.595982,516.839828,518.417576,517.174955,515.191571,513.079713,511.496617,508.316611,513.993405,511.920371,515.610436,521.601687,522.184722,522.33806,519.822546,519.534243,517.540351,518.987951,519.817935,518.929185,520.730276,521.800827,521.743721,518.998615,515.915344,515.888536,514.447498,516.473081,515.716015,514.534717,515.216891,514.121844,510.920329,515.518888,514.483143,509.89907,505.839475,503.000575,503.096237,505.198233,501.87857,501.466252,504.910602,504.488869,511.681981,509.336986,512.580568,510.780298,514.992654,517.205228,519.539786,519.696924,521.071473,520.758438,519.154445,519.897807,519.746647,515.718966,516.377417,512.767256,508.769038,509.960837,506.987234,513.448163,514.856155,515.862083,517.597931,517.722066,515.655703,517.011873,517.03746,516.139984,520.583627,519.462081,517.232891,513.617705,510.386636,510.607926,508.833926,505.039155,506.899413,509.001351,509.693782,511.314098,509.910705,506.321229,508.081802,511.670383,512.735932,517.051847,518.316048,516.118837,512.490853,510.522793,511.291895,509.432027,511.041254,504.180558,502.315405,508.552071,503.815537,501.891043,499.649264,505.440105,501.27241,504.133761,506.899748,499.363251,508.479714,516.945574,517.332414,516.890254,522.474298,522.487402,522.867071,525.305842,527.294885,525.444648,519.647102,517.331148,517.964612,514.622593,511.33813,511.904329,518.079101,523.832068,528.397366,524.119423,518.201966,518.917215,519.812029,522.599612,521.253043,514.952096,508.444814,506.837467,500.907452,500.704332,513.297084,512.965011,515.734718,531.462129,541.208766,541.673257,541.495829,546.887738,550.317007,546.683916,545.990378,545.173366,542.501447,539.265821,536.703834,537.135645,534.405295,533.234615,529.73912,527.725428,528.016156,527.2852,526.685618,523.264989,519.149905,516.757363,513.025948,513.511197,512.232967,511.096867,511.286093,511.189432,509.962865,510.121461,511.678835,507.081249,505.505876,506.844282,506.30612,506.23397,504.078525,501.417195,500.299178,502.330185,503.918765,503.470521,505.442384,504.116711,504.453645,502.020267,503.348779,501.434371,500.510899,497.278707,496.747593,496.737181,492.814974,495.525414,496.607843,497.856511,498.586312,500.427944,499.576465,499.396579,498.858528,498.438678,498.077309,496.624669,495.964009,495.689626,493.663846,493.497674,495.158324,495.00782,496.39286,495.754519,495.661031,494.934729,495.799185,495.087016,493.923703,493.894416,493.001378,490.555141,490.889718,491.32958,490.162224,489.62943,487.830856,486.878674,484.629797,484.012915,483.071114,484.748625,486.661422,486.054434,488.055641,487.370727,486.355953,485.180547,484.135654,484.82826,485.304889,483.786895,479.61459,479.570013,478.04187,477.162463,479.898434,478.405615,475.792819,474.906408,475.370766,475.017028,473.807268,473.989489,474.481529,471.232842,470.62714,472.096592,475.753096,474.315726,475.095056,471.334064,472.581394,477.889813,479.451589,480.352738,479.072449,479.111198,479.756763,479.726635,477.583466,477.245481,478.249729,477.551058,477.237896,476.132737,476.768252,477.704933,476.72015,474.444959,474.126609,473.783588,471.058279,469.617553,465.308685,465.157482,463.958359,463.249976,465.878156,466.161253,465.087899,465.937007,468.449596,465.638574,467.900318,466.982008,466.085741,465.632216,466.292931,469.525646,466.155823,464.735724,468.273231,467.687164,465.479891,466.839626,467.188607,467.632319,467.423656,468.734348,469.35457,466.40367,463.794072,463.728861,464.49597,464.882246,462.930885,462.662385,462.237346,459.639619,456.288398,457.686514,463.106222,461.868494,459.595503,459.112901,459.859302,459.086686,459.646434,459.171446,457.051099,456.620845,457.396701,456.173916,455.173439,455.879113,456.305237,456.225225,453.40614,446.535561,447.353193,444.564983,445.30777,447.459748,444.663742,446.55019,447.411776,447.357704,447.259861,447.588818,447.755374,448.425261,448.197586,448.866378,450.78526,450.222889,450.598556,447.402907,447.719978,447.477587,446.924824,448.049121,451.058772,451.25943,451.359427,448.200405,445.61027,447.052441,445.524499,443.208295,443.570607,444.913135,445.911259,446.447522,446.688759,448.414364,444.5033,445.324594,445.322087,446.745858,446.043885,445.917795,444.165308,444.517151,443.670561,441.135553,441.144163,439.012001,437.231847,435.892608,434.725383,435.085587,436.449879,434.019431,433.534354,433.128319,433.251804,435.840222,435.958728,436.168968,432.702547,430.398574,430.221471,428.840833,431.099544,430.333357,431.549376,430.54995,428.904455,429.166038,428.214953,429.679229,429.572458,427.21431,423.614712,421.839407,422.018398,421.110206,422.95141,422.489623,422.252509,423.183305,423.478541,422.906308,422.298095,422.363829,425.072777,427.519026,424.296831,424.556175,423.084399,421.701029,416.754112,414.272782,412.250194,412.459687,413.429691,413.927565,413.640069,414.96015,412.565227,413.367271,412.298945,409.316357,411.530686,409.680183,410.127703,407.944741,409.471601,411.750979,410.939622,411.057411,409.344983,403.096426,404.831843,406.3518,409.383807,411.014994,410.942557,411.833291,413.23571,413.901742,414.997873,413.537025,414.268461,414.850162,413.387696,409.823344,411.2085,410.000094,411.892474,413.069758,417.828993,416.144563,417.554078,418.054807,417.35637,418.233708,418.43435,417.664531,418.869377,417.573907,416.202437,420.016852,422.532882,417.68662,413.353735,413.263485,411.183438,413.203297,410.349772,410.891355,415.583089,414.903951,423.696001,424.288985,423.815977,420.170004,417.350991,416.613462,417.767447,418.035616,418.418358,418.515579,419.284773,421.370705,419.971243,420.115316,421.495134,420.036363,420.18191,422.030363,421.021301,420.831887,418.802476,418.864868,416.789657,415.581684,413.170113,411.854856,412.953132,415.652967,416.08836,413.121229,412.780317,412.53607,412.010039,412.674564,412.43063,412.824265,410.833075,412.060181,411.218435,411.696165,409.303445,408.390721,404.878734,400.989551,396.922951,395.8416,397.506658,401.06924,399.289731,394.603224,386.14321,379.692037,388.265322,407.686254,402.222911,402.212507,400.998392,394.116447,392.139926,393.787541,392.805514,396.41132,401.3658,407.095758,409.663412,408.257182,405.913937,403.869275,402.486817,402.183176,402.574386,402.93181,401.813166,400.94872,397.231824,393.211893,393.953605,391.13193,394.670431,395.136457,396.418534,393.627194,397.178319,397.994013,399.880028,395.375607,395.656079,395.416017,396.231539,399.773718,404.165211,403.339675,404.947292,406.771455,406.681426,405.869294,406.918725,408.260372,409.051612,408.747901,404.491829,403.584717,403.848936,402.528321,397.121178,394.16717,393.830351,391.176812,393.714108,390.676985,396.168082,396.00934,398.255485,399.152354,394.529099,392.654918,391.507143,393.865938,396.965084,396.915912,397.213954,396.177169,390.253974,389.728152,392.159526,391.746886,384.943584,385.09563,384.071756,387.446758,387.330382,384.683229,381.93607,378.379489,371.66232,373.231656,372.880118,368.769366,370.473504,374.458198,369.740156,371.153278,370.823672,365.319712,357.072619,353.351589,358.078386,358.430592,360.807193,366.570194,371.989421,369.386137,369.307202,375.985688,375.016737,367.639334,367.052226,367.633072,364.838131,367.969616,358.449034,357.321876,364.612655,364.472326,371.237388,370.512019,373.979228,373.099157,374.750801,377.914666,386.276807,391.140119,391.159115,399.362433,402.192436,404.584728,401.309819,402.274493,401.688726,396.6452,394.047661,392.845057,397.93315,400.467277,395.154561,391.629516,392.947389,399.3502,399.757724,401.138336,405.185669,407.182585,403.92769,407.956288,411.150549,407.197126,409.045407,408.966566,408.596685,409.082481,410.398005,409.607297,406.977379,403.667515,401.283221,398.779334,403.115137,407.540371,407.242821,407.955318,411.157489,413.092691,413.954109,414.377982,413.403483,411.249061,411.345456,413.644232,409.858462,411.994184,412.3916,408.140623,404.597912,405.862191,406.513829,407.213648,405.492313,399.818737,401.802199,405.214477,404.805484,402.071166,399.982269,396.229777,395.123114,387.705958,383.231712,381.651191,374.057932,376.395206,384.300331,382.542643,384.850515,386.511885,392.994387,394.042559,398.766992,398.745752,393.688211,390.736747,391.957434,391.689528,392.543975,391.422808,384.49402,391.029038,389.220481,386.167318,396.733306,399.560802,397.584358,388.963956,381.909474,382.360981,397.644817,408.567434,415.312101,419.632733,421.001739,420.293276,419.801648,419.873949,422.213509,426.354405,422.029282,423.185773,425.708753,424.915291,425.315015,426.781417,425.155831,425.638749,422.253757,419.378528,422.80223,427.182817,428.371213,431.22162,431.962996,431.955337,432.191697,429.012626,429.425306,427.187698,423.367317,417.123821,414.108701,419.238935,420.843423,426.011363,426.015377,423.509388,423.348884,432.752087,434.250168,435.406855,437.526973,437.401262,432.181064,433.572893,429.155318,429.310959,428.111369,431.379213,433.278868,432.731459,426.951633,427.349832,429.377862,432.924753,436.439978,434.986198,434.232035,434.514758,437.386699,438.315679,435.926522,441.322203,442.701314,441.350285,441.516905,442.614743,442.362149,441.220142,438.193248,436.86799,438.098909,439.275938,433.256898,434.744242,435.213194,439.032192,438.182572,436.296098,440.648396,442.630899,442.169614,441.565081,439.613912,438.118294,436.819753,435.817794,434.010937,438.286849,436.978782,436.113011,434.627578,435.931163,433.99654,432.469087,431.317251,431.353026,427.452515,424.555314,424.758438,428.107282,424.887588,425.10278,428.254489,431.832543,432.924607,431.908272,426.617672,426.854815,422.687655,423.058173,418.580179,420.909672,416.762683,417.179391,424.286034,424.861355,429.76872,429.226471,431.351281,433.210332,432.474304,432.88099,433.462857,432.81687,431.617742,431.165517,429.60154,429.212384,428.199486,427.786308,424.691339,419.946182,421.128661,418.86056,420.50244,422.184984,419.41837,419.243375,414.10477,410.327879,414.410397,413.917519,417.73832,419.210323,418.254536,418.520372,414.655979,411.824994,409.619505,406.951292,407.403743,410.394327,409.873942,411.687899,413.842395,406.05761,404.051019,408.010446,415.917703,417.120335,419.524013,422.048921,421.271981,420.512473,420.081784,420.149674,418.196313,415.436575,407.265317,403.187398,403.60998,408.73772,414.334694,414.76587,420.220476,421.719297,424.752232,424.393556,425.026785,424.144744,422.836329,425.821425,428.009278,426.745541,426.242058,425.311095,422.096383,421.926435,422.638347,419.608615,420.318006,420.193023,420.076939,420.365847,420.055019,417.945374,418.222961,418.317439,416.887498,417.223678,419.450861,414.937186,414.188865,413.241659,408.70329,409.228097,407.379634,404.824427,405.44714,399.939917,396.992012,392.12993,393.23569,397.058294,397.661206,400.451273,407.024716,411.097374,408.983381,413.002322,411.427585,409.615768,412.260687,416.850208,417.858922,419.753509,418.78355,423.721712,421.980695,424.557978,428.198878,428.839446,427.489246,426.503734,425.335188,426.16948,428.164127,428.158174,428.143782,430.906509,432.373927,432.085394,432.859197,431.177412,431.549445,430.562726,432.25102,431.649681,430.684052,428.546878,429.79879,428.60244,428.373801,426.403474,423.410136,423.637228,422.043505,419.698802,420.060897,416.936144,415.904083,417.996751,419.394603,422.280404,420.908339,423.043056,429.287634,430.244823,431.071351,431.046208,432.900279,432.288778,431.41222,428.57947,429.496755,427.450258,431.232977,429.00807,430.116006,427.476298,427.306689,429.779102,428.97605,431.84387,433.789102,432.149722,431.258561,428.746303,427.982899,427.223241,427.194406,427.403988,429.000227,429.320164,429.802425,427.23394,425.208593,424.94719,425.121483,424.99382,426.302687,427.273955,427.037172,426.526663,424.140423,422.25468,422.040339,422.07142,421.534151,421.586351,420.008513,420.109108,418.410646,417.108853,415.409916,413.46528,415.435703,414.80311,414.381425,417.255783,417.528091,416.556347,413.641079,414.475443,413.682911,413.544466,414.789351,414.721096,414.70803,414.094018,413.118039,410.684455,410.279162,413.046569,412.599704,413.413211,411.396772,410.761981,409.378314,405.27215,405.279043,404.138685,408.291679,412.216653,409.532373,408.228937,411.864893,413.73613,414.455343,413.446261,411.021308,407.952643,405.619655,405.580948,405.453885,403.118635,404.359781,404.379638,405.629561,407.347062,404.405384,401.352372,403.907821,407.019541,408.967181,409.881795,411.411238,412.649118,410.620498,410.224169,405.05517,410.129422,408.452198,407.369541,408.341372,408.224457,406.400983,405.183866,405.337252,406.536809,404.177065,402.158761,401.27498,400.193124,395.904773,394.883056,390.361657,385.321627,384.836281,385.663911,391.921084,393.893891,393.073225,394.651405,393.131299,396.87229,404.536571,407.558566,406.81639,406.403952,406.950859,407.236883,405.310265,404.013714,405.82935,403.604206,404.874339,404.24895,402.862371,404.243705,404.549036,408.548765,407.432626,406.807305,404.885204,403.523028,402.8854,400.359213,398.644033,397.714748,393.010879,394.199912,391.890789,392.158863,395.143501,398.668773,399.429638,397.874137,394.69505,395.8651,398.051776,400.279848,402.047494,400.844614,400.057301,400.675374,400.492807,398.782864,398.339724,399.674566,401.113049,399.956867,397.481307,394.484526,394.318918,394.889188,393.984257,392.903161,397.396895,395.576798,397.004127,395.726995,397.109359,399.446555,399.734918,398.728192,397.925716,398.068593,396.800578,399.294168,396.772525,396.397306,393.519365,389.816515,387.081057,387.782222,386.61214,383.708805,377.591928,378.466347,381.205536,383.788896,382.639034,384.131639,384.616066,382.069953,385.093689,385.611454,385.147659,385.67722,386.429415,387.482,390.055969,386.580782,383.496476,383.308885,379.853551,379.831523,380.514489,379.038221,375.374529,371.626746,370.221091,369.514296,367.0975,363.976137,365.447123,364.737015,365.939732,371.085671,371.983554,369.181433,367.469775,370.218061,370.939089,373.137446,373.092321,377.571989,377.521357,376.483581,376.833099,376.821915,374.58721,376.870105,377.831735,378.533214,376.514422,372.489791,373.281763,372.967722,374.914163,375.283271,375.605491,376.019311,375.56215,373.848091,373.620198,371.997497,371.097852,371.154697,370.280647,369.814782,363.506446,362.314657,359.615175,358.249402,356.154588,357.948758,358.254014,355.811311,355.463811,352.400527,348.852987,346.201369,351.386441,352.31714,365.184687,367.270598,366.088585,363.048263,362.69814,361.701251,362.988935,365.918106,365.608437,362.427925,361.826014,367.328109,366.929688,367.1948,371.872581,371.542529,373.67883,372.536923,372.658605,377.88757,379.593928,379.10422,377.807774,376.737548,377.355604,376.280867,374.210264,374.242316,374.63896,376.4061,373.484778,370.959624,370.933569,367.918088,367.248813,369.422027,367.213847,364.654709,365.186087,362.913396,361.048987,357.443071,356.347134,353.879368,355.57789,359.899165,357.960567,364.259777,366.051594,363.558423,358.919308,357.10069,355.523927,356.589553,357.66849,360.007901,358.469544,359.982493,358.708477,359.377111,357.80108,358.74985,357.796537,359.65739,357.924153,359.071227,362.563295,361.85441,359.628435,360.750512,361.343159,360.097378,358.912161,358.415327,357.552821,353.811068,353.611182,354.430356,352.821099,349.71062,351.343377,353.688858,351.485333,356.081452,358.053679,355.316086,356.318015,356.766172,356.525028,354.719799,355.855002,353.920594,355.514845,354.972572,353.982624,357.759447,355.101601,355.94949,356.287159,354.273055,355.105852,353.180943,352.678407,352.91342,351.769523,351.018731,349.338755,350.278409,350.024505,350.08319,349.487699,346.821501,345.60548,346.882677,347.679318,346.618951,347.089083,339.749192,337.175856,339.021235,338.83272,339.228802,339.801231,342.587888,341.957733,341.449519,338.381623,336.357645,336.816151,337.791706,336.989678,334.997751,334.517766,334.04382,333.057424,332.326741,332.40644,332.641809,332.325403,329.411808,328.636335,329.30334,329.829285,324.663278,323.936564,323.778851,317.350403,317.660863,318.642426,321.963391,322.803964,323.252189,323.58722,326.830435,331.710298,329.703785,330.396444,331.8241,329.067024,328.588189,329.5003,328.425323,328.791969,333.840272,334.102369,338.220455,338.138296,335.56808,331.549942,330.117954,330.70872,329.732533,331.757417,334.665808,336.959302,335.564598,333.208813,333.496782,333.296316,331.577595,333.31482,330.601733,335.023164,336.135576,337.60764,336.47283,338.487817,337.422375,338.800873,340.032836,334.690381,331.719599,330.392148,329.067796,330.29521,326.32942,320.486318,321.131717,322.13655,320.425742,323.257113,323.644205,324.322347,324.358137,324.594484,324.965701,326.451284,325.378463,325.561208,325.182519,322.730984,323.008549,322.537333,323.279967,323.155875,322.418259,322.372257,320.465117,318.042755,312.261587,315.551139,316.023655,316.612538,315.45471,309.495958,303.283147,303.692074,305.843677,311.126177,314.943148,312.583109,310.477286,309.378103,309.3962,304.899494,308.168831,308.241103,309.478714,311.065725,314.32737,316.385295,313.335571,312.110836,302.927802,303.588287,300.833133,300.244036,304.630842,305.525949,311.192246,310.423772,306.669002,305.597418,302.343485,301.301396,301.417234,299.767362,300.415916,301.164854,299.145276,292.882055,291.149492,292.014205,297.984611,298.873404,303.900044,300.226396,300.867132,299.746815,303.440161,301.332211,298.17136,301.644978,304.697997,307.671482,310.203569,314.986506,315.970302,314.927342,317.686157,320.359134,321.71631,326.488015,328.279747,329.315131,328.67259,329.447328,328.131965,326.199955,323.148984,321.339119,325.770113,324.968935,326.340696,326.90051,322.44043,323.053835,326.472405,322.207235,320.600115,325.620414,328.274669,328.658151,334.961505,336.265707,333.297311,331.473857,333.495307,336.154894,335.930346,332.485665,331.561111,333.637028,334.680791,337.135996,336.181442,334.828839,332.951557,333.578216,328.716217,329.606419,328.976767,324.019292,322.993719,329.867078,331.900113,333.076804,331.927427,332.437042,330.8431,331.847698,330.127966,329.158089,330.400839,328.866549,326.57504,325.718633,325.098454,326.51869,323.960295,327.991429,327.28506,326.129329,325.009304,325.118687,321.87599,320.780178,316.654852,315.666524,317.679149,318.629534,316.385042,314.924067,316.240018,314.491024,313.755733,310.927346,308.241953,305.101303,306.521326,305.64337,306.370471,302.296006,301.958368,303.367399,305.035548,305.680652,299.510738,298.306013,296.135991,300.055108,299.89747,297.618685,295.422368,294.729926,287.903732,291.008519,289.901193,289.357338,294.393401,296.834157,301.281172,299.023826,304.534936,303.490141,305.264401,302.454467,301.680644,300.446747,289.722946,287.800609,279.129884,280.576339,286.957241,287.805939,294.671874,296.546789,300.484886,303.57476,304.63003,306.8152,300.230392,301.663737,309.873329,307.487418,307.037817,307.219539,303.47455,299.91229,310.434215,319.208886,317.794413,305.260319,304.02939,307.351906,302.264621,295.685404,298.499262,298.750064,298.134834,301.13656,297.120613,298.262963,294.060928,292.998761,285.677217,284.35756,277.098171,272.078237,273.005442,280.639409,286.89447,285.147104,289.171478,280.649833,277.842298,277.382061,290.407506,296.350908,295.08118,300.521055,298.534077,292.668625,290.841499,288.414537,291.98336,300.59439,301.287246,293.413339,302.186453,309.029056,310.617982,306.491347,304.954903,297.603382,295.627533,298.930487,296.833872,290.172899,290.418281,295.030224,307.851568,306.7802,308.393529,302.113745,298.952724,290.544371,297.724438,291.498353,307.12666,311.603811,324.853936,327.333506,334.335491,335.896061,337.664372,339.215821,344.724943,344.061369,345.98514,344.48046,339.866958,337.870196,333.27518,337.389015,336.863115,339.073023,335.502203,338.045665,345.183614,347.387833,344.818278,345.898633,345.04435,341.817036,337.460198,333.088923,329.487479,328.210319,329.151514,333.580301,333.948025,328.864171,328.867484,327.458536,330.592103,335.713291,331.468289,331.638378,336.493491,335.272343,337.792233,337.177266,339.734788,341.03905,343.622644,347.895734,343.500545,340.36334,338.258889,337.524043,336.629606,342.804558,344.818262,344.067156,340.890975,342.648001,344.419257,346.306092,348.422978,350.455623,347.468871,348.746449,347.831714,351.738448,354.916631,357.721546,356.902207,355.951968,353.00676,352.000961,349.976286,350.830428,348.006745,341.133775,339.283462,344.761445,344.454244,345.070062,343.660676,347.868573,348.719562,347.181859,348.045603,346.53809,346.911017,345.661215,343.640481,343.418565,340.035096,339.376175,340.543737,339.770575,336.564917,336.287751,335.091225,330.118606,328.17958,324.032661,326.489129,334.006021,336.726593,336.676509,343.262312,343.59175,342.957479,345.342376,345.702984,342.000173,342.608094,344.822572,342.189498,338.528716,339.515614,341.569355,347.831274,346.775326,344.93939,343.036164,343.218922,341.791281,341.016751,342.853169,344.631396,342.922537,341.247283,341.00123,341.720457,340.981125,335.58085,334.542803,339.391501,338.7915,336.88457,337.194684,335.048449,333.650259,337.419877,338.971144,337.415606,336.72144,335.193587,330.789229,329.039563,330.764256,331.577838,332.145664,333.224965,332.870272,330.63638,329.66201,329.839298,328.612024,327.996622,328.228989,328.233464,327.60267,324.522057,324.258579,324.604616,324.860922,326.988941,326.217084,323.938733,322.830159,321.740704,322.970692,321.784383,322.132369,319.658145,314.386193,308.381103,310.200096,312.332843,315.52211,312.747399,318.307746,319.115835,318.805186,313.773121,313.586653,319.242714,319.70106,323.020995,323.884755,326.012401,326.573407,327.393314,326.908372,319.603963,319.289739,316.778117,315.946653,315.635721,313.819267,316.723136,317.985144,316.088185,316.56719,315.690253,312.646508,317.464763,316.82936,317.642729,316.376604,312.467188,313.392425,312.993076,312.292005,312.215006,310.416515,304.899709,306.691635,305.163525,306.026172,305.712474,304.932646,305.153055,300.51518,302.158587,301.762579,302.238125,298.46501,298.493268,299.244038,298.907527,298.012914,293.759012,293.090373,291.10002,290.066696,291.717035,288.631642,286.712858,279.064262,279.804035,280.97139,278.158181,277.24271,278.830838,282.495394,282.68818,285.858886,288.700597,288.516498,285.353267,284.575995,284.96953,286.714497,294.737478,298.156244,296.635519,296.836002,296.711908,296.751324,296.694882,289.751058,290.605459,290.746911,291.098785,290.621411,287.716518,285.762791,280.570578,281.291964,280.019691,280.298507,285.807357,285.967227,284.892989,280.789003,280.778948,278.860648,275.519375,271.026057,267.023458,266.740377,268.247293,270.022917,278.77786,277.928563,278.747669,282.069216,284.444874,288.298723,286.164612,285.343824,284.825424,283.986844,279.873911,277.011286,275.421885,269.384539,268.136983,267.169129,272.309192,279.607199,276.351617,274.132515,276.921406,277.400718,269.565568,267.423882,272.292575,274.241091,271.844808,280.104929,284.871515,285.786401,288.307018,295.358594,296.413757,292.973126,295.218569,281.619762,288.214593,296.314307,300.134582,307.723275,307.347819,309.274809,305.799632,308.229917,314.639945,313.484628,311.869418,313.592452,314.03157,311.227296,313.102361,318.046003,317.470535,314.008488,315.050468,313.811053,310.8222,311.545855,312.465608,312.191879,310.659979,307.404434,307.491198,307.160305,305.137855,304.643995,304.407706,306.838088,305.022295,304.742367,306.205288,307.664238,305.14454,302.1957,303.775989,302.61929,302.232646,300.562344,300.691217,299.305786,295.457714,296.053061,294.008821,291.58202,289.497382,286.906575,289.358742,288.590245,291.229956,289.64154,291.026446,289.957152,287.472497,283.138669,283.395788,281.462699,281.25443,278.773581,279.551518,283.109893,291.379596,292.263374,288.525765,286.327287,288.541445,290.757899,291.831896,293.895354,294.285827,298.764912,303.321998,308.149812,306.334897,309.181047,307.714666,307.56602,309.593167,307.136113,305.865172,306.291346,305.893909,304.692121,299.435157,299.715092,301.203194,300.864392,299.64478,297.970307,295.996735,294.91349,292.460676,292.928465,298.187714,296.497407,298.229362,295.897412,295.271232,294.022903,294.826983,298.376013,299.289742,299.768755,300.326893,299.574473,293.666632,292.206923,299.507952,296.894285,298.360727,293.399846,294.927942,299.815123,299.318582,300.700272,296.097983,294.67119,297.343282,295.804909,295.865022,289.259421,288.155966,285.097346,281.703949,283.153899,282.588492,287.695968,283.306798,289.503155,292.142437,295.229509,297.22791,297.496262,298.210273,299.42494,295.774818,298.488619,297.433322,292.053151,292.871012,291.355143,290.603671,286.911477,286.496985,280.806183,278.232785,281.549809,287.232419,286.883345,287.000954,284.412052,286.096136,289.844687,291.217242,287.971212,290.201219,290.879475,289.746682,284.874018,284.152765,284.73396,283.463869,281.292607,279.591469,273.355703,270.387784,268.814316,270.960281,275.09561,277.457972,275.311077,275.800632,276.952289,276.427389,274.205893,269.981188,266.642475,265.495961,262.865306,270.776019,272.4712,269.086273,267.201901,269.99838,270.611005,269.823939,270.322954,271.709881,271.598192,266.14184,264.404466,260.5396,262.157196,262.949992,261.499097,260.815635,255.872123,255.910583,253.73986,249.855812,249.069449,246.921035,239.970703,236.886838,234.39387,235.777939,234.469849,236.86079,239.336593,241.437252,247.326949,244.904905,246.538728,244.867522,243.02748,241.255657,237.702184,238.385966,244.656735,242.982334,241.837196,244.13399,246.233786,252.805036,253.388276,251.231033,249.443769,247.81871,249.974415,250.609756,250.026488,254.286,253.293471,246.693769,242.890403,241.97108,242.78894,239.236552,238.209475,242.342148,240.654027,237.439073,233.197928,232.902212,233.023063,238.356972,238.871822,241.180249,236.391248,236.47276,233.441495,233.086195,225.959851,225.240834,223.018845,217.767341,220.407614,222.261179,217.864821,216.005738,215.680379,214.294686,221.869231,220.790397,217.906514,217.608653,218.437738,217.003823,210.359892,209.965709,213.765254,214.960695,214.326808,205.211117,202.036078,198.897042,207.212343,211.302237,208.126949,206.698797,207.976487,197.96662,201.086835,197.371067,195.002285,191.917373,189.506129,186.612039,183.215545,181.567482,172.703691,174.802975,175.458305,180.570216,176.095322,177.956297,187.167649,190.303651,190.300776,191.090299,189.019397,192.213321,196.815038,196.892017,198.248393,208.557069,208.265769,210.325315,210.932454,217.899229,216.234433,211.452434,210.311232,208.971189,205.326605,208.022741,212.402994,217.121385,211.122745,208.197214,204.167043,205.564768,207.38781,203.935837,214.38792,211.166391,213.775603,220.168178,223.205409,228.382112,232.220295,233.093074,235.814955,234.50388,233.978351,227.6834,226.682669,223.030235,221.090939,219.947859,220.107048,221.534792,225.270771,228.388499,230.177741,227.158819,221.023315,219.292434,221.494574,222.774502,219.268053,220.871368,208.955685,208.260627,211.819584,208.725509,205.509178,220.049573,215.932842,212.388992,208.700072,195.822686,190.472611,202.658755,212.006436,212.146946,217.147615,220.170953,215.153781,224.127705,232.889603,231.867482,228.418975,243.001212,248.640747,237.587347,236.111398,234.620993,226.340532,218.290377,204.101094,213.270959,223.549886,224.136145,239.817291,244.125871,234.569156,231.831061,236.582132,254.679538,247.504776,226.421575,238.136129,247.862441,257.95948,265.872458,283.267417,284.557262,295.175151,294.790289,290.102566,311.40359,314.383823,310.27272,311.496813,315.828156,320.314543,301.752042,296.104603,304.925982,308.449349,319.951922,314.863385,315.857036,316.36737,324.971111,317.506915,321.142406,329.952653,332.906532,337.612025,338.186172,334.286184,331.777102,332.746222,335.967419,333.784217,332.80446,330.281313,335.609222,337.77831,339.187468,337.562645,341.336345,344.474864,341.795716,341.227565,345.190033,342.805944,338.202786,341.975168,345.745524,347.481476,341.741358,340.400406,343.742795,345.2373,350.247428,347.948487,346.284427,344.064359,343.839991,338.226035,335.195238,340.172764,341.030178,344.02295,344.449323,344.847746,345.224431,346.804884,348.275629,352.563563,355.397974,354.293378,356.149773,362.006471,359.816965,360.88589,362.627722,367.660805,369.616853,372.475018,371.809106,369.606705,366.898534,368.518683,372.345506,377.914342,380.16454,385.197597,381.622324,383.317058,385.479393,387.748348,386.236825,384.829904,384.207583,385.802631,390.068541,390.145712,393.603197,397.075766,395.588403,392.629045,388.798621,387.671146,387.355277,384.247649,387.645952,387.048625,390.542002,388.641388,388.656347,384.907331,383.299953,383.108166,385.44428,384.448569,381.283013,382.314333,381.953439,383.952176,381.721215,377.970342,378.359744,370.084337,368.599748,371.453079,375.483837,374.558872,376.896116,379.803516,377.888908,376.211224,375.062185,371.147067,363.985082,363.888756,365.468272,366.196112,366.490269,358.237457,354.391787,354.225114,359.63792,348.536368,356.930688,361.835082,363.520093,360.782109,353.12231,358.594508,363.755999,367.088705,364.161292,366.459879,370.41087,378.025845,380.858653,377.749864,373.843986,368.279997,368.082916,366.603706,369.417326,365.55311,367.078785,366.076404,364.045142,358.09024899999997,358.532779,358.967525,361.240983,364.583118,375.956047,375.857189,369.934914,366.212284,368.631683,364.732851,364.596624,363.813215,353.138908,351.341846,365.256702,367.894837,372.815151,380.126286,389.069451,385.680523,389.097539,389.264865,388.393757,390.225409,392.25788,399.810801,400.469879,403.251031,404.652701,403.661314,405.294116,403.10634,400.307817,394.259595,393.281067,394.001411,392.881557,400.977828,405.953333,411.891087,411.447689,416.177036,413.893533,412.425294,408.858036,404.256453,406.596484,408.104941,405.443946,402.506438,395.106777,393.675965,396.16406,390.751902,398.537026,395.101519,401.495391,403.081938,408.757541,405.977217,399.909559,406.476238,411.805631,414.655408,419.514763,415.049281,418.68695,420.710403,427.634226,423.260268,425.461727,421.419643,415.140597,412.756736,414.139177,408.68451,412.586358,419.527539,418.979587,417.607285,421.998881,423.876723,424.30757,422.564561,421.515922,418.40097,420.193255,416.071731,416.266755,417.091424,415.895888,411.922735,411.337564,407.249783,405.309538,405.944291,405.980932,404.780822,404.474351,396.298819,390.214025,393.338061,393.646633,391.111006,390.125312,384.782307,387.259656,392.113862,390.163939,394.19487,391.493732,385.820019,384.563293,381.002886,387.564175,387.82374,384.825812,382.318316,377.251805,375.990707,372.660826,366.9884,373.767097,379.809074,385.347724,383.151474,389.71492,398.04518,391.186836,388.894922,386.863878,392.020785,389.873279,393.343983,392.352724,390.070951,396.663934,405.648542,407.752861,413.218277,411.977372,414.616581,411.713471,413.78604,414.288782,414.661339,412.162114,406.81117,406.400055,409.419224,407.96363,406.051523,405.790174,403.530644,399.786765,398.312613,396.067791,396.195767,397.695045,398.978139,401.844245,401.954562,403.821297,403.719309,403.248908,399.146606,395.32644,392.702069,395.713286,394.234091,394.411828,399.771345,403.982504,405.188101,403.989945,401.520069,399.120327,398.701109,397.217466,396.612795,400.589044,399.391716,398.891695,398.429484,396.252961,396.910612,395.664798,395.578306,395.47983,393.461509,397.710586,396.072612,398.399362,396.448751,394.434664,393.134553,390.675023,391.143711,392.758212,393.397084,393.825302,391.21658,391.946208,392.667858,389.078097,390.924105,390.656296,390.094596,385.614201,384.359413,383.293606,384.441319,382.265022,382.428429,381.370496,379.708518,376.175944,375.299506,375.550937,373.915206,376.014522,377.646807,377.989597,377.471236,374.176783,370.343126,367.818263,363.631744,364.030383,360.211928,363.805474,368.770733,367.384175,366.768332,363.229955,362.599406,357.307809,363.53778,366.302135,368.777039,372.259934,381.930409,381.292217,380.72976,380.166185,381.48697,380.68818,381.131133,379.739296,375.528417,372.909881,375.032732,375.746402,377.108833,376.038023,374.654857,375.328201,374.725463,371.202209,370.345109,368.415113,368.277339,370.487538,372.987352,370.504066,368.973931,369.528163,368.223762,368.761901,368.706969,367.756804,364.65708,362.124809,364.153391,364.223432,364.029787,367.762947,369.201916,367.783807,368.39829,368.166132,365.154628,364.722789,366.178796,367.153827,365.920228,366.388348,367.132931,366.963507,364.559158,363.789481,363.457434,363.678127,363.701287,363.817224,363.333936,361.777173,359.60074,360.042929,358.693713,354.464504,354.584156,358.029641,358.192218,355.683023,354.605242,355.539181,356.295061,355.941947,354.992102,353.270367,353.708852,352.934246,353.819266,354.500523,352.276005,349.101553,349.571837,350.172508,350.749546,349.99366,351.20746,352.440985,350.270573,348.689149,348.483101,347.470578,346.75316,345.679497,344.692308,346.508875,344.747334,343.591934,341.215071,341.809234,341.18334,340.837642,342.4189,339.947484,338.174771,338.872435,338.275888,338.9118,338.312602,335.98378,334.107789,333.534059,335.135651,335.089911,334.164274,334.813958,333.896657,334.157157,333.397236,332.19313,329.389468,331.430413,331.116923,334.371751,338.060538,336.42169,334.809047,334.886937,333.535461,332.662595,331.430064,332.185085,332.340328,333.846099,333.741461,334.032576,334.19359,333.421616,330.10704,326.438835,325.440317,326.287032,327.487817,326.632995,326.547582,329.208056,327.030841,327.829468,324.851561,327.036802,327.235044,323.929265,321.242269,321.194648,319.074768,315.394642,317.471563,316.353837,310.507637,311.636918,313.986553,317.836524,322.052078,324.833942,325.351981,325.045638,325.191183,323.691474,327.295137,325.107967,319.605808,313.235469,313.392497,314.756897,313.891969,314.47867,314.47287,312.059031,312.056849,314.265606,313.46621,306.994009,305.156556,311.954363,315.556836,313.50383,319.452246,321.806953,326.897537,330.932215,327.999855,325.738174,325.362838,328.6351,325.164757,322.08926,324.28641,322.495893,326.746031,327.611556,330.888625,336.523583,337.327203,340.591895,345.216119,348.011176,348.923168,347.995291,347.067222,343.30561,341.711976,343.409373,340.711282,340.189841,340.390657,339.399539,337.970976,338.335932,339.476735,337.928051,337.797908,335.301457,331.624704,330.226547,329.912339,330.884775,333.273546,333.150179,336.057067,335.375109,333.966886,332.103289,329.790669,331.47347,328.689136,327.863142,329.222652,329.484063,328.213541,329.788636,328.803584,330.859391,330.434354,329.381827,328.29768,326.842712,323.92384,321.569711,320.398633,319.618079,320.540255,323.569357,324.342075,325.11646,325.476301,323.744612,326.195634,324.704786,324.333562,323.459728,322.205238,321.90107,321.90028,320.026447,319.5116,317.740888,319.234406,319.764473,318.338406,318.927532,321.009673,320.254737,322.513744,325.042378,324.658133,324.133514,324.175714,321.604991,319.163091,318.462297,317.60699,316.545875,319.921112,316.876998,319.618009,322.371328,322.590978,323.384447,321.547729,322.837459,322.325676,319.19957,319.045753,315.464201,309.630121,311.672927,311.855123,311.057937,312.564877,312.24837,311.102903,310.250564,310.579448,311.432801,310.720426,312.221609,310.809604,309.730167,307.760783,306.896272,306.913709,307.891498,307.068104,306.960502,305.556303,302.432444,303.842212,304.132331,305.158521,305.156426,303.14818,302.770733,301.147848,299.728522,296.485806,296.436592,297.746574,298.350068,296.854808,295.785336,295.869188,296.481793,295.955137,297.309807,295.566374,292.794641,292.318924,289.400097,287.800248,289.75422,290.096575,289.175115,286.112892,285.876989,287.642637,287.190624,290.092569,290.047134,287.867301,290.293266,291.995996,291.758966,292.945231,292.857499,294.953194,298.873599,299.796888,300.60397,299.869497,297.819909,296.339492,297.193819,295.45301,295.878281,296.691831,298.189153,298.377492,299.215317,297.600361,297.838059,297.555848,299.496139,300.076488,297.666555,298.774874,298.308788,295.607821,295.155027,292.202123,288.960143,289.722058,289.844008,290.856507,290.831298,291.977963,293.279461,291.266067,290.690406,292.749965,293.370084,295.538063,295.719414,296.656661,294.704809,292.874528,291.368368,290.888596,293.35444,294.836135,293.888493,291.595116,290.570387,290.937735,289.213093,287.860804,288.215591,288.998384,288.217104,287.466014,286.70684,286.02443,286.68299,287.219248,286.160913,286.633068,285.164639,282.21855,279.523228,280.716956,281.109581,280.300127,280.437913,281.585603,281.651586,280.06283,280.727926,282.506701,284.37291,284.024812,283.846905,284.720387,282.379138,281.231443,280.345512,279.678481,279.851205,279.972406,280.670276,280.532819,279.863672,279.668363,280.48561,279.899328,278.073808,279.749916,279.025735,278.078338,278.976573,278.837158,277.336567,278.170364,276.557566,274.038634,273.124778,272.639027,274.167154,276.196233,276.565843,278.426918,278.131892,278.013453,277.824301,274.686172,274.235529,273.702214,271.682449,273.872081,274.633764,276.3467,275.290382,275.224964,272.571205,274.383891,272.019064,273.853901,277.193973,280.254712,281.292218,281.673026,281.268477,282.632041,280.988417,280.110823,278.545247,280.012073,280.511691,279.621674,277.669092,279.139138,279.366456,279.647821,282.183605,283.32886,285.084762,285.468956,285.820931,287.2133,288.124836,288.516996,288.832869,289.501161,291.203608,291.058341,291.025892,287.790454,287.551981,288.197,287.494051,287.403132,284.586192,283.334615,283.857106,285.148833,284.700364,285.148522,285.771618,284.872455,283.446601,281.715155,280.115493,281.187673,281.746263,282.098184,279.487606,280.713495,279.583273,278.299376,276.053888,277.049773,277.026862,274.744363,274.66535,274.580149,275.18646,277.732509,278.857711,277.617321,277.007579,278.569549,277.45181,278.098965,277.096214,277.579353,277.808396,279.537312,282.721684,284.520521,284.575769,283.546562,283.93275,282.775498,281.97113,280.947866,279.689221,278.71032,277.006974,278.58382,279.534867,277.628991,276.712993,273.961134,274.375724,274.75612,276.026433,277.825018,278.16555,277.433368,276.984688,274.170483,275.288996,275.271811,273.859303,272.555737,272.129288,272.426065,273.843488,274.094912,271.849568,273.094305,272.585354,269.993832,268.231035,268.350764,268.799907,269.076464,267.481278,264.771153,261.94338,261.095849,260.379094,260.319177,259.235978,256.386857,254.200288,254.933928,255.994828,255.097957,255.558759,255.740231,255.209557,254.188384,255.343226,256.667299,258.677804,258.595697,258.766851,260.360504,259.367966,259.024045,258.004788,254.373356,253.615809,252.590041,251.405493,252.834011,253.011634,253.739298,256.309982,254.289149,255.146621,254.252036,253.398917,255.855071,255.232567,254.389728,252.607786,252.886716,253.223526,251.106158,252.399128,250.693414,249.506809,248.873389,250.148469,249.363076,248.615586,247.286357,247.746609,247.852495,247.19506,246.456168,244.778742,244.141032,242.027636,241.627024,243.296543,244.759942,242.379213,243.049488,245.324735,247.346625,248.581443,248.983995,248.450893,247.722215,246.262815,245.949626,245.075757,246.046938,248.635434,249.339036,251.454783,251.117515,251.414681,251.056387,252.613606,253.25636,253.6582,253.402941,252.635275,253.647228,252.813064,255.043546,255.519173,256.894805,256.438795,257.051152,256.205736,257.272428,255.87609,254.355481,254.78961,255.143289,254.374382,254.09556,253.160322,251.712684,255.160549,254.327346,256.99105,256.756465,252.225409,250.876751,252.770043,252.057665,252.174303,252.622977,249.924634,248.641459,246.279006,245.889229,243.972251,245.385611,242.58698,240.813236,243.451959,244.208546,244.968069,244.014309,242.331885,248.295356,252.249428,255.273487,254.218405,252.312465,250.931966,252.82558,254.428601,258.303987,258.269736,258.378381,257.773683,255.659049,256.407388,258.27988,258.231585,256.418886,256.910125,259.003245,261.627314,261.056761,261.370202,261.523112,261.785964,260.835332,259.667826,257.43039,256.549338,255.703799,252.595004,252.482952,249.301416,249.965273,250.395228,253.780298,255.314228,254.897238,252.483452,250.25833,253.050483,251.994747,256.325976,260.301048,261.32479,262.910912,260.987254,259.797497,261.214796,262.581432,259.511149,258.775012,259.074864,259.097174,259.805633,259.934773,261.976844,262.804741,263.630943,260.882073,261.671139,261.125177,259.542951,258.64399,258.02064,254.887279,254.250924,256.466191,255.958771,255.195006,255.613441,257.59344,259.571387,260.505327,259.960104,260.367277,260.085868,258.391336,256.943024,256.259866,257.089477,255.999733,256.780794,256.516486,256.969014,255.21786,255.764193,255.234802,251.73768,251.131118,250.163807,249.08217,246.722284,246.324286,246.09261,245.298126,244.314751,243.950513,241.727893,241.607732,241.436709,241.200502,239.798636,238.277492,239.325663,239.956545,239.317786,240.381712,240.046359,239.748447,239.463419,236.42411,236.009554,234.407511,233.683327,231.540994,231.044017,231.888365,231.841059,232.156837,235.146923,235.772053,234.604087,232.235509,233.389432,234.493569,233.771048,233.772621,234.496971,234.35594,233.23615,233.691457,233.485952,232.675556,230.085751,229.180654,229.405296,231.110489,233.80352,233.376523,232.490981,234.305905,233.327299,233.594187,233.00404,231.71568,231.038894,229.415322,230.325331,229.168958,228.479391,225.872777,224.593964,220.151284,221.815657,220.715561,222.342397,224.006759,226.24582,225.528884,227.883874,228.294579,225.812388,225.444635,222.99271,223.401768,222.559231,222.237352,224.530776,225.443739,223.39454,223.710924,223.323373,221.78698,219.098102,218.052471,217.065738,216.586817,216.946138,217.274915,218.816851,218.384536,218.232792,217.885066,216.429089,216.287871,214.579926,214.790093,213.292666,212.206968,211.54662,210.192357,210.968917,212.851345,212.852267,214.455124,214.189113,215.378208,216.505317,215.980167,213.909543,213.365442,212.54006999999999,211.168552,212.83463,211.290783,214.080878,215.531099,216.713665,214.703093,213.662029,216.002456,216.93447,216.746209,213.763223,213.840311,210.961618,210.07926,210.822132,211.63862,211.327056,211.572767,212.333785,215.523312,215.321361,218.08992,218.581046,217.508857,213.810527,215.366197,214.801436,211.853085,210.962781,212.700841,212.294607,210.885382,208.507183,208.457677,206.535303,205.335266,204.852203,204.079215,201.528969,200.775692,198.877602,198.841207,198.886518,203.122109,202.891195,201.726029,201.868125,202.197834,200.126052,197.806903,199.950203,200.839785,198.375964,197.919391,196.137361,195.752801,194.530155,194.023,191.139,193.768,195.147,193.542,190.567,190.96,188.648,190.039,188.094,185.535,186.12,185.854,187.527,188.504,186.496,185.656,185.994,182.09,180.201,183.645,184.492,185.335,185.708,184.122,189.072,185.557,184.989,183.617,182.818,178.365,176.429,171.386,172.63,173.856,177.795,178.095,179.695,179.035,181.468,181.416,180.02,178.779,180.253,181.651,184.022,182.514,183.44,185.078,181.684,178.95,179.137,180.944,180.926,180.857,182.537,184.552,184.377,186.706,185.033,183.854,185.578,184.776,183.541,187.549,191.101,189.685,191.807,194.881,197.327,197.925,200.094,198.693,198.537,197.983,195.047,197.931,199.691,196.018,195.275,190.797,190.149,189.017,192.041,192.114,192.399,191.98,189.997,190.842,193.854,194.829,191.218,193.048,193.686,193.182,191.512,195.195,194.296,196.433,197.553,200.263,200.604,199.82,195.65,199.261,199.344,199.46,195.005,193.285,194.042,194.861,193.196,190.005,190.827,189.361,192.706,194.256,197.195,196.82,195.071,192.074,190.489,189.925,187.592,190.857,190.621,188.683,189.223,189.747,191.738,189.851,189.251,185.497,188.692,180.333,179.943,173.467,169.476,172.439,171.851,175.263,178.622,180.494,181.738,177.625,180.959,184.015,179.784,177.008,179.899,183.249,183.641,187.198,189.405,191.596,192.183,193.351,197.729,196.686,194.85,194.386,191.596,193.487,192.151,199.846,199.729,200.866,205.414,205.748,204.976,208.426,205.961,203.539,205.962,202.622,202.218,199.513,195.787,197.698,199.428,197.551,192.066,189.339,186.103,191.653,194.063,199.729,198.942,197.519,189.312,188.701,187.337,183.046,187.739,194.767,201.6,203.328,200.961,203.044,205.871,206.171,207.93,214.347,217.079,217.773,210.171,211.181,215.682,218.252,215.33,212.633,213.818,214.908,215.377,217.593,219.906,223.237,222.819,218.186,220.364,222.674,223.166,224.983,224.626,226.066,228.464,228.471,229.634,232.824,232.829,233.66,234.703,236.028,237.206,236.337,235.666,237.435,239.482,237.474,236.41,235.592,232.888,230.351,232.873,234.93,228.753,230.477,233.211,234.107,234.718,233.131,231.563,233.153,235.437,235.746,236.711,237.768,240.036,240.109,240.313,239.532,234.869,234.941,234.274,238.479,236.132,237.197,238.376,238.92,239.254,240.364,241.466,241.613,240.315,239.52,238.88,241.758,242.63,242.921,245.886,244.581,244.845,242.504,241.775,243.514,245.347,244.861,244.045,242.787,240.13,241.283,235.455,231.208,231.439,230.128,229.953,227.246,226.396,227.248,226.464,231.082,233.058,232.256,230.593,230.786,227.831,225.579,225.153,226.537,228.346,232.097,233.258,230.258,230.228,235.202,234.591,235.432,234.295,232.893,234.778,235.984,234.104,237.612,236.792,238.823,240.036,240.796,241.734,243.607,245.1,243.568,240.963,240.033,240.98,239.92,237.099,236.602,237.1,236.554,238.026,238.005,237.065,234.356,234.482,238.305,237.751,238.328,242.357,244.391,243.898,238.404,235.694,238.0,236.767,235.603,239.167,240.756,239.167,237.403,238.668,240.38,238.119,237.669,236.823,236.071,232.844,234.785,235.285,233.586,233.868,231.59,228.591,228.184,224.482,224.425,228.239,232.195,230.652,229.934,229.362,228.117,225.739,226.593,229.459,230.022,228.274,229.945,230.217,227.267,223.648,224.919,226.016,225.721,223.533,221.261,219.0,219.961,215.388,213.594,213.717,211.383,204.006,209.457,216.139,218.198,219.041,230.967,231.826,235.077,239.578,241.409,242.414,242.011,246.294,248.228,251.324,251.769,248.142,249.328,247.773,248.272,248.106,251.542,252.31,252.37,251.21,250.973,250.097,251.409,254.765,254.301,256.375,257.77,255.973,254.542,252.355,251.953,250.679,249.063,247.377,249.798,252.972,253.78,251.901,252.388,252.316,253.924,253.017,249.087,250.275,251.789,250.667,255.619,260.081,261.275,258.844,257.811,256.484,257.413,258.906,259.428,260.081,257.996,257.47,257.178,259.147,260.729,263.403,264.056,265.658,268.531,270.035,269.021,271.103,268.862,267.679,267.374,267.282,271.01,272.708,275.148,275.044,277.876,278.288,275.382,275.239,273.324,269.381,267.989,269.887,271.987,270.895,272.503,274.136,274.027,271.503,274.78,274.474,271.089,270.865,268.664,266.674,264.079,265.899,269.021,270.255,266.369,258.542,257.74,259.261,256.205,255.98,251.952,250.915,252.948,245.693,244.31,250.473,253.117,251.771,254.319,259.083,254.08,248.415,242.675,248.623,251.48,253.155,251.274,256.944,254.912,260.614,261.256,270.923,275.43,275.18,274.482,271.293,270.023,271.74,271.968,274.542,274.826,271.233,273.155,274.331,278.256,282.429,286.178,284.926,286.646,288.636,285.609,288.595,291.036,293.76,294.257,293.95,298.33,297.271,296.868,295.103,294.123,294.635,295.189,295.618,293.644,293.599,294.285,290.846,289.089,288.871,289.013,286.549,286.175,287.493,288.542,292.035,291.595,285.721,290.113,290.268,289.473,286.68,284.725,280.417,280.336,287.282,289.48,288.218,293.356,296.163,298.03,299.432,296.187,292.619,293.963,296.394,288.724,287.498,285.682,289.477,289.454,291.949,288.862,285.223,290.838,290.787,296.083,297.215,300.953,299.669,294.148,298.497,303.621,306.006,309.332,309.463,308.47,307.817,306.496,304.895,300.081,298.441,294.827,295.507,300.96,298.699,298.238,296.045,289.687,292.461,296.729,297.063,292.335,297.332,302.723,304.411,307.629,311.272,310.834,310.569,311.544,311.309,312.923,309.554,310.046,311.958,311.92,310.881,312.29,313.91,312.121,316.881,319.374,319.292,319.415,321.528,323.68,326.4,326.309,330.019,333.222,329.761,328.631,330.677,331.719,330.706,329.662,328.74,328.082,327.951,327.955,328.977,328.217,327.946,327.533,324.806,323.914,324.428,324.264,324.476,322.52,319.916,321.047,321.559,320.16,318.252,324.073,326.555,328.841,327.875,330.085,333.185,330.966,333.025,337.003,336.662,334.65,335.627,334.57,334.702,334.228,330.649,330.165,332.903,330.209,327.447,329.83,328.211,327.728,327.225,329.425,333.112,333.963,333.49,330.766,331.872,333.212,332.459,330.284,330.963,332.05,333.573,333.161,332.918,333.159,324.905,319.776,320.405,311.744,311.487,311.233,310.081,311.933,315.089,321.205,322.585,328.284,324.018,322.206,318.338,315.999,320.48,323.385,325.27,322.697,323.383,330.526,330.827,328.684,328.429,330.703,331.774,326.833,326.98,325.523,326.541,319.945,319.985,332.862,337.377,341.228,344.151,344.685,341.669,339.212,341.576,343.195,344.498,341.792,347.678,348.215,349.044,348.671,345.856,342.201,342.213,337.615,337.1,335.455,325.304,324.121,326.734,331.885,332.373,327.455,327.816,332.276,334.146,331.141,328.222,323.592,321.238,321.917,323.443,324.339,321.588,322.71,328.229,326.585,327.351,328.822,330.289,333.697,333.98,336.305,332.284,333.416,332.722,327.247,325.394,322.834],"892400^JULIAN(FG_PRICE(2/27/2026,1/31/2000,,USD).DATES)":[46080,46079,46078,46077,46076,46073,46072,46071,46070,46066,46065,46064,46063,46062,46059,46058,46057,46056,46055,46052,46051,46050,46049,46048,46045,46044,46043,46042,46038,46037,46036,46035,46034,46031,46030,46029,46028,46027,46024,46022,46021,46020,46017,46015,46014,46013,46010,46009,46008,46007,46006,46003,46002,46001,46000,45999,45996,45995,45994,45993,45992,45989,45987,45986,45985,45982,45981,45980,45979,45978,45975,45974,45973,45972,45971,45968,45967,45966,45965,45964,45961,45960,45959,45958,45957,45954,45953,45952,45951,45950,45947,45946,45945,45944,45943,45940,45939,45938,45937,45936,45933,45932,45931,45930,45929,45926,45925,45924,45923,45922,45919,45918,45917,45916,45915,45912,45911,45910,45909,45908,45905,45904,45903,45902,45898,45897,45896,45895,45894,45891,45890,45889,45888,45887,45884,45883,45882,45881,45880,45877,45876,45875,45874,45873,45870,45869,45868,45867,45866,45863,45862,45861,45860,45859,45856,45855,45854,45853,45852,45849,45848,45847,45846,45845,45841,45840,45839,45838,45835,45834,45833,45832,45831,45828,45826,45825,45824,45821,45820,45819,45818,45817,45814,45813,45812,45811,45810,45807,45806,45805,45804,45800,45799,45798,45797,45796,45793,45792,45791,45790,45789,45786,45785,45784,45783,45782,45779,45778,45777,45776,45775,45772,45771,45770,45769,45768,45764,45763,45762,45761,45758,45757,45756,45755,45754,45751,45750,45749,45748,45747,45744,45743,45742,45741,45740,45737,45736,45735,45734,45733,45730,45729,45728,45727,45726,45723,45722,45721,45720,45719,45716,45715,45714,45713,45712,45709,45708,45707,45706,45702,45701,45700,45699,45698,45695,45694,45693,45692,45691,45688,45687,45686,45685,45684,45681,45680,45679,45678,45674,45673,45672,45671,45670,45667,45665,45664,45663,45660,45659,45657,45656,45653,45652,45650,45649,45646,45645,45644,45643,45642,45639,45638,45637,45636,45635,45632,45631,45630,45629,45628,45625,45623,45622,45621,45618,45617,45616,45615,45614,45611,45610,45609,45608,45607,45604,45603,45602,45601,45600,45597,45596,45595,45594,45593,45590,45589,45588,45587,45586,45583,45582,45581,45580,45579,45576,45575,45574,45573,45572,45569,45568,45567,45566,45565,45562,45561,45560,45559,45558,45555,45554,45553,45552,45551,45548,45547,45546,45545,45544,45541,45540,45539,45538,45534,45533,45532,45531,45530,45527,45526,45525,45524,45523,45520,45519,45518,45517,45516,45513,45512,45511,45510,45509,45506,45505,45504,45503,45502,45499,45498,45497,45496,45495,45492,45491,45490,45489,45488,45485,45484,45483,45482,45481,45478,45476,45475,45474,45471,45470,45469,45468,45467,45464,45463,45461,45460,45457,45456,45455,45454,45453,45450,45449,45448,45447,45446,45443,45442,45441,45440,45436,45435,45434,45433,45432,45429,45428,45427,45426,45425,45422,45421,45420,45419,45418,45415,45414,45413,45412,45411,45408,45407,45406,45405,45404,45401,45400,45399,45398,45397,45394,45393,45392,45391,45390,45387,45386,45385,45384,45383,45379,45378,45377,45376,45373,45372,45371,45370,45369,45366,45365,45364,45363,45362,45359,45358,45357,45356,45355,45352,45351,45350,45349,45348,45345,45344,45343,45342,45338,45337,45336,45335,45334,45331,45330,45329,45328,45327,45324,45323,45322,45321,45320,45317,45316,45315,45314,45313,45310,45309,45308,45307,45303,45302,45301,45300,45299,45296,45295,45294,45293,45289,45288,45287,45286,45282,45281,45280,45279,45278,45275,45274,45273,45272,45271,45268,45267,45266,45265,45264,45261,45260,45259,45258,45257,45254,45252,45251,45250,45247,45246,45245,45244,45243,45240,45239,45238,45237,45236,45233,45232,45231,45230,45229,45226,45225,45224,45223,45222,45219,45218,45217,45216,45215,45212,45211,45210,45209,45208,45205,45204,45203,45202,45201,45198,45197,45196,45195,45194,45191,45190,45189,45188,45187,45184,45183,45182,45181,45180,45177,45176,45175,45174,45170,45169,45168,45167,45166,45163,45162,45161,45160,45159,45156,45155,45154,45153,45152,45149,45148,45147,45146,45145,45142,45141,45140,45139,45138,45135,45134,45133,45132,45131,45128,45127,45126,45125,45124,45121,45120,45119,45118,45117,45114,45113,45112,45110,45107,45106,45105,45104,45103,45100,45099,45098,45097,45093,45092,45091,45090,45089,45086,45085,45084,45083,45082,45079,45078,45077,45076,45072,45071,45070,45069,45068,45065,45064,45063,45062,45061,45058,45057,45056,45055,45054,45051,45050,45049,45048,45047,45044,45043,45042,45041,45040,45037,45036,45035,45034,45033,45030,45029,45028,45027,45026,45022,45021,45020,45019,45016,45015,45014,45013,45012,45009,45008,45007,45006,45005,45002,45001,45000,44999,44998,44995,44994,44993,44992,44991,44988,44987,44986,44985,44984,44981,44980,44979,44978,44974,44973,44972,44971,44970,44967,44966,44965,44964,44963,44960,44959,44958,44957,44956,44953,44952,44951,44950,44949,44946,44945,44944,44943,44939,44938,44937,44936,44935,44932,44931,44930,44929,44925,44924,44923,44922,44918,44917,44916,44915,44914,44911,44910,44909,44908,44907,44904,44903,44902,44901,44900,44897,44896,44895,44894,44893,44890,44888,44887,44886,44883,44882,44881,44880,44879,44876,44875,44874,44873,44872,44869,44868,44867,44866,44865,44862,44861,44860,44859,44858,44855,44854,44853,44852,44851,44848,44847,44846,44845,44844,44841,44840,44839,44838,44837,44834,44833,44832,44831,44830,44827,44826,44825,44824,44823,44820,44819,44818,44817,44816,44813,44812,44811,44810,44806,44805,44804,44803,44802,44799,44798,44797,44796,44795,44792,44791,44790,44789,44788,44785,44784,44783,44782,44781,44778,44777,44776,44775,44774,44771,44770,44769,44768,44767,44764,44763,44762,44761,44760,44757,44756,44755,44754,44753,44750,44749,44748,44747,44743,44742,44741,44740,44739,44736,44735,44734,44733,44729,44728,44727,44726,44725,44722,44721,44720,44719,44718,44715,44714,44713,44712,44708,44707,44706,44705,44704,44701,44700,44699,44698,44697,44694,44693,44692,44691,44690,44687,44686,44685,44684,44683,44680,44679,44678,44677,44676,44673,44672,44671,44670,44669,44665,44664,44663,44662,44659,44658,44657,44656,44655,44652,44651,44650,44649,44648,44645,44644,44643,44642,44641,44638,44637,44636,44635,44634,44631,44630,44629,44628,44627,44624,44623,44622,44621,44620,44617,44616,44615,44614,44610,44609,44608,44607,44606,44603,44602,44601,44600,44599,44596,44595,44594,44593,44592,44589,44588,44587,44586,44585,44582,44581,44580,44579,44575,44574,44573,44572,44571,44568,44567,44566,44565,44564,44561,44560,44559,44558,44557,44553,44552,44551,44550,44547,44546,44545,44544,44543,44540,44539,44538,44537,44536,44533,44532,44531,44530,44529,44526,44524,44523,44522,44519,44518,44517,44516,44515,44512,44511,44510,44509,44508,44505,44504,44503,44502,44501,44498,44497,44496,44495,44494,44491,44490,44489,44488,44487,44484,44483,44482,44481,44480,44477,44476,44475,44474,44473,44470,44469,44468,44467,44466,44463,44462,44461,44460,44459,44456,44455,44454,44453,44452,44449,44448,44447,44446,44442,44441,44440,44439,44438,44435,44434,44433,44432,44431,44428,44427,44426,44425,44424,44421,44420,44419,44418,44417,44414,44413,44412,44411,44410,44407,44406,44405,44404,44403,44400,44399,44398,44397,44396,44393,44392,44391,44390,44389,44386,44385,44384,44383,44379,44378,44377,44376,44375,44372,44371,44370,44369,44368,44365,44364,44363,44362,44361,44358,44357,44356,44355,44354,44351,44350,44349,44348,44344,44343,44342,44341,44340,44337,44336,44335,44334,44333,44330,44329,44328,44327,44326,44323,44322,44321,44320,44319,44316,44315,44314,44313,44312,44309,44308,44307,44306,44305,44302,44301,44300,44299,44298,44295,44294,44293,44292,44291,44287,44286,44285,44284,44281,44280,44279,44278,44277,44274,44273,44272,44271,44270,44267,44266,44265,44264,44263,44260,44259,44258,44257,44256,44253,44252,44251,44250,44249,44246,44245,44244,44243,44239,44238,44237,44236,44235,44232,44231,44230,44229,44228,44225,44224,44223,44222,44221,44218,44217,44216,44215,44211,44210,44209,44208,44207,44204,44203,44202,44201,44200,44196,44195,44194,44193,44189,44188,44187,44186,44183,44182,44181,44180,44179,44176,44175,44174,44173,44172,44169,44168,44167,44166,44165,44162,44160,44159,44158,44155,44154,44153,44152,44151,44148,44147,44146,44145,44144,44141,44140,44139,44138,44137,44134,44133,44132,44131,44130,44127,44126,44125,44124,44123,44120,44119,44118,44117,44116,44113,44112,44111,44110,44109,44106,44105,44104,44103,44102,44099,44098,44097,44096,44095,44092,44091,44090,44089,44088,44085,44084,44083,44082,44078,44077,44076,44075,44074,44071,44070,44069,44068,44067,44064,44063,44062,44061,44060,44057,44056,44055,44054,44053,44050,44049,44048,44047,44046,44043,44042,44041,44040,44039,44036,44035,44034,44033,44032,44029,44028,44027,44026,44025,44022,44021,44020,44019,44018,44014,44013,44012,44011,44008,44007,44006,44005,44004,44001,44000,43999,43998,43997,43994,43993,43992,43991,43990,43987,43986,43985,43984,43983,43980,43979,43978,43977,43973,43972,43971,43970,43969,43966,43965,43964,43963,43962,43959,43958,43957,43956,43955,43952,43951,43950,43949,43948,43945,43944,43943,43942,43941,43938,43937,43936,43935,43934,43930,43929,43928,43927,43924,43923,43922,43921,43920,43917,43916,43915,43914,43913,43910,43909,43908,43907,43906,43903,43902,43901,43900,43899,43896,43895,43894,43893,43892,43889,43888,43887,43886,43885,43882,43881,43880,43879,43875,43874,43873,43872,43871,43868,43867,43866,43865,43864,43861,43860,43859,43858,43857,43854,43853,43852,43851,43847,43846,43845,43844,43843,43840,43839,43838,43837,43836,43833,43832,43830,43829,43826,43825,43823,43822,43819,43818,43817,43816,43815,43812,43811,43810,43809,43808,43805,43804,43803,43802,43801,43798,43796,43795,43794,43791,43790,43789,43788,43787,43784,43783,43782,43781,43780,43777,43776,43775,43774,43773,43770,43769,43768,43767,43766,43763,43762,43761,43760,43759,43756,43755,43754,43753,43752,43749,43748,43747,43746,43745,43742,43741,43740,43739,43738,43735,43734,43733,43732,43731,43728,43727,43726,43725,43724,43721,43720,43719,43718,43717,43714,43713,43712,43711,43707,43706,43705,43704,43703,43700,43699,43698,43697,43696,43693,43692,43691,43690,43689,43686,43685,43684,43683,43682,43679,43678,43677,43676,43675,43672,43671,43670,43669,43668,43665,43664,43663,43662,43661,43658,43657,43656,43655,43654,43651,43649,43648,43647,43644,43643,43642,43641,43640,43637,43636,43635,43634,43633,43630,43629,43628,43627,43626,43623,43622,43621,43620,43619,43616,43615,43614,43613,43609,43608,43607,43606,43605,43602,43601,43600,43599,43598,43595,43594,43593,43592,43591,43588,43587,43586,43585,43584,43581,43580,43579,43578,43577,43573,43572,43571,43570,43567,43566,43565,43564,43563,43560,43559,43558,43557,43556,43553,43552,43551,43550,43549,43546,43545,43544,43543,43542,43539,43538,43537,43536,43535,43532,43531,43530,43529,43528,43525,43524,43523,43522,43521,43518,43517,43516,43515,43511,43510,43509,43508,43507,43504,43503,43502,43501,43500,43497,43496,43495,43494,43493,43490,43489,43488,43487,43483,43482,43481,43480,43479,43476,43475,43474,43473,43472,43469,43468,43467,43465,43462,43461,43460,43458,43455,43454,43453,43452,43451,43448,43447,43446,43445,43444,43441,43440,43438,43437,43434,43433,43432,43431,43430,43427,43425,43424,43423,43420,43419,43418,43417,43416,43413,43412,43411,43410,43409,43406,43405,43404,43403,43402,43399,43398,43397,43396,43395,43392,43391,43390,43389,43388,43385,43384,43383,43382,43381,43378,43377,43376,43375,43374,43371,43370,43369,43368,43367,43364,43363,43362,43361,43360,43357,43356,43355,43354,43353,43350,43349,43348,43347,43343,43342,43341,43340,43339,43336,43335,43334,43333,43332,43329,43328,43327,43326,43325,43322,43321,43320,43319,43318,43315,43314,43313,43312,43311,43308,43307,43306,43305,43304,43301,43300,43299,43298,43297,43294,43293,43292,43291,43290,43287,43286,43284,43283,43280,43279,43278,43277,43276,43273,43272,43271,43270,43269,43266,43265,43264,43263,43262,43259,43258,43257,43256,43255,43252,43251,43250,43249,43245,43244,43243,43242,43241,43238,43237,43236,43235,43234,43231,43230,43229,43228,43227,43224,43223,43222,43221,43220,43217,43216,43215,43214,43213,43210,43209,43208,43207,43206,43203,43202,43201,43200,43199,43196,43195,43194,43193,43192,43188,43187,43186,43185,43182,43181,43180,43179,43178,43175,43174,43173,43172,43171,43168,43167,43166,43165,43164,43161,43160,43159,43158,43157,43154,43153,43152,43151,43147,43146,43145,43144,43143,43140,43139,43138,43137,43136,43133,43132,43131,43130,43129,43126,43125,43124,43123,43122,43119,43118,43117,43116,43112,43111,43110,43109,43108,43105,43104,43103,43102,43098,43097,43096,43095,43091,43090,43089,43088,43087,43084,43083,43082,43081,43080,43077,43076,43075,43074,43073,43070,43069,43068,43067,43066,43063,43061,43060,43059,43056,43055,43054,43053,43052,43049,43048,43047,43046,43045,43042,43041,43040,43039,43038,43035,43034,43033,43032,43031,43028,43027,43026,43025,43024,43021,43020,43019,43018,43017,43014,43013,43012,43011,43010,43007,43006,43005,43004,43003,43000,42999,42998,42997,42996,42993,42992,42991,42990,42989,42986,42985,42984,42983,42979,42978,42977,42976,42975,42972,42971,42970,42969,42968,42965,42964,42963,42962,42961,42958,42957,42956,42955,42954,42951,42950,42949,42948,42947,42944,42943,42942,42941,42940,42937,42936,42935,42934,42933,42930,42929,42928,42927,42926,42923,42922,42921,42919,42916,42915,42914,42913,42912,42909,42908,42907,42906,42905,42902,42901,42900,42899,42898,42895,42894,42893,42892,42891,42888,42887,42886,42885,42881,42880,42879,42878,42877,42874,42873,42872,42871,42870,42867,42866,42865,42864,42863,42860,42859,42858,42857,42856,42853,42852,42851,42850,42849,42846,42845,42844,42843,42842,42838,42837,42836,42835,42832,42831,42830,42829,42828,42825,42824,42823,42822,42821,42818,42817,42816,42815,42814,42811,42810,42809,42808,42807,42804,42803,42802,42801,42800,42797,42796,42795,42794,42793,42790,42789,42788,42787,42783,42782,42781,42780,42779,42776,42775,42774,42773,42772,42769,42768,42767,42766,42765,42762,42761,42760,42759,42758,42755,42754,42753,42752,42748,42747,42746,42745,42744,42741,42740,42739,42738,42734,42733,42732,42731,42727,42726,42725,42724,42723,42720,42719,42718,42717,42716,42713,42712,42711,42710,42709,42706,42705,42704,42703,42702,42699,42697,42696,42695,42692,42691,42690,42689,42688,42685,42684,42683,42682,42681,42678,42677,42676,42675,42674,42671,42670,42669,42668,42667,42664,42663,42662,42661,42660,42657,42656,42655,42654,42653,42650,42649,42648,42647,42646,42643,42642,42641,42640,42639,42636,42635,42634,42633,42632,42629,42628,42627,42626,42625,42622,42621,42620,42619,42615,42614,42613,42612,42611,42608,42607,42606,42605,42604,42601,42600,42599,42598,42597,42594,42593,42592,42591,42590,42587,42586,42585,42584,42583,42580,42579,42578,42577,42576,42573,42572,42571,42570,42569,42566,42565,42564,42563,42562,42559,42558,42557,42556,42552,42551,42550,42549,42548,42545,42544,42543,42542,42541,42538,42537,42536,42535,42534,42531,42530,42529,42528,42527,42524,42523,42522,42521,42517,42516,42515,42514,42513,42510,42509,42508,42507,42506,42503,42502,42501,42500,42499,42496,42495,42494,42493,42492,42489,42488,42487,42486,42485,42482,42481,42480,42479,42478,42475,42474,42473,42472,42471,42468,42467,42466,42465,42464,42461,42460,42459,42458,42457,42453,42452,42451,42450,42447,42446,42445,42444,42443,42440,42439,42438,42437,42436,42433,42432,42431,42430,42429,42426,42425,42424,42423,42422,42419,42418,42417,42416,42412,42411,42410,42409,42408,42405,42404,42403,42402,42401,42398,42397,42396,42395,42394,42391,42390,42389,42388,42384,42383,42382,42381,42380,42377,42376,42375,42374,42373,42369,42368,42367,42366,42362,42361,42360,42359,42356,42355,42354,42353,42352,42349,42348,42347,42346,42345,42342,42341,42340,42339,42338,42335,42333,42332,42331,42328,42327,42326,42325,42324,42321,42320,42319,42318,42317,42314,42313,42312,42311,42310,42307,42306,42305,42304,42303,42300,42299,42298,42297,42296,42293,42292,42291,42290,42289,42286,42285,42284,42283,42282,42279,42278,42277,42276,42275,42272,42271,42270,42269,42268,42265,42264,42263,42262,42261,42258,42257,42256,42255,42251,42250,42249,42248,42247,42244,42243,42242,42241,42240,42237,42236,42235,42234,42233,42230,42229,42228,42227,42226,42223,42222,42221,42220,42219,42216,42215,42214,42213,42212,42209,42208,42207,42206,42205,42202,42201,42200,42199,42198,42195,42194,42193,42192,42191,42187,42186,42185,42184,42181,42180,42179,42178,42177,42174,42173,42172,42171,42170,42167,42166,42165,42164,42163,42160,42159,42158,42157,42156,42153,42152,42151,42150,42146,42145,42144,42143,42142,42139,42138,42137,42136,42135,42132,42131,42130,42129,42128,42125,42124,42123,42122,42121,42118,42117,42116,42115,42114,42111,42110,42109,42108,42107,42104,42103,42102,42101,42100,42096,42095,42094,42093,42090,42089,42088,42087,42086,42083,42082,42081,42080,42079,42076,42075,42074,42073,42072,42069,42068,42067,42066,42065,42062,42061,42060,42059,42058,42055,42054,42053,42052,42048,42047,42046,42045,42044,42041,42040,42039,42038,42037,42034,42033,42032,42031,42030,42027,42026,42025,42024,42020,42019,42018,42017,42016,42013,42012,42011,42010,42009,42006,42004,42003,42002,41999,41997,41996,41995,41992,41991,41990,41989,41988,41985,41984,41983,41982,41981,41978,41977,41976,41975,41974,41971,41969,41968,41967,41964,41963,41962,41961,41960,41957,41956,41955,41954,41953,41950,41949,41948,41947,41946,41943,41942,41941,41940,41939,41936,41935,41934,41933,41932,41929,41928,41927,41926,41925,41922,41921,41920,41919,41918,41915,41914,41913,41912,41911,41908,41907,41906,41905,41904,41901,41900,41899,41898,41897,41894,41893,41892,41891,41890,41887,41886,41885,41884,41880,41879,41878,41877,41876,41873,41872,41871,41870,41869,41866,41865,41864,41863,41862,41859,41858,41857,41856,41855,41852,41851,41850,41849,41848,41845,41844,41843,41842,41841,41838,41837,41836,41835,41834,41831,41830,41829,41828,41827,41823,41822,41821,41820,41817,41816,41815,41814,41813,41810,41809,41808,41807,41806,41803,41802,41801,41800,41799,41796,41795,41794,41793,41792,41789,41788,41787,41786,41782,41781,41780,41779,41778,41775,41774,41773,41772,41771,41768,41767,41766,41765,41764,41761,41760,41759,41758,41757,41754,41753,41752,41751,41750,41746,41745,41744,41743,41740,41739,41738,41737,41736,41733,41732,41731,41730,41729,41726,41725,41724,41723,41722,41719,41718,41717,41716,41715,41712,41711,41710,41709,41708,41705,41704,41703,41702,41701,41698,41697,41696,41695,41694,41691,41690,41689,41688,41684,41683,41682,41681,41680,41677,41676,41675,41674,41673,41670,41669,41668,41667,41666,41663,41662,41661,41660,41656,41655,41654,41653,41652,41649,41648,41647,41646,41645,41642,41641,41639,41638,41635,41634,41632,41631,41628,41627,41626,41625,41624,41621,41620,41619,41618,41617,41614,41613,41612,41611,41610,41607,41605,41604,41603,41600,41599,41598,41597,41596,41593,41592,41591,41590,41589,41586,41585,41584,41583,41582,41579,41578,41577,41576,41575,41572,41571,41570,41569,41568,41565,41564,41563,41562,41561,41558,41557,41556,41555,41554,41551,41550,41549,41548,41547,41544,41543,41542,41541,41540,41537,41536,41535,41534,41533,41530,41529,41528,41527,41526,41523,41522,41521,41520,41516,41515,41514,41513,41512,41509,41508,41507,41506,41505,41502,41501,41500,41499,41498,41495,41494,41493,41492,41491,41488,41487,41486,41485,41484,41481,41480,41479,41478,41477,41474,41473,41472,41471,41470,41467,41466,41465,41464,41463,41460,41458,41457,41456,41453,41452,41451,41450,41449,41446,41445,41444,41443,41442,41439,41438,41437,41436,41435,41432,41431,41430,41429,41428,41425,41424,41423,41422,41418,41417,41416,41415,41414,41411,41410,41409,41408,41407,41404,41403,41402,41401,41400,41397,41396,41395,41394,41393,41390,41389,41388,41387,41386,41383,41382,41381,41380,41379,41376,41375,41374,41373,41372,41369,41368,41367,41366,41365,41361,41360,41359,41358,41355,41354,41353,41352,41351,41348,41347,41346,41345,41344,41341,41340,41339,41338,41337,41334,41333,41332,41331,41330,41327,41326,41325,41324,41320,41319,41318,41317,41316,41313,41312,41311,41310,41309,41306,41305,41304,41303,41302,41299,41298,41297,41296,41292,41291,41290,41289,41288,41285,41284,41283,41282,41281,41278,41277,41276,41274,41271,41270,41269,41267,41264,41263,41262,41261,41260,41257,41256,41255,41254,41253,41250,41249,41248,41247,41246,41243,41242,41241,41240,41239,41236,41234,41233,41232,41229,41228,41227,41226,41225,41222,41221,41220,41219,41218,41215,41214,41213,41208,41207,41206,41205,41204,41201,41200,41199,41198,41197,41194,41193,41192,41191,41190,41187,41186,41185,41184,41183,41180,41179,41178,41177,41176,41173,41172,41171,41170,41169,41166,41165,41164,41163,41162,41159,41158,41157,41156,41152,41151,41150,41149,41148,41145,41144,41143,41142,41141,41138,41137,41136,41135,41134,41131,41130,41129,41128,41127,41124,41123,41122,41121,41120,41117,41116,41115,41114,41113,41110,41109,41108,41107,41106,41103,41102,41101,41100,41099,41096,41095,41093,41092,41089,41088,41087,41086,41085,41082,41081,41080,41079,41078,41075,41074,41073,41072,41071,41068,41067,41066,41065,41064,41061,41060,41059,41058,41054,41053,41052,41051,41050,41047,41046,41045,41044,41043,41040,41039,41038,41037,41036,41033,41032,41031,41030,41029,41026,41025,41024,41023,41022,41019,41018,41017,41016,41015,41012,41011,41010,41009,41008,41004,41003,41002,41001,40998,40997,40996,40995,40994,40991,40990,40989,40988,40987,40984,40983,40982,40981,40980,40977,40976,40975,40974,40973,40970,40969,40968,40967,40966,40963,40962,40961,40960,40956,40955,40954,40953,40952,40949,40948,40947,40946,40945,40942,40941,40940,40939,40938,40935,40934,40933,40932,40931,40928,40927,40926,40925,40921,40920,40919,40918,40917,40914,40913,40912,40911,40907,40906,40905,40904,40900,40899,40898,40897,40896,40893,40892,40891,40890,40889,40886,40885,40884,40883,40882,40879,40878,40877,40876,40875,40872,40870,40869,40868,40865,40864,40863,40862,40861,40858,40857,40856,40855,40854,40851,40850,40849,40848,40847,40844,40843,40842,40841,40840,40837,40836,40835,40834,40833,40830,40829,40828,40827,40826,40823,40822,40821,40820,40819,40816,40815,40814,40813,40812,40809,40808,40807,40806,40805,40802,40801,40800,40799,40798,40795,40794,40793,40792,40788,40787,40786,40785,40784,40781,40780,40779,40778,40777,40774,40773,40772,40771,40770,40767,40766,40765,40764,40763,40760,40759,40758,40757,40756,40753,40752,40751,40750,40749,40746,40745,40744,40743,40742,40739,40738,40737,40736,40735,40732,40731,40730,40729,40725,40724,40723,40722,40721,40718,40717,40716,40715,40714,40711,40710,40709,40708,40707,40704,40703,40702,40701,40700,40697,40696,40695,40694,40690,40689,40688,40687,40686,40683,40682,40681,40680,40679,40676,40675,40674,40673,40672,40669,40668,40667,40666,40665,40662,40661,40660,40659,40658,40654,40653,40652,40651,40648,40647,40646,40645,40644,40641,40640,40639,40638,40637,40634,40633,40632,40631,40630,40627,40626,40625,40624,40623,40620,40619,40618,40617,40616,40613,40612,40611,40610,40609,40606,40605,40604,40603,40602,40599,40598,40597,40596,40592,40591,40590,40589,40588,40585,40584,40583,40582,40581,40578,40577,40576,40575,40574,40571,40570,40569,40568,40567,40564,40563,40562,40561,40557,40556,40555,40554,40553,40550,40549,40548,40547,40546,40543,40542,40541,40540,40539,40535,40534,40533,40532,40529,40528,40527,40526,40525,40522,40521,40520,40519,40518,40515,40514,40513,40512,40511,40508,40506,40505,40504,40501,40500,40499,40498,40497,40494,40493,40492,40491,40490,40487,40486,40485,40484,40483,40480,40479,40478,40477,40476,40473,40472,40471,40470,40469,40466,40465,40464,40463,40462,40459,40458,40457,40456,40455,40452,40451,40450,40449,40448,40445,40444,40443,40442,40441,40438,40437,40436,40435,40434,40431,40430,40429,40428,40424,40423,40422,40421,40420,40417,40416,40415,40414,40413,40410,40409,40408,40407,40406,40403,40402,40401,40400,40399,40396,40395,40394,40393,40392,40389,40388,40387,40386,40385,40382,40381,40380,40379,40378,40375,40374,40373,40372,40371,40368,40367,40366,40365,40361,40360,40359,40358,40357,40354,40353,40352,40351,40350,40347,40346,40345,40344,40343,40340,40339,40338,40337,40336,40333,40332,40331,40330,40326,40325,40324,40323,40322,40319,40318,40317,40316,40315,40312,40311,40310,40309,40308,40305,40304,40303,40302,40301,40298,40297,40296,40295,40294,40291,40290,40289,40288,40287,40284,40283,40282,40281,40280,40277,40276,40275,40274,40273,40269,40268,40267,40266,40263,40262,40261,40260,40259,40256,40255,40254,40253,40252,40249,40248,40247,40246,40245,40242,40241,40240,40239,40238,40235,40234,40233,40232,40231,40228,40227,40226,40225,40221,40220,40219,40218,40217,40214,40213,40212,40211,40210,40207,40206,40205,40204,40203,40200,40199,40198,40197,40193,40192,40191,40190,40189,40186,40185,40184,40183,40182,40178,40177,40176,40175,40171,40170,40169,40168,40165,40164,40163,40162,40161,40158,40157,40156,40155,40154,40151,40150,40149,40148,40147,40144,40142,40141,40140,40137,40136,40135,40134,40133,40130,40129,40128,40127,40126,40123,40122,40121,40120,40119,40116,40115,40114,40113,40112,40109,40108,40107,40106,40105,40102,40101,40100,40099,40098,40095,40094,40093,40092,40091,40088,40087,40086,40085,40084,40081,40080,40079,40078,40077,40074,40073,40072,40071,40070,40067,40066,40065,40064,40060,40059,40058,40057,40056,40053,40052,40051,40050,40049,40046,40045,40044,40043,40042,40039,40038,40037,40036,40035,40032,40031,40030,40029,40028,40025,40024,40023,40022,40021,40018,40017,40016,40015,40014,40011,40010,40009,40008,40007,40004,40003,40002,40001,40000,39996,39995,39994,39993,39990,39989,39988,39987,39986,39983,39982,39981,39980,39979,39976,39975,39974,39973,39972,39969,39968,39967,39966,39965,39962,39961,39960,39959,39955,39954,39953,39952,39951,39948,39947,39946,39945,39944,39941,39940,39939,39938,39937,39934,39933,39932,39931,39930,39927,39926,39925,39924,39923,39920,39919,39918,39917,39916,39912,39911,39910,39909,39906,39905,39904,39903,39902,39899,39898,39897,39896,39895,39892,39891,39890,39889,39888,39885,39884,39883,39882,39881,39878,39877,39876,39875,39874,39871,39870,39869,39868,39867,39864,39863,39862,39861,39857,39856,39855,39854,39853,39850,39849,39848,39847,39846,39843,39842,39841,39840,39839,39836,39835,39834,39833,39829,39828,39827,39826,39825,39822,39821,39820,39819,39818,39815,39813,39812,39811,39808,39806,39805,39804,39801,39800,39799,39798,39797,39794,39793,39792,39791,39790,39787,39786,39785,39784,39783,39780,39778,39777,39776,39773,39772,39771,39770,39769,39766,39765,39764,39763,39762,39759,39758,39757,39756,39755,39752,39751,39750,39749,39748,39745,39744,39743,39742,39741,39738,39737,39736,39735,39734,39731,39730,39729,39728,39727,39724,39723,39722,39721,39720,39717,39716,39715,39714,39713,39710,39709,39708,39707,39706,39703,39702,39701,39700,39699,39696,39695,39694,39693,39689,39688,39687,39686,39685,39682,39681,39680,39679,39678,39675,39674,39673,39672,39671,39668,39667,39666,39665,39664,39661,39660,39659,39658,39657,39654,39653,39652,39651,39650,39647,39646,39645,39644,39643,39640,39639,39638,39637,39636,39632,39631,39630,39629,39626,39625,39624,39623,39622,39619,39618,39617,39616,39615,39612,39611,39610,39609,39608,39605,39604,39603,39602,39601,39598,39597,39596,39595,39591,39590,39589,39588,39587,39584,39583,39582,39581,39580,39577,39576,39575,39574,39573,39570,39569,39568,39567,39566,39563,39562,39561,39560,39559,39556,39555,39554,39553,39552,39549,39548,39547,39546,39545,39542,39541,39540,39539,39538,39535,39534,39533,39532,39531,39527,39526,39525,39524,39521,39520,39519,39518,39517,39514,39513,39512,39511,39510,39507,39506,39505,39504,39503,39500,39499,39498,39497,39493,39492,39491,39490,39489,39486,39485,39484,39483,39482,39479,39478,39477,39476,39475,39472,39471,39470,39469,39465,39464,39463,39462,39461,39458,39457,39456,39455,39454,39451,39450,39449,39447,39444,39443,39442,39440,39437,39436,39435,39434,39433,39430,39429,39428,39427,39426,39423,39422,39421,39420,39419,39416,39415,39414,39413,39412,39409,39407,39406,39405,39402,39401,39400,39399,39398,39395,39394,39393,39392,39391,39388,39387,39386,39385,39384,39381,39380,39379,39378,39377,39374,39373,39372,39371,39370,39367,39366,39365,39364,39363,39360,39359,39358,39357,39356,39353,39352,39351,39350,39349,39346,39345,39344,39343,39342,39339,39338,39337,39336,39335,39332,39331,39330,39329,39325,39324,39323,39322,39321,39318,39317,39316,39315,39314,39311,39310,39309,39308,39307,39304,39303,39302,39301,39300,39297,39296,39295,39294,39293,39290,39289,39288,39287,39286,39283,39282,39281,39280,39279,39276,39275,39274,39273,39272,39269,39268,39266,39265,39262,39261,39260,39259,39258,39255,39254,39253,39252,39251,39248,39247,39246,39245,39244,39241,39240,39239,39238,39237,39234,39233,39232,39231,39227,39226,39225,39224,39223,39220,39219,39218,39217,39216,39213,39212,39211,39210,39209,39206,39205,39204,39203,39202,39199,39198,39197,39196,39195,39192,39191,39190,39189,39188,39185,39184,39183,39182,39181,39177,39176,39175,39174,39171,39170,39169,39168,39167,39164,39163,39162,39161,39160,39157,39156,39155,39154,39153,39150,39149,39148,39147,39146,39143,39142,39141,39140,39139,39136,39135,39134,39133,39129,39128,39127,39126,39125,39122,39121,39120,39119,39118,39115,39114,39113,39112,39111,39108,39107,39106,39105,39104,39101,39100,39099,39098,39094,39093,39092,39091,39090,39087,39086,39085,39080,39079,39078,39077,39073,39072,39071,39070,39069,39066,39065,39064,39063,39062,39059,39058,39057,39056,39055,39052,39051,39050,39049,39048,39045,39043,39042,39041,39038,39037,39036,39035,39034,39031,39030,39029,39028,39027,39024,39023,39022,39021,39020,39017,39016,39015,39014,39013,39010,39009,39008,39007,39006,39003,39002,39001,39000,38999,38996,38995,38994,38993,38992,38989,38988,38987,38986,38985,38982,38981,38980,38979,38978,38975,38974,38973,38972,38971,38968,38967,38966,38965,38961,38960,38959,38958,38957,38954,38953,38952,38951,38950,38947,38946,38945,38944,38943,38940,38939,38938,38937,38936,38933,38932,38931,38930,38929,38926,38925,38924,38923,38922,38919,38918,38917,38916,38915,38912,38911,38910,38909,38908,38905,38904,38903,38901,38898,38897,38896,38895,38894,38891,38890,38889,38888,38887,38884,38883,38882,38881,38880,38877,38876,38875,38874,38873,38870,38869,38868,38867,38863,38862,38861,38860,38859,38856,38855,38854,38853,38852,38849,38848,38847,38846,38845,38842,38841,38840,38839,38838,38835,38834,38833,38832,38831,38828,38827,38826,38825,38824,38820,38819,38818,38817,38814,38813,38812,38811,38810,38807,38806,38805,38804,38803,38800,38799,38798,38797,38796,38793,38792,38791,38790,38789,38786,38785,38784,38783,38782,38779,38778,38777,38776,38775,38772,38771,38770,38769,38765,38764,38763,38762,38761,38758,38757,38756,38755,38754,38751,38750,38749,38748,38747,38744,38743,38742,38741,38740,38737,38736,38735,38734,38730,38729,38728,38727,38726,38723,38722,38721,38720,38716,38715,38714,38713,38709,38708,38707,38706,38705,38702,38701,38700,38699,38698,38695,38694,38693,38692,38691,38688,38687,38686,38685,38684,38681,38679,38678,38677,38674,38673,38672,38671,38670,38667,38666,38665,38664,38663,38660,38659,38658,38657,38656,38653,38652,38651,38650,38649,38646,38645,38644,38643,38642,38639,38638,38637,38636,38635,38632,38631,38630,38629,38628,38625,38624,38623,38622,38621,38618,38617,38616,38615,38614,38611,38610,38609,38608,38607,38604,38603,38602,38601,38597,38596,38595,38594,38593,38590,38589,38588,38587,38586,38583,38582,38581,38580,38579,38576,38575,38574,38573,38572,38569,38568,38567,38566,38565,38562,38561,38560,38559,38558,38555,38554,38553,38552,38551,38548,38547,38546,38545,38544,38541,38540,38539,38538,38534,38533,38532,38531,38530,38527,38526,38525,38524,38523,38520,38519,38518,38517,38516,38513,38512,38511,38510,38509,38506,38505,38504,38503,38499,38498,38497,38496,38495,38492,38491,38490,38489,38488,38485,38484,38483,38482,38481,38478,38477,38476,38475,38474,38471,38470,38469,38468,38467,38464,38463,38462,38461,38460,38457,38456,38455,38454,38453,38450,38449,38448,38447,38446,38443,38442,38441,38440,38439,38435,38434,38433,38432,38429,38428,38427,38426,38425,38422,38421,38420,38419,38418,38415,38414,38413,38412,38411,38408,38407,38406,38405,38401,38400,38399,38398,38397,38394,38393,38392,38391,38390,38387,38386,38385,38384,38383,38380,38379,38378,38377,38376,38373,38372,38371,38370,38366,38365,38364,38363,38362,38359,38358,38357,38356,38355,38352,38351,38350,38349,38348,38344,38343,38342,38341,38338,38337,38336,38335,38334,38331,38330,38329,38328,38327,38324,38323,38322,38321,38320,38317,38315,38314,38313,38310,38309,38308,38307,38306,38303,38302,38301,38300,38299,38296,38295,38294,38293,38292,38289,38288,38287,38286,38285,38282,38281,38280,38279,38278,38275,38274,38273,38272,38271,38268,38267,38266,38265,38264,38261,38260,38259,38258,38257,38254,38253,38252,38251,38250,38247,38246,38245,38244,38243,38240,38239,38238,38237,38233,38232,38231,38230,38229,38226,38225,38224,38223,38222,38219,38218,38217,38216,38215,38212,38211,38210,38209,38208,38205,38204,38203,38202,38201,38198,38197,38196,38195,38194,38191,38190,38189,38188,38187,38184,38183,38182,38181,38180,38177,38176,38175,38174,38170,38169,38168,38167,38166,38163,38162,38161,38160,38159,38156,38155,38154,38153,38152,38148,38147,38146,38145,38142,38141,38140,38139,38135,38134,38133,38132,38131,38128,38127,38126,38125,38124,38121,38120,38119,38118,38117,38114,38113,38112,38111,38110,38107,38106,38105,38104,38103,38100,38099,38098,38097,38096,38093,38092,38091,38090,38089,38085,38084,38083,38082,38079,38078,38077,38076,38075,38072,38071,38070,38069,38068,38065,38064,38063,38062,38061,38058,38057,38056,38055,38054,38051,38050,38049,38048,38047,38044,38043,38042,38041,38040,38037,38036,38035,38034,38030,38029,38028,38027,38026,38023,38022,38021,38020,38019,38016,38015,38014,38013,38012,38009,38008,38007,38006,38002,38001,38000,37999,37998,37995,37994,37993,37992,37991,37988,37986,37985,37984,37981,37979,37978,37977,37974,37973,37972,37971,37970,37967,37966,37965,37964,37963,37960,37959,37958,37957,37956,37953,37951,37950,37949,37946,37945,37944,37943,37942,37939,37938,37937,37936,37935,37932,37931,37930,37929,37928,37925,37924,37923,37922,37921,37918,37917,37916,37915,37914,37911,37910,37909,37908,37907,37904,37903,37902,37901,37900,37897,37896,37895,37894,37893,37890,37889,37888,37887,37886,37883,37882,37881,37880,37879,37876,37875,37874,37873,37872,37869,37868,37867,37866,37862,37861,37860,37859,37858,37855,37854,37853,37852,37851,37848,37847,37846,37845,37844,37841,37840,37839,37838,37837,37834,37833,37832,37831,37830,37827,37826,37825,37824,37823,37820,37819,37818,37817,37816,37813,37812,37811,37810,37809,37805,37804,37803,37802,37799,37798,37797,37796,37795,37792,37791,37790,37789,37788,37785,37784,37783,37782,37781,37778,37777,37776,37775,37774,37771,37770,37769,37768,37764,37763,37762,37761,37760,37757,37756,37755,37754,37753,37750,37749,37748,37747,37746,37743,37742,37741,37740,37739,37736,37735,37734,37733,37732,37728,37727,37726,37725,37722,37721,37720,37719,37718,37715,37714,37713,37712,37711,37708,37707,37706,37705,37704,37701,37700,37699,37698,37697,37694,37693,37692,37691,37690,37687,37686,37685,37684,37683,37680,37679,37678,37677,37676,37673,37672,37671,37670,37666,37665,37664,37663,37662,37659,37658,37657,37656,37655,37652,37651,37650,37649,37648,37645,37644,37643,37642,37638,37637,37636,37635,37634,37631,37630,37629,37628,37627,37624,37623,37621,37620,37617,37616,37614,37613,37610,37609,37608,37607,37606,37603,37602,37601,37600,37599,37596,37595,37594,37593,37592,37589,37587,37586,37585,37582,37581,37580,37579,37578,37575,37574,37573,37572,37571,37568,37567,37566,37565,37564,37561,37560,37559,37558,37557,37554,37553,37552,37551,37550,37547,37546,37545,37544,37543,37540,37539,37538,37537,37536,37533,37532,37531,37530,37529,37526,37525,37524,37523,37522,37519,37518,37517,37516,37515,37512,37511,37510,37509,37508,37505,37504,37503,37502,37498,37497,37496,37495,37494,37491,37490,37489,37488,37487,37484,37483,37482,37481,37480,37477,37476,37475,37474,37473,37470,37469,37468,37467,37466,37463,37462,37461,37460,37459,37456,37455,37454,37453,37452,37449,37448,37447,37446,37445,37442,37440,37439,37438,37435,37434,37433,37432,37431,37428,37427,37426,37425,37424,37421,37420,37419,37418,37417,37414,37413,37412,37411,37410,37407,37406,37405,37404,37400,37399,37398,37397,37396,37393,37392,37391,37390,37389,37386,37385,37384,37383,37382,37379,37378,37377,37376,37375,37372,37371,37370,37369,37368,37365,37364,37363,37362,37361,37358,37357,37356,37355,37354,37351,37350,37349,37348,37347,37343,37342,37341,37340,37337,37336,37335,37334,37333,37330,37329,37328,37327,37326,37323,37322,37321,37320,37319,37316,37315,37314,37313,37312,37309,37308,37307,37306,37302,37301,37300,37299,37298,37295,37294,37293,37292,37291,37288,37287,37286,37285,37284,37281,37280,37279,37278,37274,37273,37272,37271,37270,37267,37266,37265,37264,37263,37260,37259,37258,37256,37253,37252,37251,37249,37246,37245,37244,37243,37242,37239,37238,37237,37236,37235,37232,37231,37230,37229,37228,37225,37224,37223,37222,37221,37218,37216,37215,37214,37211,37210,37209,37208,37207,37204,37203,37202,37201,37200,37197,37196,37195,37194,37193,37190,37189,37188,37187,37186,37183,37182,37181,37180,37179,37176,37175,37174,37173,37172,37169,37168,37167,37166,37165,37162,37161,37160,37159,37158,37155,37154,37153,37152,37151,37144,37141,37140,37139,37138,37134,37133,37132,37131,37130,37127,37126,37125,37124,37123,37120,37119,37118,37117,37116,37113,37112,37111,37110,37109,37106,37105,37104,37103,37102,37099,37098,37097,37096,37095,37092,37091,37090,37089,37088,37085,37084,37083,37082,37081,37078,37077,37075,37074,37071,37070,37069,37068,37067,37064,37063,37062,37061,37060,37057,37056,37055,37054,37053,37050,37049,37048,37047,37046,37043,37042,37041,37040,37036,37035,37034,37033,37032,37029,37028,37027,37026,37025,37022,37021,37020,37019,37018,37015,37014,37013,37012,37011,37008,37007,37006,37005,37004,37001,37000,36999,36998,36997,36993,36992,36991,36990,36987,36986,36985,36984,36983,36980,36979,36978,36977,36976,36973,36972,36971,36970,36969,36966,36965,36964,36963,36962,36959,36958,36957,36956,36955,36952,36951,36950,36949,36948,36945,36944,36943,36942,36938,36937,36936,36935,36934,36931,36930,36929,36928,36927,36924,36923,36922,36921,36920,36917,36916,36915,36914,36913,36910,36909,36908,36907,36903,36902,36901,36900,36899,36896,36895,36894,36893,36889,36888,36887,36886,36882,36881,36880,36879,36878,36875,36874,36873,36872,36871,36868,36867,36866,36865,36864,36861,36860,36859,36858,36857,36854,36852,36851,36850,36847,36846,36845,36844,36843,36840,36839,36838,36837,36836,36833,36832,36831,36830,36829,36826,36825,36824,36823,36822,36819,36818,36817,36816,36815,36812,36811,36810,36809,36808,36805,36804,36803,36802,36801,36798,36797,36796,36795,36794,36791,36790,36789,36788,36787,36784,36783,36782,36781,36780,36777,36776,36775,36774,36770,36769,36768,36767,36766,36763,36762,36761,36760,36759,36756,36755,36754,36753,36752,36749,36748,36747,36746,36745,36742,36741,36740,36739,36738,36735,36734,36733,36732,36731,36728,36727,36726,36725,36724,36721,36720,36719,36718,36717,36714,36713,36712,36710,36707,36706,36705,36704,36703,36700,36699,36698,36697,36696,36693,36692,36691,36690,36689,36686,36685,36684,36683,36682,36679,36678,36677,36676,36672,36671,36670,36669,36668,36665,36664,36663,36662,36661,36658,36657,36656,36655,36654,36651,36650,36649,36648,36647,36644,36643,36642,36641,36640,36636,36635,36634,36633,36630,36629,36628,36627,36626,36623,36622,36621,36620,36619,36616,36615,36614,36613,36612,36609,36608,36607,36606,36605,36602,36601,36600,36599,36598,36595,36594,36593,36592,36591,36588,36587,36586,36585,36584,36581,36580,36579,36578,36574,36573,36572,36571,36570,36567,36566,36565,36564,36563,36560,36559,36558,36557,36556],"891800^FG_PRICE(2/27/2026,1/31/2000,,USD)":[1610.700504,1619.28073,1614.57648,1591.637385,1582.697433,1567.226791,1563.340889,1560.881896,1555.697711,1555.118114,1570.438473,1564.48159,1549.732451,1539.537345,1506.381606,1507.527143,1532.667963,1535.998861,1493.913008,1528.08557,1554.78003,1556.804441,1528.893688,1509.347338,1501.109041,1495.162304,1480.348694,1480.632668,1484.96796,1478.249718,1479.391028,1472.286105,1466.201591,1452.348298,1452.699698,1462.973715,1467.156958,1451.107556,1429.475115,1404.374696,1402.534705,1401.657345,1397.404266,1392.070328,1387.127276,1383.833764,1368.483995,1358.184043,1358.967923,1352.657642,1373.878022,1389.986828,1376.731991,1382.507832,1378.931014,1386.617065,1385.476824,1376.793182,1372.951802,1373.86743,1368.267628,1366.924047,1371.461108,1353.838853,1342.098871,1333.958512,1371.53784,1360.312635,1361.749928,1387.846932,1385.611873,1409.796259,1407.730323,1402.669292,1400.208267,1381.630375,1393.774182,1382.955651,1393.382679,1410.431075,1401.546163,1411.652873,1416.390359,1402.664229,1407.936651,1389.393038,1381.368362,1380.070218,1383.644076,1383.258933,1361.596441,1378.957,1365.689639,1338.981722,1353.311623,1365.667794,1375.898722,1372.043819,1375.23114,1372.248576,1373.890957,1367.70981,1352.728751,1346.045887,1339.713599,1325.576652,1343.823421,1351.913235,1346.545428,1343.734154,1340.908723,1345.831516,1347.853291,1339.908094,1328.79495,1325.727212,1310.080529,1307.492605,1295.377568,1282.201178,1276.051899,1261.562136,1266.99753,1265.440987,1258.438919,1261.260431,1269.110242,1274.207882,1285.461001,1266.553812,1261.737866,1259.879713,1270.734178,1273.086439,1272.429039,1271.971996,1276.97151,1257.266483,1255.652203,1253.793417,1260.459236,1244.427579,1246.099671,1237.049568,1226.175938,1243.227779,1252.467715,1252.308573,1255.43973,1257.782462,1267.288325,1265.156702,1248.048741,1253.462949,1249.380739,1241.25243,1239.528894,1240.447235,1228.592289,1229.131293,1231.263485,1227.866989,1231.540677,1226.193005,1236.971993,1230.241737,1229.251298,1222.778785,1228.532734,1226.946868,1220.72453,1211.839269,1182.250932,1189.851301,1193.454345,1196.956676,1198.18354,1190.031876,1202.739399,1208.975703,1201.126723,1193.78229,1182.927293,1182.676944,1172.452974,1158.129855,1153.773979,1157.338548,1170.164273,1163.842853,1164.103115,1170.978493,1165.383805,1174.559282,1167.455649,1166.644546,1172.377723,1173.527161,1173.65089,1156.820661,1161.84686,1138.399273,1133.584911,1137.410928,1137.420549,1139.594101,1133.270629,1111.970874,1112.841711,1105.985553,1102.567747,1097.103369,1092.977832,1096.05054,1073.790599,1071.946265,1067.068706,1059.100373,1070.25893,1060.219949,1045.201932,1028.862581,993.453924,1002.604528,1001.488891,1087.588791,1102.783811,1111.677102,1110.662232,1101.399501,1120.7222,1130.540687,1131.542989,1129.407667,1136.005515,1131.378744,1140.693228,1143.29443,1145.174495,1131.438209,1119.605863,1106.068865,1111.128484,1109.163858,1113.060937,1128.552801,1131.255333,1115.548174,1093.003155,1097.36775,1097.253995,1124.026119,1135.413064,1122.377795,1135.744725,1147.298001,1132.449147,1136.865094,1138.916473,1125.226578,1113.25105,1111.008696,1104.62737,1108.463703,1108.480623,1102.248688,1095.790325,1092.934094,1073.722226,1093.365461,1095.749125,1092.307976,1089.132939,1087.543426,1090.022523,1081.343266,1082.344897,1081.10951,1070.121613,1066.671321,1055.801702,1053.054408,1039.105197,1057.104841,1070.785028,1080.066209,1078.890035,1073.211632,1070.998504,1075.47512,1078.398034,1082.868659,1084.688022,1084.994546,1081.948747,1072.24872,1081.764047,1095.311849,1093.204706,1103.207046,1107.010976,1112.942653,1108.431983,1111.712409,1114.035011,1105.075354,1102.285551,1100.493062,1097.52372,1086.386564,1078.569525,1087.5794,1086.930897,1092.199392,1087.265061,1085.488848,1093.845824,1094.939294,1089.723809,1084.995916,1084.413512,1093.700419,1103.193332,1125.886897,1135.649018,1140.540309,1131.865063,1139.113154,1129.820764,1122.276272,1119.522196,1126.505222,1136.468755,1137.938795,1134.875057,1134.522577,1141.8136,1142.190292,1148.418063,1155.123463,1135.134788,1144.036435,1149.731685,1160.061601,1159.558799,1156.957485,1148.266508,1156.234706,1183.775933,1179.340827,1173.018281,1187.96873,1172.590752,1170.853143,1174.523035,1163.382947,1136.796459,1132.04099,1110.659948,1106.437883,1100.153381,1087.751153,1090.514739,1086.019749,1082.299247,1075.617281,1058.685087,1062.875685,1063.439296,1074.889743,1076.091515,1073.58844,1090.172628,1099.92266,1094.955871,1097.21675,1099.765701,1104.28472,1100.677964,1100.97824,1100.893137,1104.451676,1103.533341,1093.651257,1076.003371,1076.566118,1071.013909,1069.110141,1063.425692,1046.309778,1050.298554,1030.856029,1016.479408,1061.233924,1087.800487,1084.769484,1071.595311,1077.267417,1072.277811,1073.978823,1082.441321,1086.96393,1085.478069,1089.613419,1105.9543,1111.461578,1117.37755,1120.274004,1123.56317,1124.863073,1111.224818,1111.695297,1107.302357,1104.875619,1092.374954,1079.783936,1087.38371,1086.24999,1081.866187,1086.201657,1085.315885,1084.323168,1086.930012,1095.758892,1081.806271,1074.19815,1076.887195,1075.541741,1068.545322,1065.698565,1070.333358,1073.139074,1073.258138,1062.792272,1051.963433,1069.313284,1048.962257,1058.081151,1072.113118,1088.011171,1082.982722,1091.366017,1095.28625,1093.375728,1101.910555,1099.785774,1098.561753,1084.65095,1080.962582,1078.716314,1071.641307,1063.51956,1066.61646,1068.263702,1066.726218,1061.449686,1052.864307,1045.51789,1045.9479,1051.334501,1041.523587,1028.606836,1034.690721,1019.336142,1011.842741,1004.170153,1018.588829,1012.455608,1009.841755,1030.743747,1041.702984,1055.085486,1057.888128,1055.37366,1049.1607,1045.712269,1048.763423,1043.231719,1049.932664,1042.068134,1040.393012,1036.729084,1040.068048,1036.126147,1039.323998,1048.339304,1032.12199,1027.775997,1038.067201,1034.739916,1048.679759,1046.514299,1049.07292,1039.070672,1037.094513,1030.267827,1027.950026,1021.737026,1030.390044,1024.675846,1020.939696,1018.723107,1027.746036,1024.107028,1028.307654,1029.44324,1020.617844,1018.989838,1016.230566,1007.704695,998.857475,996.783337,996.05774,995.526526,997.541335,1002.550115,999.863903,983.324207,988.206501,982.120602,975.798654,980.585643,990.179405,985.095174,988.303505,982.335429,969.968538,964.151077,970.911491,961.343155,958.389983,979.718705,996.304075,994.748995,988.97207,992.997646,996.756575,1002.076873,1004.262997,1003.131271,1016.375579,1023.740854,1022.894612,1009.835573,998.530743,992.279745,998.315766,997.456532,998.604223,997.912907,1000.887868,992.505094,973.472433,976.581497,973.230611,975.00515,970.12456,974.97502,972.031287,980.236816,982.139668,987.099289,983.035678,985.470758,977.539959,980.328376,983.604485,988.473049,985.408741,976.517659,982.253372,983.510875,959.124154,952.26813,948.319202,956.248266,957.913297,960.663105,968.909621,948.260435,930.616072,915.97494,915.196318,921.902868,919.784234,910.913629,920.784078,920.568017,917.688696,925.58216,930.803001,943.123731,951.205365,946.206452,951.311604,962.686577,956.840227,944.54629,935.422356,937.338446,930.229755,927.860093,939.164286,951.490163,952.784054,944.077299,948.252424,947.183378,957.408901,964.236879,956.250701,970.869885,974.497698,976.167923,984.992672,982.106581,974.558758,975.716734,977.498513,973.861455,973.587899,981.424905,985.84388,985.681101,980.325256,988.303007,987.584745,978.092572,971.042534,982.309864,970.202983,966.687006,959.789965,964.439138,973.864305,975.766774,981.799172,986.28351,997.717025,1008.34351,1008.422275,1003.711472,1016.311065,1018.018761,1015.805265,1019.994583,1043.092249,1046.911652,1043.202624,1035.150574,1031.880334,1032.260637,1013.446801,1014.583607,1018.055177,1019.594328,1022.119183,1027.764983,1028.493287,1020.53112,1005.553859,994.893899,981.878889,980.659505,984.687418,1001.121317,1005.111076,989.47508,987.069887,992.060163,995.017845,989.273582,991.914475,1001.136477,1004.270545,1013.237396,1030.026663,1023.588355,1014.910413,1013.251357,1003.13755,1002.328673,994.07703,995.413241,988.493688,986.685082,984.358655,961.799468,958.527204,970.319817,972.859919,964.011098,970.904788,978.603109,983.267596,977.24313,978.162929,975.832815,979.242149,977.48444,972.995641,977.824002,979.642594,982.244186,989.437121,981.663155,976.364285,969.62347,973.937144,976.742369,977.046261,972.184924,967.854342,965.60339,977.38416,980.744279,989.786482,990.372424,1000.54451,1003.782412,1000.492611,997.033815,993.575651,996.246681,988.678213,984.433541,987.852844,987.615488,989.184713,990.284402,985.768725,980.140806,970.694469,964.014473,972.174924,977.776027,961.482438,952.454713,942.975484,951.562594,941.34828,946.871162,945.11655,961.500561,955.277479,968.385399,978.066925,988.378061,993.73709,988.02626,980.052687,984.189641,964.005572,967.246153,971.866953,987.738646,982.064157,995.191052,999.42436,1011.141421,1004.873281,1014.488488,1013.526245,1013.666355,1024.511486,1020.57613,1015.510511,1014.48708,1038.714929,1045.564474,1042.792033,1031.497108,1044.002041,1051.191217,1052.463055,1041.255378,1039.199516,1038.676342,1036.243443,1027.908218,1030.057428,1027.384466,1029.844601,1018.31354,1016.853056,1014.021295,1013.502977,988.676924,984.004865,974.219134,962.574444,956.377603,957.447535,960.184914,959.38744,954.777984,964.05758,952.983385,951.084632,957.635667,957.301435,960.224072,973.707491,965.252321,963.581727,978.281451,969.214807,958.770022,972.925261,984.258418,973.847688,978.304865,972.285337,952.93619,930.76512,941.005532,932.298046,927.414531,931.051738,943.005689,942.3565,954.308397,960.637108,939.778459,935.725918,889.601359,900.318413,900.019912,897.360897,884.975113,860.904318,873.02365,867.582057,848.162834,845.580723,859.464632,851.812575,844.50894,842.757636,865.038735,864.76147,865.911365,879.07387,865.770075,863.327939,854.531909,865.343437,864.655363,884.806716,897.742536,910.570194,909.518534,893.650318,876.146221,875.78565,873.285609,875.845002,891.888906,888.580961,905.836716,922.61068,932.081875,946.165575,938.533537,944.115183,958.576236,962.552424,979.912933,979.051818,970.29329,957.216646,956.511328,965.238995,972.018457,976.139738,994.114388,992.762287,991.651871,1006.502248,1003.43849,985.128246,989.540585,991.89657,1001.46183,1009.583217,1015.589929,1014.22095,1015.00418,1016.827317,1014.291726,997.204368,1001.690002,1001.788946,1002.87208,994.590577,985.810454,984.32242,995.038763,993.781563,997.609043,989.887017,989.923545,987.075924,990.3716,990.688795,986.564605,979.94049,980.522311,961.853603,965.452436,970.458401,967.310835,981.148436,999.574607,994.341566,981.014201,991.471452,992.835995,1000.668125,1013.204105,1030.073598,1027.547411,1011.178156,995.336311,993.588323,1016.980012,1004.633108,1008.112418,1020.095965,1017.866385,1016.455424,1054.637704,1067.14761,1073.739209,1061.018828,1071.332871,1060.741394,1061.438982,1067.856504,1077.665885,1043.170426,1022.959697,1019.593567,1016.990317,1034.508419,1035.30628,1014.886381,1033.184988,1030.825586,1007.504055,1004.518707,987.819423,1011.217525,1007.218432,1014.683321,1031.501961,1058.722022,1063.838653,1069.237773,1072.564298,1076.189978,1053.816943,1043.74396,1049.394191,1046.043005,1075.598093,1086.926326,1095.629146,1096.002133,1106.677529,1117.363731,1119.316202,1110.40299,1111.764077,1127.927671,1126.061016,1142.501365,1156.751683,1161.64546,1145.847843,1141.787235,1149.302573,1136.448334,1124.815496,1125.008703,1136.949095,1140.721812,1131.409409,1115.263802,1122.981525,1120.933083,1081.000225,1026.770399,1055.010531,1085.663046,1102.739456,1090.67255,1096.047288,1107.300071,1144.906696,1172.558196,1168.406623,1176.429472,1171.309916,1171.988437,1154.862771,1206.856641,1206.629782,1231.773668,1242.920658,1244.187864,1229.050965,1220.416022,1240.506854,1251.092348,1239.790312,1219.804965,1219.328673,1221.100125,1210.270297,1213.230033,1214.006084,1208.231564,1191.135463,1192.060944,1211.446888,1210.45144,1222.162097,1244.307007,1255.741531,1239.830151,1241.576206,1257.463348,1263.300222,1267.338887,1243.042064,1232.267753,1226.102134,1217.072252,1222.736159,1234.9475,1233.501541,1232.007862,1222.746759,1217.933949,1227.115795,1221.755466,1219.594538,1209.878331,1203.660044,1190.084289,1216.295997,1223.887593,1214.496057,1222.099619,1230.60735,1238.535014,1247.713024,1241.009794,1235.559589,1213.956157,1224.641405,1236.192004,1226.807455,1212.417771,1218.987393,1223.131533,1253.152419,1255.390461,1261.55728,1269.222404,1273.870027,1286.869852,1290.547826,1286.815409,1285.479066,1281.396725,1274.390378,1272.954799,1268.822958,1264.065499,1268.45086,1262.459174,1263.956022,1264.535113,1264.754127,1276.068076,1282.88513,1296.059801,1297.259363,1293.14,1293.001535,1301.12884,1294.565609,1283.017335,1283.6716,1266.668723,1260.228871,1253.62926,1265.654078,1257.042376,1253.279509,1227.132093,1236.512327,1236.414464,1246.601493,1253.097343,1251.281642,1260.886033,1267.358832,1265.10193,1272.521426,1262.790734,1261.404638,1258.229454,1279.345642,1276.780011,1288.678121,1296.147265,1301.543991,1308.942264,1299.969452,1313.603377,1325.646978,1315.91436,1311.912658,1312.441392,1308.670457,1285.389647,1272.672844,1266.134393,1275.305659,1270.010978,1237.531487,1220.778494,1232.413436,1261.600124,1255.778044,1272.187495,1280.862878,1290.91153,1297.583501,1300.331919,1294.204292,1292.530116,1300.093401,1303.990846,1294.178285,1293.111166,1277.804958,1295.412154,1268.207123,1252.432714,1279.986531,1311.302425,1326.376527,1312.149804,1311.07429,1317.219978,1340.081503,1348.483666,1338.132431,1339.513664,1326.828778,1318.174554,1316.246786,1340.679739,1346.577862,1355.383136,1368.219298,1374.637403,1377.148647,1380.901846,1379.586474,1367.394064,1360.495058,1346.840478,1350.52269,1361.24558,1362.884878,1369.99969,1378.266963,1383.190691,1381.9922,1378.849995,1372.804352,1377.432104,1380.591734,1381.558717,1383.573209,1388.465631,1390.846106,1360.782132,1354.31428,1351.952351,1345.492651,1326.678242,1330.041443,1329.305746,1327.537997,1333.181671,1311.453855,1307.533693,1292.782124,1315.248848,1329.080906,1346.354146,1348.570309,1340.796608,1333.049473,1334.988286,1338.891055,1347.611538,1364.539182,1364.960942,1361.957312,1360.638135,1353.020229,1341.42603,1336.864755,1347.606449,1348.551861,1348.693239,1341.086987,1336.587128,1323.945263,1322.314906,1330.362915,1343.356334,1338.758564,1346.906504,1338.787349,1335.235501,1316.425392,1319.496317,1310.113373,1307.476119,1288.418493,1298.43947,1323.767225,1336.272185,1336.838806,1347.327642,1342.79941,1349.067375,1340.246816,1348.203124,1357.596585,1324.898503,1317.854371,1308.138652,1339.314292,1346.342253,1378.018603,1359.64796,1362.46502,1339.258698,1383.810763,1376.763355,1398.202076,1397.665334,1430.025802,1425.127029,1444.930186,1442.166666,1428.870477,1427.886302,1422.944765,1409.135255,1399.814657,1395.350096,1387.614398,1392.638927,1381.187728,1361.090965,1329.565794,1350.588039,1371.415072,1388.759456,1410.200119,1392.853036,1406.06539,1400.96875,1381.308384,1358.029638,1370.75613,1364.071475,1353.571512,1349.595318,1353.530654,1322.296099,1315.325096,1319.971017,1304.427863,1291.263514,1289.033876,1266.767113,1252.326976,1253.531489,1258.095478,1248.70452,1257.007453,1268.362535,1272.959305,1263.817582,1250.210773,1250.446073,1257.66107,1255.028424,1255.853085,1254.231278,1253.390143,1251.036957,1239.460889,1228.708788,1224.00323,1205.067741,1230.722307,1218.285797,1225.993747,1220.517498,1209.258357,1200.443904,1207.547118,1201.428863,1203.041601,1188.346374,1182.09912,1178.85559,1179.92348,1192.373095,1176.360933,1166.227402,1135.258338,1120.882219,1114.758348,1103.458245,1120.104584,1120.750855,1133.990254,1130.645421,1136.445723,1136.542201,1137.907953,1133.941167,1127.276824,1124.08059,1120.541417,1135.557002,1136.415143,1137.167343,1122.505422,1117.436154,1107.899227,1102.470317,1091.380993,1081.70569,1084.834662,1081.996075,1068.787761,1069.876625,1059.101546,1057.741967,1077.698209,1082.865359,1090.349573,1108.531577,1106.81907,1116.994059,1112.619346,1104.266245,1091.791036,1085.314436,1085.746692,1087.506155,1099.499343,1108.85184,1118.898943,1120.016314,1101.498665,1121.600014,1117.219022,1119.338465,1114.724092,1108.229769,1091.850043,1080.536697,1099.411609,1104.96101,1099.96238,1093.15527,1096.182868,1093.976111,1091.228858,1086.447224,1089.319026,1106.581246,1103.025563,1089.582091,1077.866549,1078.918666,1082.061067,1086.620202,1082.019483,1073.144018,1060.474346,1077.599282,1077.780046,1085.858865,1064.50145,1055.060992,1045.932798,1066.285245,1059.523845,1071.363687,1069.27258,1079.688827,1070.138647,1052.542941,1060.497294,1023.47581,1001.075235,995.098332,993.956865,998.896019,1004.442882,1010.79335,1014.620571,1000.191169,1001.357157,995.176709,994.619244,989.866624,966.321372,987.012565,993.589346,1012.511908,1009.60981,1007.45919,1002.654049,988.797905,988.015157,967.480655,951.478544,930.353774,925.339379,927.364543,926.652541,905.253741,930.010261,931.499963,925.215359,912.571301,901.163807,900.874265,909.196713,909.306913,915.900042,911.652891,896.887234,898.697702,895.738063,887.978431,916.770796,924.936512,919.655364,902.700002,895.328335,879.410621,891.813851,888.635832,878.237517,899.32606,901.31301,884.858064,888.140723,896.285017,883.142177,887.584117,873.847487,878.151778,853.830242,831.722546,838.527666,827.260443,848.576929,832.023275,842.539914,851.275145,836.538486,801.728687,758.204101,803.230731,766.411177,787.811755,826.679332,833.180844,891.19463,883.125967,946.623325,964.547662,947.921337,1012.083953,1039.339539,1037.807507,1027.815637,1017.030671,1005.515796,1030.670155,1043.314109,1056.543045,1055.321592,1084.217815,1095.315312,1103.691665,1095.661355,1106.304198,1106.069984,1109.696531,1099.408215,1086.929593,1091.644691,1102.385338,1089.404935,1085.393522,1060.321045,1062.342529,1072.789262,1097.514231,1101.718541,1102.976825,1119.387236,1122.193585,1133.402875,1126.849875,1146.828989,1140.620883,1137.983076,1143.863393,1144.002121,1133.631657,1129.370399,1111.398985,1115.836349,1112.528769,1123.865243,1128.012082,1114.659873,1118.421787,1118.671979,1112.083892,1109.072887,1111.638567,1107.643054,1106.628802,1109.183804,1102.608551,1087.956211,1086.913406,1070.710509,1058.229342,1049.501115,1051.112086,1048.958219,1042.846752,1036.566684,1037.378558,1040.215428,1040.045391,1052.927791,1047.835609,1053.471636,1048.546105,1044.577178,1052.000452,1057.157992,1052.115052,1048.79139,1042.254934,1043.82704,1055.833248,1052.880778,1064.84594,1073.572493,1068.865786,1071.221386,1064.54809,1049.189825,1041.980986,1041.497726,1043.727427,1042.968273,1035.837798,1037.408168,1030.947137,1034.076882,1028.506006,1024.023283,1028.388589,1024.084521,1019.247273,1017.451464,1011.544457,996.499535,993.012283,993.947589,994.162201,996.579605,992.277793,989.199648,998.484547,1000.996227,1001.498561,1009.296634,1005.563536,1011.352,1015.23226,1021.265334,1016.566364,1021.363007,1018.925562,1027.082795,1026.609666,1022.325412,1017.044059,1008.126513,1010.584763,1007.961103,1003.00749,990.608031,973.274747,984.334048,970.076671,965.345566,964.591019,960.81261,973.661747,975.660403,983.140117,980.110456,977.73283,970.270724,963.521467,964.427695,968.867127,974.476754,981.194056,984.297814,972.653283,972.672765,972.997902,1003.757444,1024.560892,1037.009265,1043.14466,1045.725092,1048.663699,1054.28512,1055.343472,1055.485598,1053.810745,1057.492144,1051.720129,1054.895615,1060.383789,1057.74857,1050.904724,1055.151785,1048.949785,1042.472235,1046.245043,1059.92539,1059.632252,1063.642662,1064.086153,1054.855844,1054.860345,1047.909612,1045.30284,1053.058046,1053.224666,1053.784272,1038.27126,1023.908493,1010.969597,1015.080017,1022.083804,1026.236754,1031.852215,1022.032025,1007.385734,1002.749812,1004.679533,1005.4278,1008.341008,997.997713,994.927127,985.439288,988.155502,986.648268,984.807722,997.999569,998.969227,994.076994,996.391195,1011.145366,1015.969649,1014.482646,1016.494883,1033.436502,1028.398405,1050.935798,1057.054857,1062.641574,1082.770954,1078.951345,1080.480301,1079.235079,1082.910935,1078.062802,1076.714351,1084.515239,1089.763587,1089.026282,1092.51601,1096.394223,1093.553235,1086.222802,1089.085666,1087.49223,1096.049433,1093.438837,1088.497528,1085.14167,1080.727422,1079.798117,1071.140055,1070.087598,1058.127161,1045.2146,1044.099487,1050.44608,1047.711378,1059.626114,1069.684224,1068.468704,1070.945994,1069.261392,1057.295254,1048.198081,1050.461378,1051.520292,1041.149144,1030.127177,1043.56191,1055.679759,1055.117186,1053.615911,1051.541309,1050.950782,1061.262665,1064.93937,1067.636523,1058.653869,1050.993221,1049.318976,1036.972486,1030.636652,1039.194586,1041.844595,1042.134071,1035.40612,1036.02695,1041.968575,1048.458973,1051.896304,1048.0454339999999,1050.200182,1049.926638,1036.63441,1029.75147,1028.062269,1032.344188,1019.437933,1011.561181,1010.633315,1017.99472,1008.986901,1009.391216,1005.11154,992.705277,1001.109874,998.673571,994.408416,975.508228,977.964702,964.966235,949.572889,955.775474,965.776258,962.632788,952.333152,950.151666,952.844551,957.33491,959.78538,967.653731,962.984681,967.821637,971.897493,985.516951,978.896206,964.804334,962.789242,981.367069,978.927584,1014.250796,1016.869927,994.717429,998.052034,991.671353,980.163134,976.573374,969.1698,975.039963,972.582908,988.308532,986.304687,980.854294,968.140774,966.020952,966.412219,976.174391,993.528271,997.92423899999994,992.265969,992.376191,996.715739,971.440139,955.92361,936.303406,934.795987,939.553951,948.959127,953.050434,960.536605,982.863568,971.468629,970.902938,983.71207,984.655553,971.673715,980.094198,954.655931,985.672918,993.985429,995.501313,1000.756514,1010.378223,1035.034509,1033.299526,1046.398029,1047.908071,1051.302525,1046.024192,1041.780837,1042.345062,1051.434981,1036.927123,1031.073407,1019.741234,1016.430089,1028.527488,1017.643342,1004.559527,1003.329834,1011.254374,1022.983015,1018.293576,1021.719279,1040.16582,1055.959837,1057.844457,1070.527311,1070.616886,1069.136186,1050.186849,1048.199272,1050.609224,1044.31155,1033.653334,1022.936701,1021.57088,1023.427104,1042.555011,1043.300004,1062.369065,1078.669288,1079.728477,1079.786368,1070.998937,1073.330847,1067.424347,1086.874877,1087.455898,1090.143893,1092.36189,1089.173957,1088.821829,1080.378592,1069.51816,1070.066196,1060.648108,1068.751145,1070.907355,1070.242012,1075.641909,1070.241072,1064.715285,1076.187978,1075.738412,1059.967754,1054.349154,1057.700384,1059.319517,1069.517238,1046.707997,1052.117779,1067.753342,1071.060047,1087.998775,1080.189914,1093.259386,1085.02998,1105.983759,1113.75826,1125.705352,1135.681348,1140.643692,1139.456484,1135.388321,1149.682564,1150.166451,1144.437431,1146.743462,1130.216176,1120.710137,1112.74856,1126.249698,1136.619715,1135.063198,1133.096414,1142.051964,1136.49225,1137.745135,1144.069369,1155.094997,1150.267968,1168.896091,1164.485086,1156.545841,1143.758641,1142.664451,1139.552474,1136.17155,1137.847811,1151.435952,1162.475364,1164.427585,1156.297655,1144.34489,1140.274097,1154.20551,1158.260565,1168.243763,1184.125409,1176.143699,1164.359962,1163.250646,1170.087802,1176.88211,1175.526573,1175.324351,1163.06892,1161.968168,1166.484471,1155.644442,1170.14693,1169.434456,1169.265645,1162.670611,1185.17542,1182.283281,1172.097021,1196.72528,1209.615668,1209.886604,1203.590384,1213.137667,1216.238494,1218.696674,1223.832244,1222.200359,1207.225874,1195.235867,1189.197832,1193.934199,1176.115782,1182.056822,1192.254105,1195.192883,1212.329368,1221.07628,1216.425841,1200.90264,1209.670964,1194.528357,1199.734763,1202.623059,1185.334123,1164.491921,1153.372561,1142.85266,1163.087032,1173.379494,1176.175644,1209.336348,1230.834571,1248.647252,1254.587321,1247.628031,1267.98407,1273.071471,1263.454231,1258.746699,1252.385021,1238.503967,1232.596997,1227.516011,1222.621244,1217.866516,1208.168678,1197.004782,1197.526513,1205.136654,1206.863479,1201.006091,1192.555658,1184.214754,1177.97786,1158.454167,1153.580735,1144.389551,1138.632255,1141.090942,1134.381644,1132.848682,1132.19866,1130.39027,1118.50338,1121.222338,1118.805343,1112.367191,1119.971274,1110.778058,1100.541339,1101.194537,1117.686594,1121.947042,1115.937119,1120.793023,1141.379601,1146.497521,1144.326817,1154.255675,1156.674417,1150.983825,1136.102474,1136.452144,1125.355467,1111.11992,1118.320899,1123.262889,1128.491631,1133.782776,1134.67636,1134.546901,1131.026447,1126.17575,1127.309682,1128.939459,1119.078809,1115.532556,1110.220087,1108.16499,1114.094379,1113.317901,1115.895186,1119.687841,1116.913362,1126.897987,1125.664722,1131.824177,1125.9142,1121.615846,1117.333057,1112.524696,1100.414647,1103.116005,1102.755235,1101.840257,1097.025512,1082.970806,1081.721778,1072.381138,1078.57205,1080.112243,1088.264003,1102.253524,1108.185162,1112.067473,1109.630389,1112.919964,1102.164266,1099.889704,1099.459956,1102.261328,1099.176562,1091.170343,1090.097614,1083.179568,1084.929154,1091.360181,1087.697609,1088.004549,1081.230464,1085.079065,1085.374311,1082.450788,1075.598639,1072.522757,1063.663103,1059.539846,1063.325167,1060.272431,1052.50852,1053.652969,1042.797972,1056.213334,1068.919915,1078.526923,1075.363548,1067.255774,1064.072507,1069.97214,1069.003254,1066.233316,1062.974381,1068.949977,1062.294072,1061.686675,1064.268288,1060.178212,1059.400297,1060.118355,1053.225683,1051.546606,1047.05073,1040.723968,1029.901372,1018.199385,1009.292929,1002.481076,1006.160166,1009.849178,1014.241114,1010.800247,1014.021171,1012.103021,1016.675536,1019.108498,1011.666098,1008.806786,1006.467554,1008.671336,1012.947032,1003.120986,1003.643081,1013.691116,1009.782209,1008.923036,1018.185927,1019.064668,1015.746811,1015.885634,1017.594769,1015.081121,1008.469952,1005.325509,1011.77403,1017.001528,1014.548457,1005.026096,1004.469174,1003.655617,995.670927,988.37579,1008.628502,1015.048845,1010.232584,1002.37435,1000.347169,995.093392,990.603236,985.105376,978.27278,980.065262,985.737076,988.190239,979.760963,977.958508,979.662875,982.53231,982.650453,971.358769,961.779891,958.448571,952.923456,957.69726,962.708545,962.853226,958.203812,954.439479,958.001448,961.612751,963.291367,969.22202,965.172039,965.146888,958.368557,969.467381,971.864088,970.320968,965.708117,969.125981,967.923056,966.97014,973.082862,972.352311,965.567193,963.201607,943.515467,939.966525,938.502659,926.143466,922.937934,934.901683,936.501256,934.423292,931.06793,936.37326,938.468395,936.371428,940.317107,943.515432,952.117149,950.953356,945.640403,939.032562,945.618054,941.779104,934.078407,935.448022,930.158728,925.573907,921.676537,919.804862,922.985496,918.872547,915.207642,912.999243,909.228195,913.088917,915.920889,916.728309,912.159401,908.631032,902.139049,893.28433,894.51808,897.885349,894.87136,895.975744,896.63776,886.732375,885.70134,878.440096,881.112128,881.717379,871.45382,868.440518,862.274838,858.442436,851.17922,844.657102,841.595653,842.511977,851.169178,851.309091,851.127039,856.403316,858.645995,872.764208,877.199578,872.239963,877.845153,879.318733,867.605021,861.493941,853.974038,853.06794,858.411499,862.831824,858.469131,863.169403,855.783499,855.919949,857.446566,847.395808,844.534168,847.189111,847.149624,841.49376,838.960111,849.097424,875.630662,880.14899,902.44933,894.770079,880.12465,884.928513,890.209014,902.580937,905.089445,903.500113,905.307694,910.576041,918.248503,918.398904,911.236305,913.378467,913.349006,908.545209,894.709235,897.03155,890.648005,902.741562,905.571598,918.680391,914.806043,917.037968,915.258021,915.612425,911.605068,903.459731,913.387903,912.186969,911.126869,905.486164,917.502974,920.915337,905.653993,898.816497,897.679695,885.452815,888.975547,885.138784,886.007562,889.414743,909.323843,927.286581,926.042492,923.445972,899.611225,891.075628,893.67757,898.916303,895.967717,901.392639,898.098676,896.754061,906.496924,904.219662,910.336817,916.397658,909.665139,915.598428,915.863647,910.084728,907.604562,902.994308,899.792368,895.530524,885.51698,876.040397,868.177372,876.766082,882.545493,873.470986,875.523558,874.049327,870.722767,869.103812,869.301829,871.1686,870.764796,868.117111,870.126761,867.840902,865.925242,856.35994,854.082446,846.72947,828.837767,826.986328,819.188905,831.68415,839.254352,834.102962,821.817139,805.243725,794.561685,805.866469,835.431707,829.326304,825.350599,821.167394,806.223539,799.781206,808.189555,803.057233,809.462728,823.8178,837.027838,842.380968,835.897418,823.258274,816.179343,809.344731,807.224079,807.454029,808.288748,802.92843,799.681306,787.994048,788.895007,785.264197,781.838168,794.216183,801.642817,797.427019,796.071529,806.68121,807.965213,806.91438,800.913307,805.336385,809.45879,813.518277,821.091835,835.567077,840.189967,844.059151,843.167832,842.625876,839.197851,845.206659,853.685027,849.44685,852.729579,843.680743,846.69756,845.450628,844.15264,830.883343,824.013694,816.819314,809.291391,809.033999,812.966312,826.778698,826.193492,836.803096,833.982743,814.829113,813.042553,813.610085,821.70863,830.512871,829.055832,826.754945,816.896928,791.175114,790.684288,803.44652,800.907919,790.744834,787.690267,788.09231,795.179239,790.967733,780.185054,769.097618,752.922662,740.326851,740.017653,735.351431,736.534856,744.764798,749.422904,740.984133,746.236681,735.784083,731.40113,711.244024,713.040471,730.583482,729.884845,734.126895,739.612118,739.554546,721.647436,728.706926,742.735839,742.370947,722.234134,715.977496,708.326311,716.084385,710.66067,688.518555,692.758791,714.374237,709.187654,723.14579,729.556749,723.212811,723.360543,740.071955,738.860904,759.81357,768.464021,767.773666,794.139377,791.470863,799.694145,800.323623,804.061964,803.13288,794.614055,791.429358,789.710423,798.586113,790.343011,779.413556,771.22316,773.562262,789.022978,795.225397,795.458281,807.791008,812.266712,819.247263,821.782544,825.478413,814.296969,826.361054,836.14983,839.303701,841.111994,843.478297,837.135387,822.837445,824.087726,813.377338,821.118769,833.736475,833.383352,833.390017,843.570507,852.470442,864.137649,868.158239,860.769228,850.228662,847.839247,846.135183,860.295891,862.70653,867.654386,868.555872,858.169918,859.102621,864.474652,867.245056,865.277591,864.733461,849.39715,854.287321,865.225223,859.323798,848.367775,850.783269,828.679511,821.261623,804.101081,797.612359,792.049119,776.35277,781.570768,789.146332,785.675633,791.789652,808.231459,815.630292,829.862881,827.500758,822.709691,806.784255,807.660095,802.49284,804.157181,809.514438,790.56931,788.594891,801.484365,796.678484,801.114129,818.730345,820.252757,813.084056,787.299089,788.536774,771.769462,812.384494,830.277741,840.513693,848.120003,854.712286,863.825701,864.801009,861.710067,878.272587,887.697427,885.070375,884.934401,891.952596,893.106325,890.854886,901.676361,894.068841,900.118839,891.235753,892.597567,910.399246,923.560592,931.138206,939.813806,935.446337,941.683039,941.686575,937.975904,940.82862,943.013103,932.854419,919.784676,904.569689,930.251678,943.439464,971.474571,971.909301,972.254488,959.415775,980.626916,988.184809,993.310097,990.665327,987.299235,974.564759,977.612196,969.402205,965.339591,970.508717,979.455677,976.779962,977.852844,971.090125,977.085669,982.140384,988.054115,995.834735,999.868042,1002.925044,1004.217517,1009.522681,1019.090445,1026.453364,1037.623799,1032.695113,1036.095059,1040.886118,1040.945373,1043.404916,1035.804164,1033.881967,1029.026703,1036.023571,1034.935963,1024.909364,1040.444084,1047.927187,1048.203966,1045.994627,1047.780817,1059.513619,1067.012641,1065.616263,1060.500748,1053.911227,1047.612283,1042.210174,1033.766986,1042.675181,1052.247569,1036.872258,1036.771929,1041.46152,1034.592449,1028.630823,1021.048597,1006.255589,1005.857397,992.85687,982.93244,974.571623,968.914727,958.114403,962.459797,976.153142,978.249723,975.377652,969.530128,964.970692,956.733715,949.055701,940.570412,939.55799,948.516001,943.033982,943.732494,959.223325,971.233127,974.574769,976.268257,986.201799,988.259297,990.275259,993.815553,992.804955,987.894765,983.467017,984.420329,985.074398,985.010036,983.118086,986.64563,971.188074,961.210039,966.828267,972.832269,978.573443,982.209785,980.815656,976.495226,963.801687,961.605254,973.189691,984.650258,989.833335,988.714744,990.894925,983.531237,976.065156,957.276786,957.456722,959.973319,955.727553,959.892467,955.526996,961.371988,958.834769,941.178828,934.734832,940.692325,953.720978,956.307803,954.582449,958.696258,952.530534,951.194225,951.952188,957.567575,944.600183,935.118647,918.152659,909.976621,924.055343,938.411922,946.040469,958.672218,965.41326,976.838024,985.679432,986.913618,985.894804,984.491494,985.079368,1004.715233,1011.971235,1009.095007,1011.230589,1004.349069,990.09717,989.91164,988.662974,985.882117,990.806529,992.722023,996.061846,993.692099,997.65648,987.646592,991.324583,998.438555,1007.106269,1010.365462,1016.071532,1007.54246,1004.877642,992.53607,977.795107,984.378232,981.7533,987.091089,981.783957,981.496252,976.759227,970.645517,982.596833,992.076036,991.491801,989.869054,1008.332278,998.758838,1010.85574,1010.317674,997.269867,992.529292,996.855612,1005.325643,1009.431962,1023.905646,1025.632487,1035.314817,1032.794672,1040.287016,1053.920705,1056.371825,1062.386253,1054.068517,1055.780826,1061.533579,1069.431007,1075.216905,1087.536214,1094.987489,1096.826171,1100.233433,1100.981574,1086.731682,1087.88001,1086.977609,1093.744455,1087.773828,1085.293009,1083.072171,1081.92768,1085.083971,1084.454239,1077.06725,1074.514348,1072.371723,1070.871423,1064.419374,1061.41443,1045.514085,1051.220525,1056.7694,1063.11484,1069.301703,1060.127698,1065.774528,1078.75108,1080.537321,1079.244039,1078.694934,1080.849867,1077.70077,1074.482041,1063.259396,1063.262228,1062.590896,1066.830774,1066.346058,1063.659857,1058.673362,1062.372008,1060.934653,1064.726237,1064.332235,1062.177785,1060.574233,1051.38632,1050.777839,1046.183929,1046.813771,1041.775528,1048.141521,1042.333158,1043.864882,1049.935545,1044.567189,1043.532998,1046.279506,1049.138832,1054.741666,1056.037257,1057.593666,1048.964142,1044.934875,1034.982615,1031.18796,1035.948951,1029.499931,1027.692992,1038.63955,1038.233446,1032.881746,1042.924846,1041.193886,1031.65903,1029.906304,1035.427488,1031.954297,1029.10496,1032.236085,1022.440079,1015.805288,1006.954818,1008.853126,1004.49571,1003.933026,1001.005656,1003.392262,996.006053,995.282946,999.928164,993.124693,993.346426,1004.457812,1003.790225,1008.716329,1010.764702,1009.217892,1002.495966,999.898189,1011.725725,1015.444632,1021.738235,1014.831603,1011.48616,1004.152647,1002.0443,1000.169109,1004.968016,1000.788438,994.652683,984.905854,975.285796,968.22907,958.485237,953.902572,944.962202,940.699644,950.594005,952.476657,943.221802,937.694522,943.190532,944.631278,955.885402,955.024701,966.720519,970.266612,959.184403,956.191842,950.684186,966.42077,963.227322,956.264408,955.544085,958.422142,959.255469,950.61742,959.088031,958.871084,957.309735,945.834322,953.296182,944.750658,935.502079,937.297876,929.80473,916.562175,917.735173,926.740364,936.526604,936.373087,936.667205,934.091707,931.639169,949.831297,963.91056,976.401811,970.679316,972.195414,974.574989,977.800064,975.282496,977.424503,970.14965,963.110843,973.173172,971.483356,972.419974,979.487022,990.788119,1002.69277,1001.900777,997.562779,993.18223,995.352673,992.685526,988.2564,990.646414,992.70441,990.49334,990.404107,990.483858,991.523686,1002.54669,1012.318296,1012.760539,1002.1956,998.453603,995.746948,1002.714952,1013.443106,1018.283733,1008.806339,1005.403675,1010.629531,1009.169455,1004.241446,1019.568319,1024.533852,1025.300087,1005.172181,991.773412,979.87921,991.452125,992.985577,995.302529,1010.189427,1016.185648,1016.296456,1027.062737,1027.868969,1034.420003,1042.751119,1036.763007,1034.375797,1027.267657,1030.8154,1033.472214,1044.660156,1042.659803,1042.056656,1033.970909,1031.272291,1029.854181,1022.654448,1023.209183,1014.054014,1005.690385,1008.885355,1004.660586,1007.920072,1005.251008,997.851916,996.343973,987.458423,999.880967,1003.003215,1007.547553,1010.557268,1016.296173,1013.165008,1022.538258,1000.985159,1002.441922,1001.76125,986.84344,990.411255,991.940351,991.362636,973.790438,955.728665,947.673675,937.7867,933.937166,929.536364,920.837598,909.814418,915.44386,932.779654,932.758892,922.279114,924.189428,932.147287,944.884707,958.108195,960.48306,967.915832,965.943373,957.819153,951.365744,946.39469,937.864256,946.30269,956.397275,955.352675,954.149273,947.553421,953.649237,953.858657,961.529669,962.358048,966.497075,969.038945,954.004877,950.467081,957.436667,959.366774,953.021756,952.231396,945.35599,942.876806,915.631369,912.711195,905.962134,917.579966,912.180849,932.122757,941.92591,940.329502,919.460268,901.980605,885.850348,883.338472,900.542403,908.492725,946.76837,953.538413,957.117638,953.683016,943.588661,954.37625,954.375571,972.892745,980.636986,985.051439,991.378495,1004.0268,998.54882,1008.878469,1016.024492,1020.415012,1030.82145,1026.675459,1025.916922,1048.094834,1048.125044,1048.154572,1045.764696,1046.331841,1046.096749,1046.177486,1041.904652,1050.742536,1060.578618,1061.092517,1052.483343,1046.024358,1042.260985,1037.330644,1038.122092,1039.452122,1027.418371,1022.361643,1027.300583,1017.712044,1009.806109,1011.957153,1011.170797,997.331791,1001.104218,1008.921769,1003.293165,1019.610197,1029.221433,1024.489738,1015.926994,1007.136939,1008.126246,1017.062228,1024.992511,1029.101176,1031.150154,1032.615182,1032.050288,1028.653344,1022.270821,1015.465226,1022.428067,1026.347274,1024.962552,1030.110624,1042.239904,1047.698284,1049.084415,1057.652914,1063.562853,1065.940343,1057.924378,1059.841867,1049.936739,1041.280269,1053.133073,1054.615879,1046.563351,1042.705807,1054.411777,1053.390664,1053.142879,1068.45695,1063.986761,1066.519638,1065.835873,1064.878919,1059.026836,1058.746945,1060.869348,1059.564078,1063.749459,1067.610323,1072.72758,1072.820083,1069.009786,1068.197777,1069.881068,1062.057765,1069.11507,1072.260344,1076.530908,1079.070151,1080.741535,1073.153696,1071.212414,1073.482417,1080.714736,1073.037562,1076.987914,1073.029108,1069.859724,1075.764496,1077.896222,1082.683937,1078.164217,1055.196343,1055.17844,1049.450108,1046.647955,1043.725352,1043.031491,1052.682484,1053.170128,1046.241754,1040.017034,1042.816759,1042.558634,1041.373904,1034.552024,1029.059829,1024.056512,1021.261793,1017.371139,1007.272706,1007.676499,1007.022489,1003.792615,991.26661,996.435426,995.097235,995.944477,980.837591,979.48688,977.982426,969.822775,974.332395,980.624205,982.168993,989.265247,990.978436,995.306118,1007.452363,1006.273833,1000.797028,1004.683216,999.628754,995.325633,990.700369,999.122814,994.548246,996.824708,1007.308244,1006.066819,1013.361756,1010.847184,1003.346509,995.223395,996.695166,995.953902,992.086672,996.586731,997.933647,1009.158757,1005.516321,1002.502492,1006.226945,1005.080286,1002.656112,998.36105,990.372299,1001.854448,1004.371598,1006.598713,998.271275,1009.435142,1006.840552,1012.631312,1014.069679,982.003097,978.483316,973.090214,969.970169,968.820876,950.450784,939.511124,947.369878,947.328386,944.389257,952.910025,956.761059,960.859427,965.466944,974.089703,969.427151,975.462537,969.208481,971.049848,975.819395,974.230914,977.25368,972.585095,979.254158,979.278478,970.599513,967.848097,967.44324,952.788582,944.944553,954.224804,952.487512,948.970809,941.763767,916.443931,905.649364,909.430297,912.469745,936.86803,941.130058,930.895162,933.140888,926.732625,926.133392,914.069791,932.383334,934.246711,935.660975,946.010419,955.179763,956.766324,941.398309,937.353867,906.711211,913.171051,906.85246,904.150312,917.175117,932.360609,948.270875,943.440363,934.06142,925.21824,913.544966,919.46786,912.99738,914.873296,905.166764,913.18409,902.569488,886.411549,882.463769,893.859336,906.295682,907.884963,921.706806,902.133676,902.093188,896.964341,919.280859,913.389907,906.610209,920.776076,924.261835,946.098181,951.999782,971.014304,980.690169,977.904585,992.548575,1001.845999,1012.957361,1024.27342,1029.830825,1025.555698,1026.015587,1019.498017,1015.944226,1011.536907,1011.126743,1007.959397,1021.507518,1023.485833,1023.753809,1020.080194,1020.004248,1027.306232,1024.897588,1016.208472,1016.168675,1026.292264,1037.262733,1037.325648,1055.62827,1047.721262,1041.447461,1032.604124,1043.903293,1055.416575,1044.312078,1041.955537,1040.575605,1047.619203,1049.787633,1061.313973,1063.34262,1065.453093,1066.829774,1066.54266,1050.501917,1060.007954,1052.690139,1037.712836,1041.200905,1065.300665,1079.935582,1076.421341,1079.443335,1068.823309,1056.513021,1067.559731,1059.255902,1064.560288,1064.414324,1062.459924,1049.240324,1058.472348,1046.9582,1052.999687,1042.152424,1061.684799,1060.699883,1048.557548,1047.216495,1048.356354,1043.957065,1029.852075,1019.3944,1006.166587,1016.609605,1014.976398,999.598459,997.604363,999.643764,995.077581,991.381782,980.928963,972.34672,952.921655,953.479921,948.651957,948.819251,930.869589,927.061491,932.4426,937.540112,939.911771,916.38682,914.209319,913.105168,924.276899,927.703665,919.55295,916.204553,900.787159,888.765503,904.09245,896.678738,903.948754,916.864893,924.906007,934.176312,947.591743,959.334995,953.497734,966.193354,960.830523,959.117929,928.324818,909.483216,902.277764,877.404843,885.256228,909.335835,909.838133,934.076126,951.965582,960.046337,969.195724,976.8608,971.154696,953.951416,980.014757,990.550452,990.2884,989.627936,973.99267,977.107534,968.691402,995.562451,1010.119413,993.814191,960.377574,955.282951,949.392801,920.070769,907.713846,932.954148,925.132642,941.023765,935.502235,930.474418,923.153879,909.42642,898.265061,883.897718,864.077754,836.543665,831.215043,852.239161,880.434214,894.481825,891.052064,893.465035,851.510329,861.528941,880.644466,940.016185,951.148544,949.3909,976.843285,963.72128,952.547789,964.426167,969.969736,992.306094,1013.527032,1009.750993,988.053559,1021.883737,1038.000672,1033.14968,1013.681648,1004.570353,975.924064,973.051241,978.208836,985.802805,966.059657,970.157386,995.439355,1024.451292,1018.643956,1013.413566,989.736521,989.947523,980.744184,968.509994,990.184535,1041.068011,1073.021497,1102.593189,1126.967721,1147.595697,1137.731265,1145.395059,1148.991353,1156.561061,1148.180146,1153.183186,1143.293486,1136.793536,1129.001465,1122.3934,1135.598581,1135.424229,1137.880459,1121.267789,1142.816878,1163.925579,1167.605726,1161.171076,1166.19862,1156.740151,1146.21862,1132.788017,1121.138557,1112.543208,1115.673276,1105.306962,1116.250682,1113.026049,1098.325277,1103.738484,1107.429925,1127.797688,1134.399944,1124.672384,1128.850636,1142.24467,1145.46705,1152.555692,1149.000972,1155.505713,1158.957738,1166.716822,1167.972217,1147.818934,1133.369094,1118.020133,1124.61599,1113.796452,1140.547123,1140.424673,1142.465592,1133.389945,1136.659064,1144.689332,1147.584665,1165.909632,1166.640886,1161.941847,1163.33849,1161.681237,1170.927646,1185.755586,1206.485346,1204.027833,1200.709985,1202.430049,1203.33207,1203.747539,1205.898236,1194.987345,1166.411703,1162.081239,1181.571309,1182.207797,1185.323681,1177.309826,1200.241152,1206.030977,1202.237828,1203.469176,1194.833767,1193.134001,1185.120841,1170.870233,1159.521239,1142.564126,1138.364362,1143.942301,1134.707339,1123.621875,1120.094659,1110.151538,1098.595232,1091.447209,1096.326248,1092.650889,1116.912041,1108.523905,1115.69197,1135.666077,1135.772962,1132.022269,1138.474695,1127.446381,1113.305837,1112.149617,1107.767316,1099.455016,1087.104432,1095.995653,1101.659102,1122.008103,1111.917848,1108.584403,1104.096218,1105.577179,1091.164772,1089.283406,1110.322886,1126.942967,1128.274637,1129.692312,1133.123535,1135.324988,1130.738675,1119.079273,1126.28589,1141.821983,1142.493235,1135.920477,1136.69122,1136.650343,1143.15965,1161.189186,1159.002256,1160.034859,1163.034179,1163.066117,1143.142755,1136.203721,1147.14069,1154.988671,1160.979444,1165.045107,1163.498977,1151.384661,1145.78841,1136.887215,1125.898593,1124.96008,1127.780951,1126.491023,1124.343951,1111.007915,1115.416701,1111.847552,1120.287738,1128.889671,1122.850778,1114.793602,1116.564835,1115.249943,1130.480409,1126.431069,1121.77583,1114.032467,1097.502198,1075.853252,1080.693656,1081.058821,1096.722366,1090.012334,1113.651695,1112.015886,1110.979352,1093.823648,1100.574697,1115.050581,1121.166283,1138.844174,1147.953646,1154.624115,1154.181147,1155.941689,1151.079736,1132.440221,1124.187853,1120.850758,1105.753609,1102.82358,1098.928313,1116.610291,1115.298192,1105.19306,1106.226802,1101.282002,1097.656506,1112.42279,1121.433041,1127.194724,1117.687488,1098.948772,1107.665859,1101.26725,1102.823903,1106.747586,1096.856927,1090.761369,1086.089763,1075.529114,1070.378654,1061.322247,1061.565505,1053.267188,1047.157402,1047.950466,1043.951779,1044.183616,1035.937984,1031.05853,1038.112148,1035.512733,1033.637485,1012.984264,1009.088177,1004.549395,1006.139398,1003.747467,995.276649,989.760219,970.046017,972.29056,970.040162,966.046947,962.642143,973.577391,986.297302,988.16222,994.245234,994.095205,993.786644,985.238966,980.474739,976.181037,982.227505,1001.704312,1015.990081,1010.952883,1011.715653,1011.480367,1009.666774,1012.940772,991.409701,993.835662,991.293511,991.038782,985.479428,981.421943,973.39302,964.646493,953.680636,945.059351,948.919412,957.136292,961.51007,957.2205,952.491158,951.854909,940.75101,930.200408,930.456462,913.545555,909.30293,917.985187,924.811523,951.805745,947.560077,952.129608,960.20692,967.612038,978.59218,953.481232,947.20372,943.3603,937.677367,930.295523,917.176783,906.976429,895.214762,891.115558,889.655155,913.485964,924.668501,908.554167,907.132234,917.046585,904.181511,883.18146,855.52341,891.499245,886.657404,882.420484,910.54963,939.77526,939.739557,959.814937,975.562772,968.004236,958.826706,967.228887,927.037424,948.535458,970.244009,990.641674,1008.313626,1020.033087,1014.080985,1005.270714,1020.236199,1035.216185,1024.070611,1020.67401,1026.891192,1022.862616,1011.290081,1032.083182,1047.513338,1046.443869,1033.80644,1041.376696,1043.99727,1036.311402,1042.988162,1039.265631,1036.616741,1027.274011,1010.333899,1009.330982,1003.666032,993.078349,989.952148,992.002346,994.116175,989.925886,997.940462,1001.507499,1005.765827,991.483196,983.036253,992.680657,989.831583,993.442816,986.152943,986.079501,974.922581,961.340622,966.434487,959.661932,947.895298,935.92941,922.927775,933.226585,940.209496,943.298787,933.354281,943.112161,945.085474,932.549894,921.748819,922.908297,912.492674,908.66642,894.071738,897.699791,926.413529,952.256711,940.431039,934.222947,933.589677,940.074425,928.705574,938.062397,959.05876,963.851954,981.165422,997.492286,1013.412227,1010.774906,1013.291533,1012.094783,1021.179769,1028.07004,1016.405749,1014.420721,1021.751589,1015.257167,1004.511256,989.46945,980.609988,980.581563,981.14267,973.863371,964.409336,953.92198,946.415408,950.210023,954.93131,973.419294,975.010546,979.211079,972.786363,965.255649,962.596029,969.190565,980.343896,983.323668,986.069971,981.565389,973.313427,953.127978,941.009365,978.654083,972.184805,977.197417,965.080845,968.459568,981.792277,980.40508,982.428198,962.511357,958.882979,972.09352,963.088768,959.657146,936.358011,930.089653,926.135466,903.459847,911.157183,914.258746,921.344634,916.644686,946.948062,966.416447,967.95023,961.454201,968.276037,972.190813,976.974818,966.037244,975.791905,972.098422,950.985054,950.34255,946.286698,939.911735,928.889861,925.953396,907.023978,901.385405,911.261735,914.045364,913.188551,904.536101,908.073755,908.129418,918.559281,922.306574,910.705409,918.900345,919.890408,913.509588,894.004284,884.590187,894.298641,887.052717,879.936108,880.785283,853.319145,840.987944,831.03829,842.113744,839.459719,851.462085,843.994356,851.883887,858.259101,861.37019,845.506656,837.119564,822.860987,825.193528,819.831251,852.738045,855.6382,840.239272,844.899991,854.778726,852.930637,855.518474,854.540793,860.617663,864.728663,844.024329,833.544452,822.438196,836.593498,833.662682,823.713836,822.113958,806.55097,810.462718,807.02095,782.679837,773.408017,766.052011,739.582264,723.052057,736.019025,741.746727,739.453931,750.722325,751.335428,766.13712,773.072759,761.295181,764.678679,761.919222,750.224872,741.797365,723.71855,736.481136,750.473298,743.723048,749.021121,764.628874,769.9376,790.185085,791.032432,789.134891,771.184092,772.253427,786.964648,781.757237,784.220526,795.592331,802.210284,773.121257,761.744163,754.180315,739.618308,746.416923,740.957485,756.069569,745.818769,728.492405,707.928379,699.390552,709.865801,721.131228,723.584859,725.130708,714.913287,712.050651,704.293777,700.985066,662.834736,662.730425,645.561719,623.720104,633.517825,647.837408,639.753167,629.230817,627.244751,633.484451,643.397587,648.392473,643.855434,645.560924,640.596921,632.628192,610.2201,615.888485,623.031015,617.113963,613.071752,580.758159,569.966602,561.45571,591.319944,599.730896,587.445901,581.513416,579.309559,552.991014,557.455947,543.878375,541.918523,539.660312,527.977247,515.966516,512.503072,502.701216,485.292208,488.314172,488.147936,493.46747,476.158559,475.080462,499.303823,505.836576,505.424834,502.739867,510.142781,502.508944,521.39824,516.326003,520.873516,554.307939,542.692861,553.541824,561.380791,564.806981,557.526492,536.568751,535.968006,525.347303,517.137057,529.5321,532.177431,533.111538,518.928845,515.878889,507.289259,514.36241,515.164113,517.536342,537.836725,526.642306,542.848352,550.893835,553.221355,571.248886,578.399632,595.207296,607.395184,598.94027,580.957123,567.042121,565.778725,557.470881,551.57808,553.683914,555.816999,567.339028,582.057732,590.296092,586.1454,571.853173,562.670338,551.712429,568.888031,562.442284,537.549286,537.085175,497.510743,501.76599,503.380146,501.224973,513.391053,526.97212,513.264781,500.374796,485.520617,467.634729,464.310655,489.589503,500.481786,520.094994,530.280199,524.120186,533.485833,555.623897,583.018032,564.762945,557.661144,600.179092,603.142013,584.360387,570.521254,561.335315,507.547349,484.926685,454.340172,473.392621,514.291475,534.667871,580.199751,590.59163,567.920457,576.501174,623.297286,673.749387,635.662526,591.901229,618.901755,605.840558,659.088924,671.179414,741.725723,759.4978,786.174439,786.924149,775.057096,823.668669,838.288593,831.304572,830.322101,854.475342,845.562659,767.837813,768.918821,784.608321,825.348098,855.472046,839.812435,858.937584,868.583202,902.504888,873.679793,893.271213,911.957968,928.599477,956.253169,956.958566,953.742192,938.49972,950.246738,956.218709,957.144266,961.473522,942.877226,960.071646,971.893885,983.944402,973.878773,982.515071,990.594554,990.023591,1008.138098,1012.179836,999.498849,1008.337967,1029.808265,1041.856372,1038.961003,1015.793627,1024.403377,1024.519634,1042.771237,1049.920341,1035.641506,1041.49635,1022.158611,1031.395418,1015.89599,1016.169173,1043.040371,1042.997556,1036.527249,1036.970673,1022.605777,1038.288779,1033.483269,1057.153571,1068.746303,1087.118872,1084.79336,1099.712107,1106.209244,1091.557543,1099.542893,1110.32279,1126.598701,1138.632836,1143.716148,1132.820299,1119.870157,1123.041516,1131.275093,1137.926813,1167.385418,1182.677596,1184.285528,1173.30058,1190.47789,1207.586791,1209.869872,1201.691636,1195.298115,1191.821034,1207.790435,1221.780744,1232.940271,1233.498641,1249.554792,1240.140131,1221.230098,1207.414222,1205.421813,1193.9413,1188.445859,1196.274255,1205.860826,1215.258891,1209.634894,1207.293586,1192.663067,1191.365065,1180.003637,1194.214404,1188.841737,1186.983771,1191.940041,1189.578882,1186.835938,1175.690387,1174.098482,1164.832745,1150.669281,1145.107702,1160.19669,1158.621316,1150.206232,1153.401164,1160.466946,1145.053682,1142.738856,1137.528431,1113.6145,1104.430144,1112.606616,1106.50733,1107.445279,1104.346332,1072.589167,1045.79349,1065.792536,1065.023159,1044.4886,1092.390714,1099.670851,1131.002944,1118.2465,1093.785517,1117.34833,1144.122496,1142.008311,1136.038465,1144.712078,1167.497475,1191.878682,1190.727744,1172.140689,1161.301674,1150.145401,1154.399521,1139.372846,1153.563935,1133.660422,1135.632866,1111.356889,1101.106976,1084.009292,1095.213712,1095.345864,1104.702311,1127.607229,1142.315805,1119.845803,1088.569848,1091.202161,1102.665097,1087.555532,1110.982382,1083.187227,1055.030895,1040.920361,1136.096127,1140.599468,1147.307968,1195.991447,1217.832149,1213.531859,1221.120694,1226.834338,1220.141079,1207.307358,1224.864746,1227.338538,1235.064291,1245.422356,1246.900915,1248.349618,1243.491721,1237.509392,1215.821657,1195.83072,1196.859975,1189.327694,1183.761937,1224.481987,1242.12756,1271.947727,1279.003828,1276.726489,1282.559978,1280.348332,1269.267627,1246.593096,1242.975241,1241.869309,1226.633931,1203.495876,1187.823438,1200.766767,1185.949083,1188.341314,1228.366523,1226.882194,1245.602596,1264.533576,1279.634067,1240.117744,1231.780399,1277.710955,1281.952005,1303.032031,1304.517339,1285.969123,1309.969674,1327.707134,1337.447993,1331.79079,1338.304762,1311.343548,1283.824011,1265.157227,1268.524466,1234.120226,1263.091518,1278.899781,1279.69677,1274.449793,1290.288397,1276.322925,1289.287037,1271.264886,1260.341522,1250.007307,1245.865093,1225.890302,1236.639727,1244.05719,1217.880912,1204.739755,1202.730202,1181.257222,1169.929524,1174.546223,1160.978806,1153.51739,1145.490704,1107.853891,1098.477079,1107.591914,1101.205577,1089.598729,1087.784088,1075.257582,1088.343421,1094.041446,1085.290774,1091.051889,1086.825322,1061.522695,1047.796535,1050.253165,1059.196743,1039.63896,1035.130376,1017.276255,991.733455,993.552935,957.825687,956.725083,1013.865237,1038.822316,1053.989001,1043.425187,1079.211653,1093.292608,1063.26946,1058.567151,1080.180211,1080.74514,1074.495711,1112.613824,1094.428904,1085.171418,1121.21638,1147.42451,1156.519518,1162.966793,1150.874573,1143.948025,1132.043663,1139.950782,1140.13481,1145.956124,1130.004888,1113.609264,1116.129556,1119.146339,1105.830177,1097.163507,1088.782413,1072.739664,1059.543882,1056.23895,1044.852527,1050.955396,1057.171594,1064.069902,1066.843164,1064.132165,1061.638423,1061.643976,1049.208996,1036.284685,1015.116993,1013.989193,1014.100583,1006.715883,1019.494762,1023.885776,1035.402869,1034.307982,1031.368981,1014.641244,999.177839,1006.004234,1004.729604,1003.257073,1015.813393,1017.289246,1013.916685,1005.563586,1003.021213,1003.761762,992.383302,997.873359,990.698543,993.76133,998.630912,993.005517,999.400324,995.150261,986.361075,974.985441,970.072763,970.856257,975.667639,983.366881,982.581866,980.025897,980.720111,979.435194,964.193374,975.544157,978.298434,980.53632,968.851782,963.201144,963.487635,960.193019,956.764961,950.157937,947.31,936.976221,927.998474,928.903234,924.539801,913.64441,921.970171,925.285104,923.377969,921.597698,909.223927,898.406645,893.741748,882.875442,883.820151,872.263337,888.880341,895.373345,889.332972,882.693379,866.253333,864.707509,844.183582,877.60105,882.151538,895.542327,911.531549,940.412255,940.238448,943.884729,937.593105,936.432506,937.10577,935.20857,928.434871,915.241303,911.84059,924.159005,924.929329,928.595148,928.654857,922.038775,919.615633,912.678206,901.477258,899.422882,894.711454,901.986819,912.776964,915.877978,905.806303,903.697661,896.775552,896.849061,893.705682,895.054368,884.52876,873.862048,867.130465,877.586669,888.974117,893.963389,906.707414,920.77334,912.648379,910.185746,905.326195,893.418027,892.954892,892.76846,892.431172,881.43122,895.313979,891.643806,886.752655,876.019132,875.414645,881.674729,885.44085,891.414988,891.279313,888.378948,879.307775,875.707737,874.079805,866.526385,853.025438,863.126908,862.970731,859.929362,850.758987,844.103649,843.761755,851.165349,848.24272,847.904742,840.776518,842.69551,842.098428,835.99037,838.024598,831.61447,826.906077,821.248677,822.11644,814.438166,806.164404,814.834075,816.601497,811.652247,807.235914,804.156796,807.130342,807.479834,806.005127,803.095083,808.574863,803.665097,790.49436,785.830757,786.226617,782.429373,783.790127,784.865946,774.380267,775.753281,781.088822,778.160855,780.552505,776.01428,768.100676,762.837927,764.86143,774.47886,777.826948,781.697721,782.26854,771.509342,769.12692,767.253222,759.731016,754.718176,770.11019,770.730568,780.716704,789.344748,778.5654,773.123544,776.861241,771.034535,765.625414,766.000306,764.879065,769.945014,776.541959,771.996741,777.217712,783.474679,780.406714,769.298327,766.584823,768.472705,767.981851,772.143236,764.786733,760.828563,763.397159,756.687905,756.115018,748.659187,755.836306,755.401279,755.891747,740.469231,739.40748,731.339815,729.881857,734.988169,722.119914,711.649901,710.327764,722.673631,734.561211,752.704015,752.79615,755.981959,751.512904,749.567521,745.806543,759.053263,747.539438,723.519864,708.369496,706.504996,699.846604,699.757198,702.816215,698.412084,692.958783,701.938486,706.74755,688.873283,673.300208,665.27173,695.10042,706.102444,697.328412,726.300423,743.982036,759.536554,767.111336,751.866931,750.995526,757.503244,769.698887,751.031058,748.688601,763.235324,750.009514,786.47137,791.697556,816.153435,817.374915,820.107999,856.949892,873.287628,879.342959,881.23937,881.513491,870.378294,864.627429,860.23693,856.803168,845.022497,841.580232,839.48164,844.855829,836.397936,840.732064,843.596565,839.728802,838.242508,827.786841,816.37099,803.624255,803.920959,807.730031,810.844576,814.058969,817.21201,812.054964,808.464433,801.690304,787.802428,783.827817,772.320252,771.456515,777.990226,774.136091,772.573567,770.529468,776.367954,784.613657,782.38722,778.652394,773.781386,763.588121,762.189898,752.449355,749.96862,749.472759,758.38315,781.973508,784.846422,791.85093,787.225294,782.106198,790.31752,786.060023,784.883947,779.07209,782.50731,778.561986,768.462304,762.250833,761.935553,760.639874,771.207406,768.862784,761.176378,773.408969,779.61124,767.591856,778.76068,786.119195,783.771474,778.3454,779.374049,772.456112,769.912287,762.14385,752.093968,754.218146,753.53518,738.698311,751.472977,756.752267,757.376026,753.237589,748.979109,751.993643,744.627448,737.874723,734.936326,721.133909,706.48329,707.682471,701.81401,705.773328,703.31905,700.084541,699.039869,693.496591,693.915003,689.639767,690.18822,692.131396,691.382155,688.559963,683.734417,684.810235,689.08859,687.520102,682.62526,679.095246,672.355926,667.994232,665.583184,668.243259,667.162012,663.98825,653.118949,658.810615,657.738774,654.864388,648.706502,645.461123,647.822535,646.64448,641.587334,640.540497,635.830718,636.936439,637.376155,639.354516,634.645152,626.60397,617.411884,605.694729,608.015052,615.586514,612.859655,612.860536,607.829503,605.667907,603.733906,616.355854,621.435455,618.355177,622.372879,636.778959,646.352725,642.574078,637.895862,637.239822,652.809043,663.752601,661.512746,661.317928,655.737255,650.422295,647.893026,645.351369,640.727043,645.642129,650.732391,647.172692,642.726005,640.20812,637.864633,635.549949,633.516727,635.826378,633.591717,629.601546,628.166648,626.466603,623.996586,616.830987,606.22993,600.447444,599.367816,604.757829,605.419002,604.269062,609.622957,612.430807,604.181685,608.15443,615.826901,617.841916,620.927503,621.303957,623.489272,622.597023,616.953116,615.762131,615.7141,618.679953,618.272837,614.640562,607.060435,602.563653,600.386092,594.090605,591.282408,595.77277,596.12213,593.232699,589.178165,586.413727,583.928548,582.832906,587.529916,583.423514,582.213954,574.183284,564.086812,562.601103,565.498104,563.165654,568.164538,565.167694,565.446687,566.910876,565.967726,567.25207,570.312242,572.219493,567.363204,569.290253,569.958489,565.071338,562.581644,558.153428,556.728104,556.155611,552.48394,555.566333,553.755254,555.160352,555.78763,551.39722,546.585205,548.154875,550.502676,544.146231,543.305824,544.942111,542.906067,544.379106,545.813934,540.525394,535.791108,536.587212,537.301015,540.036408,543.330366,547.232283,550.207708,550.78339,548.018456,542.894187,533.933916,533.614825,531.989693,531.229749,537.571048,542.183936,540.305319,537.617815,535.583096,534.110588,533.069598,526.393506,535.994426,543.548783,554.582582,552.827862,554.104693,555.440789,555.655711,553.587185,551.00432,550.391132,555.862892,548.689389,540.132285,538.625303,545.376418,546.139962,547.414717,557.275786,559.809354,564.026482,564.084718,565.970664,567.434405,577.285283,585.030998,581.787121,587.369566,586.906872,587.475338,585.258692,582.030665,580.371707,586.899573,588.681423,581.728822,577.446565,571.265823,571.838685,566.623033,563.984648,562.492453,562.755479,561.076449,553.838743,551.482802,551.930959,549.414599,551.267301,549.464366,546.201011,543.429682,541.823931,542.281917,535.705979,533.858211,532.793958,527.84886,527.310621,525.491365,524.316247,529.180964,528.227222,528.157576,524.999547,522.254119,521.765828,519.857741,518.960044,518.250403,525.201048,532.893725,542.219091,542.174491,538.835993,536.367086,534.402774,532.809532,530.144842,527.91402,527.490319,524.934719,520.914267,521.480726,519.149012,512.601198,507.481496,503.92365,507.138635,511.067947,518.39186,521.68901,520.82305,521.537763,518.54741,517.950194,515.04284,511.701362,508.499059,504.48668,501.372673,505.803546,508.643902,508.046679,500.328052,501.625149,497.775839,492.516069,491.812743,489.252101,487.813683,490.345276,486.642338,485.762262,479.002146,475.870849,474.271212,472.46423,469.741775,465.981109,464.379772,468.146696,465.963191,463.375942,469.461259,467.226919,466.445442,464.582048,467.620221,471.917803,480.078927,481.69852,481.492952,480.403794,480.259379,480.403124,470.54595,464.151045,461.743873,460.499855,459.085468,461.28914,462.07373,462.681887,466.56926,463.508826,460.68192,460.174271,455.992897,457.674324,454.317261,450.561389,446.395655,445.633693,444.943925,442.458812,445.470461,443.389741,439.746434,438.83927,438.121108,437.586558,433.899544,431.945779,431.599898,432.196613,432.053829,425.830762,424.022526,422.150968,421.793006,420.596303,419.249667,423.126841,422.4702,421.278104,423.862131,420.641491,421.823116,420.896253,423.140287,419.030529,419.903269,419.806066,418.514361,421.411622,423.743019,428.099258,426.460246,430.444289,428.575952,424.756699,426.382793,430.342585,430.013251,429.251462,427.048063,431.923778,429.341103,429.97164,433.105186,432.199623,428.147994,428.736567,431.173958,427.766832,420.258647,417.534768,419.281449,417.141621,418.712922,414.906593,415.050232,412.171591,426.68651,430.326719,434.546579,434.712186,422.333979,420.201418,430.029341,431.658991,434.125943,433.10625,426.191166,422.508603,423.201757,419.410501,414.242927,419.496759,402.820696,395.930528,409.143783,416.956556,421.858744,415.854392,412.973945,433.521036,438.800091,446.129773,447.487613,440.67872,441.298512,449.87827,463.162664,471.365935,474.382948,478.22548,472.808114,476.897736,482.159478,481.576627,482.354694,483.498506,487.403396,494.436695,497.25649,495.863425,494.831628,493.089651,490.441334,487.01716,485.343736,482.062352,476.437495,472.99649899999997,466.626795,463.313726,465.20819,465.31911,468.365893,476.806485,474.6361,470.019367,464.573743,464.248866,466.799957,469.344162,476.339143,485.246861,486.31145,488.306121,485.447172,482.406522,488.370592,485.280718,477.73243,472.603351,470.958111,470.440969,473.384385,475.479038,478.537273,483.193037,483.689163,480.050282,477.166853,472.084581,468.946294,467.950576,459.980636,453.635309,455.681367,457.276538,456.759933,457.191197,459.228525,468.840523,471.43497,469.76832,467.89698,465.635395,465.469067,467.073051,459.110835,458.75123,464.128535,467.660105,467.356967,468.068454,461.859329,459.844445,460.946782,462.289667,450.698299,442.778084,441.627479,436.29587,433.35844,432.374416,430.638501,430.573615,427.758806,425.77598,421.969171,425.648377,429.604758,426.368809,423.506898,421.771711,423.099765,418.73413,419.682408,421.194127,423.651228,422.683732,421.290587,413.325281,408.897675,405.497529,401.040136,403.723428,401.150193,404.273156,410.770946,410.303411,417.674629,417.597062,412.508416,409.641693,414.109153,416.473663,413.770868,417.576566,417.478527,415.489671,409.114632,409.889614,408.791277,407.075092,400.967336,400.682155,400.731615,408.934962,410.051682,411.10029,409.651253,411.61158,407.807182,408.723202,410.49434,407.879143,403.685745,398.572014,395.939453,393.782258,390.324343,387.049295,381.669707,377.633905,377.000394,376.657487,379.630855,383.300685,380.456204,378.857408,382.827158,384.305981,384.771901,383.677946,380.489024,383.965652,384.029181,383.47758,384.80544,386.102637,384.734323,382.798632,381.615692,378.697153,375.518425,371.555799,371.084741,369.318096,371.342954,372.849002,371.424936,366.433191,365.883502,364.585586,362.175314,360.92295,357.538109,352.777624,352.333788,349.610668,349.722377,347.051246,350.147588,351.953398,353.232252,352.624149,351.260248,353.353093,354.457608,350.411363,347.597712,344.192461,344.918635,343.653895,344.541562,346.220281,350.353235,352.008626,353.432258,346.4231,346.816018,349.707935,351.530253,349.762791,343.229205,341.331255,336.745386,332.684155,333.574543,332.521168,332.687126,329.67516,331.639991,336.277225,337.297635,335.5904,337.563451,331.685718,330.159336,328.978796,325.35395,325.053451,325.733898,324.474999,322.708157,319.851201,318.194074,319.467897,315.435593,314.840654,312.899479,309.11242,307.083539,302.122504,300.254516,299.839136,300.502609,303.015903,305.225543,304.99875,305.67551,305.897717,302.458955,300.210517,302.191348,299.376879,299.463752,296.707177,295.287107,295.165903,294.09683,287.674,285.768,290.03,294.128,293.879,297.375,294.459,294.288,290.737,286.319,284.702,283.683,283.489,285.742,287.198,281.023,277.748,276.152,273.664,272.267,277.317,277.431,278.743,277.982,279.256,282.186,281.074,276.807,276.833,269.877,275.254,272.291,269.711,269.705,271.687,274.432,276.207,278.235,281.54,284.657,281.288,281.61,281.673,282.383,287.919,286.748,285.973,285.384,286.815,279.254,279.386,283.765,282.632,282.158,284.593,287.806,291.477,291.572,291.885,290.438,289.848,289.055,290.179,288.792,293.897,297.756,296.079,298.358,301.958,305.99,308.006,307.62,307.107,302.857,301.397,302.092,301.382,303.363,299.981,294.085,292.09,291.951,295.985,297.394,297.132,299.242,301.892,300.034,299.441,299.801,297.386,298.578,298.991,297.04,297.605,299.925,299.281,300.195,300.277,304.858,304.42,302.358,298.341,297.277,299.417,297.334,295.52,291.417,291.477,293.634,292.441,287.241,286.432,287.151,288.798,292.75,292.229,290.023,286.53,287.652,282.091,283.161,279.371,280.267,283.57,279.99,279.912,280.033,274.085,276.102,276.852,271.949,267.57,265.253,258.397,255.981,254.793,259.361,263.042,262.677,269.624,268.709,269.59,269.004,266.106,270.7,272.243,269.672,272.254,274.734,281.265,282.225,284.609,291.523,286.953,292.517,297.7,297.637,295.222,290.367,289.1,289.557,291.335,293.718,298.886,296.452,297.98,301.276,300.976,301.536,303.033,302.34,300.664,298.589,298.195,296.459,294.775,292.194,292.031,292.806,291.464,287.549,280.98,282.569,293.249,293.465,294.623,298.179,293.444,292.319,302.157,302.076,310.283,310.717,321.25,326.078,324.736,323.519,326.021,328.119,321.349,327.677,331.223,328.118,326.206,316.561,316.87,318.637,319.752,313.65,309.442,320.681,321.539,324.113,326.269,328.733,336.077,335.14,336.236,339.677,339.517,341.489,342.932,340.307,345.057,346.494,348.174,348.063,346.28,351.027,353.158,355.143,356.517,353.145,355.827,353.247,357.991,360.733,357.137,356.51,352.47,349.25,349.252,351.955,354.139,349.533,349.226,354.061,352.962,352.755,352.838,353.165,358.172,358.32,363.579,363.83,363.582,363.424,364.077,363.983,357.174,354.546,352.306,350.849,350.397,350.518,351.756,354.581,352.54,353.282,353.631,350.273,351.461,350.749,348.715,348.121,351.306,350.01,350.547,349.968,348.655,346.701,347.603,347.585,348.653,348.523,346.705,346.858,347.84,346.274,344.46,336.704,332.765,335.038,329.117,327.577,326.823,327.044,327.175,330.811,334.42,334.747,327.757,325.626,324.316,324.851,324.166,327.388,325.781,325.438,327.031,327.746,323.102,327.764,329.623,328.449,326.326,324.949,322.244,320.604,321.008,318.862,322.353,325.554,325.83,328.148,333.176,333.194,335.574,332.53,326.082,321.936,317.4,315.22,311.751,309.492,307.121,305.377,308.237,308.065,308.505,308.818,309.005,310.695,315.965,312.157,313.842,317.151,315.256,310.42,301.563,298.391,294.426,293.078,295.131,301.796,303.02,297.73,292.881,292.778,296.605,291.642,291.448,287.814,283.288,279.63,279.981,278.852,275.302,275.793,274.963,269.958,268.105,266.861,265.63,270.751,271.528,270.15,270.25,266.973,265.113,264.009,263.366,266.358,264.25,261.74,262.862,264.197,257.169,254.209,249.872,252.793,251.933,247.053,248.334,250.293,251.395,247.52,247.488,247.278,248.39,245.643,252.362,259.712,257.864,256.591,287.608,290.157,291.19,294.989,297.057,298.169,300.105,301.875,301.352,302.377,298.744,298.252,298.569,297.648,297.401,300.45,304.972,305.687,305.934,302.853,301.688,300.502,303.181,302.823,304.745,306.891,306.947,303.432,301.666,300.771,299.953,298.643,295.722,295.563,297.554,297.687,297.982,297.384,299.225,299.156,301.843,303.527,300.91,307.197,309.328,311.423,316.429,320.845,323.543,322.888,319.267,321.249,320.88,322.277,322.633,321.897,319.307,320.418,320.522,326.987,329.13,331.01,331.566,332.669,334.637,331.379,330.711,329.204,330.479,329.437,330.545,331.162,334.582,335.556,337.122,338.316,337.03,335.397,333.504,332.056,323.189,321.62,323.235,326.969,328.152,328.331,328.558,330.063,329.549,331.431,331.063,327.663,327.709,323.727,322.327,318.983,317.98,317.567,319.111,324.229,319.491,310.018,310.323,312.451,310.717,306.427,303.396,304.976,302.06,297.011,300.852,308.075,313.138,313.616,319.332,321.878,322.399,317.194,314.998,322.223,322.48,323.248,326.441,328.959,328.622,332.023,335.083,346.433,350.59,349.526,348.58,345.752,344.009,347.337,349.024,350.099,351.238,348.087,350.421,357.031,366.334,369.208,372.708,369.065,370.428,368.648,368.177,367.763,365.506,371.498,370.331,376.729,377.639,379.022,373.274,369.826,370.789,372.197,371.816,372.287,370.359,370.484,365.015,360.192,356.386,353.228,350.26,349.458,351.867,348.118,348.557,347.233,335.524,333.346,333.793,333.272,329.994,329.253,330.808,328.502,332.52,339.987,342.182,340.919,346.894,349.464,349.031,351.644,348.235,342.541,343.639,338.077,328.09,329.308,326.356,332.622,336.644,343.23,338.896,338.764,346.741,346.487,353.965,355.897,360.146,359.67,353.952,365.18,367.108,370.661,372.385,370.148,369.449,367.457,363.263,357.847,354.291,357.061,355.091,356.637,359.64,355.935,358.513,350.914,346.356,353.031,358.603,355.184,358.274,365.165,374.481,376.498,383.286,382.637,380.762,381.391,380.938,386.031,385.666,385.768,385.838,386.618,377.62,387.781,392.506,387.914,390.598,405.853,410.135,411.807,411.149,414.468,419.293,420.766,424.641,426.933,423.721,423.56,423.657,426.307,425.298,426.785,426.978,427.563,429.812,428.299,429.852,433.711,432.701,428.734,428.141,425.764,425.415,423.078,419.546,419.861,423.503,422.51,424.446,424.126,422.082,421.13,428.652,432.013,432.351,433.895,442.434,442.336,444.212,450.604,455.923,454.949,453.22,453.551,450.323,454.732,451.701,450.384,452.704,449.762,445.518,441.532,445.091,441.956,438.817,439.087,443.427,445.524,445.321,443.585,443.931,445.276,450.624,448.59,451.764,453.116,448.167,449.345,449.101,452.121,448.699,435.541,431.703,424.953,410.212,411.153,407.839,407.701,413.817,425.342,432.062,437.315,442.238,435.011,431.914,431.462,435.205,440.629,441.43,446.251,443.451,443.669,451.621,451.288,451.359,445.066,447.484,448.403,442.429,449.168,446.35,449.617,437.967,464.265,479.393,490.298,496.939,504.766,500.303,489.723,484.907,487.465,494.816,499.404,502.588,513.097,515.103,519.322,514.125,508.114,501.956,500.972,495.575,499.905,496.299,494.383,498.175,500.727,518.632,520.207,519.123,516.727,517.217,516.309,517.069,509.58,497.741,497.235,505.516,510.306,509.722,506.772,518.601,523.208,518.963,518.886,520.616,529.45,530.987,528.274,525.594,521.868,515.427,509.63,499.459,495.364,491.393],"891800^JULIAN(FG_PRICE(2/27/2026,1/31/2000,,USD).DATES)":[46080,46079,46078,46077,46076,46073,46072,46071,46070,46066,46065,46064,46063,46062,46059,46058,46057,46056,46055,46052,46051,46050,46049,46048,46045,46044,46043,46042,46038,46037,46036,46035,46034,46031,46030,46029,46028,46027,46024,46022,46021,46020,46017,46015,46014,46013,46010,46009,46008,46007,46006,46003,46002,46001,46000,45999,45996,45995,45994,45993,45992,45989,45987,45986,45985,45982,45981,45980,45979,45978,45975,45974,45973,45972,45971,45968,45967,45966,45965,45964,45961,45960,45959,45958,45957,45954,45953,45952,45951,45950,45947,45946,45945,45944,45943,45940,45939,45938,45937,45936,45933,45932,45931,45930,45929,45926,45925,45924,45923,45922,45919,45918,45917,45916,45915,45912,45911,45910,45909,45908,45905,45904,45903,45902,45898,45897,45896,45895,45894,45891,45890,45889,45888,45887,45884,45883,45882,45881,45880,45877,45876,45875,45874,45873,45870,45869,45868,45867,45866,45863,45862,45861,45860,45859,45856,45855,45854,45853,45852,45849,45848,45847,45846,45845,45841,45840,45839,45838,45835,45834,45833,45832,45831,45828,45826,45825,45824,45821,45820,45819,45818,45817,45814,45813,45812,45811,45810,45807,45806,45805,45804,45800,45799,45798,45797,45796,45793,45792,45791,45790,45789,45786,45785,45784,45783,45782,45779,45778,45777,45776,45775,45772,45771,45770,45769,45768,45764,45763,45762,45761,45758,45757,45756,45755,45754,45751,45750,45749,45748,45747,45744,45743,45742,45741,45740,45737,45736,45735,45734,45733,45730,45729,45728,45727,45726,45723,45722,45721,45720,45719,45716,45715,45714,45713,45712,45709,45708,45707,45706,45702,45701,45700,45699,45698,45695,45694,45693,45692,45691,45688,45687,45686,45685,45684,45681,45680,45679,45678,45674,45673,45672,45671,45670,45667,45665,45664,45663,45660,45659,45657,45656,45653,45652,45650,45649,45646,45645,45644,45643,45642,45639,45638,45637,45636,45635,45632,45631,45630,45629,45628,45625,45623,45622,45621,45618,45617,45616,45615,45614,45611,45610,45609,45608,45607,45604,45603,45602,45601,45600,45597,45596,45595,45594,45593,45590,45589,45588,45587,45586,45583,45582,45581,45580,45579,45576,45575,45574,45573,45572,45569,45568,45567,45566,45565,45562,45561,45560,45559,45558,45555,45554,45553,45552,45551,45548,45547,45546,45545,45544,45541,45540,45539,45538,45534,45533,45532,45531,45530,45527,45526,45525,45524,45523,45520,45519,45518,45517,45516,45513,45512,45511,45510,45509,45506,45505,45504,45503,45502,45499,45498,45497,45496,45495,45492,45491,45490,45489,45488,45485,45484,45483,45482,45481,45478,45476,45475,45474,45471,45470,45469,45468,45467,45464,45463,45461,45460,45457,45456,45455,45454,45453,45450,45449,45448,45447,45446,45443,45442,45441,45440,45436,45435,45434,45433,45432,45429,45428,45427,45426,45425,45422,45421,45420,45419,45418,45415,45414,45413,45412,45411,45408,45407,45406,45405,45404,45401,45400,45399,45398,45397,45394,45393,45392,45391,45390,45387,45386,45385,45384,45383,45379,45378,45377,45376,45373,45372,45371,45370,45369,45366,45365,45364,45363,45362,45359,45358,45357,45356,45355,45352,45351,45350,45349,45348,45345,45344,45343,45342,45338,45337,45336,45335,45334,45331,45330,45329,45328,45327,45324,45323,45322,45321,45320,45317,45316,45315,45314,45313,45310,45309,45308,45307,45303,45302,45301,45300,45299,45296,45295,45294,45293,45289,45288,45287,45286,45282,45281,45280,45279,45278,45275,45274,45273,45272,45271,45268,45267,45266,45265,45264,45261,45260,45259,45258,45257,45254,45252,45251,45250,45247,45246,45245,45244,45243,45240,45239,45238,45237,45236,45233,45232,45231,45230,45229,45226,45225,45224,45223,45222,45219,45218,45217,45216,45215,45212,45211,45210,45209,45208,45205,45204,45203,45202,45201,45198,45197,45196,45195,45194,45191,45190,45189,45188,45187,45184,45183,45182,45181,45180,45177,45176,45175,45174,45170,45169,45168,45167,45166,45163,45162,45161,45160,45159,45156,45155,45154,45153,45152,45149,45148,45147,45146,45145,45142,45141,45140,45139,45138,45135,45134,45133,45132,45131,45128,45127,45126,45125,45124,45121,45120,45119,45118,45117,45114,45113,45112,45110,45107,45106,45105,45104,45103,45100,45099,45098,45097,45093,45092,45091,45090,45089,45086,45085,45084,45083,45082,45079,45078,45077,45076,45072,45071,45070,45069,45068,45065,45064,45063,45062,45061,45058,45057,45056,45055,45054,45051,45050,45049,45048,45047,45044,45043,45042,45041,45040,45037,45036,45035,45034,45033,45030,45029,45028,45027,45026,45022,45021,45020,45019,45016,45015,45014,45013,45012,45009,45008,45007,45006,45005,45002,45001,45000,44999,44998,44995,44994,44993,44992,44991,44988,44987,44986,44985,44984,44981,44980,44979,44978,44974,44973,44972,44971,44970,44967,44966,44965,44964,44963,44960,44959,44958,44957,44956,44953,44952,44951,44950,44949,44946,44945,44944,44943,44939,44938,44937,44936,44935,44932,44931,44930,44929,44925,44924,44923,44922,44918,44917,44916,44915,44914,44911,44910,44909,44908,44907,44904,44903,44902,44901,44900,44897,44896,44895,44894,44893,44890,44888,44887,44886,44883,44882,44881,44880,44879,44876,44875,44874,44873,44872,44869,44868,44867,44866,44865,44862,44861,44860,44859,44858,44855,44854,44853,44852,44851,44848,44847,44846,44845,44844,44841,44840,44839,44838,44837,44834,44833,44832,44831,44830,44827,44826,44825,44824,44823,44820,44819,44818,44817,44816,44813,44812,44811,44810,44806,44805,44804,44803,44802,44799,44798,44797,44796,44795,44792,44791,44790,44789,44788,44785,44784,44783,44782,44781,44778,44777,44776,44775,44774,44771,44770,44769,44768,44767,44764,44763,44762,44761,44760,44757,44756,44755,44754,44753,44750,44749,44748,44747,44743,44742,44741,44740,44739,44736,44735,44734,44733,44729,44728,44727,44726,44725,44722,44721,44720,44719,44718,44715,44714,44713,44712,44708,44707,44706,44705,44704,44701,44700,44699,44698,44697,44694,44693,44692,44691,44690,44687,44686,44685,44684,44683,44680,44679,44678,44677,44676,44673,44672,44671,44670,44669,44665,44664,44663,44662,44659,44658,44657,44656,44655,44652,44651,44650,44649,44648,44645,44644,44643,44642,44641,44638,44637,44636,44635,44634,44631,44630,44629,44628,44627,44624,44623,44622,44621,44620,44617,44616,44615,44614,44610,44609,44608,44607,44606,44603,44602,44601,44600,44599,44596,44595,44594,44593,44592,44589,44588,44587,44586,44585,44582,44581,44580,44579,44575,44574,44573,44572,44571,44568,44567,44566,44565,44564,44561,44560,44559,44558,44557,44553,44552,44551,44550,44547,44546,44545,44544,44543,44540,44539,44538,44537,44536,44533,44532,44531,44530,44529,44526,44524,44523,44522,44519,44518,44517,44516,44515,44512,44511,44510,44509,44508,44505,44504,44503,44502,44501,44498,44497,44496,44495,44494,44491,44490,44489,44488,44487,44484,44483,44482,44481,44480,44477,44476,44475,44474,44473,44470,44469,44468,44467,44466,44463,44462,44461,44460,44459,44456,44455,44454,44453,44452,44449,44448,44447,44446,44442,44441,44440,44439,44438,44435,44434,44433,44432,44431,44428,44427,44426,44425,44424,44421,44420,44419,44418,44417,44414,44413,44412,44411,44410,44407,44406,44405,44404,44403,44400,44399,44398,44397,44396,44393,44392,44391,44390,44389,44386,44385,44384,44383,44379,44378,44377,44376,44375,44372,44371,44370,44369,44368,44365,44364,44363,44362,44361,44358,44357,44356,44355,44354,44351,44350,44349,44348,44344,44343,44342,44341,44340,44337,44336,44335,44334,44333,44330,44329,44328,44327,44326,44323,44322,44321,44320,44319,44316,44315,44314,44313,44312,44309,44308,44307,44306,44305,44302,44301,44300,44299,44298,44295,44294,44293,44292,44291,44287,44286,44285,44284,44281,44280,44279,44278,44277,44274,44273,44272,44271,44270,44267,44266,44265,44264,44263,44260,44259,44258,44257,44256,44253,44252,44251,44250,44249,44246,44245,44244,44243,44239,44238,44237,44236,44235,44232,44231,44230,44229,44228,44225,44224,44223,44222,44221,44218,44217,44216,44215,44211,44210,44209,44208,44207,44204,44203,44202,44201,44200,44196,44195,44194,44193,44189,44188,44187,44186,44183,44182,44181,44180,44179,44176,44175,44174,44173,44172,44169,44168,44167,44166,44165,44162,44160,44159,44158,44155,44154,44153,44152,44151,44148,44147,44146,44145,44144,44141,44140,44139,44138,44137,44134,44133,44132,44131,44130,44127,44126,44125,44124,44123,44120,44119,44118,44117,44116,44113,44112,44111,44110,44109,44106,44105,44104,44103,44102,44099,44098,44097,44096,44095,44092,44091,44090,44089,44088,44085,44084,44083,44082,44078,44077,44076,44075,44074,44071,44070,44069,44068,44067,44064,44063,44062,44061,44060,44057,44056,44055,44054,44053,44050,44049,44048,44047,44046,44043,44042,44041,44040,44039,44036,44035,44034,44033,44032,44029,44028,44027,44026,44025,44022,44021,44020,44019,44018,44014,44013,44012,44011,44008,44007,44006,44005,44004,44001,44000,43999,43998,43997,43994,43993,43992,43991,43990,43987,43986,43985,43984,43983,43980,43979,43978,43977,43973,43972,43971,43970,43969,43966,43965,43964,43963,43962,43959,43958,43957,43956,43955,43952,43951,43950,43949,43948,43945,43944,43943,43942,43941,43938,43937,43936,43935,43934,43930,43929,43928,43927,43924,43923,43922,43921,43920,43917,43916,43915,43914,43913,43910,43909,43908,43907,43906,43903,43902,43901,43900,43899,43896,43895,43894,43893,43892,43889,43888,43887,43886,43885,43882,43881,43880,43879,43875,43874,43873,43872,43871,43868,43867,43866,43865,43864,43861,43860,43859,43858,43857,43854,43853,43852,43851,43847,43846,43845,43844,43843,43840,43839,43838,43837,43836,43833,43832,43830,43829,43826,43825,43823,43822,43819,43818,43817,43816,43815,43812,43811,43810,43809,43808,43805,43804,43803,43802,43801,43798,43796,43795,43794,43791,43790,43789,43788,43787,43784,43783,43782,43781,43780,43777,43776,43775,43774,43773,43770,43769,43768,43767,43766,43763,43762,43761,43760,43759,43756,43755,43754,43753,43752,43749,43748,43747,43746,43745,43742,43741,43740,43739,43738,43735,43734,43733,43732,43731,43728,43727,43726,43725,43724,43721,43720,43719,43718,43717,43714,43713,43712,43711,43707,43706,43705,43704,43703,43700,43699,43698,43697,43696,43693,43692,43691,43690,43689,43686,43685,43684,43683,43682,43679,43678,43677,43676,43675,43672,43671,43670,43669,43668,43665,43664,43663,43662,43661,43658,43657,43656,43655,43654,43651,43649,43648,43647,43644,43643,43642,43641,43640,43637,43636,43635,43634,43633,43630,43629,43628,43627,43626,43623,43622,43621,43620,43619,43616,43615,43614,43613,43609,43608,43607,43606,43605,43602,43601,43600,43599,43598,43595,43594,43593,43592,43591,43588,43587,43586,43585,43584,43581,43580,43579,43578,43577,43573,43572,43571,43570,43567,43566,43565,43564,43563,43560,43559,43558,43557,43556,43553,43552,43551,43550,43549,43546,43545,43544,43543,43542,43539,43538,43537,43536,43535,43532,43531,43530,43529,43528,43525,43524,43523,43522,43521,43518,43517,43516,43515,43511,43510,43509,43508,43507,43504,43503,43502,43501,43500,43497,43496,43495,43494,43493,43490,43489,43488,43487,43483,43482,43481,43480,43479,43476,43475,43474,43473,43472,43469,43468,43467,43465,43462,43461,43460,43458,43455,43454,43453,43452,43451,43448,43447,43446,43445,43444,43441,43440,43438,43437,43434,43433,43432,43431,43430,43427,43425,43424,43423,43420,43419,43418,43417,43416,43413,43412,43411,43410,43409,43406,43405,43404,43403,43402,43399,43398,43397,43396,43395,43392,43391,43390,43389,43388,43385,43384,43383,43382,43381,43378,43377,43376,43375,43374,43371,43370,43369,43368,43367,43364,43363,43362,43361,43360,43357,43356,43355,43354,43353,43350,43349,43348,43347,43343,43342,43341,43340,43339,43336,43335,43334,43333,43332,43329,43328,43327,43326,43325,43322,43321,43320,43319,43318,43315,43314,43313,43312,43311,43308,43307,43306,43305,43304,43301,43300,43299,43298,43297,43294,43293,43292,43291,43290,43287,43286,43284,43283,43280,43279,43278,43277,43276,43273,43272,43271,43270,43269,43266,43265,43264,43263,43262,43259,43258,43257,43256,43255,43252,43251,43250,43249,43245,43244,43243,43242,43241,43238,43237,43236,43235,43234,43231,43230,43229,43228,43227,43224,43223,43222,43221,43220,43217,43216,43215,43214,43213,43210,43209,43208,43207,43206,43203,43202,43201,43200,43199,43196,43195,43194,43193,43192,43188,43187,43186,43185,43182,43181,43180,43179,43178,43175,43174,43173,43172,43171,43168,43167,43166,43165,43164,43161,43160,43159,43158,43157,43154,43153,43152,43151,43147,43146,43145,43144,43143,43140,43139,43138,43137,43136,43133,43132,43131,43130,43129,43126,43125,43124,43123,43122,43119,43118,43117,43116,43112,43111,43110,43109,43108,43105,43104,43103,43102,43098,43097,43096,43095,43091,43090,43089,43088,43087,43084,43083,43082,43081,43080,43077,43076,43075,43074,43073,43070,43069,43068,43067,43066,43063,43061,43060,43059,43056,43055,43054,43053,43052,43049,43048,43047,43046,43045,43042,43041,43040,43039,43038,43035,43034,43033,43032,43031,43028,43027,43026,43025,43024,43021,43020,43019,43018,43017,43014,43013,43012,43011,43010,43007,43006,43005,43004,43003,43000,42999,42998,42997,42996,42993,42992,42991,42990,42989,42986,42985,42984,42983,42979,42978,42977,42976,42975,42972,42971,42970,42969,42968,42965,42964,42963,42962,42961,42958,42957,42956,42955,42954,42951,42950,42949,42948,42947,42944,42943,42942,42941,42940,42937,42936,42935,42934,42933,42930,42929,42928,42927,42926,42923,42922,42921,42919,42916,42915,42914,42913,42912,42909,42908,42907,42906,42905,42902,42901,42900,42899,42898,42895,42894,42893,42892,42891,42888,42887,42886,42885,42881,42880,42879,42878,42877,42874,42873,42872,42871,42870,42867,42866,42865,42864,42863,42860,42859,42858,42857,42856,42853,42852,42851,42850,42849,42846,42845,42844,42843,42842,42838,42837,42836,42835,42832,42831,42830,42829,42828,42825,42824,42823,42822,42821,42818,42817,42816,42815,42814,42811,42810,42809,42808,42807,42804,42803,42802,42801,42800,42797,42796,42795,42794,42793,42790,42789,42788,42787,42783,42782,42781,42780,42779,42776,42775,42774,42773,42772,42769,42768,42767,42766,42765,42762,42761,42760,42759,42758,42755,42754,42753,42752,42748,42747,42746,42745,42744,42741,42740,42739,42738,42734,42733,42732,42731,42727,42726,42725,42724,42723,42720,42719,42718,42717,42716,42713,42712,42711,42710,42709,42706,42705,42704,42703,42702,42699,42697,42696,42695,42692,42691,42690,42689,42688,42685,42684,42683,42682,42681,42678,42677,42676,42675,42674,42671,42670,42669,42668,42667,42664,42663,42662,42661,42660,42657,42656,42655,42654,42653,42650,42649,42648,42647,42646,42643,42642,42641,42640,42639,42636,42635,42634,42633,42632,42629,42628,42627,42626,42625,42622,42621,42620,42619,42615,42614,42613,42612,42611,42608,42607,42606,42605,42604,42601,42600,42599,42598,42597,42594,42593,42592,42591,42590,42587,42586,42585,42584,42583,42580,42579,42578,42577,42576,42573,42572,42571,42570,42569,42566,42565,42564,42563,42562,42559,42558,42557,42556,42552,42551,42550,42549,42548,42545,42544,42543,42542,42541,42538,42537,42536,42535,42534,42531,42530,42529,42528,42527,42524,42523,42522,42521,42517,42516,42515,42514,42513,42510,42509,42508,42507,42506,42503,42502,42501,42500,42499,42496,42495,42494,42493,42492,42489,42488,42487,42486,42485,42482,42481,42480,42479,42478,42475,42474,42473,42472,42471,42468,42467,42466,42465,42464,42461,42460,42459,42458,42457,42453,42452,42451,42450,42447,42446,42445,42444,42443,42440,42439,42438,42437,42436,42433,42432,42431,42430,42429,42426,42425,42424,42423,42422,42419,42418,42417,42416,42412,42411,42410,42409,42408,42405,42404,42403,42402,42401,42398,42397,42396,42395,42394,42391,42390,42389,42388,42384,42383,42382,42381,42380,42377,42376,42375,42374,42373,42369,42368,42367,42366,42362,42361,42360,42359,42356,42355,42354,42353,42352,42349,42348,42347,42346,42345,42342,42341,42340,42339,42338,42335,42333,42332,42331,42328,42327,42326,42325,42324,42321,42320,42319,42318,42317,42314,42313,42312,42311,42310,42307,42306,42305,42304,42303,42300,42299,42298,42297,42296,42293,42292,42291,42290,42289,42286,42285,42284,42283,42282,42279,42278,42277,42276,42275,42272,42271,42270,42269,42268,42265,42264,42263,42262,42261,42258,42257,42256,42255,42251,42250,42249,42248,42247,42244,42243,42242,42241,42240,42237,42236,42235,42234,42233,42230,42229,42228,42227,42226,42223,42222,42221,42220,42219,42216,42215,42214,42213,42212,42209,42208,42207,42206,42205,42202,42201,42200,42199,42198,42195,42194,42193,42192,42191,42187,42186,42185,42184,42181,42180,42179,42178,42177,42174,42173,42172,42171,42170,42167,42166,42165,42164,42163,42160,42159,42158,42157,42156,42153,42152,42151,42150,42146,42145,42144,42143,42142,42139,42138,42137,42136,42135,42132,42131,42130,42129,42128,42125,42124,42123,42122,42121,42118,42117,42116,42115,42114,42111,42110,42109,42108,42107,42104,42103,42102,42101,42100,42096,42095,42094,42093,42090,42089,42088,42087,42086,42083,42082,42081,42080,42079,42076,42075,42074,42073,42072,42069,42068,42067,42066,42065,42062,42061,42060,42059,42058,42055,42054,42053,42052,42048,42047,42046,42045,42044,42041,42040,42039,42038,42037,42034,42033,42032,42031,42030,42027,42026,42025,42024,42020,42019,42018,42017,42016,42013,42012,42011,42010,42009,42006,42004,42003,42002,41999,41997,41996,41995,41992,41991,41990,41989,41988,41985,41984,41983,41982,41981,41978,41977,41976,41975,41974,41971,41969,41968,41967,41964,41963,41962,41961,41960,41957,41956,41955,41954,41953,41950,41949,41948,41947,41946,41943,41942,41941,41940,41939,41936,41935,41934,41933,41932,41929,41928,41927,41926,41925,41922,41921,41920,41919,41918,41915,41914,41913,41912,41911,41908,41907,41906,41905,41904,41901,41900,41899,41898,41897,41894,41893,41892,41891,41890,41887,41886,41885,41884,41880,41879,41878,41877,41876,41873,41872,41871,41870,41869,41866,41865,41864,41863,41862,41859,41858,41857,41856,41855,41852,41851,41850,41849,41848,41845,41844,41843,41842,41841,41838,41837,41836,41835,41834,41831,41830,41829,41828,41827,41823,41822,41821,41820,41817,41816,41815,41814,41813,41810,41809,41808,41807,41806,41803,41802,41801,41800,41799,41796,41795,41794,41793,41792,41789,41788,41787,41786,41782,41781,41780,41779,41778,41775,41774,41773,41772,41771,41768,41767,41766,41765,41764,41761,41760,41759,41758,41757,41754,41753,41752,41751,41750,41746,41745,41744,41743,41740,41739,41738,41737,41736,41733,41732,41731,41730,41729,41726,41725,41724,41723,41722,41719,41718,41717,41716,41715,41712,41711,41710,41709,41708,41705,41704,41703,41702,41701,41698,41697,41696,41695,41694,41691,41690,41689,41688,41684,41683,41682,41681,41680,41677,41676,41675,41674,41673,41670,41669,41668,41667,41666,41663,41662,41661,41660,41656,41655,41654,41653,41652,41649,41648,41647,41646,41645,41642,41641,41639,41638,41635,41634,41632,41631,41628,41627,41626,41625,41624,41621,41620,41619,41618,41617,41614,41613,41612,41611,41610,41607,41605,41604,41603,41600,41599,41598,41597,41596,41593,41592,41591,41590,41589,41586,41585,41584,41583,41582,41579,41578,41577,41576,41575,41572,41571,41570,41569,41568,41565,41564,41563,41562,41561,41558,41557,41556,41555,41554,41551,41550,41549,41548,41547,41544,41543,41542,41541,41540,41537,41536,41535,41534,41533,41530,41529,41528,41527,41526,41523,41522,41521,41520,41516,41515,41514,41513,41512,41509,41508,41507,41506,41505,41502,41501,41500,41499,41498,41495,41494,41493,41492,41491,41488,41487,41486,41485,41484,41481,41480,41479,41478,41477,41474,41473,41472,41471,41470,41467,41466,41465,41464,41463,41460,41458,41457,41456,41453,41452,41451,41450,41449,41446,41445,41444,41443,41442,41439,41438,41437,41436,41435,41432,41431,41430,41429,41428,41425,41424,41423,41422,41418,41417,41416,41415,41414,41411,41410,41409,41408,41407,41404,41403,41402,41401,41400,41397,41396,41395,41394,41393,41390,41389,41388,41387,41386,41383,41382,41381,41380,41379,41376,41375,41374,41373,41372,41369,41368,41367,41366,41365,41361,41360,41359,41358,41355,41354,41353,41352,41351,41348,41347,41346,41345,41344,41341,41340,41339,41338,41337,41334,41333,41332,41331,41330,41327,41326,41325,41324,41320,41319,41318,41317,41316,41313,41312,41311,41310,41309,41306,41305,41304,41303,41302,41299,41298,41297,41296,41292,41291,41290,41289,41288,41285,41284,41283,41282,41281,41278,41277,41276,41274,41271,41270,41269,41267,41264,41263,41262,41261,41260,41257,41256,41255,41254,41253,41250,41249,41248,41247,41246,41243,41242,41241,41240,41239,41236,41234,41233,41232,41229,41228,41227,41226,41225,41222,41221,41220,41219,41218,41215,41214,41213,41208,41207,41206,41205,41204,41201,41200,41199,41198,41197,41194,41193,41192,41191,41190,41187,41186,41185,41184,41183,41180,41179,41178,41177,41176,41173,41172,41171,41170,41169,41166,41165,41164,41163,41162,41159,41158,41157,41156,41152,41151,41150,41149,41148,41145,41144,41143,41142,41141,41138,41137,41136,41135,41134,41131,41130,41129,41128,41127,41124,41123,41122,41121,41120,41117,41116,41115,41114,41113,41110,41109,41108,41107,41106,41103,41102,41101,41100,41099,41096,41095,41093,41092,41089,41088,41087,41086,41085,41082,41081,41080,41079,41078,41075,41074,41073,41072,41071,41068,41067,41066,41065,41064,41061,41060,41059,41058,41054,41053,41052,41051,41050,41047,41046,41045,41044,41043,41040,41039,41038,41037,41036,41033,41032,41031,41030,41029,41026,41025,41024,41023,41022,41019,41018,41017,41016,41015,41012,41011,41010,41009,41008,41004,41003,41002,41001,40998,40997,40996,40995,40994,40991,40990,40989,40988,40987,40984,40983,40982,40981,40980,40977,40976,40975,40974,40973,40970,40969,40968,40967,40966,40963,40962,40961,40960,40956,40955,40954,40953,40952,40949,40948,40947,40946,40945,40942,40941,40940,40939,40938,40935,40934,40933,40932,40931,40928,40927,40926,40925,40921,40920,40919,40918,40917,40914,40913,40912,40911,40907,40906,40905,40904,40900,40899,40898,40897,40896,40893,40892,40891,40890,40889,40886,40885,40884,40883,40882,40879,40878,40877,40876,40875,40872,40870,40869,40868,40865,40864,40863,40862,40861,40858,40857,40856,40855,40854,40851,40850,40849,40848,40847,40844,40843,40842,40841,40840,40837,40836,40835,40834,40833,40830,40829,40828,40827,40826,40823,40822,40821,40820,40819,40816,40815,40814,40813,40812,40809,40808,40807,40806,40805,40802,40801,40800,40799,40798,40795,40794,40793,40792,40788,40787,40786,40785,40784,40781,40780,40779,40778,40777,40774,40773,40772,40771,40770,40767,40766,40765,40764,40763,40760,40759,40758,40757,40756,40753,40752,40751,40750,40749,40746,40745,40744,40743,40742,40739,40738,40737,40736,40735,40732,40731,40730,40729,40725,40724,40723,40722,40721,40718,40717,40716,40715,40714,40711,40710,40709,40708,40707,40704,40703,40702,40701,40700,40697,40696,40695,40694,40690,40689,40688,40687,40686,40683,40682,40681,40680,40679,40676,40675,40674,40673,40672,40669,40668,40667,40666,40665,40662,40661,40660,40659,40658,40654,40653,40652,40651,40648,40647,40646,40645,40644,40641,40640,40639,40638,40637,40634,40633,40632,40631,40630,40627,40626,40625,40624,40623,40620,40619,40618,40617,40616,40613,40612,40611,40610,40609,40606,40605,40604,40603,40602,40599,40598,40597,40596,40592,40591,40590,40589,40588,40585,40584,40583,40582,40581,40578,40577,40576,40575,40574,40571,40570,40569,40568,40567,40564,40563,40562,40561,40557,40556,40555,40554,40553,40550,40549,40548,40547,40546,40543,40542,40541,40540,40539,40535,40534,40533,40532,40529,40528,40527,40526,40525,40522,40521,40520,40519,40518,40515,40514,40513,40512,40511,40508,40506,40505,40504,40501,40500,40499,40498,40497,40494,40493,40492,40491,40490,40487,40486,40485,40484,40483,40480,40479,40478,40477,40476,40473,40472,40471,40470,40469,40466,40465,40464,40463,40462,40459,40458,40457,40456,40455,40452,40451,40450,40449,40448,40445,40444,40443,40442,40441,40438,40437,40436,40435,40434,40431,40430,40429,40428,40424,40423,40422,40421,40420,40417,40416,40415,40414,40413,40410,40409,40408,40407,40406,40403,40402,40401,40400,40399,40396,40395,40394,40393,40392,40389,40388,40387,40386,40385,40382,40381,40380,40379,40378,40375,40374,40373,40372,40371,40368,40367,40366,40365,40361,40360,40359,40358,40357,40354,40353,40352,40351,40350,40347,40346,40345,40344,40343,40340,40339,40338,40337,40336,40333,40332,40331,40330,40326,40325,40324,40323,40322,40319,40318,40317,40316,40315,40312,40311,40310,40309,40308,40305,40304,40303,40302,40301,40298,40297,40296,40295,40294,40291,40290,40289,40288,40287,40284,40283,40282,40281,40280,40277,40276,40275,40274,40273,40269,40268,40267,40266,40263,40262,40261,40260,40259,40256,40255,40254,40253,40252,40249,40248,40247,40246,40245,40242,40241,40240,40239,40238,40235,40234,40233,40232,40231,40228,40227,40226,40225,40221,40220,40219,40218,40217,40214,40213,40212,40211,40210,40207,40206,40205,40204,40203,40200,40199,40198,40197,40193,40192,40191,40190,40189,40186,40185,40184,40183,40182,40178,40177,40176,40175,40171,40170,40169,40168,40165,40164,40163,40162,40161,40158,40157,40156,40155,40154,40151,40150,40149,40148,40147,40144,40142,40141,40140,40137,40136,40135,40134,40133,40130,40129,40128,40127,40126,40123,40122,40121,40120,40119,40116,40115,40114,40113,40112,40109,40108,40107,40106,40105,40102,40101,40100,40099,40098,40095,40094,40093,40092,40091,40088,40087,40086,40085,40084,40081,40080,40079,40078,40077,40074,40073,40072,40071,40070,40067,40066,40065,40064,40060,40059,40058,40057,40056,40053,40052,40051,40050,40049,40046,40045,40044,40043,40042,40039,40038,40037,40036,40035,40032,40031,40030,40029,40028,40025,40024,40023,40022,40021,40018,40017,40016,40015,40014,40011,40010,40009,40008,40007,40004,40003,40002,40001,40000,39996,39995,39994,39993,39990,39989,39988,39987,39986,39983,39982,39981,39980,39979,39976,39975,39974,39973,39972,39969,39968,39967,39966,39965,39962,39961,39960,39959,39955,39954,39953,39952,39951,39948,39947,39946,39945,39944,39941,39940,39939,39938,39937,39934,39933,39932,39931,39930,39927,39926,39925,39924,39923,39920,39919,39918,39917,39916,39912,39911,39910,39909,39906,39905,39904,39903,39902,39899,39898,39897,39896,39895,39892,39891,39890,39889,39888,39885,39884,39883,39882,39881,39878,39877,39876,39875,39874,39871,39870,39869,39868,39867,39864,39863,39862,39861,39857,39856,39855,39854,39853,39850,39849,39848,39847,39846,39843,39842,39841,39840,39839,39836,39835,39834,39833,39829,39828,39827,39826,39825,39822,39821,39820,39819,39818,39815,39813,39812,39811,39808,39806,39805,39804,39801,39800,39799,39798,39797,39794,39793,39792,39791,39790,39787,39786,39785,39784,39783,39780,39778,39777,39776,39773,39772,39771,39770,39769,39766,39765,39764,39763,39762,39759,39758,39757,39756,39755,39752,39751,39750,39749,39748,39745,39744,39743,39742,39741,39738,39737,39736,39735,39734,39731,39730,39729,39728,39727,39724,39723,39722,39721,39720,39717,39716,39715,39714,39713,39710,39709,39708,39707,39706,39703,39702,39701,39700,39699,39696,39695,39694,39693,39689,39688,39687,39686,39685,39682,39681,39680,39679,39678,39675,39674,39673,39672,39671,39668,39667,39666,39665,39664,39661,39660,39659,39658,39657,39654,39653,39652,39651,39650,39647,39646,39645,39644,39643,39640,39639,39638,39637,39636,39632,39631,39630,39629,39626,39625,39624,39623,39622,39619,39618,39617,39616,39615,39612,39611,39610,39609,39608,39605,39604,39603,39602,39601,39598,39597,39596,39595,39591,39590,39589,39588,39587,39584,39583,39582,39581,39580,39577,39576,39575,39574,39573,39570,39569,39568,39567,39566,39563,39562,39561,39560,39559,39556,39555,39554,39553,39552,39549,39548,39547,39546,39545,39542,39541,39540,39539,39538,39535,39534,39533,39532,39531,39527,39526,39525,39524,39521,39520,39519,39518,39517,39514,39513,39512,39511,39510,39507,39506,39505,39504,39503,39500,39499,39498,39497,39493,39492,39491,39490,39489,39486,39485,39484,39483,39482,39479,39478,39477,39476,39475,39472,39471,39470,39469,39465,39464,39463,39462,39461,39458,39457,39456,39455,39454,39451,39450,39449,39447,39444,39443,39442,39440,39437,39436,39435,39434,39433,39430,39429,39428,39427,39426,39423,39422,39421,39420,39419,39416,39415,39414,39413,39412,39409,39407,39406,39405,39402,39401,39400,39399,39398,39395,39394,39393,39392,39391,39388,39387,39386,39385,39384,39381,39380,39379,39378,39377,39374,39373,39372,39371,39370,39367,39366,39365,39364,39363,39360,39359,39358,39357,39356,39353,39352,39351,39350,39349,39346,39345,39344,39343,39342,39339,39338,39337,39336,39335,39332,39331,39330,39329,39325,39324,39323,39322,39321,39318,39317,39316,39315,39314,39311,39310,39309,39308,39307,39304,39303,39302,39301,39300,39297,39296,39295,39294,39293,39290,39289,39288,39287,39286,39283,39282,39281,39280,39279,39276,39275,39274,39273,39272,39269,39268,39266,39265,39262,39261,39260,39259,39258,39255,39254,39253,39252,39251,39248,39247,39246,39245,39244,39241,39240,39239,39238,39237,39234,39233,39232,39231,39227,39226,39225,39224,39223,39220,39219,39218,39217,39216,39213,39212,39211,39210,39209,39206,39205,39204,39203,39202,39199,39198,39197,39196,39195,39192,39191,39190,39189,39188,39185,39184,39183,39182,39181,39177,39176,39175,39174,39171,39170,39169,39168,39167,39164,39163,39162,39161,39160,39157,39156,39155,39154,39153,39150,39149,39148,39147,39146,39143,39142,39141,39140,39139,39136,39135,39134,39133,39129,39128,39127,39126,39125,39122,39121,39120,39119,39118,39115,39114,39113,39112,39111,39108,39107,39106,39105,39104,39101,39100,39099,39098,39094,39093,39092,39091,39090,39087,39086,39085,39080,39079,39078,39077,39073,39072,39071,39070,39069,39066,39065,39064,39063,39062,39059,39058,39057,39056,39055,39052,39051,39050,39049,39048,39045,39043,39042,39041,39038,39037,39036,39035,39034,39031,39030,39029,39028,39027,39024,39023,39022,39021,39020,39017,39016,39015,39014,39013,39010,39009,39008,39007,39006,39003,39002,39001,39000,38999,38996,38995,38994,38993,38992,38989,38988,38987,38986,38985,38982,38981,38980,38979,38978,38975,38974,38973,38972,38971,38968,38967,38966,38965,38961,38960,38959,38958,38957,38954,38953,38952,38951,38950,38947,38946,38945,38944,38943,38940,38939,38938,38937,38936,38933,38932,38931,38930,38929,38926,38925,38924,38923,38922,38919,38918,38917,38916,38915,38912,38911,38910,38909,38908,38905,38904,38903,38901,38898,38897,38896,38895,38894,38891,38890,38889,38888,38887,38884,38883,38882,38881,38880,38877,38876,38875,38874,38873,38870,38869,38868,38867,38863,38862,38861,38860,38859,38856,38855,38854,38853,38852,38849,38848,38847,38846,38845,38842,38841,38840,38839,38838,38835,38834,38833,38832,38831,38828,38827,38826,38825,38824,38820,38819,38818,38817,38814,38813,38812,38811,38810,38807,38806,38805,38804,38803,38800,38799,38798,38797,38796,38793,38792,38791,38790,38789,38786,38785,38784,38783,38782,38779,38778,38777,38776,38775,38772,38771,38770,38769,38765,38764,38763,38762,38761,38758,38757,38756,38755,38754,38751,38750,38749,38748,38747,38744,38743,38742,38741,38740,38737,38736,38735,38734,38730,38729,38728,38727,38726,38723,38722,38721,38720,38716,38715,38714,38713,38709,38708,38707,38706,38705,38702,38701,38700,38699,38698,38695,38694,38693,38692,38691,38688,38687,38686,38685,38684,38681,38679,38678,38677,38674,38673,38672,38671,38670,38667,38666,38665,38664,38663,38660,38659,38658,38657,38656,38653,38652,38651,38650,38649,38646,38645,38644,38643,38642,38639,38638,38637,38636,38635,38632,38631,38630,38629,38628,38625,38624,38623,38622,38621,38618,38617,38616,38615,38614,38611,38610,38609,38608,38607,38604,38603,38602,38601,38597,38596,38595,38594,38593,38590,38589,38588,38587,38586,38583,38582,38581,38580,38579,38576,38575,38574,38573,38572,38569,38568,38567,38566,38565,38562,38561,38560,38559,38558,38555,38554,38553,38552,38551,38548,38547,38546,38545,38544,38541,38540,38539,38538,38534,38533,38532,38531,38530,38527,38526,38525,38524,38523,38520,38519,38518,38517,38516,38513,38512,38511,38510,38509,38506,38505,38504,38503,38499,38498,38497,38496,38495,38492,38491,38490,38489,38488,38485,38484,38483,38482,38481,38478,38477,38476,38475,38474,38471,38470,38469,38468,38467,38464,38463,38462,38461,38460,38457,38456,38455,38454,38453,38450,38449,38448,38447,38446,38443,38442,38441,38440,38439,38435,38434,38433,38432,38429,38428,38427,38426,38425,38422,38421,38420,38419,38418,38415,38414,38413,38412,38411,38408,38407,38406,38405,38401,38400,38399,38398,38397,38394,38393,38392,38391,38390,38387,38386,38385,38384,38383,38380,38379,38378,38377,38376,38373,38372,38371,38370,38366,38365,38364,38363,38362,38359,38358,38357,38356,38355,38352,38351,38350,38349,38348,38344,38343,38342,38341,38338,38337,38336,38335,38334,38331,38330,38329,38328,38327,38324,38323,38322,38321,38320,38317,38315,38314,38313,38310,38309,38308,38307,38306,38303,38302,38301,38300,38299,38296,38295,38294,38293,38292,38289,38288,38287,38286,38285,38282,38281,38280,38279,38278,38275,38274,38273,38272,38271,38268,38267,38266,38265,38264,38261,38260,38259,38258,38257,38254,38253,38252,38251,38250,38247,38246,38245,38244,38243,38240,38239,38238,38237,38233,38232,38231,38230,38229,38226,38225,38224,38223,38222,38219,38218,38217,38216,38215,38212,38211,38210,38209,38208,38205,38204,38203,38202,38201,38198,38197,38196,38195,38194,38191,38190,38189,38188,38187,38184,38183,38182,38181,38180,38177,38176,38175,38174,38170,38169,38168,38167,38166,38163,38162,38161,38160,38159,38156,38155,38154,38153,38152,38148,38147,38146,38145,38142,38141,38140,38139,38135,38134,38133,38132,38131,38128,38127,38126,38125,38124,38121,38120,38119,38118,38117,38114,38113,38112,38111,38110,38107,38106,38105,38104,38103,38100,38099,38098,38097,38096,38093,38092,38091,38090,38089,38085,38084,38083,38082,38079,38078,38077,38076,38075,38072,38071,38070,38069,38068,38065,38064,38063,38062,38061,38058,38057,38056,38055,38054,38051,38050,38049,38048,38047,38044,38043,38042,38041,38040,38037,38036,38035,38034,38030,38029,38028,38027,38026,38023,38022,38021,38020,38019,38016,38015,38014,38013,38012,38009,38008,38007,38006,38002,38001,38000,37999,37998,37995,37994,37993,37992,37991,37988,37986,37985,37984,37981,37979,37978,37977,37974,37973,37972,37971,37970,37967,37966,37965,37964,37963,37960,37959,37958,37957,37956,37953,37951,37950,37949,37946,37945,37944,37943,37942,37939,37938,37937,37936,37935,37932,37931,37930,37929,37928,37925,37924,37923,37922,37921,37918,37917,37916,37915,37914,37911,37910,37909,37908,37907,37904,37903,37902,37901,37900,37897,37896,37895,37894,37893,37890,37889,37888,37887,37886,37883,37882,37881,37880,37879,37876,37875,37874,37873,37872,37869,37868,37867,37866,37862,37861,37860,37859,37858,37855,37854,37853,37852,37851,37848,37847,37846,37845,37844,37841,37840,37839,37838,37837,37834,37833,37832,37831,37830,37827,37826,37825,37824,37823,37820,37819,37818,37817,37816,37813,37812,37811,37810,37809,37805,37804,37803,37802,37799,37798,37797,37796,37795,37792,37791,37790,37789,37788,37785,37784,37783,37782,37781,37778,37777,37776,37775,37774,37771,37770,37769,37768,37764,37763,37762,37761,37760,37757,37756,37755,37754,37753,37750,37749,37748,37747,37746,37743,37742,37741,37740,37739,37736,37735,37734,37733,37732,37728,37727,37726,37725,37722,37721,37720,37719,37718,37715,37714,37713,37712,37711,37708,37707,37706,37705,37704,37701,37700,37699,37698,37697,37694,37693,37692,37691,37690,37687,37686,37685,37684,37683,37680,37679,37678,37677,37676,37673,37672,37671,37670,37666,37665,37664,37663,37662,37659,37658,37657,37656,37655,37652,37651,37650,37649,37648,37645,37644,37643,37642,37638,37637,37636,37635,37634,37631,37630,37629,37628,37627,37624,37623,37621,37620,37617,37616,37614,37613,37610,37609,37608,37607,37606,37603,37602,37601,37600,37599,37596,37595,37594,37593,37592,37589,37587,37586,37585,37582,37581,37580,37579,37578,37575,37574,37573,37572,37571,37568,37567,37566,37565,37564,37561,37560,37559,37558,37557,37554,37553,37552,37551,37550,37547,37546,37545,37544,37543,37540,37539,37538,37537,37536,37533,37532,37531,37530,37529,37526,37525,37524,37523,37522,37519,37518,37517,37516,37515,37512,37511,37510,37509,37508,37505,37504,37503,37502,37498,37497,37496,37495,37494,37491,37490,37489,37488,37487,37484,37483,37482,37481,37480,37477,37476,37475,37474,37473,37470,37469,37468,37467,37466,37463,37462,37461,37460,37459,37456,37455,37454,37453,37452,37449,37448,37447,37446,37445,37442,37440,37439,37438,37435,37434,37433,37432,37431,37428,37427,37426,37425,37424,37421,37420,37419,37418,37417,37414,37413,37412,37411,37410,37407,37406,37405,37404,37400,37399,37398,37397,37396,37393,37392,37391,37390,37389,37386,37385,37384,37383,37382,37379,37378,37377,37376,37375,37372,37371,37370,37369,37368,37365,37364,37363,37362,37361,37358,37357,37356,37355,37354,37351,37350,37349,37348,37347,37343,37342,37341,37340,37337,37336,37335,37334,37333,37330,37329,37328,37327,37326,37323,37322,37321,37320,37319,37316,37315,37314,37313,37312,37309,37308,37307,37306,37302,37301,37300,37299,37298,37295,37294,37293,37292,37291,37288,37287,37286,37285,37284,37281,37280,37279,37278,37274,37273,37272,37271,37270,37267,37266,37265,37264,37263,37260,37259,37258,37256,37253,37252,37251,37249,37246,37245,37244,37243,37242,37239,37238,37237,37236,37235,37232,37231,37230,37229,37228,37225,37224,37223,37222,37221,37218,37216,37215,37214,37211,37210,37209,37208,37207,37204,37203,37202,37201,37200,37197,37196,37195,37194,37193,37190,37189,37188,37187,37186,37183,37182,37181,37180,37179,37176,37175,37174,37173,37172,37169,37168,37167,37166,37165,37162,37161,37160,37159,37158,37155,37154,37153,37152,37151,37144,37141,37140,37139,37138,37134,37133,37132,37131,37130,37127,37126,37125,37124,37123,37120,37119,37118,37117,37116,37113,37112,37111,37110,37109,37106,37105,37104,37103,37102,37099,37098,37097,37096,37095,37092,37091,37090,37089,37088,37085,37084,37083,37082,37081,37078,37077,37075,37074,37071,37070,37069,37068,37067,37064,37063,37062,37061,37060,37057,37056,37055,37054,37053,37050,37049,37048,37047,37046,37043,37042,37041,37040,37036,37035,37034,37033,37032,37029,37028,37027,37026,37025,37022,37021,37020,37019,37018,37015,37014,37013,37012,37011,37008,37007,37006,37005,37004,37001,37000,36999,36998,36997,36993,36992,36991,36990,36987,36986,36985,36984,36983,36980,36979,36978,36977,36976,36973,36972,36971,36970,36969,36966,36965,36964,36963,36962,36959,36958,36957,36956,36955,36952,36951,36950,36949,36948,36945,36944,36943,36942,36938,36937,36936,36935,36934,36931,36930,36929,36928,36927,36924,36923,36922,36921,36920,36917,36916,36915,36914,36913,36910,36909,36908,36907,36903,36902,36901,36900,36899,36896,36895,36894,36893,36889,36888,36887,36886,36882,36881,36880,36879,36878,36875,36874,36873,36872,36871,36868,36867,36866,36865,36864,36861,36860,36859,36858,36857,36854,36852,36851,36850,36847,36846,36845,36844,36843,36840,36839,36838,36837,36836,36833,36832,36831,36830,36829,36826,36825,36824,36823,36822,36819,36818,36817,36816,36815,36812,36811,36810,36809,36808,36805,36804,36803,36802,36801,36798,36797,36796,36795,36794,36791,36790,36789,36788,36787,36784,36783,36782,36781,36780,36777,36776,36775,36774,36770,36769,36768,36767,36766,36763,36762,36761,36760,36759,36756,36755,36754,36753,36752,36749,36748,36747,36746,36745,36742,36741,36740,36739,36738,36735,36734,36733,36732,36731,36728,36727,36726,36725,36724,36721,36720,36719,36718,36717,36714,36713,36712,36710,36707,36706,36705,36704,36703,36700,36699,36698,36697,36696,36693,36692,36691,36690,36689,36686,36685,36684,36683,36682,36679,36678,36677,36676,36672,36671,36670,36669,36668,36665,36664,36663,36662,36661,36658,36657,36656,36655,36654,36651,36650,36649,36648,36647,36644,36643,36642,36641,36640,36636,36635,36634,36633,36630,36629,36628,36627,36626,36623,36622,36621,36620,36619,36616,36615,36614,36613,36612,36609,36608,36607,36606,36605,36602,36601,36600,36599,36598,36595,36594,36593,36592,36591,36588,36587,36586,36585,36584,36581,36580,36579,36578,36574,36573,36572,36571,36570,36567,36566,36565,36564,36563,36560,36559,36558,36557,36556],"990100^FG_PRICE(2/27/2026,1/31/2000,M,USD)":[4556.789568,4527.589087,4430.381331,4398.435697,4390.422081,4306.703835,4177.716122,4076.038046,4026.443438,3863.483223,3655.523833,3628.642275,3805.325826,3836.583459,3707.837386,3810.141269,3647.137347,3723.032105,3661.241222,3571.574663,3511.781801,3445.172449,3305.295943,3436.780555,3337.204496,3205.316794,3169.179629,3023.629602,2768.62128,2853.235215,2986.023244,3064.296723,2966.723985,2800.557051,2835.928022,2791.438289,2714.571102,2784.995279,2602.685022,2720.888674,2547.715764,2378.645284,2627.320953,2746.364566,2546.185327,2791.012712,2795.615306,3053.07008,2977.953985,3059.047155,3231.726975,3101.795856,3174.72534,3006.604139,3141.350937,3069.249002,3017.222403,2979.297181,2938.763958,2811.698918,2726.909919,2661.69054,2690.044169,2583.143358,2292.925435,2367.270462,2455.512157,2304.982465,2201.788466,2147.882039,2052.845322,1852.726663,2141.123595,2342.413562,2358.468438,2292.259205,2233.525725,2180.018237,2138.521184,2187.563594,2178.346522,2046.245937,2178.67429,2107.742125,2085.844635,2028.492315,1883.901399,2041.358676,2021.982259,2184.008868,2175.498067,2153.096357,2089.30065,2092.922608,2086.513815,2065.529204,2117.993247,2213.237747,2103.448341,2077.360121,2036.804419,2000.552748,1959.743396,1961.100222,1916.426269,1911.739593,1878.276124,1853.689997,1838.69908,1792.402944,1751.218957,1712.088792,1690.921701,1725.665202,1719.523719,1721.787902,1653.229419,1674.612863,1670.796146,1648.118461,1547.173833,1562.178142,1662.794366,1694.396624,1705.803474,1581.921901,1645.429575,1765.603743,1735.613449,1779.307339,1778.400121,1740.813663,1772.861889,1677.536843,1709.672168,1739.497106,1708.092283,1698.40787,1748.688062,1714.353495,1743.415366,1715.184404,1687.741752,1673.87449,1675.399772,1598.456116,1661.068821,1628.424028,1602.860216,1543.672214,1472.738486,1507.912964,1433.547998,1471.932853,1476.139228,1434.619239,1405.180433,1405.4662,1338.499936,1315.492987,1301.521705,1311.504154,1279.208388,1250.568816,1235.715571,1177.644732,1293.991023,1312.010995,1298.720324,1240.893567,1182.594764,1184.604344,1217.296355,1104.06461,1211.224159,1306.054128,1331.182281,1354.607143,1388.620237,1334.92501,1351.647079,1308.083425,1280.071262,1193.558202,1222.225592,1179.194274,1080.699249,1124.825577,1041.322943,1080.297598,1198.563561,1200.530432,1133.347606,1119.536891,1168.467916,1149.00684,1106.170052,1126.984507,1085.598716,1044.753372,964.048079,970.003651,893.024719,805.216286,750.862829,838.82699,920.225651,892.925783,957.245207,1182.442745,1344.864992,1366.699466,1402.128633,1525.725874,1508.987728,1437.402631,1455.560154,1466.346317,1588.8025,1610.941816,1682.351432,1633.576446,1561.585133,1565.811315,1602.359909,1616.871376,1577.859595,1514.180641,1490.440282,1500.231671,1483.577994,1455.165743,1422.926482,1373.367672,1358.871581,1327.233159,1319.93448,1322.246057,1373.383507,1335.069312,1309.450996,1313.213624,1257.775395,1231.412414,1193.880108,1224.314012,1194.807033,1188.164757,1148.813064,1140.676843,1123.64164,1151.183791,1176.702634,1142.349958,1169.340622,1127.33914,1072.698343,1047.860626,1029.630751,1026.991246,1062.513508,1041.845393,1035.657355,1059.156753,1068.647596,1052.288549,1036.318265,976.019023,962.707074,909.64133,905.323801,887.780441,871.065708,857.649033,813.302452,748.628,752.864,767.478,792.215,833.471,791.883,738.179,830.582,830.549,907.81,967.847,968.25,1005.522,962.732,972.418,1003.516,997.928,943.2,926.023,1016.732,1069.669,1084.788,1121.088,1138.087,1061.262,1137.879,1244.222,1221.253,1203.054,1282.138,1305.245,1379.87,1337.647,1377.722,1334.136,1370.108,1431.938,1340.583,1338.246],"990100^JULIAN(FG_PRICE(2/27/2026,1/31/2000,M,USD).DATES)":[46080,46052,46022,45989,45961,45930,45898,45869,45838,45807,45777,45747,45716,45688,45657,45625,45596,45565,45534,45504,45471,45443,45412,45379,45351,45322,45289,45260,45230,45198,45169,45138,45107,45077,45044,45016,44985,44957,44925,44895,44865,44834,44804,44771,44742,44712,44680,44651,44620,44592,44561,44530,44498,44469,44439,44407,44377,44344,44316,44286,44253,44225,44196,44165,44134,44104,44074,44043,44012,43980,43951,43921,43889,43861,43830,43798,43769,43738,43707,43677,43644,43616,43585,43553,43524,43496,43465,43434,43404,43371,43343,43312,43280,43251,43220,43188,43159,43131,43098,43069,43039,43007,42978,42947,42916,42886,42853,42825,42794,42766,42734,42704,42674,42643,42613,42580,42551,42521,42489,42460,42429,42398,42369,42338,42307,42277,42247,42216,42185,42153,42124,42094,42062,42034,42004,41971,41943,41912,41880,41851,41820,41789,41759,41729,41698,41670,41639,41607,41578,41547,41516,41486,41453,41425,41394,41361,41333,41305,41274,41243,41213,41180,41152,41121,41089,41060,41029,40998,40968,40939,40907,40877,40847,40816,40786,40753,40724,40694,40662,40633,40602,40574,40543,40512,40480,40451,40421,40389,40359,40326,40298,40268,40235,40207,40178,40147,40116,40086,40056,40025,39994,39962,39933,39903,39871,39843,39813,39780,39752,39721,39689,39660,39629,39598,39568,39538,39507,39478,39447,39416,39386,39353,39325,39294,39262,39233,39202,39171,39141,39113,39080,39051,39021,38989,38960,38929,38898,38868,38835,38807,38776,38748,38716,38686,38656,38625,38595,38562,38533,38503,38471,38442,38411,38383,38352,38321,38289,38260,38230,38198,38168,38135,38107,38077,38044,38016,37986,37953,37925,37894,37862,37833,37802,37771,37741,37711,37680,37652,37621,37589,37560,37529,37498,37468,37435,37407,37376,37343,37315,37287,37256,37225,37195,37162,37134,37103,37071,37042,37011,36980,36950,36922,36889,36860,36830,36798,36769,36738,36707,36677,36644,36616,36585,36556],"991000^FG_PRICE(2/27/2026,1/31/2000,M,USD)":[3244.755968,3099.576387,2961.080596,2877.338766,2851.936459,2823.832778,2772.275826,2660.354032,2694.580821,2635.971988,2530.837046,2429.429686,2455.139294,2415.923741,2302.710493,2368.033343,2366.325674,2495.321405,2475.251605,2400.4661,2328.850393,2371.463907,2295.938134,2364.655551,2300.558867,2265.285349,2256.807538,2141.738251,1961.285429,2049.037407,2126.585017,2218.204749,2150.290632,2055.807315,2160.609692,2108.256297,2073.608237,2126.172509,1966.335803,1977.939763,1790.447757,1698.022509,1878.578274,1975.688116,1883.42902,2082.105441,2075.28321,2228.137617,2213.424243,2252.413331,2357.514612,2245.389283,2358.908318,2292.77085,2367.317672,2335.232802,2321.283034,2356.610145,2277.009386,2213.440899,2168.051795,2116.955146,2140.705997,2049.537193,1778.886936,1853.140633,1911.945889,1821.676119,1776.440732,1720.853628,1655.075271,1549.77954,1814.20683,1994.984806,2035.383152,1974.385273,1953.037236,1893.701955,1847.803758,1899.671434,1923.860946,1818.88851,1920.739615,1874.070387,1874.152718,1831.021454,1710.882961,1806.323123,1811.272908,1969.331767,1959.319983,2002.270682,1955.227117,1980.355748,2029.636851,1988.258782,2035.270505,2140.968981,2046.466912,2012.303798,1995.507768,1970.060663,1925.04556,1930.657734,1875.647105,1877.475273,1826.758292,1793.337892,1756.785989,1740.544677,1690.925351,1638.98502,1668.576478,1702.978475,1686.98747,1689.937578,1611.700289,1665.792375,1694.213114,1647.687143,1549.657151,1575.600804,1693.055084,1725.475637,1756.448541,1634.945173,1726.219386,1866.642236,1838.714665,1895.39387,1920.996765,1847.266714,1886.64412,1783.035327,1790.535076,1853.541727,1834.240354,1865.118781,1949.698345,1952.986,1989.427817,1965.025361,1945.638382,1921.734019,1938.00413,1841.29883,1919.916847,1893.167124,1885.382059,1825.327777,1709.130468,1735.944465,1649.12209,1716.394355,1764.429362,1695.005324,1688.35972,1708.831144,1630.094175,1583.972941,1554.517659,1544.967963,1504.510211,1467.19307,1450.255457,1363.978347,1549.290698,1582.65965,1601.262108,1521.750783,1445.065833,1462.498107,1538.102797,1402.613671,1564.715268,1714.031542,1744.037416,1772.492139,1837.775489,1749.015759,1791.899683,1730.911811,1695.575803,1570.528186,1643.51917,1588.119123,1453.045472,1501.211625,1375.320208,1399.130244,1580.340876,1608.794059,1517.400127,1521.729227,1597.280622,1573.659131,1539.338106,1565.318254,1506.64248,1441.328286,1318.73581,1335.224259,1192.715162,1061.261163,999.87919,1115.838771,1231.743112,1171.21798,1242.112432,1569.736469,1839.808912,1918.442337,1990.709754,2161.756395,2143.181871,2039.000739,2077.853143,2044.09173,2247.967004,2292.321407,2389.568769,2291.97811,2172.444724,2209.640143,2242.060277,2243.518279,2205.28965,2116.008511,2070.829621,2056.608985,2045.035763,1989.162997,1935.247204,1862.596686,1867.185374,1820.013953,1804.388483,1810.365827,1890.895913,1808.869333,1759.960758,1768.043627,1663.543421,1590.651343,1552.556399,1605.146426,1537.705969,1500.109307,1453.887553,1433.364736,1436.585186,1479.570494,1519.57431,1457.264646,1487.234457,1427.833631,1341.196955,1295.439113,1260.488983,1258.460196,1298.989693,1269.982597,1271.116171,1309.035845,1307.568189,1279.701908,1262.710154,1173.28544,1148.890601,1081.844796,1052.010359,1028.06194,1006.031259,984.339157,930.24678,851.892,872.293,891.439,927.278,958.859,917.691,872.493,977.546,981.421,1090.626,1138.761,1127.691,1128.331,1069.65,1064.496,1122.051,1115.179,1073.807,1048.444,1167.798,1201.945,1223.964,1277.88,1325.205,1241.334,1335.023,1451.202,1448.888,1401.389,1461.792,1504.294,1588.111,1569.162,1633.145,1567.088,1607.601,1697.192,1631.812,1588.323],"991000^JULIAN(FG_PRICE(2/27/2026,1/31/2000,M,USD).DATES)":[46080,46052,46022,45989,45961,45930,45898,45869,45838,45807,45777,45747,45716,45688,45657,45625,45596,45565,45534,45504,45471,45443,45412,45379,45351,45322,45289,45260,45230,45198,45169,45138,45107,45077,45044,45016,44985,44957,44925,44895,44865,44834,44804,44771,44742,44712,44680,44651,44620,44592,44561,44530,44498,44469,44439,44407,44377,44344,44316,44286,44253,44225,44196,44165,44134,44104,44074,44043,44012,43980,43951,43921,43889,43861,43830,43798,43769,43738,43707,43677,43644,43616,43585,43553,43524,43496,43465,43434,43404,43371,43343,43312,43280,43251,43220,43188,43159,43131,43098,43069,43039,43007,42978,42947,42916,42886,42853,42825,42794,42766,42734,42704,42674,42643,42613,42580,42551,42521,42489,42460,42429,42398,42369,42338,42307,42277,42247,42216,42185,42153,42124,42094,42062,42034,42004,41971,41943,41912,41880,41851,41820,41789,41759,41729,41698,41670,41639,41607,41578,41547,41516,41486,41453,41425,41394,41361,41333,41305,41274,41243,41213,41180,41152,41121,41089,41060,41029,40998,40968,40939,40907,40877,40847,40816,40786,40753,40724,40694,40662,40633,40602,40574,40543,40512,40480,40451,40421,40389,40359,40326,40298,40268,40235,40207,40178,40147,40116,40086,40056,40025,39994,39962,39933,39903,39871,39843,39813,39780,39752,39721,39689,39660,39629,39598,39568,39538,39507,39478,39447,39416,39386,39353,39325,39294,39262,39233,39202,39171,39141,39113,39080,39051,39021,38989,38960,38929,38898,38868,38835,38807,38776,38748,38716,38686,38656,38625,38595,38562,38533,38503,38471,38442,38411,38383,38352,38321,38289,38260,38230,38198,38168,38135,38107,38077,38044,38016,37986,37953,37925,37894,37862,37833,37802,37771,37741,37711,37680,37652,37621,37589,37560,37529,37498,37468,37435,37407,37376,37343,37315,37287,37256,37225,37195,37162,37134,37103,37071,37042,37011,36980,36950,36922,36889,36860,36830,36798,36769,36738,36707,36677,36644,36616,36585,36556],"892400^FG_PRICE(2/27/2026,1/31/2000,M,USD)":[1056.764821,1044.257064,1014.623331,1005.138919,1006.23243,984.781269,951.56782,929.620497,917.893023,879.495992,833.537528,827.154603,862.948986,869.039821,841.332072,862.488884,832.302823,851.783138,833.681831,814.155372,802.009859,785.536924,756.608886,783.172134,761.282046,730.838256,726.995723,694.379875,636.654588,656.820133,686.150393,707.109431,682.841342,646.374663,654.996704,646.762076,629.022887,648.365288,605.382332,630.91839,586.37446,553.371279,613.106716,637.717121,596.773933,652.814217,653.667041,711.557718,698.020195,717.375482,754.828116,726.531441,745.228628,709.511987,741.270534,724.208978,719.969961,711.151893,701.830048,673.28772,657.146234,642.906565,646.268342,618.265741,550.99536,565.148482,584.863934,551.894367,524.90763,509.470339,489.168665,442.346476,512.757315,558.621185,565.243908,546.694995,534.411202,520.650885,510.877078,524.350295,523.442032,492.115297,524.843809,508.54849,503.480569,491.194144,455.662175,490.857326,484.570966,524.252671,522.881007,519.817935,505.198233,508.769038,509.693782,505.440105,518.079101,541.673257,513.025948,505.442384,496.624669,486.878674,478.405615,477.583466,465.087899,463.794072,455.173439,448.866378,444.5033,433.128319,421.839407,413.429691,411.014994,418.43435,416.613462,416.08836,399.289731,402.574386,403.339675,398.255485,371.66232,375.016737,399.362433,407.197126,411.249061,381.651191,396.733306,426.781417,423.509388,434.514758,436.296098,424.758438,432.474304,410.327879,417.120335,425.821425,419.450861,416.850208,431.549445,423.043056,428.746303,421.534151,414.094018,411.021308,410.129422,391.921084,408.548765,402.047494,397.109359,382.069953,363.976137,372.489791,355.811311,367.1948,369.422027,359.982493,354.430356,355.101601,339.749192,332.641809,329.067024,331.577595,322.13655,316.023655,312.110836,297.984611,328.67259,333.297311,331.927427,316.654852,299.510738,300.446747,310.434215,280.639409,310.617982,335.896061,341.817036,347.895734,356.902207,343.640481,344.822572,335.58085,330.63638,308.381103,315.946653,305.163525,279.064262,289.751058,268.247293,276.921406,307.347819,307.404434,289.497382,286.327287,299.435157,293.666632,282.588492,287.232419,275.09561,266.14184,244.904905,246.693769,225.240834,202.036078,187.167649,208.022741,227.6834,220.049573,236.111398,294.790289,337.612025,345.745524,355.397974,387.748348,383.299953,363.985082,370.41087,369.934914,403.251031,408.104941,427.634226,411.922735,391.493732,393.343983,399.786765,401.520069,391.143711,375.299506,368.777039,371.202209,367.783807,360.042929,350.749546,338.275888,334.809047,327.036802,325.107967,325.738174,340.189841,329.790669,323.744612,324.658133,309.630121,302.432444,292.318924,300.60397,292.202123,290.570387,280.437913,278.073808,273.702214,280.511691,287.494051,278.299376,284.520521,274.170483,260.379094,254.373356,249.506809,248.450893,256.894805,252.174303,250.931966,257.43039,259.511149,255.195006,251.131118,236.42411,233.23615,220.151284,219.098102,214.455124,210.07926,206.535303,195.752801,180.201,181.416,185.033,190.797,200.604,190.489,177.625,199.846,199.729,218.252,232.824,233.131,241.613,231.208,233.258,240.033,238.0,224.482,219.961,242.414,254.542,258.844,267.374,271.089,253.117,271.968,297.271,290.113,285.682,304.895,311.309,329.761,320.16,330.209,319.776,328.684,344.498,323.592,322.834],"892400^JULIAN(FG_PRICE(2/27/2026,1/31/2000,M,USD).DATES)":[46080,46052,46022,45989,45961,45930,45898,45869,45838,45807,45777,45747,45716,45688,45657,45625,45596,45565,45534,45504,45471,45443,45412,45379,45351,45322,45289,45260,45230,45198,45169,45138,45107,45077,45044,45016,44985,44957,44925,44895,44865,44834,44804,44771,44742,44712,44680,44651,44620,44592,44561,44530,44498,44469,44439,44407,44377,44344,44316,44286,44253,44225,44196,44165,44134,44104,44074,44043,44012,43980,43951,43921,43889,43861,43830,43798,43769,43738,43707,43677,43644,43616,43585,43553,43524,43496,43465,43434,43404,43371,43343,43312,43280,43251,43220,43188,43159,43131,43098,43069,43039,43007,42978,42947,42916,42886,42853,42825,42794,42766,42734,42704,42674,42643,42613,42580,42551,42521,42489,42460,42429,42398,42369,42338,42307,42277,42247,42216,42185,42153,42124,42094,42062,42034,42004,41971,41943,41912,41880,41851,41820,41789,41759,41729,41698,41670,41639,41607,41578,41547,41516,41486,41453,41425,41394,41361,41333,41305,41274,41243,41213,41180,41152,41121,41089,41060,41029,40998,40968,40939,40907,40877,40847,40816,40786,40753,40724,40694,40662,40633,40602,40574,40543,40512,40480,40451,40421,40389,40359,40326,40298,40268,40235,40207,40178,40147,40116,40086,40056,40025,39994,39962,39933,39903,39871,39843,39813,39780,39752,39721,39689,39660,39629,39598,39568,39538,39507,39478,39447,39416,39386,39353,39325,39294,39262,39233,39202,39171,39141,39113,39080,39051,39021,38989,38960,38929,38898,38868,38835,38807,38776,38748,38716,38686,38656,38625,38595,38562,38533,38503,38471,38442,38411,38383,38352,38321,38289,38260,38230,38198,38168,38135,38107,38077,38044,38016,37986,37953,37925,37894,37862,37833,37802,37771,37741,37711,37680,37652,37621,37589,37560,37529,37498,37468,37435,37407,37376,37343,37315,37287,37256,37225,37195,37162,37134,37103,37071,37042,37011,36980,36950,36922,36889,36860,36830,36798,36769,36738,36707,36677,36644,36616,36585,36556],"891800^FG_PRICE(2/27/2026,1/31/2000,M,USD)":[1610.700504,1528.08557,1404.374696,1366.924047,1401.546163,1346.045887,1258.438919,1243.227779,1222.778785,1157.338548,1112.841711,1101.399501,1097.253995,1093.365461,1075.47512,1078.569525,1119.522196,1170.853143,1099.92266,1084.769484,1086.24999,1048.962257,1045.9479,1040.393012,1020.939696,975.798654,1023.740854,987.099289,915.196318,952.784054,980.325256,1046.911652,989.47508,958.527204,977.046261,990.284402,964.005572,1031.497108,956.377603,972.285337,848.162834,875.78565,994.114388,993.781563,1000.668125,1077.665885,1076.189978,1141.787235,1171.309916,1208.231564,1232.007862,1212.417771,1264.754127,1253.097343,1308.670457,1277.804958,1374.637403,1360.782132,1347.611538,1316.425392,1339.258698,1329.565794,1291.263514,1205.067741,1103.458245,1081.996075,1101.498665,1078.918666,995.098332,930.353774,924.936512,848.576929,1005.515796,1062.342529,1114.659873,1040.045391,1041.980986,1000.996227,984.334048,1037.009265,1054.855844,997.997713,1079.235079,1058.127161,1050.950782,1049.926638,965.776258,994.717429,955.92361,1047.908071,1055.959837,1087.455898,1069.517238,1120.710137,1164.427585,1169.265645,1195.192883,1254.587321,1158.454167,1120.793023,1119.078809,1081.721778,1087.697609,1066.233316,1010.800247,1005.325509,977.958508,958.368557,936.371428,909.228195,862.274838,862.831824,905.089445,903.459731,893.67757,873.470986,834.102962,807.454029,840.189967,836.803096,740.326851,742.370947,794.139377,814.296969,847.839247,792.049119,818.730345,901.676361,972.254488,1004.217517,1047.780817,974.571623,990.275259,961.605254,956.307803,1004.715233,1016.071532,1005.325643,1087.88001,1065.774528,1050.777839,1027.692992,995.282946,994.652683,966.42077,936.526604,1002.69277,1018.283733,1034.420003,987.458423,929.536364,947.553421,940.329502,1008.878469,1039.452122,1032.615182,1054.615879,1069.009786,1055.196343,1007.022489,995.325633,1002.656112,947.328386,952.487512,937.353867,906.295682,1026.015587,1041.447461,1079.443335,1019.3944,916.38682,928.324818,995.562451,880.434214,1033.14968,1137.731265,1146.21862,1167.972217,1204.027833,1170.870233,1107.767316,1119.079273,1151.384661,1075.853252,1105.753609,1075.529114,970.046017,991.409701,917.985187,917.046585,1020.033087,1010.333899,935.92941,933.589677,989.46945,953.127978,914.258746,914.045364,839.459719,844.024329,761.295181,773.121257,662.730425,569.966602,499.303823,529.5321,567.042121,526.97212,570.521254,786.924149,956.253169,1041.856372,1087.118872,1209.869872,1191.365065,1104.430144,1167.497475,1088.569848,1245.422356,1241.869309,1337.447993,1204.739755,1086.825322,1112.613824,1059.543882,1014.641244,970.856257,928.903234,895.542327,901.477258,912.648379,874.079805,814.438166,778.160855,773.123544,755.836306,747.539438,750.995526,841.580232,787.802428,782.106198,783.771474,706.48329,667.994232,617.411884,661.317928,606.22993,602.563653,565.167694,548.154875,531.989693,548.689389,588.681423,542.281917,542.174491,517.950194,474.271212,464.151045,439.746434,423.140287,432.199623,434.125943,441.298512,482.062352,477.73243,457.191197,442.778084,413.325281,409.114632,377.633905,375.518425,352.624149,332.684155,315.435593,295.165903,272.267,281.288,290.438,292.09,302.358,283.161,266.106,298.886,294.623,319.752,346.28,352.838,351.461,332.765,327.746,317.4,294.426,266.861,251.395,298.169,301.666,322.888,330.545,327.709,313.138,349.024,379.022,333.793,326.356,357.847,386.031,423.56,422.082,445.518,431.703,451.359,499.404,497.741,491.393],"891800^JULIAN(FG_PRICE(2/27/2026,1/31/2000,M,USD).DATES)":[46080,46052,46022,45989,45961,45930,45898,45869,45838,45807,45777,45747,45716,45688,45657,45625,45596,45565,45534,45504,45471,45443,45412,45379,45351,45322,45289,45260,45230,45198,45169,45138,45107,45077,45044,45016,44985,44957,44925,44895,44865,44834,44804,44771,44742,44712,44680,44651,44620,44592,44561,44530,44498,44469,44439,44407,44377,44344,44316,44286,44253,44225,44196,44165,44134,44104,44074,44043,44012,43980,43951,43921,43889,43861,43830,43798,43769,43738,43707,43677,43644,43616,43585,43553,43524,43496,43465,43434,43404,43371,43343,43312,43280,43251,43220,43188,43159,43131,43098,43069,43039,43007,42978,42947,42916,42886,42853,42825,42794,42766,42734,42704,42674,42643,42613,42580,42551,42521,42489,42460,42429,42398,42369,42338,42307,42277,42247,42216,42185,42153,42124,42094,42062,42034,42004,41971,41943,41912,41880,41851,41820,41789,41759,41729,41698,41670,41639,41607,41578,41547,41516,41486,41453,41425,41394,41361,41333,41305,41274,41243,41213,41180,41152,41121,41089,41060,41029,40998,40968,40939,40907,40877,40847,40816,40786,40753,40724,40694,40662,40633,40602,40574,40543,40512,40480,40451,40421,40389,40359,40326,40298,40268,40235,40207,40178,40147,40116,40086,40056,40025,39994,39962,39933,39903,39871,39843,39813,39780,39752,39721,39689,39660,39629,39598,39568,39538,39507,39478,39447,39416,39386,39353,39325,39294,39262,39233,39202,39171,39141,39113,39080,39051,39021,38989,38960,38929,38898,38868,38835,38807,38776,38748,38716,38686,38656,38625,38595,38562,38533,38503,38471,38442,38411,38383,38352,38321,38289,38260,38230,38198,38168,38135,38107,38077,38044,38016,37986,37953,37925,37894,37862,37833,37802,37771,37741,37711,37680,37652,37621,37589,37560,37529,37498,37468,37435,37407,37376,37343,37315,37287,37256,37225,37195,37162,37134,37103,37071,37042,37011,36980,36950,36922,36889,36860,36830,36798,36769,36738,36707,36677,36644,36616,36585,36556],"990100^P_DATE(2/27/2026,1/31/2000,M)":["02/27/2026","01/30/2026","12/31/2025","11/28/2025","10/31/2025","09/30/2025","08/29/2025","07/31/2025","06/30/2025","05/30/2025","04/30/2025","03/31/2025","02/28/2025","01/31/2025","12/31/2024","11/29/2024","10/31/2024","09/30/2024","08/30/2024","07/31/2024","06/28/2024","05/31/2024","04/30/2024","03/28/2024","02/29/2024","01/31/2024","12/29/2023","11/30/2023","10/31/2023","09/29/2023","08/31/2023","07/31/2023","06/30/2023","05/31/2023","04/28/2023","03/31/2023","02/28/2023","01/31/2023","12/30/2022","11/30/2022","10/31/2022","09/30/2022","08/31/2022","07/29/2022","06/30/2022","05/31/2022","04/29/2022","03/31/2022","02/28/2022","01/31/2022","12/31/2021","11/30/2021","10/29/2021","09/30/2021","08/31/2021","07/30/2021","06/30/2021","05/28/2021","04/30/2021","03/31/2021","02/26/2021","01/29/2021","12/31/2020","11/30/2020","10/30/2020","09/30/2020","08/31/2020","07/31/2020","06/30/2020","05/29/2020","04/30/2020","03/31/2020","02/28/2020","01/31/2020","12/31/2019","11/29/2019","10/31/2019","09/30/2019","08/30/2019","07/31/2019","06/28/2019","05/31/2019","04/30/2019","03/29/2019","02/28/2019","01/31/2019","12/31/2018","11/30/2018","10/31/2018","09/28/2018","08/31/2018","07/31/2018","06/29/2018","05/31/2018","04/30/2018","03/29/2018","02/28/2018","01/31/2018","12/29/2017","11/30/2017","10/31/2017","09/29/2017","08/31/2017","07/31/2017","06/30/2017","05/31/2017","04/28/2017","03/31/2017","02/28/2017","01/31/2017","12/30/2016","11/30/2016","10/31/2016","09/30/2016","08/31/2016","07/29/2016","06/30/2016","05/31/2016","04/29/2016","03/31/2016","02/29/2016","01/29/2016","12/31/2015","11/30/2015","10/30/2015","09/30/2015","08/31/2015","07/31/2015","06/30/2015","05/29/2015","04/30/2015","03/31/2015","02/27/2015","01/30/2015","12/31/2014","11/28/2014","10/31/2014","09/30/2014","08/29/2014","07/31/2014","06/30/2014","05/30/2014","04/30/2014","03/31/2014","02/28/2014","01/31/2014","12/31/2013","11/29/2013","10/31/2013","09/30/2013","08/30/2013","07/31/2013","06/28/2013","05/31/2013","04/30/2013","03/28/2013","02/28/2013","01/31/2013","12/31/2012","11/30/2012","10/31/2012","09/28/2012","08/31/2012","07/31/2012","06/29/2012","05/31/2012","04/30/2012","03/30/2012","02/29/2012","01/31/2012","12/30/2011","11/30/2011","10/31/2011","09/30/2011","08/31/2011","07/29/2011","06/30/2011","05/31/2011","04/29/2011","03/31/2011","02/28/2011","01/31/2011","12/31/2010","11/30/2010","10/29/2010","09/30/2010","08/31/2010","07/30/2010","06/30/2010","05/28/2010","04/30/2010","03/31/2010","02/26/2010","01/29/2010","12/31/2009","11/30/2009","10/30/2009","09/30/2009","08/31/2009","07/31/2009","06/30/2009","05/29/2009","04/30/2009","03/31/2009","02/27/2009","01/30/2009","12/31/2008","11/28/2008","10/31/2008","09/30/2008","08/29/2008","07/31/2008","06/30/2008","05/30/2008","04/30/2008","03/31/2008","02/29/2008","01/31/2008","12/31/2007","11/30/2007","10/31/2007","09/28/2007","08/31/2007","07/31/2007","06/29/2007","05/31/2007","04/30/2007","03/30/2007","02/28/2007","01/31/2007","12/29/2006","11/30/2006","10/31/2006","09/29/2006","08/31/2006","07/31/2006","06/30/2006","05/31/2006","04/28/2006","03/31/2006","02/28/2006","01/31/2006","12/30/2005","11/30/2005","10/31/2005","09/30/2005","08/31/2005","07/29/2005","06/30/2005","05/31/2005","04/29/2005","03/31/2005","02/28/2005","01/31/2005","12/31/2004","11/30/2004","10/29/2004","09/30/2004","08/31/2004","07/30/2004","06/30/2004","05/28/2004","04/30/2004","03/31/2004","02/27/2004","01/30/2004","12/31/2003","11/28/2003","10/31/2003","09/30/2003","08/29/2003","07/31/2003","06/30/2003","05/30/2003","04/30/2003","03/31/2003","02/28/2003","01/31/2003","12/31/2002","11/29/2002","10/31/2002","09/30/2002","08/30/2002","07/31/2002","06/28/2002","05/31/2002","04/30/2002","03/28/2002","02/28/2002","01/31/2002","12/31/2001","11/30/2001","10/31/2001","09/28/2001","08/31/2001","07/31/2001","06/29/2001","05/31/2001","04/30/2001","03/30/2001","02/28/2001","01/31/2001","12/29/2000","11/30/2000","10/31/2000","09/29/2000","08/31/2000","07/31/2000","06/30/2000","05/31/2000","04/28/2000","03/31/2000","02/29/2000","01/31/2000"],"990100^JULIAN(P_DATE(2/27/2026,1/31/2000,M).DATES)":[46080,46052,46022,45989,45961,45930,45898,45869,45838,45807,45777,45747,45716,45688,45657,45625,45596,45565,45534,45504,45471,45443,45412,45379,45351,45322,45289,45260,45230,45198,45169,45138,45107,45077,45044,45016,44985,44957,44925,44895,44865,44834,44804,44771,44742,44712,44680,44651,44620,44592,44561,44530,44498,44469,44439,44407,44377,44344,44316,44286,44253,44225,44196,44165,44134,44104,44074,44043,44012,43980,43951,43921,43889,43861,43830,43798,43769,43738,43707,43677,43644,43616,43585,43553,43524,43496,43465,43434,43404,43371,43343,43312,43280,43251,43220,43188,43159,43131,43098,43069,43039,43007,42978,42947,42916,42886,42853,42825,42794,42766,42734,42704,42674,42643,42613,42580,42551,42521,42489,42460,42429,42398,42369,42338,42307,42277,42247,42216,42185,42153,42124,42094,42062,42034,42004,41971,41943,41912,41880,41851,41820,41789,41759,41729,41698,41670,41639,41607,41578,41547,41516,41486,41453,41425,41394,41361,41333,41305,41274,41243,41213,41180,41152,41121,41089,41060,41029,40998,40968,40939,40907,40877,40847,40816,40786,40753,40724,40694,40662,40633,40602,40574,40543,40512,40480,40451,40421,40389,40359,40326,40298,40268,40235,40207,40178,40147,40116,40086,40056,40025,39994,39962,39933,39903,39871,39843,39813,39780,39752,39721,39689,39660,39629,39598,39568,39538,39507,39478,39447,39416,39386,39353,39325,39294,39262,39233,39202,39171,39141,39113,39080,39051,39021,38989,38960,38929,38898,38868,38835,38807,38776,38748,38716,38686,38656,38625,38595,38562,38533,38503,38471,38442,38411,38383,38352,38321,38289,38260,38230,38198,38168,38135,38107,38077,38044,38016,37986,37953,37925,37894,37862,37833,37802,37771,37741,37711,37680,37652,37621,37589,37560,37529,37498,37468,37435,37407,37376,37343,37315,37287,37256,37225,37195,37162,37134,37103,37071,37042,37011,36980,36950,36922,36889,36860,36830,36798,36769,36738,36707,36677,36644,36616,36585,36556],"991000^P_DATE(2/27/2026,1/31/2000,M)":["02/27/2026","01/30/2026","12/31/2025","11/28/2025","10/31/2025","09/30/2025","08/29/2025","07/31/2025","06/30/2025","05/30/2025","04/30/2025","03/31/2025","02/28/2025","01/31/2025","12/31/2024","11/29/2024","10/31/2024","09/30/2024","08/30/2024","07/31/2024","06/28/2024","05/31/2024","04/30/2024","03/28/2024","02/29/2024","01/31/2024","12/29/2023","11/30/2023","10/31/2023","09/29/2023","08/31/2023","07/31/2023","06/30/2023","05/31/2023","04/28/2023","03/31/2023","02/28/2023","01/31/2023","12/30/2022","11/30/2022","10/31/2022","09/30/2022","08/31/2022","07/29/2022","06/30/2022","05/31/2022","04/29/2022","03/31/2022","02/28/2022","01/31/2022","12/31/2021","11/30/2021","10/29/2021","09/30/2021","08/31/2021","07/30/2021","06/30/2021","05/28/2021","04/30/2021","03/31/2021","02/26/2021","01/29/2021","12/31/2020","11/30/2020","10/30/2020","09/30/2020","08/31/2020","07/31/2020","06/30/2020","05/29/2020","04/30/2020","03/31/2020","02/28/2020","01/31/2020","12/31/2019","11/29/2019","10/31/2019","09/30/2019","08/30/2019","07/31/2019","06/28/2019","05/31/2019","04/30/2019","03/29/2019","02/28/2019","01/31/2019","12/31/2018","11/30/2018","10/31/2018","09/28/2018","08/31/2018","07/31/2018","06/29/2018","05/31/2018","04/30/2018","03/29/2018","02/28/2018","01/31/2018","12/29/2017","11/30/2017","10/31/2017","09/29/2017","08/31/2017","07/31/2017","06/30/2017","05/31/2017","04/28/2017","03/31/2017","02/28/2017","01/31/2017","12/30/2016","11/30/2016","10/31/2016","09/30/2016","08/31/2016","07/29/2016","06/30/2016","05/31/2016","04/29/2016","03/31/2016","02/29/2016","01/29/2016","12/31/2015","11/30/2015","10/30/2015","09/30/2015","08/31/2015","07/31/2015","06/30/2015","05/29/2015","04/30/2015","03/31/2015","02/27/2015","01/30/2015","12/31/2014","11/28/2014","10/31/2014","09/30/2014","08/29/2014","07/31/2014","06/30/2014","05/30/2014","04/30/2014","03/31/2014","02/28/2014","01/31/2014","12/31/2013","11/29/2013","10/31/2013","09/30/2013","08/30/2013","07/31/2013","06/28/2013","05/31/2013","04/30/2013","03/28/2013","02/28/2013","01/31/2013","12/31/2012","11/30/2012","10/31/2012","09/28/2012","08/31/2012","07/31/2012","06/29/2012","05/31/2012","04/30/2012","03/30/2012","02/29/2012","01/31/2012","12/30/2011","11/30/2011","10/31/2011","09/30/2011","08/31/2011","07/29/2011","06/30/2011","05/31/2011","04/29/2011","03/31/2011","02/28/2011","01/31/2011","12/31/2010","11/30/2010","10/29/2010","09/30/2010","08/31/2010","07/30/2010","06/30/2010","05/28/2010","04/30/2010","03/31/2010","02/26/2010","01/29/2010","12/31/2009","11/30/2009","10/30/2009","09/30/2009","08/31/2009","07/31/2009","06/30/2009","05/29/2009","04/30/2009","03/31/2009","02/27/2009","01/30/2009","12/31/2008","11/28/2008","10/31/2008","09/30/2008","08/29/2008","07/31/2008","06/30/2008","05/30/2008","04/30/2008","03/31/2008","02/29/2008","01/31/2008","12/31/2007","11/30/2007","10/31/2007","09/28/2007","08/31/2007","07/31/2007","06/29/2007","05/31/2007","04/30/2007","03/30/2007","02/28/2007","01/31/2007","12/29/2006","11/30/2006","10/31/2006","09/29/2006","08/31/2006","07/31/2006","06/30/2006","05/31/2006","04/28/2006","03/31/2006","02/28/2006","01/31/2006","12/30/2005","11/30/2005","10/31/2005","09/30/2005","08/31/2005","07/29/2005","06/30/2005","05/31/2005","04/29/2005","03/31/2005","02/28/2005","01/31/2005","12/31/2004","11/30/2004","10/29/2004","09/30/2004","08/31/2004","07/30/2004","06/30/2004","05/28/2004","04/30/2004","03/31/2004","02/27/2004","01/30/2004","12/31/2003","11/28/2003","10/31/2003","09/30/2003","08/29/2003","07/31/2003","06/30/2003","05/30/2003","04/30/2003","03/31/2003","02/28/2003","01/31/2003","12/31/2002","11/29/2002","10/31/2002","09/30/2002","08/30/2002","07/31/2002","06/28/2002","05/31/2002","04/30/2002","03/28/2002","02/28/2002","01/31/2002","12/31/2001","11/30/2001","10/31/2001","09/28/2001","08/31/2001","07/31/2001","06/29/2001","05/31/2001","04/30/2001","03/30/2001","02/28/2001","01/31/2001","12/29/2000","11/30/2000","10/31/2000","09/29/2000","08/31/2000","07/31/2000","06/30/2000","05/31/2000","04/28/2000","03/31/2000","02/29/2000","01/31/2000"],"991000^JULIAN(P_DATE(2/27/2026,1/31/2000,M).DATES)":[46080,46052,46022,45989,45961,45930,45898,45869,45838,45807,45777,45747,45716,45688,45657,45625,45596,45565,45534,45504,45471,45443,45412,45379,45351,45322,45289,45260,45230,45198,45169,45138,45107,45077,45044,45016,44985,44957,44925,44895,44865,44834,44804,44771,44742,44712,44680,44651,44620,44592,44561,44530,44498,44469,44439,44407,44377,44344,44316,44286,44253,44225,44196,44165,44134,44104,44074,44043,44012,43980,43951,43921,43889,43861,43830,43798,43769,43738,43707,43677,43644,43616,43585,43553,43524,43496,43465,43434,43404,43371,43343,43312,43280,43251,43220,43188,43159,43131,43098,43069,43039,43007,42978,42947,42916,42886,42853,42825,42794,42766,42734,42704,42674,42643,42613,42580,42551,42521,42489,42460,42429,42398,42369,42338,42307,42277,42247,42216,42185,42153,42124,42094,42062,42034,42004,41971,41943,41912,41880,41851,41820,41789,41759,41729,41698,41670,41639,41607,41578,41547,41516,41486,41453,41425,41394,41361,41333,41305,41274,41243,41213,41180,41152,41121,41089,41060,41029,40998,40968,40939,40907,40877,40847,40816,40786,40753,40724,40694,40662,40633,40602,40574,40543,40512,40480,40451,40421,40389,40359,40326,40298,40268,40235,40207,40178,40147,40116,40086,40056,40025,39994,39962,39933,39903,39871,39843,39813,39780,39752,39721,39689,39660,39629,39598,39568,39538,39507,39478,39447,39416,39386,39353,39325,39294,39262,39233,39202,39171,39141,39113,39080,39051,39021,38989,38960,38929,38898,38868,38835,38807,38776,38748,38716,38686,38656,38625,38595,38562,38533,38503,38471,38442,38411,38383,38352,38321,38289,38260,38230,38198,38168,38135,38107,38077,38044,38016,37986,37953,37925,37894,37862,37833,37802,37771,37741,37711,37680,37652,37621,37589,37560,37529,37498,37468,37435,37407,37376,37343,37315,37287,37256,37225,37195,37162,37134,37103,37071,37042,37011,36980,36950,36922,36889,36860,36830,36798,36769,36738,36707,36677,36644,36616,36585,36556],"892400^P_DATE(2/27/2026,1/31/2000,M)":["02/27/2026","01/30/2026","12/31/2025","11/28/2025","10/31/2025","09/30/2025","08/29/2025","07/31/2025","06/30/2025","05/30/2025","04/30/2025","03/31/2025","02/28/2025","01/31/2025","12/31/2024","11/29/2024","10/31/2024","09/30/2024","08/30/2024","07/31/2024","06/28/2024","05/31/2024","04/30/2024","03/28/2024","02/29/2024","01/31/2024","12/29/2023","11/30/2023","10/31/2023","09/29/2023","08/31/2023","07/31/2023","06/30/2023","05/31/2023","04/28/2023","03/31/2023","02/28/2023","01/31/2023","12/30/2022","11/30/2022","10/31/2022","09/30/2022","08/31/2022","07/29/2022","06/30/2022","05/31/2022","04/29/2022","03/31/2022","02/28/2022","01/31/2022","12/31/2021","11/30/2021","10/29/2021","09/30/2021","08/31/2021","07/30/2021","06/30/2021","05/28/2021","04/30/2021","03/31/2021","02/26/2021","01/29/2021","12/31/2020","11/30/2020","10/30/2020","09/30/2020","08/31/2020","07/31/2020","06/30/2020","05/29/2020","04/30/2020","03/31/2020","02/28/2020","01/31/2020","12/31/2019","11/29/2019","10/31/2019","09/30/2019","08/30/2019","07/31/2019","06/28/2019","05/31/2019","04/30/2019","03/29/2019","02/28/2019","01/31/2019","12/31/2018","11/30/2018","10/31/2018","09/28/2018","08/31/2018","07/31/2018","06/29/2018","05/31/2018","04/30/2018","03/29/2018","02/28/2018","01/31/2018","12/29/2017","11/30/2017","10/31/2017","09/29/2017","08/31/2017","07/31/2017","06/30/2017","05/31/2017","04/28/2017","03/31/2017","02/28/2017","01/31/2017","12/30/2016","11/30/2016","10/31/2016","09/30/2016","08/31/2016","07/29/2016","06/30/2016","05/31/2016","04/29/2016","03/31/2016","02/29/2016","01/29/2016","12/31/2015","11/30/2015","10/30/2015","09/30/2015","08/31/2015","07/31/2015","06/30/2015","05/29/2015","04/30/2015","03/31/2015","02/27/2015","01/30/2015","12/31/2014","11/28/2014","10/31/2014","09/30/2014","08/29/2014","07/31/2014","06/30/2014","05/30/2014","04/30/2014","03/31/2014","02/28/2014","01/31/2014","12/31/2013","11/29/2013","10/31/2013","09/30/2013","08/30/2013","07/31/2013","06/28/2013","05/31/2013","04/30/2013","03/28/2013","02/28/2013","01/31/2013","12/31/2012","11/30/2012","10/31/2012","09/28/2012","08/31/2012","07/31/2012","06/29/2012","05/31/2012","04/30/2012","03/30/2012","02/29/2012","01/31/2012","12/30/2011","11/30/2011","10/31/2011","09/30/2011","08/31/2011","07/29/2011","06/30/2011","05/31/2011","04/29/2011","03/31/2011","02/28/2011","01/31/2011","12/31/2010","11/30/2010","10/29/2010","09/30/2010","08/31/2010","07/30/2010","06/30/2010","05/28/2010","04/30/2010","03/31/2010","02/26/2010","01/29/2010","12/31/2009","11/30/2009","10/30/2009","09/30/2009","08/31/2009","07/31/2009","06/30/2009","05/29/2009","04/30/2009","03/31/2009","02/27/2009","01/30/2009","12/31/2008","11/28/2008","10/31/2008","09/30/2008","08/29/2008","07/31/2008","06/30/2008","05/30/2008","04/30/2008","03/31/2008","02/29/2008","01/31/2008","12/31/2007","11/30/2007","10/31/2007","09/28/2007","08/31/2007","07/31/2007","06/29/2007","05/31/2007","04/30/2007","03/30/2007","02/28/2007","01/31/2007","12/29/2006","11/30/2006","10/31/2006","09/29/2006","08/31/2006","07/31/2006","06/30/2006","05/31/2006","04/28/2006","03/31/2006","02/28/2006","01/31/2006","12/30/2005","11/30/2005","10/31/2005","09/30/2005","08/31/2005","07/29/2005","06/30/2005","05/31/2005","04/29/2005","03/31/2005","02/28/2005","01/31/2005","12/31/2004","11/30/2004","10/29/2004","09/30/2004","08/31/2004","07/30/2004","06/30/2004","05/28/2004","04/30/2004","03/31/2004","02/27/2004","01/30/2004","12/31/2003","11/28/2003","10/31/2003","09/30/2003","08/29/2003","07/31/2003","06/30/2003","05/30/2003","04/30/2003","03/31/2003","02/28/2003","01/31/2003","12/31/2002","11/29/2002","10/31/2002","09/30/2002","08/30/2002","07/31/2002","06/28/2002","05/31/2002","04/30/2002","03/28/2002","02/28/2002","01/31/2002","12/31/2001","11/30/2001","10/31/2001","09/28/2001","08/31/2001","07/31/2001","06/29/2001","05/31/2001","04/30/2001","03/30/2001","02/28/2001","01/31/2001","12/29/2000","11/30/2000","10/31/2000","09/29/2000","08/31/2000","07/31/2000","06/30/2000","05/31/2000","04/28/2000","03/31/2000","02/29/2000","01/31/2000"],"892400^JULIAN(P_DATE(2/27/2026,1/31/2000,M).DATES)":[46080,46052,46022,45989,45961,45930,45898,45869,45838,45807,45777,45747,45716,45688,45657,45625,45596,45565,45534,45504,45471,45443,45412,45379,45351,45322,45289,45260,45230,45198,45169,45138,45107,45077,45044,45016,44985,44957,44925,44895,44865,44834,44804,44771,44742,44712,44680,44651,44620,44592,44561,44530,44498,44469,44439,44407,44377,44344,44316,44286,44253,44225,44196,44165,44134,44104,44074,44043,44012,43980,43951,43921,43889,43861,43830,43798,43769,43738,43707,43677,43644,43616,43585,43553,43524,43496,43465,43434,43404,43371,43343,43312,43280,43251,43220,43188,43159,43131,43098,43069,43039,43007,42978,42947,42916,42886,42853,42825,42794,42766,42734,42704,42674,42643,42613,42580,42551,42521,42489,42460,42429,42398,42369,42338,42307,42277,42247,42216,42185,42153,42124,42094,42062,42034,42004,41971,41943,41912,41880,41851,41820,41789,41759,41729,41698,41670,41639,41607,41578,41547,41516,41486,41453,41425,41394,41361,41333,41305,41274,41243,41213,41180,41152,41121,41089,41060,41029,40998,40968,40939,40907,40877,40847,40816,40786,40753,40724,40694,40662,40633,40602,40574,40543,40512,40480,40451,40421,40389,40359,40326,40298,40268,40235,40207,40178,40147,40116,40086,40056,40025,39994,39962,39933,39903,39871,39843,39813,39780,39752,39721,39689,39660,39629,39598,39568,39538,39507,39478,39447,39416,39386,39353,39325,39294,39262,39233,39202,39171,39141,39113,39080,39051,39021,38989,38960,38929,38898,38868,38835,38807,38776,38748,38716,38686,38656,38625,38595,38562,38533,38503,38471,38442,38411,38383,38352,38321,38289,38260,38230,38198,38168,38135,38107,38077,38044,38016,37986,37953,37925,37894,37862,37833,37802,37771,37741,37711,37680,37652,37621,37589,37560,37529,37498,37468,37435,37407,37376,37343,37315,37287,37256,37225,37195,37162,37134,37103,37071,37042,37011,36980,36950,36922,36889,36860,36830,36798,36769,36738,36707,36677,36644,36616,36585,36556],"891800^P_DATE(2/27/2026,1/31/2000,M)":["02/27/2026","01/30/2026","12/31/2025","11/28/2025","10/31/2025","09/30/2025","08/29/2025","07/31/2025","06/30/2025","05/30/2025","04/30/2025","03/31/2025","02/28/2025","01/31/2025","12/31/2024","11/29/2024","10/31/2024","09/30/2024","08/30/2024","07/31/2024","06/28/2024","05/31/2024","04/30/2024","03/28/2024","02/29/2024","01/31/2024","12/29/2023","11/30/2023","10/31/2023","09/29/2023","08/31/2023","07/31/2023","06/30/2023","05/31/2023","04/28/2023","03/31/2023","02/28/2023","01/31/2023","12/30/2022","11/30/2022","10/31/2022","09/30/2022","08/31/2022","07/29/2022","06/30/2022","05/31/2022","04/29/2022","03/31/2022","02/28/2022","01/31/2022","12/31/2021","11/30/2021","10/29/2021","09/30/2021","08/31/2021","07/30/2021","06/30/2021","05/28/2021","04/30/2021","03/31/2021","02/26/2021","01/29/2021","12/31/2020","11/30/2020","10/30/2020","09/30/2020","08/31/2020","07/31/2020","06/30/2020","05/29/2020","04/30/2020","03/31/2020","02/28/2020","01/31/2020","12/31/2019","11/29/2019","10/31/2019","09/30/2019","08/30/2019","07/31/2019","06/28/2019","05/31/2019","04/30/2019","03/29/2019","02/28/2019","01/31/2019","12/31/2018","11/30/2018","10/31/2018","09/28/2018","08/31/2018","07/31/2018","06/29/2018","05/31/2018","04/30/2018","03/29/2018","02/28/2018","01/31/2018","12/29/2017","11/30/2017","10/31/2017","09/29/2017","08/31/2017","07/31/2017","06/30/2017","05/31/2017","04/28/2017","03/31/2017","02/28/2017","01/31/2017","12/30/2016","11/30/2016","10/31/2016","09/30/2016","08/31/2016","07/29/2016","06/30/2016","05/31/2016","04/29/2016","03/31/2016","02/29/2016","01/29/2016","12/31/2015","11/30/2015","10/30/2015","09/30/2015","08/31/2015","07/31/2015","06/30/2015","05/29/2015","04/30/2015","03/31/2015","02/27/2015","01/30/2015","12/31/2014","11/28/2014","10/31/2014","09/30/2014","08/29/2014","07/31/2014","06/30/2014","05/30/2014","04/30/2014","03/31/2014","02/28/2014","01/31/2014","12/31/2013","11/29/2013","10/31/2013","09/30/2013","08/30/2013","07/31/2013","06/28/2013","05/31/2013","04/30/2013","03/28/2013","02/28/2013","01/31/2013","12/31/2012","11/30/2012","10/31/2012","09/28/2012","08/31/2012","07/31/2012","06/29/2012","05/31/2012","04/30/2012","03/30/2012","02/29/2012","01/31/2012","12/30/2011","11/30/2011","10/31/2011","09/30/2011","08/31/2011","07/29/2011","06/30/2011","05/31/2011","04/29/2011","03/31/2011","02/28/2011","01/31/2011","12/31/2010","11/30/2010","10/29/2010","09/30/2010","08/31/2010","07/30/2010","06/30/2010","05/28/2010","04/30/2010","03/31/2010","02/26/2010","01/29/2010","12/31/2009","11/30/2009","10/30/2009","09/30/2009","08/31/2009","07/31/2009","06/30/2009","05/29/2009","04/30/2009","03/31/2009","02/27/2009","01/30/2009","12/31/2008","11/28/2008","10/31/2008","09/30/2008","08/29/2008","07/31/2008","06/30/2008","05/30/2008","04/30/2008","03/31/2008","02/29/2008","01/31/2008","12/31/2007","11/30/2007","10/31/2007","09/28/2007","08/31/2007","07/31/2007","06/29/2007","05/31/2007","04/30/2007","03/30/2007","02/28/2007","01/31/2007","12/29/2006","11/30/2006","10/31/2006","09/29/2006","08/31/2006","07/31/2006","06/30/2006","05/31/2006","04/28/2006","03/31/2006","02/28/2006","01/31/2006","12/30/2005","11/30/2005","10/31/2005","09/30/2005","08/31/2005","07/29/2005","06/30/2005","05/31/2005","04/29/2005","03/31/2005","02/28/2005","01/31/2005","12/31/2004","11/30/2004","10/29/2004","09/30/2004","08/31/2004","07/30/2004","06/30/2004","05/28/2004","04/30/2004","03/31/2004","02/27/2004","01/30/2004","12/31/2003","11/28/2003","10/31/2003","09/30/2003","08/29/2003","07/31/2003","06/30/2003","05/30/2003","04/30/2003","03/31/2003","02/28/2003","01/31/2003","12/31/2002","11/29/2002","10/31/2002","09/30/2002","08/30/2002","07/31/2002","06/28/2002","05/31/2002","04/30/2002","03/28/2002","02/28/2002","01/31/2002","12/31/2001","11/30/2001","10/31/2001","09/28/2001","08/31/2001","07/31/2001","06/29/2001","05/31/2001","04/30/2001","03/30/2001","02/28/2001","01/31/2001","12/29/2000","11/30/2000","10/31/2000","09/29/2000","08/31/2000","07/31/2000","06/30/2000","05/31/2000","04/28/2000","03/31/2000","02/29/2000","01/31/2000"],"891800^JULIAN(P_DATE(2/27/2026,1/31/2000,M).DATES)":[46080,46052,46022,45989,45961,45930,45898,45869,45838,45807,45777,45747,45716,45688,45657,45625,45596,45565,45534,45504,45471,45443,45412,45379,45351,45322,45289,45260,45230,45198,45169,45138,45107,45077,45044,45016,44985,44957,44925,44895,44865,44834,44804,44771,44742,44712,44680,44651,44620,44592,44561,44530,44498,44469,44439,44407,44377,44344,44316,44286,44253,44225,44196,44165,44134,44104,44074,44043,44012,43980,43951,43921,43889,43861,43830,43798,43769,43738,43707,43677,43644,43616,43585,43553,43524,43496,43465,43434,43404,43371,43343,43312,43280,43251,43220,43188,43159,43131,43098,43069,43039,43007,42978,42947,42916,42886,42853,42825,42794,42766,42734,42704,42674,42643,42613,42580,42551,42521,42489,42460,42429,42398,42369,42338,42307,42277,42247,42216,42185,42153,42124,42094,42062,42034,42004,41971,41943,41912,41880,41851,41820,41789,41759,41729,41698,41670,41639,41607,41578,41547,41516,41486,41453,41425,41394,41361,41333,41305,41274,41243,41213,41180,41152,41121,41089,41060,41029,40998,40968,40939,40907,40877,40847,40816,40786,40753,40724,40694,40662,40633,40602,40574,40543,40512,40480,40451,40421,40389,40359,40326,40298,40268,40235,40207,40178,40147,40116,40086,40056,40025,39994,39962,39933,39903,39871,39843,39813,39780,39752,39721,39689,39660,39629,39598,39568,39538,39507,39478,39447,39416,39386,39353,39325,39294,39262,39233,39202,39171,39141,39113,39080,39051,39021,38989,38960,38929,38898,38868,38835,38807,38776,38748,38716,38686,38656,38625,38595,38562,38533,38503,38471,38442,38411,38383,38352,38321,38289,38260,38230,38198,38168,38135,38107,38077,38044,38016,37986,37953,37925,37894,37862,37833,37802,37771,37741,37711,37680,37652,37621,37589,37560,37529,37498,37468,37435,37407,37376,37343,37315,37287,37256,37225,37195,37162,37134,37103,37071,37042,37011,36980,36950,36922,36889,36860,36830,36798,36769,36738,36707,36677,36644,36616,36585,36556],"990100^FG_PRICE(2/27/2026,1/31/2000,M)":[3521.182911,3490.716696,3433.774234,3418.342434,3413.263947,3329.672341,3229.392635,3167.685816,3106.465711,2996.269987,2834.751825,2849.588994,3006.101975,3038.025076,2938.110688,2997.908308,2861.664425,2889.804901,2850.994843,2802.383004,2769.50983,2709.372194,2609.324921,2699.761966,2617.02636,2504.736829,2462.218438,2366.006049,2188.031641,2248.530019,2338.051372,2383.8764,2317.929934,2195.593041,2205.89818,2174.496386,2127.120341,2163.786347,2033.026296,2144.006084,2032.226852,1898.025787,2073.799826,2151.532008,1994.050794,2164.74096,2175.038575,2339.315405,2273.720459,2338.555893,2461.228415,2368.567545,2406.448182,2282.456014,2373.240393,2314.606713,2277.089042,2232.079832,2208.320037,2125.228804,2043.701304,1993.17334,2009.906608,1943.700814,1737.861413,1793.93697,1850.096068,1743.426345,1687.799337,1651.012347,1579.603421,1430.95773,1646.175941,1793.957426,1799.78659,1761.589334,1710.365221,1680.311403,1644.939694,1681.021955,1662.541558,1571.947755,1672.38707,1614.51997,1593.042659,1544.28452,1441.424264,1566.30138,1551.218141,1665.834909,1656.529944,1637.828116,1588.955208,1585.727088,1570.810415,1542.937593,1584.233127,1644.980225,1586.197228,1570.385343,1548.723385,1511.486061,1479.554994,1480.471705,1460.462737,1462.164447,1445.536122,1431.241913,1421.094097,1380.983373,1364.255813,1328.797814,1297.071501,1306.849499,1306.571932,1303.895459,1253.240447,1271.964928,1254.1064,1245.959175,1186.539089,1207.652044,1277.717424,1307.319262,1301.234481,1207.297118,1253.950024,1346.058353,1314.172062,1355.810377,1342.767582,1331.348778,1340.410201,1267.917494,1275.768903,1287.095985,1252.99389,1239.843485,1254.398125,1224.523362,1235.06821,1219.954724,1197.129936,1190.781901,1191.373275,1145.318725,1184.500121,1161.538236,1138.894458,1096.380204,1058.792831,1083.345234,1035.147597,1062.370859,1050.711331,1024.753846,1000.466895,987.757549,938.202184,921.784751,910.294356,915.299211,897.982308,882.457784,871.449336,836.966939,901.236063,917.474625,903.917322,864.950012,829.777034,825.878504,838.708573,773.272668,825.067364,886.99092,912.534233,928.623916,944.214253,925.281509,939.613752,914.437048,897.667501,850.441109,854.878829,831.824039,779.260122,807.978081,764.75624,799.055999,867.804384,867.174378,816.114677,801.93104,832.500896,803.656219,781.15311,799.642735,777.082827,750.751112,699.544841,701.169603,666.528124,605.812427,571.194413,629.151905,677.813093,671.933131,717.269867,858.560632,964.333736,955.185788,973.712892,1062.51655,1050.082977,991.902049,1016.435153,1035.874556,1131.746388,1141.96369,1195.108736,1170.956242,1138.448025,1141.243025,1178.023141,1191.109618,1155.963085,1119.091303,1105.034497,1119.734516,1100.641476,1073.111816,1063.050613,1031.856167,1014.79087,991.519028,986.771605,983.278182,1031.723389,1024.089376,1002.023508,1000.173538,969.564645,949.788121,912.986604,931.388258,902.873569,903.854075,871.683025,858.560186,831.228647,852.553815,863.234964,843.521249,852.461222,825.558604,800.132917,790.984792,781.87839,781.988231,805.916018,789.710474,790.883313,795.341027,804.385493,791.26717,778.600212,745.7136,741.831992,704.232564,716.251235,700.403128,681.667872,668.677118,642.953767,595.081,599.713,610.632,634.274,678.467,644.781,600.885,676.385,676.403,739.322,802.318,812.866,854.663,821.561,830.872,847.933,839.254,790.627,771.537,847.81,905.38,925.601,950.617,959.271,897.832,944.469,1026.072,1000.482,1005.427,1073.431,1079.457,1137.693,1093.761,1111.218,1089.336,1117.631,1144.812,1081.521,1068.761],"990100^JULIAN(FG_PRICE(2/27/2026,1/31/2000,M).DATES)":[46080,46052,46022,45989,45961,45930,45898,45869,45838,45807,45777,45747,45716,45688,45657,45625,45596,45565,45534,45504,45471,45443,45412,45379,45351,45322,45289,45260,45230,45198,45169,45138,45107,45077,45044,45016,44985,44957,44925,44895,44865,44834,44804,44771,44742,44712,44680,44651,44620,44592,44561,44530,44498,44469,44439,44407,44377,44344,44316,44286,44253,44225,44196,44165,44134,44104,44074,44043,44012,43980,43951,43921,43889,43861,43830,43798,43769,43738,43707,43677,43644,43616,43585,43553,43524,43496,43465,43434,43404,43371,43343,43312,43280,43251,43220,43188,43159,43131,43098,43069,43039,43007,42978,42947,42916,42886,42853,42825,42794,42766,42734,42704,42674,42643,42613,42580,42551,42521,42489,42460,42429,42398,42369,42338,42307,42277,42247,42216,42185,42153,42124,42094,42062,42034,42004,41971,41943,41912,41880,41851,41820,41789,41759,41729,41698,41670,41639,41607,41578,41547,41516,41486,41453,41425,41394,41361,41333,41305,41274,41243,41213,41180,41152,41121,41089,41060,41029,40998,40968,40939,40907,40877,40847,40816,40786,40753,40724,40694,40662,40633,40602,40574,40543,40512,40480,40451,40421,40389,40359,40326,40298,40268,40235,40207,40178,40147,40116,40086,40056,40025,39994,39962,39933,39903,39871,39843,39813,39780,39752,39721,39689,39660,39629,39598,39568,39538,39507,39478,39447,39416,39386,39353,39325,39294,39262,39233,39202,39171,39141,39113,39080,39051,39021,38989,38960,38929,38898,38868,38835,38807,38776,38748,38716,38686,38656,38625,38595,38562,38533,38503,38471,38442,38411,38383,38352,38321,38289,38260,38230,38198,38168,38135,38107,38077,38044,38016,37986,37953,37925,37894,37862,37833,37802,37771,37741,37711,37680,37652,37621,37589,37560,37529,37498,37468,37435,37407,37376,37343,37315,37287,37256,37225,37195,37162,37134,37103,37071,37042,37011,36980,36950,36922,36889,36860,36830,36798,36769,36738,36707,36677,36644,36616,36585,36556],"991000^FG_PRICE(2/27/2026,1/31/2000,M)":[2021.713677,1916.284817,1864.526686,1829.978561,1816.090054,1762.435599,1729.179371,1691.785147,1669.282653,1663.292184,1596.583229,1603.0625,1655.222179,1643.995713,1571.422105,1572.812146,1555.027557,1577.191905,1582.430488,1576.943443,1557.747522,1570.443276,1540.494185,1559.949155,1508.689409,1467.763051,1434.274449,1394.341015,1319.959054,1366.261217,1388.066002,1417.420649,1393.727513,1347.181778,1381.307691,1353.989191,1356.063387,1354.113905,1273.277436,1317.156689,1241.043301,1178.459958,1258.009279,1290.145143,1228.702445,1317.629566,1325.953081,1355.052631,1331.031982,1359.983451,1406.712734,1351.306998,1386.620659,1354.068808,1377.323445,1351.210835,1346.342058,1337.303835,1303.854147,1289.899957,1232.203896,1200.215311,1205.834387,1178.637012,1045.405887,1088.44736,1103.91332,1064.054818,1078.787525,1053.534902,1016.335459,962.260961,1110.441005,1207.749862,1220.220324,1206.538523,1182.130022,1166.604066,1132.013129,1160.619559,1153.925721,1110.20516,1169.966994,1135.149766,1126.460708,1091.305418,1033.126166,1098.661999,1101.408977,1179.213579,1168.125407,1190.812017,1162.106095,1165.838776,1176.294254,1130.440487,1161.167527,1202.6057,1191.223679,1178.45029,1185.440031,1152.255197,1123.973327,1126.988527,1120.4681,1131.532777,1117.762284,1106.161638,1086.219646,1067.798421,1066.490838,1024.044893,1012.029528,1000.968697,999.862774,993.233717,949.556275,985.907529,973.990977,963.910474,938.976008,973.456769,1030.718131,1060.82814,1050.302346,978.705747,1029.787788,1114.809414,1080.41777,1130.660025,1121.695525,1111.449148,1104.856911,1043.413415,1016.091377,1030.772747,999.490337,1004.747923,1009.430943,1001.430266,1001.598274,998.15932,982.308711,976.473638,983.754235,950.399561,980.595135,967.534377,955.546916,924.331139,888.589922,901.207952,865.780894,900.157161,898.149135,869.297323,859.910206,846.641199,803.128375,779.930448,762.377956,754.216679,743.831144,733.642367,724.29288,692.979229,753.139523,776.029252,777.540064,741.201433,713.68728,712.728414,731.602558,690.062243,727.610992,792.506362,821.59049,835.073016,852.087048,842.105675,867.827752,847.589518,835.398249,798.518331,805.824609,791.636875,755.973091,775.159817,741.928039,765.66033,828.147112,839.03482,786.504111,780.680436,810.898506,771.055834,768.201743,788.391803,771.712696,743.839508,693.611533,697.075675,662.687678,599.184174,577.507331,626.308126,667.024009,662.187067,696.642661,826.580165,945.128809,937.561397,961.055021,1049.122914,1038.627644,972.501224,1013.292943,1018.776714,1138.290267,1150.228988,1203.831064,1174.501359,1150.007535,1169.33138,1206.259898,1211.71573,1178.430443,1149.877188,1132.223534,1138.984927,1119.311443,1076.057494,1074.259352,1045.623826,1035.654117,1010.213609,1002.922642,995.549648,1060.545675,1057.196747,1023.667308,1018.680901,982.465775,940.727077,901.971229,922.593071,871.657327,862.51511,831.366541,805.518907,778.234638,803.380194,809.029597,786.450612,781.219169,757.281897,740.187016,733.580143,723.272177,726.365141,743.444393,725.793017,738.604284,733.246129,736.426894,719.300849,708.344032,683.327486,682.080748,649.16414,663.536905,644.308514,618.673057,600.169455,585.676859,543.292,558.856,569.591,601.254,646.096,618.664,587.944,659.306,662.162,736.048,800.37,814.78,838.09,801.831,800.272,822.087,808.173,772.71,744.786,831.47,883.419,915.437,943.141,965.854,911.536,942.91,1011.472,996.302,1003.542,1050.695,1054.083,1105.988,1074.544,1088.302,1069.663,1095.247,1110.959,1087.216,1038.052],"991000^JULIAN(FG_PRICE(2/27/2026,1/31/2000,M).DATES)":[46080,46052,46022,45989,45961,45930,45898,45869,45838,45807,45777,45747,45716,45688,45657,45625,45596,45565,45534,45504,45471,45443,45412,45379,45351,45322,45289,45260,45230,45198,45169,45138,45107,45077,45044,45016,44985,44957,44925,44895,44865,44834,44804,44771,44742,44712,44680,44651,44620,44592,44561,44530,44498,44469,44439,44407,44377,44344,44316,44286,44253,44225,44196,44165,44134,44104,44074,44043,44012,43980,43951,43921,43889,43861,43830,43798,43769,43738,43707,43677,43644,43616,43585,43553,43524,43496,43465,43434,43404,43371,43343,43312,43280,43251,43220,43188,43159,43131,43098,43069,43039,43007,42978,42947,42916,42886,42853,42825,42794,42766,42734,42704,42674,42643,42613,42580,42551,42521,42489,42460,42429,42398,42369,42338,42307,42277,42247,42216,42185,42153,42124,42094,42062,42034,42004,41971,41943,41912,41880,41851,41820,41789,41759,41729,41698,41670,41639,41607,41578,41547,41516,41486,41453,41425,41394,41361,41333,41305,41274,41243,41213,41180,41152,41121,41089,41060,41029,40998,40968,40939,40907,40877,40847,40816,40786,40753,40724,40694,40662,40633,40602,40574,40543,40512,40480,40451,40421,40389,40359,40326,40298,40268,40235,40207,40178,40147,40116,40086,40056,40025,39994,39962,39933,39903,39871,39843,39813,39780,39752,39721,39689,39660,39629,39598,39568,39538,39507,39478,39447,39416,39386,39353,39325,39294,39262,39233,39202,39171,39141,39113,39080,39051,39021,38989,38960,38929,38898,38868,38835,38807,38776,38748,38716,38686,38656,38625,38595,38562,38533,38503,38471,38442,38411,38383,38352,38321,38289,38260,38230,38198,38168,38135,38107,38077,38044,38016,37986,37953,37925,37894,37862,37833,37802,37771,37741,37711,37680,37652,37621,37589,37560,37529,37498,37468,37435,37407,37376,37343,37315,37287,37256,37225,37195,37162,37134,37103,37071,37042,37011,36980,36950,36922,36889,36860,36830,36798,36769,36738,36707,36677,36644,36616,36585,36556],"892400^FG_PRICE(2/27/2026,1/31/2000,M)":[1260.050468,1243.42945,1213.882115,1205.959165,1206.570897,1174.495063,1134.822054,1113.87089,1091.094774,1051.512514,997.63139,1002.841716,1052.184695,1061.6317,1028.611725,1046.424066,1006.385305,1018.26835,1000.595893,985.05445,974.498397,951.793542,919.986861,947.16336,918.781191,878.953845,868.726736,835.733297,774.474805,796.727979,826.78443,845.718258,820.603138,779.442092,783.724045,774.518747,757.952328,773.702297,726.912242,764.000002,720.008828,679.345214,743.284494,767.305375,717.540182,776.231806,779.922626,835.573727,816.902493,839.882068,880.670175,850.026903,865.349059,825.064887,857.108131,836.403959,831.357207,815.378641,807.680526,779.663351,754.748127,737.601774,739.305549,712.741139,640.329319,657.143988,676.673577,640.73186,617.153798,600.927189,577.599193,524.236671,603.126281,653.642728,658.187657,641.78385,624.87748,613.146878,600.848477,614.451687,609.528751,577.412374,614.902641,594.391464,586.574499,570.061892,532.098082,574.526127,567.812532,610.476253,608.38544,602.800864,586.065022,587.040804,583.861192,573.91801,588.960018,611.76898,587.875705,581.118482,574.626885,559.943303,549.296765,548.395386,539.151922,539.001,532.196289,526.260237,521.94245,507.909222,500.345964,488.776036,479.54519,482.46835,482.248487,480.047675,461.449837,467.202667,461.742474,459.14936,435.980561,442.999362,468.59461,479.004624,478.247433,444.71395,461.09098,494.885394,486.746639,502.042576,499.168468,492.54162,495.557094,469.951216,471.882821,476.98658,465.154469,460.146651,467.279812,456.46794,458.726681,452.748491,443.953544,442.0516,441.454474,425.225711,440.376978,433.256418,425.793946,409.889644,395.668298,403.954858,387.437892,399.040992,394.999054,386.485052,379.052091,375.351088,358.300262,351.123123,346.637361,348.473664,340.992166,335.988572,331.730807,319.539087,344.105024,349.882145,346.127934,331.236462,316.567727,315.307283,321.20541,295.97525,316.375761,340.41643,349.465381,355.860833,361.998205,355.460971,358.310339,350.632612,346.125852,328.433602,330.428816,321.758468,301.132668,311.399575,294.672193,305.942806,331.693031,331.544877,312.079807,307.448718,319.514138,308.26724,299.503114,305.887238,296.163021,287.362152,267.114499,268.164342,253.05345,229.58184,215.597443,235.899861,253.113285,250.138583,266.421308,321.13184,361.445373,360.472997,369.019559,403.551401,398.656729,376.099397,386.276012,390.265708,428.539559,431.711283,452.712118,440.540178,426.140444,427.581726,438.180462,440.920955,427.686395,414.077162,408.29837,413.538182,407.207445,396.616746,391.28467,379.691532,373.530596,364.90931,363.095269,361.943685,380.766805,376.813781,368.940295,368.346465,355.956988,347.974558,333.838227,341.382143,329.886346,330.004276,317.779703,312.652241,302.590668,310.610436,315.154278,307.222523,310.180568,300.428611,290.900957,287.66618,283.900066,283.374602,291.899136,286.436821,287.107371,289.511237,292.718484,287.672132,282.833314,270.61073,269.172659,255.164597,259.467447,253.287388,246.196784,241.306166,231.68847,214.721,216.609,220.685,228.943,244.714,232.566,216.927,243.885,243.782,266.26,288.79,292.86,307.24,295.177,298.122,303.446,299.335,281.488,274.2,302.051,321.644,329.397,338.177,340.739,319.296,336.531,365.367,354.335,355.676,380.043,383.103,404.385,389.467,396.472,388.489,398.706,409.597,388.105,383.508],"892400^JULIAN(FG_PRICE(2/27/2026,1/31/2000,M).DATES)":[46080,46052,46022,45989,45961,45930,45898,45869,45838,45807,45777,45747,45716,45688,45657,45625,45596,45565,45534,45504,45471,45443,45412,45379,45351,45322,45289,45260,45230,45198,45169,45138,45107,45077,45044,45016,44985,44957,44925,44895,44865,44834,44804,44771,44742,44712,44680,44651,44620,44592,44561,44530,44498,44469,44439,44407,44377,44344,44316,44286,44253,44225,44196,44165,44134,44104,44074,44043,44012,43980,43951,43921,43889,43861,43830,43798,43769,43738,43707,43677,43644,43616,43585,43553,43524,43496,43465,43434,43404,43371,43343,43312,43280,43251,43220,43188,43159,43131,43098,43069,43039,43007,42978,42947,42916,42886,42853,42825,42794,42766,42734,42704,42674,42643,42613,42580,42551,42521,42489,42460,42429,42398,42369,42338,42307,42277,42247,42216,42185,42153,42124,42094,42062,42034,42004,41971,41943,41912,41880,41851,41820,41789,41759,41729,41698,41670,41639,41607,41578,41547,41516,41486,41453,41425,41394,41361,41333,41305,41274,41243,41213,41180,41152,41121,41089,41060,41029,40998,40968,40939,40907,40877,40847,40816,40786,40753,40724,40694,40662,40633,40602,40574,40543,40512,40480,40451,40421,40389,40359,40326,40298,40268,40235,40207,40178,40147,40116,40086,40056,40025,39994,39962,39933,39903,39871,39843,39813,39780,39752,39721,39689,39660,39629,39598,39568,39538,39507,39478,39447,39416,39386,39353,39325,39294,39262,39233,39202,39171,39141,39113,39080,39051,39021,38989,38960,38929,38898,38868,38835,38807,38776,38748,38716,38686,38656,38625,38595,38562,38533,38503,38471,38442,38411,38383,38352,38321,38289,38260,38230,38198,38168,38135,38107,38077,38044,38016,37986,37953,37925,37894,37862,37833,37802,37771,37741,37711,37680,37652,37621,37589,37560,37529,37498,37468,37435,37407,37376,37343,37315,37287,37256,37225,37195,37162,37134,37103,37071,37042,37011,36980,36950,36922,36889,36860,36830,36798,36769,36738,36707,36677,36644,36616,36585,36556],"891800^FG_PRICE(2/27/2026,1/31/2000,M)":[99558.018079,94941.788794,87314.939609,85303.204057,86761.681618,82980.07503,77653.551423,76646.990937,74346.568837,71126.601717,69146.526599,69483.685309,69453.261146,69034.415556,68031.090498,67334.085379,69278.323933,71281.052954,67673.33683,67546.897052,67433.012923,64921.812471,64791.801801,63841.085745,62319.028517,59371.604507,61541.727443,59780.260338,56377.204643,58515.223473,59703.82044,62768.927913,59844.07514,58169.105926,58880.344673,59416.193619,58330.634485,61216.720504,57479.343715,58788.913981,52730.137052,54180.197152,59910.960929,59422.250433,59621.003039,62802.63034,63099.612692,65528.925077,67088.124165,68772.876729,70053.416877,69205.58137,71556.228115,70963.029676,73230.485705,71752.97297,76676.700492,75481.178363,75391.221793,74288.927688,75090.558957,74349.170837,71692.869488,67717.650623,62856.027781,61978.400873,63124.335456,61852.460225,57479.67001,54104.08598,53860.527932,49578.121241,57099.764056,59424.443059,61467.415707,58288.489802,57977.825428,56357.492505,55658.937278,57225.921529,58072.033231,55800.868815,59921.203491,58487.717469,57786.188179,57231.609163,53426.378695,54947.053913,53395.887668,57943.244543,58760.208581,59202.090526,58512.947196,60251.299661,61751.251021,61022.731636,62383.36059,64977.799451,60878.897873,59489.383709,60011.36081,57792.536787,57624.932505,56555.32917,54162.848377,53534.259384,52328.368541,51212.063901,50327.037255,49530.945133,47650.988943,47720.281069,48817.408089,48547.814605,48425.354856,47204.203709,45420.789601,45010.51477,45454.513893,45552.515077,42125.825096,42145.742252,44483.637453,45078.745654,46350.426694,44002.26851,44884.176623,48081.280022,50449.256653,51926.08293,53350.068816,50568.0551,50580.2187,49025.944093,48361.139978,49703.244277,49179.332137,48543.164299,50794.517586,49892.926326,48693.973434,47746.283947,46525.621001,46733.200311,45929.254554,45009.99724,47159.007856,47667.859364,47733.063949,45934.956919,44187.933963,44314.34786,43797.746858,46360.103028,46171.834487,46254.498485,46839.720482,47344.099119,46731.300882,45004.965135,44335.09552,44507.597917,42761.397264,42931.031764,42330.835113,41616.341185,44840.505792,45229.110161,45965.689463,44014.222737,41012.759425,41053.711808,42739.3233,39248.122459,42494.619613,45984.013371,46567.524854,47622.879585,48579.212799,48317.751032,46409.46147,47104.938587,48170.878473,46160.766952,46690.213499,45676.485338,42492.247589,43195.215466,40810.426957,40631.454996,43537.85444,43602.493734,41093.347013,41204.386745,43130.257423,41455.061006,40154.971476,40353.474727,38029.12604,38080.724157,34785.917804,35330.372262,31528.076104,28190.528855,25569.770486,26338.082401,27186.593414,26039.202722,27153.768932,35016.936702,40065.489004,42206.815973,44655.736333,49644.508649,48887.003839,45688.465734,47757.219718,45060.86124,51528.548186,51245.26134,54642.737375,50214.248505,46407.857533,46948.632496,44910.97535,43035.734877,41551.357862,40219.525842,39047.316597,39340.763691,39520.863448,38052.207868,35755.685549,34573.314973,34146.584013,33289.206192,33046.494882,33100.119525,36038.251981,34329.915637,33902.108285,33952.030045,31473.570612,29890.713733,27866.585619,29517.352149,27214.554677,26921.009253,25316.163967,24466.298225,23530.631531,24508.137963,25770.807814,24111.489882,23927.749619,23230.049886,22097.726872,21987.893279,21032.151894,20154.029618,20543.101969,20772.989974,21196.538551,22566.209629,22686.467337,21870.9076,21136.300777,19789.681331,19639.198134,18055.78105,18281.205961,17166.378015,16193.183979,15556.730062,14418.636185,13801.438,14266.844,14743.911,14849.216,15591.231,14821.233,14148.792,15437.02,15256.644,16359.138,17513.29,18083.443,18174.707,17268.82,16970.346,16330.615,14933.827,13574.574,12757.116,14760.355,14884.585,15753.274,16068.935,15759.224,15087.185,16442.256,17653.736,15538.1,15264.492,16563.996,17469.97,18938.86,18806.072,19789.896,19248.51,19875.09,21586.998,21571.787,21296.547],"891800^JULIAN(FG_PRICE(2/27/2026,1/31/2000,M).DATES)":[46080,46052,46022,45989,45961,45930,45898,45869,45838,45807,45777,45747,45716,45688,45657,45625,45596,45565,45534,45504,45471,45443,45412,45379,45351,45322,45289,45260,45230,45198,45169,45138,45107,45077,45044,45016,44985,44957,44925,44895,44865,44834,44804,44771,44742,44712,44680,44651,44620,44592,44561,44530,44498,44469,44439,44407,44377,44344,44316,44286,44253,44225,44196,44165,44134,44104,44074,44043,44012,43980,43951,43921,43889,43861,43830,43798,43769,43738,43707,43677,43644,43616,43585,43553,43524,43496,43465,43434,43404,43371,43343,43312,43280,43251,43220,43188,43159,43131,43098,43069,43039,43007,42978,42947,42916,42886,42853,42825,42794,42766,42734,42704,42674,42643,42613,42580,42551,42521,42489,42460,42429,42398,42369,42338,42307,42277,42247,42216,42185,42153,42124,42094,42062,42034,42004,41971,41943,41912,41880,41851,41820,41789,41759,41729,41698,41670,41639,41607,41578,41547,41516,41486,41453,41425,41394,41361,41333,41305,41274,41243,41213,41180,41152,41121,41089,41060,41029,40998,40968,40939,40907,40877,40847,40816,40786,40753,40724,40694,40662,40633,40602,40574,40543,40512,40480,40451,40421,40389,40359,40326,40298,40268,40235,40207,40178,40147,40116,40086,40056,40025,39994,39962,39933,39903,39871,39843,39813,39780,39752,39721,39689,39660,39629,39598,39568,39538,39507,39478,39447,39416,39386,39353,39325,39294,39262,39233,39202,39171,39141,39113,39080,39051,39021,38989,38960,38929,38898,38868,38835,38807,38776,38748,38716,38686,38656,38625,38595,38562,38533,38503,38471,38442,38411,38383,38352,38321,38289,38260,38230,38198,38168,38135,38107,38077,38044,38016,37986,37953,37925,37894,37862,37833,37802,37771,37741,37711,37680,37652,37621,37589,37560,37529,37498,37468,37435,37407,37376,37343,37315,37287,37256,37225,37195,37162,37134,37103,37071,37042,37011,36980,36950,36922,36889,36860,36830,36798,36769,36738,36707,36677,36644,36616,36585,36556],"990100^MSCB_TOTAL_RET_IDX(2/27/2026,1/31/2000,M,\"LOC\",\"GROSS\",\"\")":null,"990100^JULIAN(MSCB_TOTAL_RET_IDX(2/27/2026,1/31/2000,M,\"LOC\",\"GROSS\",\"\").DATES)":[46080,46052,46022,45989,45961,45930,45898,45869,45838,45807,45777,45747,45716,45688,45657,45625,45596,45565,45534,45504,45471,45443,45412,45379,45351,45322,45289,45260,45230,45198,45169,45138,45107,45077,45044,45016,44985,44957,44925,44895,44865,44834,44804,44771,44742,44712,44680,44651,44620,44592,44561,44530,44498,44469,44439,44407,44377,44344,44316,44286,44253,44225,44196,44165,44134,44104,44074,44043,44012,43980,43951,43921,43889,43861,43830,43798,43769,43738,43707,43677,43644,43616,43585,43553,43524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91000^MSCB_TOTAL_RET_IDX(2/27/2026,1/31/2000,M,\"LOC\",\"GROSS\",\"\")":null,"991000^JULIAN(MSCB_TOTAL_RET_IDX(2/27/2026,1/31/2000,M,\"LOC\",\"GROSS\",\"\").DATES)":null,"892400^MSCB_TOTAL_RET_IDX(2/27/2026,1/31/2000,M,\"LOC\",\"GROSS\",\"\")":null,"892400^JULIAN(MSCB_TOTAL_RET_IDX(2/27/2026,1/31/2000,M,\"LOC\",\"GROSS\",\"\").DATES)":[46080,46052,46022,45989,45961,45930,45898,45869,45838,45807,45777,45747,45716,45688,45657,45625,45596,45565,45534,45504,45471,45443,45412,45379,45351,45322,45289,45260,45230,45198,45169,45138,45107,45077,45044,45016,44985,44957,44925,44895,44865,44834,44804,44771,44742,44712,44680,44651,44620,44592,44561,44530,44498,44469,44439,44407,44377,44344,44316,44286,44253,44225,44196,44165,44134,44104,44074,44043,44012,43980,43951,43921,43889,43861,43830,43798,43769,43738,43707,43677,43644,43616,43585,43553,43524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891800^MSCB_TOTAL_RET_IDX(2/27/2026,1/31/2000,M,\"LOC\",\"GROSS\",\"\")":null,"891800^JULIAN(MSCB_TOTAL_RET_IDX(2/27/2026,1/31/2000,M,\"LOC\",\"GROSS\",\"\").DATES)":[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90100^MSTS_TOTAL_RET_IDX(2/27/2026,1/31/2000,M,\"LOC\",\"GROSS\",\"\")":null,"990100^JULIAN(MSTS_TOTAL_RET_IDX(2/27/2026,1/31/2000,M,\"LOC\",\"GROSS\",\"\").DATES)":[46080,46052,46022,45989,45961,45930,45898,45869,45838,45807,45777,45747,45716,45688,45657,45625,45596,45565,45534,45504,45471,45443,45412,45379,45351,45322,45289,45260,45230,45198,45169,45138,45107,45077,45044,45016,44985,44957,44925,44895,44865,44834,44804,44771,44742,44712,44680,44651,44620,44592,44561,44530,44498,44469,44439,44407,44377,44344,44316,44286,44253,44225,44196,44165,44134,44104,44074,44043,44012,43980,43951,43921,43889,43861,43830,43798,43769,43738,43707,43677,43644,43616,43585,43553,43524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91000^MSTS_TOTAL_RET_IDX(2/27/2026,1/31/2000,M,\"LOC\",\"GROSS\",\"\")":null,"991000^JULIAN(MSTS_TOTAL_RET_IDX(2/27/2026,1/31/2000,M,\"LOC\",\"GROSS\",\"\").DATES)":null,"892400^MSTS_TOTAL_RET_IDX(2/27/2026,1/31/2000,M,\"LOC\",\"GROSS\",\"\")":null,"892400^JULIAN(MSTS_TOTAL_RET_IDX(2/27/2026,1/31/2000,M,\"LOC\",\"GROSS\",\"\").DATES)":[46080,46052,46022,45989,45961,45930,45898,45869,45838,45807,45777,45747,45716,45688,45657,45625,45596,45565,45534,45504,45471,45443,45412,45379,45351,45322,45289,45260,45230,45198,45169,45138,45107,45077,45044,45016,44985,44957,44925,44895,44865,44834,44804,44771,44742,44712,44680,44651,44620,44592,44561,44530,44498,44469,44439,44407,44377,44344,44316,44286,44253,44225,44196,44165,44134,44104,44074,44043,44012,43980,43951,43921,43889,43861,43830,43798,43769,43738,43707,43677,43644,43616,43585,43553,43524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891800^MSTS_TOTAL_RET_IDX(2/27/2026,1/31/2000,M,\"LOC\",\"GROSS\",\"\")":null,"891800^JULIAN(MSTS_TOTAL_RET_IDX(2/27/2026,1/31/2000,M,\"LOC\",\"GROSS\",\"\").DATES)":[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90100^MSTS_TOTAL_RET_IDX(2/27/2026,1/31/2000,M,\"USD\",\"GROSS\",\"\")":null,"990100^JULIAN(MSTS_TOTAL_RET_IDX(2/27/2026,1/31/2000,M,\"USD\",\"GROSS\",\"\").DATES)":[46080,46052,46022,45989,45961,45930,45898,45869,45838,45807,45777,45747,45716,45688,45657,45625,45596,45565,45534,45504,45471,45443,45412,45379,45351,45322,45289,45260,45230,45198,45169,45138,45107,45077,45044,45016,44985,44957,44925,44895,44865,44834,44804,44771,44742,44712,44680,44651,44620,44592,44561,44530,44498,44469,44439,44407,44377,44344,44316,44286,44253,44225,44196,44165,44134,44104,44074,44043,44012,43980,43951,43921,43889,43861,43830,43798,43769,43738,43707,43677,43644,43616,43585,43553,43524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91000^MSTS_TOTAL_RET_IDX(2/27/2026,1/31/2000,M,\"USD\",\"GROSS\",\"\")":null,"991000^JULIAN(MSTS_TOTAL_RET_IDX(2/27/2026,1/31/2000,M,\"USD\",\"GROSS\",\"\").DATES)":null,"892400^MSTS_TOTAL_RET_IDX(2/27/2026,1/31/2000,M,\"USD\",\"GROSS\",\"\")":null,"892400^JULIAN(MSTS_TOTAL_RET_IDX(2/27/2026,1/31/2000,M,\"USD\",\"GROSS\",\"\").DATES)":[46080,46052,46022,45989,45961,45930,45898,45869,45838,45807,45777,45747,45716,45688,45657,45625,45596,45565,45534,45504,45471,45443,45412,45379,45351,45322,45289,45260,45230,45198,45169,45138,45107,45077,45044,45016,44985,44957,44925,44895,44865,44834,44804,44771,44742,44712,44680,44651,44620,44592,44561,44530,44498,44469,44439,44407,44377,44344,44316,44286,44253,44225,44196,44165,44134,44104,44074,44043,44012,43980,43951,43921,43889,43861,43830,43798,43769,43738,43707,43677,43644,43616,43585,43553,43524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891800^MSTS_TOTAL_RET_IDX(2/27/2026,1/31/2000,M,\"USD\",\"GROSS\",\"\")":null,"891800^JULIAN(MSTS_TOTAL_RET_IDX(2/27/2026,1/31/2000,M,\"USD\",\"GROSS\",\"\").DATES)":[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90100^MSCI_TOTAL_RET_IDX(2/27/2026,1/31/2000,M,LOC,\"GROSS\")":[16804.828212,16640.583661,16358.79051,16267.18809,16221.973749,15812.472318,15311.856975,14998.319019,14697.423571,14158.300182,13357.331313,13401.392928,14101.020004,14232.959123,13754.351919,14018.35071,13361.472416,13482.241944,13277.609115,13030.022894,12866.757462,12570.791337,12071.790545,12466.349179,12054.222511,11518.864612,11314.055914,10858.428691,10021.841632,10289.64002,10680.521454,10866.786509,10556.395743,9984.881819,9998.800476,9836.120491,9590.918596,9739.89428,9142.921777,9628.386523,9108.903983,8499.401402,9265.028622,9592.950644,8882.047908,9626.977398,9642.156332,10351.69267,10033.640151,10303.432174,10835.641942,10416.192274,10567.724487,10013.797283,10392.396659,10118.750882,9945.802403,9736.861968,9610.340357,9232.81616,8854.93915,8623.728911,8688.756217,8391.549249,7491.519019,7725.378045,7952.143496,7480.284147,7232.589834,7062.702608,6740.001703,6095.949961,6988.513018,7600.605408,7617.614032,7445.395161,7214.619382,7079.688932,6914.675086,7048.735056,6964.306056,6573.952051,6964.444102,6708.001986,6597.121188,6380.933703,5948.21421,6453.227734,6376.557698,6840.348984,6788.106317,6695.317954,6489.537955,6465.886273,6378.709836,6249.4665,6397.042675,6628.284771,6386.38433,6314.751399,6213.815929,6058.283308,5918.607261,5906.882885,5821.756013,5818.231495,5727.831645,5659.818476,5601.812829,5430.963533,5360.723967,5214.074176,5077.528568,5110.391939,5098.159269,5074.235442,4872.202934,4934.774113,4844.940321,4800.684721,4557.420732,4625.557305,4889.031212,4994.783424,4960.570869,4597.243001,4764.189921,5101.541135,4975.782133,5124.450251,5056.019412,5001.395058,5019.735819,4738.118653,4763.031447,4798.31302,4661.455775,4607.923533,4652.318196,4530.775457,4565.37608,4501.274574,4398.195416,4364.000092,4353.421809,4175.353071,4314.242547,4224.449553,4132.791064,3974.535941,3830.0879,3909.029073,3731.346833,3822.272433,3764.781272,3660.445336,3563.001759,3509.477588,3329.551105,3265.333698,3216.32217,3230.303137,3160.951535,3097.352805,3055.353034,2928.472596,3137.673177,3184.268621,3127.411,2984.608353,2860.025781,2842.267414,2877.501678,2650.20684,2819.989422,3023.261967,3107.12597,3155.935756,3193.307646,3120.604502,3159.422,3068.381187,3009.335335,2847.37578,2855.404788,2775.70179,2594.38642,2683.563961,2537.317915,2646.269511,2860.545199,2851.798486,2675.771498,2623.675834,2721.601517,2623.840746,2543.893861,2601.742529,2523.305547,2431.710004,2263.170477,2263.752376,2140.750797,1938.517638,1821.592748,1999.316508,2151.253611,2128.405402,2264.364959,2706.702824,3032.355092,2996.32504,3051.038343,3323.472603,3267.124103,3075.661471,3140.997957,3194.470797,3486.806017,3514.260008,3670.045163,3592.279111,3486.572602,3486.844246,3596.030471,3630.072321,3508.290547,3387.81687,3336.060586,3374.54473,3314.449688,3228.146585,3190.550055,3094.472077,3038.648955,2961.355154,2944.456711,2928.554643,3060.229876,3031.114312,2957.453961,2946.688017,2854.395474,2793.433907,2678.897101,2730.663335,2643.019973,2639.561275,2543.396908,2500.23488,2412.619463,2467.348996,2491.40554,2429.651009,2453.505783,2373.285199,2295.746656,2267.26114,2237.785651,2233.146039,2298.984693,2248.561417,2245.074022,2252.519423,2272.082781,2231.610604,2194.037133,2098.990207,2084.693192,1976.779475,2007.372373,1958.955387,1904.11744,1864.091513,1787.112948,1649.623,1657.667,1684.558,1747.958,1867.321,1771.877,1649.351,1853.472,1849.748,2019.732,2188.185,2210.915,2320.688,2226.598,2248.513,2292.788,2267.494,2133.52,2080.56,2283.151,2433.874,2486.295,2550.354,2567.005,2398.622,2518.248,2732.634,2662.8759765625,2672.90209960938,2850.35498046875,2863.22705078125,3014.42797851562,2894.96801757812,2937.96704101562,2876.93408203125,2948.44897460938,3016.96899414062,2847.2509765625,2810.64111328125],"990100^JULIAN(MSCI_TOTAL_RET_IDX(2/27/2026,1/31/2000,M,LOC,\"GROSS\").DATES)":[46080,46052,46022,45989,45961,45930,45898,45869,45838,45807,45777,45747,45716,45688,45657,45625,45596,45565,45534,45504,45471,45443,45412,45379,45351,45322,45289,45260,45230,45198,45169,45138,45107,45077,45044,45016,44985,44957,44925,44895,44865,44834,44804,44771,44742,44712,44680,44651,44620,44592,44561,44530,44498,44469,44439,44407,44377,44344,44316,44286,44253,44225,44196,44165,44134,44104,44074,44043,44012,43980,43951,43921,43889,43861,43830,43798,43769,43738,43707,43677,43644,43616,43585,43553,43524,43496,43465,43434,43404,43371,43343,43312,43280,43251,43220,43188,43159,43131,43098,43069,43039,43007,42978,42947,42916,42886,42853,42825,42794,42766,42734,42704,42674,42643,42613,42580,42551,42521,42489,42460,42429,42398,42369,42338,42307,42277,42247,42216,42185,42153,42124,42094,42062,42034,42004,41971,41943,41912,41880,41851,41820,41789,41759,41729,41698,41670,41639,41607,41578,41547,41516,41486,41453,41425,41394,41361,41333,41305,41274,41243,41213,41180,41152,41121,41089,41060,41029,40998,40968,40939,40907,40877,40847,40816,40786,40753,40724,40694,40662,40633,40602,40574,40543,40512,40480,40451,40421,40389,40359,40326,40298,40268,40235,40207,40178,40147,40116,40086,40056,40025,39994,39962,39933,39903,39871,39843,39813,39780,39752,39721,39689,39660,39629,39598,39568,39538,39507,39478,39447,39416,39386,39353,39325,39294,39262,39233,39202,39171,39141,39113,39080,39051,39021,38989,38960,38929,38898,38868,38835,38807,38776,38748,38716,38686,38656,38625,38595,38562,38533,38503,38471,38442,38411,38383,38352,38321,38289,38260,38230,38198,38168,38135,38107,38077,38044,38016,37986,37953,37925,37894,37862,37833,37802,37771,37741,37711,37680,37652,37621,37589,37560,37529,37498,37468,37435,37407,37376,37343,37315,37287,37256,37225,37195,37162,37134,37103,37071,37042,37011,36980,36950,36922,36889,36860,36830,36798,36769,36738,36707,36677,36644,36616,36585,36556],"991000^MSCI_TOTAL_RET_IDX(2/27/2026,1/31/2000,M,LOC,\"GROSS\")":[10406.662296,9851.168786,9580.127735,9392.567949,9305.154676,9021.338574,8824.15094,8615.860187,8494.691902,8451.945995,8059.666683,8054.898864,8268.492264,8200.466815,7833.0901,7831.920654,7728.884705,7831.751825,7831.268968,7786.27677,7685.601249,7735.055617,7539.688448,7599.562926,7307.202072,7097.296956,6930.491587,6730.087199,6358.301868,6576.061588,6658.703774,6779.778758,6660.2935,6425.938077,6546.642914,6388.765342,6356.228694,6337.12016,5954.044632,6150.829216,5784.860209,5488.716332,5833.098352,5965.661874,5676.658607,6076.733403,6076.732469,6185.23728,6039.162352,6158.789181,6366.621516,6109.829325,6259.625842,6105.608069,6188.2055,6056.307804,6029.816117,5979.691157,5805.315537,5723.427424,5438.048698,5289.039914,5310.757068,5184.938278,4593.052336,4777.575486,4830.127182,4645.934009,4703.701282,4583.153317,4406.850982,4162.141251,4772.244235,5178.969622,5229.035085,5164.292893,5051.1252,4979.250306,4813.931244,4920.931339,4889.282571,4694.720391,4910.741994,4744.339683,4678.994686,4522.844222,4276.38452,4540.846302,4543.015859,4859.099589,4798.308623,4878.006943,4757.544755,4762.885582,4773.31631,4565.70886,4664.9528,4821.084942,4773.124949,4716.206971,4735.409346,4598.870875,4472.984988,4472.200908,4444.032932,4477.869746,4394.017906,4334.199968,4232.433603,4150.852029,4143.68062,3974.112804,3920.096668,3873.786297,3857.339754,3820.950754,3650.219169,3780.049781,3709.295937,3653.15456,3540.335014,3659.715279,3872.177597,3980.906979,3933.92879,3662.21088,3842.11671,4148.050524,4017.046161,4196.104526,4138.807388,4084.59459,4039.508229,3808.487795,3705.831025,3755.296699,3634.439356,3650.774478,3657.576898,3619.173298,3617.593984,3597.518462,3516.957462,3481.764124,3491.435731,3365.618946,3469.93986,3419.885067,3370.138987,3257.761042,3123.128812,3158.779933,3032.645874,3146.421258,3120.578038,3004.207997,2957.882945,2905.525279,2753.305947,2670.349433,2604.562061,2574.236946,2529.288002,2486.75665,2452.782138,2340.770605,2524.469204,2587.433621,2579.861399,2452.207872,2358.602929,2352.557643,2406.68756,2268.463865,2382.520945,2587.324869,2679.788544,2717.930245,2752.609236,2708.386237,2778.649244,2708.40859,2667.185065,2546.950092,2563.990035,2516.798276,2396.327749,2451.169987,2343.85471,2413.890038,2592.239869,2616.803294,2441.937797,2419.103569,2511.352152,2385.345204,2370.198187,2430.931266,2373.736909,2281.894874,2125.661815,2131.275377,2010.488448,1807.207694,1733.566129,1873.713222,1993.352528,1976.62005,2072.16251,2456.229662,2799.41075,2769.490099,2836.45436,3090.989138,3035.108095,2826.513552,2930.417655,2940.720612,3283.343428,3315.580926,3463.369099,3375.68492,3299.00839,3345.57113,3448.587948,3457.292592,3342.122517,3248.146397,3184.919975,3199.983963,3143.037135,3019.579355,3008.031802,2926.117041,2892.803405,2814.07282,2791.445261,2764.105188,2927.009355,2908.938606,2804.624365,2787.082098,2686.712548,2571.005577,2459.731388,2514.600584,2371.233733,2339.87001,2254.115821,2178.786174,2094.330112,2151.738403,2157.955678,2093.781143,2078.696986,2013.589476,1964.077181,1945.248645,1914.954555,1917.813206,1961.179291,1910.1267,1934.545011,1913.410807,1913.530361,1866.471733,1837.034986,1771.273682,1765.285963,1678.947502,1713.033779,1659.044272,1591.171554,1539.295506,1495.388714,1380.746,1413.286,1437.679,1516.592,1628.499,1557.39,1478.908,1655.322,1658.092,1841.457,1998.266,2025.907,2078.298,1981.976,1975.531,2028.286,1993.375,1904.337,1835.027,2045.143,2168.605,2246.027,2309.683,2356.569,2218.573,2287.987,2451.852,2414.36889648438,2428.73999023438,2539.56103515625,2544.60498046875,2666.61694335938,2587.76000976562,2617.76611328125,2569.72094726562,2628.03198242188,2662.63989257812,2602.79907226562,2482.29296875],"991000^JULIAN(MSCI_TOTAL_RET_IDX(2/27/2026,1/31/2000,M,LOC,\"GROSS\").DATES)":[46080,46052,46022,45989,45961,45930,45898,45869,45838,45807,45777,45747,45716,45688,45657,45625,45596,45565,45534,45504,45471,45443,45412,45379,45351,45322,45289,45260,45230,45198,45169,45138,45107,45077,45044,45016,44985,44957,44925,44895,44865,44834,44804,44771,44742,44712,44680,44651,44620,44592,44561,44530,44498,44469,44439,44407,44377,44344,44316,44286,44253,44225,44196,44165,44134,44104,44074,44043,44012,43980,43951,43921,43889,43861,43830,43798,43769,43738,43707,43677,43644,43616,43585,43553,43524,43496,43465,43434,43404,43371,43343,43312,43280,43251,43220,43188,43159,43131,43098,43069,43039,43007,42978,42947,42916,42886,42853,42825,42794,42766,42734,42704,42674,42643,42613,42580,42551,42521,42489,42460,42429,42398,42369,42338,42307,42277,42247,42216,42185,42153,42124,42094,42062,42034,42004,41971,41943,41912,41880,41851,41820,41789,41759,41729,41698,41670,41639,41607,41578,41547,41516,41486,41453,41425,41394,41361,41333,41305,41274,41243,41213,41180,41152,41121,41089,41060,41029,40998,40968,40939,40907,40877,40847,40816,40786,40753,40724,40694,40662,40633,40602,40574,40543,40512,40480,40451,40421,40389,40359,40326,40298,40268,40235,40207,40178,40147,40116,40086,40056,40025,39994,39962,39933,39903,39871,39843,39813,39780,39752,39721,39689,39660,39629,39598,39568,39538,39507,39478,39447,39416,39386,39353,39325,39294,39262,39233,39202,39171,39141,39113,39080,39051,39021,38989,38960,38929,38898,38868,38835,38807,38776,38748,38716,38686,38656,38625,38595,38562,38533,38503,38471,38442,38411,38383,38352,38321,38289,38260,38230,38198,38168,38135,38107,38077,38044,38016,37986,37953,37925,37894,37862,37833,37802,37771,37741,37711,37680,37652,37621,37589,37560,37529,37498,37468,37435,37407,37376,37343,37315,37287,37256,37225,37195,37162,37134,37103,37071,37042,37011,36980,36950,36922,36889,36860,36830,36798,36769,36738,36707,36677,36644,36616,36585,36556],"892400^MSCI_TOTAL_RET_IDX(2/27/2026,1/31/2000,M,LOC,\"GROSS\")":[2985.007715,2942.34232,2870.658385,2848.244338,2846.113758,2768.356643,2670.455338,2617.221567,2561.08131,2464.223464,2331.330965,2338.730829,2447.389995,2466.22207,2387.537009,2425.927702,2329.817322,2355.509744,2310.352215,2270.575669,2243.459825,2187.62599,2108.405485,2166.507698,2096.18433,2002.19538,1977.338507,1899.676547,1757.046391,1805.931758,1870.640898,1909.359272,1850.217036,1753.947375,1757.942007,1733.673677,1691.118474,1723.55191,1617.918491,1697.777402,1596.965578,1505.407495,1643.231932,1692.525732,1580.419682,1706.032383,1708.695494,1827.253438,1781.439538,1828.820647,1916.239567,1847.121261,1877.888124,1788.83395,1854.503037,1806.559805,1793.35463,1756.147709,1735.553226,1672.554671,1614.880318,1576.169435,1578.390317,1519.489042,1363.237988,1397.631848,1436.436353,1357.778158,1305.485772,1268.591957,1216.314083,1102.165634,1263.748568,1367.035795,1375.258317,1338.778593,1301.153936,1275.240183,1246.759168,1271.814934,1259.689999,1190.752769,1262.849036,1218.065569,1198.330111,1162.116923,1083.428661,1167.717212,1151.654169,1236.884623,1230.024866,1215.818196,1180.293135,1179.879252,1168.891406,1146.218732,1172.798314,1215.742222,1167.393071,1152.323369,1137.147289,1107.027612,1083.865185,1079.286741,1059.605647,1057.020459,1039.567601,1025.954224,1014.436478,985.015905,969.596424,945.639446,925.743262,930.441567,927.989941,921.372127,884.550511,893.206283,879.238646,872.074513,825.569278,836.643942,884.148949,902.294911,899.016685,835.051534,863.804379,924.8635,908.460827,934.87192,926.212042,911.836994,914.677231,865.643857,868.430888,876.433829,853.041388,842.995793,854.276843,832.557647,835.427473,822.798395,803.522978,798.042174,794.741024,763.811174,790.267096,776.399833,761.409957,732.226734,705.258438,718.233913,687.99988,707.01533,696.959481,679.797678,664.834249,656.903959,626.363819,612.755746,603.490183,605.976328,591.469677,581.136665,572.932414,550.571849,589.900351,597.931461,589.754525,562.992693,537.458714,534.547219,543.010166,499.795963,532.791281,571.660808,586.043195,595.491861,602.866575,590.334351,593.368298,579.532816,571.539644,541.639997,543.756323,528.972621,493.937767,509.54864,481.499172,498.978054,538.470519,536.948316,504.013788,495.536231,514.578051,495.803461,480.610529,490.398033,473.868128,458.658703,425.690391,426.483683,400.411512,361.940513,338.798239,369.486296,395.91867,390.493348,414.595386,499.02096,560.21958,557.336075,569.669041,621.852984,611.192627,574.722759,588.407887,593.294463,650.809525,654.907142,685.424906,666.306939,643.418052,644.068906,659.312612,662.282467,639.771924,617.862282,607.566081,614.337552,604.410978,588.076378,578.891899,561.291124,551.32564,537.202177,533.926609,531.216848,556.57711,549.595653,536.64066,534.838151,516.398104,504.304651,482.730372,493.226696,475.87053,474.887371,456.805032,448.523117,432.619127,442.775224,448.033063,435.883785,439.6903,425.363486,411.107301,406.112705,400.180747,398.550331,410.052748,401.619763,401.339293,403.751034,407.117287,399.49404,392.406751,375.024236,372.423068,352.632757,358.016651,348.776688,338.562025,331.169891,317.036368,293.01,294.723,299.65,310.536,331.505,314.571,293.084,328.949,328.155,358.018,387.667,392.06,410.603,393.703,397.051,403.8,398.001,373.82,363.893,400.289,425.502,435.376,446.397,448.615,419.665,441.368,478.677,463.946990966797,465.157012939453,496.459991455078,499.928985595703,527.1240234375,507.136993408203,515.695007324219,504.690002441406,517.351013183594,530.898986816406,502.507995605469,496.037994384766],"892400^JULIAN(MSCI_TOTAL_RET_IDX(2/27/2026,1/31/2000,M,LOC,\"GROSS\").DATES)":[46080,46052,46022,45989,45961,45930,45898,45869,45838,45807,45777,45747,45716,45688,45657,45625,45596,45565,45534,45504,45471,45443,45412,45379,45351,45322,45289,45260,45230,45198,45169,45138,45107,45077,45044,45016,44985,44957,44925,44895,44865,44834,44804,44771,44742,44712,44680,44651,44620,44592,44561,44530,44498,44469,44439,44407,44377,44344,44316,44286,44253,44225,44196,44165,44134,44104,44074,44043,44012,43980,43951,43921,43889,43861,43830,43798,43769,43738,43707,43677,43644,43616,43585,43553,43524,43496,43465,43434,43404,43371,43343,43312,43280,43251,43220,43188,43159,43131,43098,43069,43039,43007,42978,42947,42916,42886,42853,42825,42794,42766,42734,42704,42674,42643,42613,42580,42551,42521,42489,42460,42429,42398,42369,42338,42307,42277,42247,42216,42185,42153,42124,42094,42062,42034,42004,41971,41943,41912,41880,41851,41820,41789,41759,41729,41698,41670,41639,41607,41578,41547,41516,41486,41453,41425,41394,41361,41333,41305,41274,41243,41213,41180,41152,41121,41089,41060,41029,40998,40968,40939,40907,40877,40847,40816,40786,40753,40724,40694,40662,40633,40602,40574,40543,40512,40480,40451,40421,40389,40359,40326,40298,40268,40235,40207,40178,40147,40116,40086,40056,40025,39994,39962,39933,39903,39871,39843,39813,39780,39752,39721,39689,39660,39629,39598,39568,39538,39507,39478,39447,39416,39386,39353,39325,39294,39262,39233,39202,39171,39141,39113,39080,39051,39021,38989,38960,38929,38898,38868,38835,38807,38776,38748,38716,38686,38656,38625,38595,38562,38533,38503,38471,38442,38411,38383,38352,38321,38289,38260,38230,38198,38168,38135,38107,38077,38044,38016,37986,37953,37925,37894,37862,37833,37802,37771,37741,37711,37680,37652,37621,37589,37560,37529,37498,37468,37435,37407,37376,37343,37315,37287,37256,37225,37195,37162,37134,37103,37071,37042,37011,36980,36950,36922,36889,36860,36830,36798,36769,36738,36707,36677,36644,36616,36585,36556],"891800^MSCI_TOTAL_RET_IDX(2/27/2026,1/31/2000,M,LOC,\"GROSS\")":[273361.58622,260424.223346,239388.257204,233226.448963,236995.65862,226523.915085,211546.537098,208304.518913,201373.08176,191772.833185,185882.924222,186224.748365,185600.447223,184210.838878,181277.018355,179069.804982,184098.286801,189299.860461,179263.126655,178485.361855,177290.017446,169943.656351,169088.160711,166260.579717,161763.076206,153893.411884,159436.604151,154524.234368,145507.737991,150914.983595,153609.905961,161102.061626,152889.284327,147660.561194,149094.14387,150112.315355,146876.148927,154034.107835,144561.405716,147429.528417,131990.209899,135532.392496,149478.526632,147639.643758,147352.585222,154248.967537,154470.976177,160081.576053,163395.230189,167362.355668,170400.668148,167827.9043,173399.892264,171842.167525,176764.657754,172804.309993,183924.717536,180422.936201,179876.017635,177014.150161,178525.046525,176690.027945,170169.532591,160366.631385,148790.213442,146579.577702,149002.127964,145796.536105,134740.51137,126304.111078,125481.329106,115315.118776,132447.674108,137721.168406,142402.09082,134595.000037,133804.310804,129899.069531,127975.190836,131256.846285,132453.933673,126525.444141,135424.891792,132018.164143,130206.799625,128782.216334,120164.345389,123178.366673,119620.501077,129696.893567,131175.545396,131861.287726,129552.136235,132734.015545,135707.149002,133935.969404,136641.50078,142120.70169,133101.891086,129710.781345,130779.667061,125873.251115,125288.29782,122656.345994,116850.380789,114888.816308,112105.848443,109536.039088,107432.940299,105647.696497,101606.938929,101395.170372,103647.451916,103006.395683,102522.496569,99737.02764,95630.767356,94042.551458,94786.806763,94841.537441,87531.698904,87465.562706,92280.67339,93225.56018,95793.399884,90858.767307,92406.456135,98782.228295,103214.426619,105515.264302,108213.909823,102375.802874,102209.778205,98946.594704,97552.705288,99991.057447,98871.131884,97475.28228,101779.077307,99758.15557,96799.073024,94493.30481,91849.106188,91974.464369,90242.559251,88315.137426,92405.570852,93314.09557,93341.523984,89724.957044,86066.271799,86116.546082,84834.495453,89341.667459,88593.121792,88440.259873,89405.796045,90272.972053,89029.634301,85645.002527,84285.421354,84498.007553,81019.204072,81134.532518,79679.9067,77973.352938,83535.314671,83991.141643,85189.160542,81481.843515,75842.897903,75849.14105,78883.241792,72324.417388,78105.910271,84249.259603,85006.25977,86609.769557,87975.636649,87254.808262,83651.561931,84825.411054,86645.253911,82931.181401,83823.482489,81922.038506,76037.755998,77101.503396,72575.804396,72100.71127,76916.67275,76822.42699,72313.632823,72420.742581,75736.178476,72690.475335,70377.6078,70648.369712,66451.877755,66401.827132,60411.634012,61231.291094,54413.792296,48494.517506,43896.632649,45175.287514,46532.218587,44475.921265,46323.288559,59617.398185,68032.707292,71465.472328,75242.342357,83477.623386,81936.811428,76392.028949,79750.283174,75130.598669,85772.732474,85239.298583,90829.941936,83360.174108,76900.743287,77617.962928,74024.249157,70727.206072,68044.403321,65711.283876,63623.927775,64051.055106,64204.92277,61759.891871,57965.159983,55998.58995,55203.745819,53654.691911,53074.102873,53028.313766,57537.281075,54651.232877,53880.099879,53896.469086,49831.591576,47253.176807,44017.804022,46572.642164,42845.777529,42261.092667,39571.42567,38114.539992,36486.556279,37854.546123,39717.099442,37083.11656,36691.843021,35575.359704,33824.922514,33586.047909,32057.517176,30641.941706,31129.280923,31400.413485,31943.237867,33903.290491,33956.588017,32698.208463,31509.58897,29468.038368,29186.095344,26790.016115,27078.66405,25375.077009,23875.917486,22887.454192,21151.760978,20153.909,20754.313,21348.027,21472.376,22528.182,21394.601,20408.634,22222.368,21942.424,23463.5,25075.75,25822.249,25888.679,24504.063,24054.149,23118.462,21114.801,19173.791,18010.018,20786.586,20924.876,22086.122,22467.994,21963.377,20969.192,22736.018,24388.978,21424.814453125,21019.765625,22795.015625,24028.34765625,26011.841796875,25793.072265625,27108.416015625,26284.828125,27077.708984375,29364.0234375,29298.373046875,28916.5546875],"891800^JULIAN(MSCI_TOTAL_RET_IDX(2/27/2026,1/31/2000,M,LOC,\"GROSS\").DATES)":[46080,46052,46022,45989,45961,45930,45898,45869,45838,45807,45777,45747,45716,45688,45657,45625,45596,45565,45534,45504,45471,45443,45412,45379,45351,45322,45289,45260,45230,45198,45169,45138,45107,45077,45044,45016,44985,44957,44925,44895,44865,44834,44804,44771,44742,44712,44680,44651,44620,44592,44561,44530,44498,44469,44439,44407,44377,44344,44316,44286,44253,44225,44196,44165,44134,44104,44074,44043,44012,43980,43951,43921,43889,43861,43830,43798,43769,43738,43707,43677,43644,43616,43585,43553,43524,43496,43465,43434,43404,43371,43343,43312,43280,43251,43220,43188,43159,43131,43098,43069,43039,43007,42978,42947,42916,42886,42853,42825,42794,42766,42734,42704,42674,42643,42613,42580,42551,42521,42489,42460,42429,42398,42369,42338,42307,42277,42247,42216,42185,42153,42124,42094,42062,42034,42004,41971,41943,41912,41880,41851,41820,41789,41759,41729,41698,41670,41639,41607,41578,41547,41516,41486,41453,41425,41394,41361,41333,41305,41274,41243,41213,41180,41152,41121,41089,41060,41029,40998,40968,40939,40907,40877,40847,40816,40786,40753,40724,40694,40662,40633,40602,40574,40543,40512,40480,40451,40421,40389,40359,40326,40298,40268,40235,40207,40178,40147,40116,40086,40056,40025,39994,39962,39933,39903,39871,39843,39813,39780,39752,39721,39689,39660,39629,39598,39568,39538,39507,39478,39447,39416,39386,39353,39325,39294,39262,39233,39202,39171,39141,39113,39080,39051,39021,38989,38960,38929,38898,38868,38835,38807,38776,38748,38716,38686,38656,38625,38595,38562,38533,38503,38471,38442,38411,38383,38352,38321,38289,38260,38230,38198,38168,38135,38107,38077,38044,38016,37986,37953,37925,37894,37862,37833,37802,37771,37741,37711,37680,37652,37621,37589,37560,37529,37498,37468,37435,37407,37376,37343,37315,37287,37256,37225,37195,37162,37134,37103,37071,37042,37011,36980,36950,36922,36889,36860,36830,36798,36769,36738,36707,36677,36644,36616,36585,36556],"990100^MSCB_TOTAL_RET_IDX(2/27/2026,1/31/2000,M,\"USD\",\"GROSS\",\"\")":null,"990100^JULIAN(MSCB_TOTAL_RET_IDX(2/27/2026,1/31/2000,M,\"USD\",\"GROSS\",\"\").DATES)":[46080,46052,46022,45989,45961,45930,45898,45869,45838,45807,45777,45747,45716,45688,45657,45625,45596,45565,45534,45504,45471,45443,45412,45379,45351,45322,45289,45260,45230,45198,45169,45138,45107,45077,45044,45016,44985,44957,44925,44895,44865,44834,44804,44771,44742,44712,44680,44651,44620,44592,44561,44530,44498,44469,44439,44407,44377,44344,44316,44286,44253,44225,44196,44165,44134,44104,44074,44043,44012,43980,43951,43921,43889,43861,43830,43798,43769,43738,43707,43677,43644,43616,43585,43553,43524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91000^MSCB_TOTAL_RET_IDX(2/27/2026,1/31/2000,M,\"USD\",\"GROSS\",\"\")":null,"991000^JULIAN(MSCB_TOTAL_RET_IDX(2/27/2026,1/31/2000,M,\"USD\",\"GROSS\",\"\").DATES)":null,"892400^MSCB_TOTAL_RET_IDX(2/27/2026,1/31/2000,M,\"USD\",\"GROSS\",\"\")":null,"892400^JULIAN(MSCB_TOTAL_RET_IDX(2/27/2026,1/31/2000,M,\"USD\",\"GROSS\",\"\").DATES)":[46080,46052,46022,45989,45961,45930,45898,45869,45838,45807,45777,45747,45716,45688,45657,45625,45596,45565,45534,45504,45471,45443,45412,45379,45351,45322,45289,45260,45230,45198,45169,45138,45107,45077,45044,45016,44985,44957,44925,44895,44865,44834,44804,44771,44742,44712,44680,44651,44620,44592,44561,44530,44498,44469,44439,44407,44377,44344,44316,44286,44253,44225,44196,44165,44134,44104,44074,44043,44012,43980,43951,43921,43889,43861,43830,43798,43769,43738,43707,43677,43644,43616,43585,43553,43524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891800^MSCB_TOTAL_RET_IDX(2/27/2026,1/31/2000,M,\"USD\",\"GROSS\",\"\")":null,"891800^JULIAN(MSCB_TOTAL_RET_IDX(2/27/2026,1/31/2000,M,\"USD\",\"GROSS\",\"\").DATES)":[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],"990100^MSCP_TOTAL_RET_IDX_GIMI(2/27/2026,1/31/2000,M,LOC,\"GROSS\")":[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3051.03834254269,3323.47260441924,3264.3659215491,3072.7489809459,3140.07832002977,3192.88991669736,3485.60270928991,3513.70607505044,3664.4929754071,3586.59367081644,3479.21424388842,3479.60480126541,3587.06558194177,3621.032997,3498.145784,3377.486042,3327.072827,3367.583016,3309.35956,3223.306351,3187.441258,3092.657711,3037.316624,2960.508672,2938.914789,2920.551242,3047.268384,3018.55266,2946.304741,2936.238269,2845.943956,2787.161148,2675.899374,2723.681533,2637.423572,2633.392917,2536.862687,2493.975398,2406.467587,2459.969923,2484.336772,2422.946829,2449.97673,2369.552573,2293.910634,2265.449067,2236.087164,2231.704148,2296.896053,2248.466857,2243.149145,2252.867688,2272.520227,2230.325738,2192.110035,2097.966434,2083.30772,1977.022858,2006.339977,1959.994936,1908.293491,1869.476567,1789.902996,1655.473953,1661.620142,1687.710384,1751.814049,1867.613728,1775.113442,1654.064789,1852.530033,1845.688524,2011.206321,2176.947082,2197.075333,2296.494064,2196.630019,2221.300173,2268.953889,2240.298222,2111.063952,2047.884753,2254.254626,2401.343199,2467.256709,2527.387055,2543.401196,2367.87202,2498.1121,2728.188698,2654.650224,2654.047968,2868.904162,2912.322486,3058.367022,2897.232528,2949.164059,2862.472264,2964.801226,3079.657341,2969.874006,2872.61319],"990100^JULIAN(MSCP_TOTAL_RET_IDX_GIMI(2/27/2026,1/31/2000,M,LOC,\"GROSS\").DATES)":[46080,46052,46022,45989,45961,45930,45898,45869,45838,45807,45777,45747,45716,45688,45657,45625,45596,45565,45534,45504,45471,45443,45412,45379,45351,45322,45289,45260,45230,45198,45169,45138,45107,45077,45044,45016,44985,44957,44925,44895,44865,44834,44804,44771,44742,44712,44680,44651,44620,44592,44561,44530,44498,44469,44439,44407,44377,44344,44316,44286,44253,44225,44196,44165,44134,44104,44074,44043,44012,43980,43951,43921,43889,43861,43830,43798,43769,43738,43707,43677,43644,43616,43585,43553,43524,43496,43465,43434,43404,43371,43343,43312,43280,43251,43220,43188,43159,43131,43098,43069,43039,43007,42978,42947,42916,42886,42853,42825,42794,42766,42734,42704,42674,42643,42613,42580,42551,42521,42489,42460,42429,42398,42369,42338,42307,42277,42247,42216,42185,42153,42124,42094,42062,42034,42004,41971,41943,41912,41880,41851,41820,41789,41759,41729,41698,41670,41639,41607,41578,41547,41516,41486,41453,41425,41394,41361,41333,41305,41274,41243,41213,41180,41152,41121,41089,41060,41029,40998,40968,40939,40907,40877,40847,40816,40786,40753,40724,40694,40662,40633,40602,40574,40543,40512,40480,40451,40421,40389,40359,40326,40298,40268,40235,40207,40178,40147,40116,40086,40056,40025,39994,39962,39933,39903,39871,39843,39813,39780,39752,39721,39689,39660,39629,39598,39568,39538,39507,39478,39447,39416,39386,39353,39325,39294,39262,39233,39202,39171,39141,39113,39080,39051,39021,38989,38960,38929,38898,38868,38835,38807,38776,38748,38716,38686,38656,38625,38595,38562,38533,38503,38471,38442,38411,38383,38352,38321,38289,38260,38230,38198,38168,38135,38107,38077,38044,38016,37986,37953,37925,37894,37862,37833,37802,37771,37741,37711,37680,37652,37621,37589,37560,37529,37498,37468,37435,37407,37376,37343,37315,37287,37256,37225,37195,37162,37134,37103,37071,37042,37011,36980,36950,36922,36889,36860,36830,36798,36769,36738,36707,36677,36644,36616,36585,36556],"991000^MSCP_TOTAL_RET_IDX_GIMI(2/27/2026,1/31/2000,M,LOC,\"GROSS\")":[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2836.45436016132,3090.98913636261,3032.46245477759,2823.76156047737,2927.92870486115,2938.06185600499,3281.06879599866,3315.22578112581,3457.16676198114,3367.95855241125,3290.76337371627,3337.67000450741,3439.91589339764,3448.554965,3331.453796,3237.405606,3177.668327,3192.380538,3137.178109,3016.708674,3009.496241,2928.012087,2895.56225,2816.71453,2789.447771,2760.271273,2918.855969,2901.875629,2799.87972,2782.232016,2684.853022,2571.082382,2460.601903,2510.739329,2366.042659,2334.702892,2248.281547,2173.077396,2089.198611,2144.314765,2148.818081,2085.77634,2074.158245,2010.249056,1963.675848,1943.768549,1915.178433,1917.852733,1960.513493,1911.455308,1935.013261,1914.094083,1915.17913,1868.132776,1840.789133,1774.007325,1768.85692,1683.483129,1717.214813,1666.908112,1601.267671,1550.663173,1506.938558,1392.352666,1425.323523,1448.095261,1529.481633,1642.371266,1571.501012,1490.322849,1668.068173,1668.060261,1847.450663,2005.71846,2026.21265,2077.821263,1974.096656,1970.604151,2021.764536,1994.585653,1916.316647,1841.519894,2045.098841,2172.368969,2264.221256,2325.444529,2374.63612,2231.293836,2306.681009,2477.216928,2431.761303,2466.32648,2580.770832,2613.58439,2739.009482,2644.274622,2690.011078,2643.913679,2740.193272,2802.173497,2787.279105,2635.170714],"991000^JULIAN(MSCP_TOTAL_RET_IDX_GIMI(2/27/2026,1/31/2000,M,LOC,\"GROSS\").DATES)":[46080,46052,46022,45989,45961,45930,45898,45869,45838,45807,45777,45747,45716,45688,45657,45625,45596,45565,45534,45504,45471,45443,45412,45379,45351,45322,45289,45260,45230,45198,45169,45138,45107,45077,45044,45016,44985,44957,44925,44895,44865,44834,44804,44771,44742,44712,44680,44651,44620,44592,44561,44530,44498,44469,44439,44407,44377,44344,44316,44286,44253,44225,44196,44165,44134,44104,44074,44043,44012,43980,43951,43921,43889,43861,43830,43798,43769,43738,43707,43677,43644,43616,43585,43553,43524,43496,43465,43434,43404,43371,43343,43312,43280,43251,43220,43188,43159,43131,43098,43069,43039,43007,42978,42947,42916,42886,42853,42825,42794,42766,42734,42704,42674,42643,42613,42580,42551,42521,42489,42460,42429,42398,42369,42338,42307,42277,42247,42216,42185,42153,42124,42094,42062,42034,42004,41971,41943,41912,41880,41851,41820,41789,41759,41729,41698,41670,41639,41607,41578,41547,41516,41486,41453,41425,41394,41361,41333,41305,41274,41243,41213,41180,41152,41121,41089,41060,41029,40998,40968,40939,40907,40877,40847,40816,40786,40753,40724,40694,40662,40633,40602,40574,40543,40512,40480,40451,40421,40389,40359,40326,40298,40268,40235,40207,40178,40147,40116,40086,40056,40025,39994,39962,39933,39903,39871,39843,39813,39780,39752,39721,39689,39660,39629,39598,39568,39538,39507,39478,39447,39416,39386,39353,39325,39294,39262,39233,39202,39171,39141,39113,39080,39051,39021,38989,38960,38929,38898,38868,38835,38807,38776,38748,38716,38686,38656,38625,38595,38562,38533,38503,38471,38442,38411,38383,38352,38321,38289,38260,38230,38198,38168,38135,38107,38077,38044,38016,37986,37953,37925,37894,37862,37833,37802,37771,37741,37711,37680,37652,37621,37589,37560,37529,37498,37468,37435,37407,37376,37343,37315,37287,37256,37225,37195,37162,37134,37103,37071,37042,37011,36980,36950,36922,36889,36860,36830,36798,36769,36738,36707,36677,36644,36616,36585,36556],"892400^MSCP_TOTAL_RET_IDX_GIMI(2/27/2026,1/31/2000,M,LOC,\"GROSS\")":[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569.669041311044,621.852983981049,610.614424494646,574.087290726519,588.075466403961,592.835730605987,650.42989573714,654.709874736795,684.120824416654,664.97002379528,641.804887098785,642.443847070131,657.437603978542,660.39917,637.922972,616.057524,606.093876,613.265955,603.715503,587.400629,578.535929,561.226731,551.42311,537.380634,533.315194,530.131939,554.534657,547.622297,535.013614,533.373706,515.354176,503.549198,482.589854,492.379694,475.357956,474.314594,456.177822,447.953512,431.979775,441.922779,447.17316,435.102811,439.491131,425.096538,411.231943,406.205255,400.355605,398.808258,410.300102,402.157328,401.45664,404.178861,407.539681,399.595103,392.338918,375.189303,372.550259,353.105768,358.346899,349.474866,339.858579,332.680641,318.126332,294.571126,295.966133,300.773252,311.880352,332.354815,315.910965,294.618734,329.62337,328.255669,357.540277,386.83979,390.976335,407.537277,389.529509,393.164521,400.263906,393.360251,369.872756,358.27866,395.390276,420.11772,432.26746,442.56598,444.759394,414.618336,438.067471,478.006126,462.62911,462.148292,499.561163,508.190656,534.894777,507.7534,517.81226,502.379896,520.385573,542.151638,523.79701,507.553873],"892400^JULIAN(MSCP_TOTAL_RET_IDX_GIMI(2/27/2026,1/31/2000,M,LOC,\"GROSS\").DATES)":[46080,46052,46022,45989,45961,45930,45898,45869,45838,45807,45777,45747,45716,45688,45657,45625,45596,45565,45534,45504,45471,45443,45412,45379,45351,45322,45289,45260,45230,45198,45169,45138,45107,45077,45044,45016,44985,44957,44925,44895,44865,44834,44804,44771,44742,44712,44680,44651,44620,44592,44561,44530,44498,44469,44439,44407,44377,44344,44316,44286,44253,44225,44196,44165,44134,44104,44074,44043,44012,43980,43951,43921,43889,43861,43830,43798,43769,43738,43707,43677,43644,43616,43585,43553,43524,43496,43465,43434,43404,43371,43343,43312,43280,43251,43220,43188,43159,43131,43098,43069,43039,43007,42978,42947,42916,42886,42853,42825,42794,42766,42734,42704,42674,42643,42613,42580,42551,42521,42489,42460,42429,42398,42369,42338,42307,42277,42247,42216,42185,42153,42124,42094,42062,42034,42004,41971,41943,41912,41880,41851,41820,41789,41759,41729,41698,41670,41639,41607,41578,41547,41516,41486,41453,41425,41394,41361,41333,41305,41274,41243,41213,41180,41152,41121,41089,41060,41029,40998,40968,40939,40907,40877,40847,40816,40786,40753,40724,40694,40662,40633,40602,40574,40543,40512,40480,40451,40421,40389,40359,40326,40298,40268,40235,40207,40178,40147,40116,40086,40056,40025,39994,39962,39933,39903,39871,39843,39813,39780,39752,39721,39689,39660,39629,39598,39568,39538,39507,39478,39447,39416,39386,39353,39325,39294,39262,39233,39202,39171,39141,39113,39080,39051,39021,38989,38960,38929,38898,38868,38835,38807,38776,38748,38716,38686,38656,38625,38595,38562,38533,38503,38471,38442,38411,38383,38352,38321,38289,38260,38230,38198,38168,38135,38107,38077,38044,38016,37986,37953,37925,37894,37862,37833,37802,37771,37741,37711,37680,37652,37621,37589,37560,37529,37498,37468,37435,37407,37376,37343,37315,37287,37256,37225,37195,37162,37134,37103,37071,37042,37011,36980,36950,36922,36889,36860,36830,36798,36769,36738,36707,36677,36644,36616,36585,36556],"891800^MSCP_TOTAL_RET_IDX_GIMI(2/27/2026,1/31/2000,M,LOC,\"GROSS\")":[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75242.3423639386,83472.7920537629,81790.4411839607,76208.6998472033,79535.1208607871,74896.9202186696,85556.8746248771,85112.5202553665,90374.650235618,82861.5676937895,76382.2192500605,77064.6671077592,73480.4918904819,70161.46365,67693.430165,65538.194199,63544.888274,64046.607032,64319.254611,61835.624441,58025.20864,56160.564664,55483.310535,53934.311528,53336.410715,53214.042458,57603.630476,54651.775898,54061.493942,54149.975617,50127.133522,47378.515663,44168.565942,46772.225138,43077.818312,42521.159903,39793.668672,38316.663735,36545.875227,37928.834562,39771.614455,37080.23258,36706.697565,35561.149011,33908.60486,33627.233714,32131.708009,30666.618789,31275.468384,31555.646511,31946.605823,33900.015587,33889.545693,32549.163511,31219.091186,29312.248683,29074.158027,26771.511161,27179.785785,25426.843477,23997.859216,22999.551742,21259.691394,20312.390827,20984.673795,21629.144787,21832.331766,22997.500058,21892.031545,20931.460528,22760.634608,22376.13739,24092.142501,25773.705774,26596.636402,26630.45862,25173.563028,24697.430686,23850.442772,21659.627065,19560.521351,18403.92973,21355.427694,21615.279634,22853.29952,23175.145615,22709.511849,21698.888524,23537.960052,25294.497996,22133.752063,21770.117481,23521.520834,24940.266007,27369.766217,26950.199634,28390.395914,27340.844725,28365.367276,31343.981335,31346.497044,31369.382612],"891800^JULIAN(MSCP_TOTAL_RET_IDX_GIMI(2/27/2026,1/31/2000,M,LOC,\"GROSS\").DATES)":[46080,46052,46022,45989,45961,45930,45898,45869,45838,45807,45777,45747,45716,45688,45657,45625,45596,45565,45534,45504,45471,45443,45412,45379,45351,45322,45289,45260,45230,45198,45169,45138,45107,45077,45044,45016,44985,44957,44925,44895,44865,44834,44804,44771,44742,44712,44680,44651,44620,44592,44561,44530,44498,44469,44439,44407,44377,44344,44316,44286,44253,44225,44196,44165,44134,44104,44074,44043,44012,43980,43951,43921,43889,43861,43830,43798,43769,43738,43707,43677,43644,43616,43585,43553,43524,43496,43465,43434,43404,43371,43343,43312,43280,43251,43220,43188,43159,43131,43098,43069,43039,43007,42978,42947,42916,42886,42853,42825,42794,42766,42734,42704,42674,42643,42613,42580,42551,42521,42489,42460,42429,42398,42369,42338,42307,42277,42247,42216,42185,42153,42124,42094,42062,42034,42004,41971,41943,41912,41880,41851,41820,41789,41759,41729,41698,41670,41639,41607,41578,41547,41516,41486,41453,41425,41394,41361,41333,41305,41274,41243,41213,41180,41152,41121,41089,41060,41029,40998,40968,40939,40907,40877,40847,40816,40786,40753,40724,40694,40662,40633,40602,40574,40543,40512,40480,40451,40421,40389,40359,40326,40298,40268,40235,40207,40178,40147,40116,40086,40056,40025,39994,39962,39933,39903,39871,39843,39813,39780,39752,39721,39689,39660,39629,39598,39568,39538,39507,39478,39447,39416,39386,39353,39325,39294,39262,39233,39202,39171,39141,39113,39080,39051,39021,38989,38960,38929,38898,38868,38835,38807,38776,38748,38716,38686,38656,38625,38595,38562,38533,38503,38471,38442,38411,38383,38352,38321,38289,38260,38230,38198,38168,38135,38107,38077,38044,38016,37986,37953,37925,37894,37862,37833,37802,37771,37741,37711,37680,37652,37621,37589,37560,37529,37498,37468,37435,37407,37376,37343,37315,37287,37256,37225,37195,37162,37134,37103,37071,37042,37011,36980,36950,36922,36889,36860,36830,36798,36769,36738,36707,36677,36644,36616,36585,36556],"990100^MSCP_TOTAL_RET_IDX_GIMI(2/27/2026,1/31/2000,M,USD,\"GROSS\")":[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4392.1724420734,4770.99343244242,4689.57774677483,4451.37189793823,4495.48435490459,4518.80323771071,4892.56245619397,4955.92638559135,5157.9520998063,5003.21525208289,4772.67883801279,4774.24023045464,4879.76611634819,4916.083744,4775.011979,4570.528234,4488.293412,4512.961247,4461.676518,4371.607113,4268.257639,4118.426421,4068.784562,3964.584305,3932.878841,3928.587475,4058.696396,3939.945034,3854.982573,3859.248665,3697.046861,3618.620209,3503.204124,3583.936537,3493.071919,3465.476953,3347.125655,3316.301745,3253.633647,3322.379202,3385.907284,3281.84652,3359.470123,3235.254614,3076.849618,3003.75009,2947.754912,2934.280943,3031.346486,2969.087543,2941.40186,3002.354034,3020.888453,2968.018923,2919.274503,2749.835723,2708.871828,2559.011601,2543.995516,2491.388167,2444.466995,2403.061387,2271.370391,2090.153437,2093.73896,2128.993316,2197.096434,2306.319488,2191.682144,2042.878194,2287.409096,2278.809247,2483.03653,2643.617732,2632.533586,2716.549885,2587.944198,2613.67457,2700.381494,2681.891896,2535.024855,2474.41766,2722.097317,2857.007989,2912.944326,3003.512102,3038.283965,2818.067012,3030.366624,3329.982111,3261.04884,3201.313658,3455.359528,3548.64387,3738.578599,3566.996892,3679.234701,3530.328668,3658.942042,3876.711624,3701.773357,3616.093016],"990100^JULIAN(MSCP_TOTAL_RET_IDX_GIMI(2/27/2026,1/31/2000,M,USD,\"GROSS\").DATES)":[46080,46052,46022,45989,45961,45930,45898,45869,45838,45807,45777,45747,45716,45688,45657,45625,45596,45565,45534,45504,45471,45443,45412,45379,45351,45322,45289,45260,45230,45198,45169,45138,45107,45077,45044,45016,44985,44957,44925,44895,44865,44834,44804,44771,44742,44712,44680,44651,44620,44592,44561,44530,44498,44469,44439,44407,44377,44344,44316,44286,44253,44225,44196,44165,44134,44104,44074,44043,44012,43980,43951,43921,43889,43861,43830,43798,43769,43738,43707,43677,43644,43616,43585,43553,43524,43496,43465,43434,43404,43371,43343,43312,43280,43251,43220,43188,43159,43131,43098,43069,43039,43007,42978,42947,42916,42886,42853,42825,42794,42766,42734,42704,42674,42643,42613,42580,42551,42521,42489,42460,42429,42398,42369,42338,42307,42277,42247,42216,42185,42153,42124,42094,42062,42034,42004,41971,41943,41912,41880,41851,41820,41789,41759,41729,41698,41670,41639,41607,41578,41547,41516,41486,41453,41425,41394,41361,41333,41305,41274,41243,41213,41180,41152,41121,41089,41060,41029,40998,40968,40939,40907,40877,40847,40816,40786,40753,40724,40694,40662,40633,40602,40574,40543,40512,40480,40451,40421,40389,40359,40326,40298,40268,40235,40207,40178,40147,40116,40086,40056,40025,39994,39962,39933,39903,39871,39843,39813,39780,39752,39721,39689,39660,39629,39598,39568,39538,39507,39478,39447,39416,39386,39353,39325,39294,39262,39233,39202,39171,39141,39113,39080,39051,39021,38989,38960,38929,38898,38868,38835,38807,38776,38748,38716,38686,38656,38625,38595,38562,38533,38503,38471,38442,38411,38383,38352,38321,38289,38260,38230,38198,38168,38135,38107,38077,38044,38016,37986,37953,37925,37894,37862,37833,37802,37771,37741,37711,37680,37652,37621,37589,37560,37529,37498,37468,37435,37407,37376,37343,37315,37287,37256,37225,37195,37162,37134,37103,37071,37042,37011,36980,36950,36922,36889,36860,36830,36798,36769,36738,36707,36677,36644,36616,36585,36556],"991000^MSCP_TOTAL_RET_IDX_GIMI(2/27/2026,1/31/2000,M,USD,\"GROSS\")":[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5875.32303925,6369.06259823411,6257.31292885701,5920.19353036494,6004.06154012271,5895.21210903221,6480.36123097854,6607.73534396194,6863.58067708708,6573.20682198108,6217.46886477138,6307.64060751703,6394.71476628644,6386.178553,6235.016878,5958.04533,5812.497825,5764.230725,5732.061846,5577.244721,5422.329455,5216.644527,5221.075578,5075.499447,5019.357916,5020.116485,5204.362422,4965.544614,4814.940805,4829.521894,4546.807039,4347.910408,4236.232574,4369.403069,4175.287646,4061.784288,3933.640075,3868.641622,3858.282779,3950.878475,4037.64977,3866.948609,3950.578038,3792.409983,3560.412428,3434.532465,3339.69624,3324.733968,3427.720251,3346.120077,3332.182895,3420.649363,3402.007655,3325.961311,3283.19743,3048.353649,2982.600974,2808.031981,2725.391338,2661.136813,2605.064997,2543.887526,2394.92852,2184.944523,2226.365387,2268.06991,2361.075263,2440.093654,2333.906508,2214.579701,2477.319533,2476.355725,2741.529493,2858.518361,2806.641414,2798.874593,2635.193548,2623.047494,2761.047841,2759.990078,2669.750485,2600.150497,2882.009173,2964.465981,3037.956841,3164.735141,3267.810378,3046.940324,3277.668981,3566.102359,3548.13849,3464.230252,3613.422288,3751.490723,3957.774986,3879.627824,4057.184143,3894.146686,4041.417566,4304.930697,4196.164527,4045.906248],"991000^JULIAN(MSCP_TOTAL_RET_IDX_GIMI(2/27/2026,1/31/2000,M,USD,\"GROSS\").DATES)":[46080,46052,46022,45989,45961,45930,45898,45869,45838,45807,45777,45747,45716,45688,45657,45625,45596,45565,45534,45504,45471,45443,45412,45379,45351,45322,45289,45260,45230,45198,45169,45138,45107,45077,45044,45016,44985,44957,44925,44895,44865,44834,44804,44771,44742,44712,44680,44651,44620,44592,44561,44530,44498,44469,44439,44407,44377,44344,44316,44286,44253,44225,44196,44165,44134,44104,44074,44043,44012,43980,43951,43921,43889,43861,43830,43798,43769,43738,43707,43677,43644,43616,43585,43553,43524,43496,43465,43434,43404,43371,43343,43312,43280,43251,43220,43188,43159,43131,43098,43069,43039,43007,42978,42947,42916,42886,42853,42825,42794,42766,42734,42704,42674,42643,42613,42580,42551,42521,42489,42460,42429,42398,42369,42338,42307,42277,42247,42216,42185,42153,42124,42094,42062,42034,42004,41971,41943,41912,41880,41851,41820,41789,41759,41729,41698,41670,41639,41607,41578,41547,41516,41486,41453,41425,41394,41361,41333,41305,41274,41243,41213,41180,41152,41121,41089,41060,41029,40998,40968,40939,40907,40877,40847,40816,40786,40753,40724,40694,40662,40633,40602,40574,40543,40512,40480,40451,40421,40389,40359,40326,40298,40268,40235,40207,40178,40147,40116,40086,40056,40025,39994,39962,39933,39903,39871,39843,39813,39780,39752,39721,39689,39660,39629,39598,39568,39538,39507,39478,39447,39416,39386,39353,39325,39294,39262,39233,39202,39171,39141,39113,39080,39051,39021,38989,38960,38929,38898,38868,38835,38807,38776,38748,38716,38686,38656,38625,38595,38562,38533,38503,38471,38442,38411,38383,38352,38321,38289,38260,38230,38198,38168,38135,38107,38077,38044,38016,37986,37953,37925,37894,37862,37833,37802,37771,37741,37711,37680,37652,37621,37589,37560,37529,37498,37468,37435,37407,37376,37343,37315,37287,37256,37225,37195,37162,37134,37103,37071,37042,37011,36980,36950,36922,36889,36860,36830,36798,36769,36738,36707,36677,36644,36616,36585,36556],"892400^MSCP_TOTAL_RET_IDX_GIMI(2/27/2026,1/31/2000,M,USD,\"GROSS\")":[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548.64648960503,597.508434280956,587.08913840315,555.564499973009,563.927276687293,561.984214128019,612.126023367054,618.982534860513,646.32464522993,621.880083678869,589.78635686964,591.150282166936,600.023169028706,601.585422,583.584334,558.587227,547.677341,550.75761,545.53003,533.486131,518.96013,500.422227,494.611388,481.967387,477.894223,477.431021,495.864436,479.961654,470.141985,470.704399,448.983845,438.332407,423.159119,434.113039,421.527874,418.19816,403.135625,398.875084,390.979058,399.357769,408.033252,394.3763,403.185659,388.080205,368.460543,359.683432,352.406518,350.230052,361.654253,354.566279,351.510438,359.824215,361.693161,354.884507,348.720869,328.404983,323.548606,305.381831,303.617862,296.80437,290.785487,285.44784,269.714471,248.187258,248.878368,253.178395,261.045559,273.896991,260.15684,242.562605,271.594453,270.432665,294.671088,313.904091,313.103715,322.323937,306.845787,309.381674,318.500407,314.904965,296.902519,289.329745,319.517899,334.807426,342.198171,352.607129,356.300689,330.96707,356.500093,391.580519,381.294544,374.325382,404.329257,416.346189,439.834954,420.408874,434.179295,416.62641,432.120938,459.149167,439.378187,429.743409],"892400^JULIAN(MSCP_TOTAL_RET_IDX_GIMI(2/27/2026,1/31/2000,M,USD,\"GROSS\").DATES)":[46080,46052,46022,45989,45961,45930,45898,45869,45838,45807,45777,45747,45716,45688,45657,45625,45596,45565,45534,45504,45471,45443,45412,45379,45351,45322,45289,45260,45230,45198,45169,45138,45107,45077,45044,45016,44985,44957,44925,44895,44865,44834,44804,44771,44742,44712,44680,44651,44620,44592,44561,44530,44498,44469,44439,44407,44377,44344,44316,44286,44253,44225,44196,44165,44134,44104,44074,44043,44012,43980,43951,43921,43889,43861,43830,43798,43769,43738,43707,43677,43644,43616,43585,43553,43524,43496,43465,43434,43404,43371,43343,43312,43280,43251,43220,43188,43159,43131,43098,43069,43039,43007,42978,42947,42916,42886,42853,42825,42794,42766,42734,42704,42674,42643,42613,42580,42551,42521,42489,42460,42429,42398,42369,42338,42307,42277,42247,42216,42185,42153,42124,42094,42062,42034,42004,41971,41943,41912,41880,41851,41820,41789,41759,41729,41698,41670,41639,41607,41578,41547,41516,41486,41453,41425,41394,41361,41333,41305,41274,41243,41213,41180,41152,41121,41089,41060,41029,40998,40968,40939,40907,40877,40847,40816,40786,40753,40724,40694,40662,40633,40602,40574,40543,40512,40480,40451,40421,40389,40359,40326,40298,40268,40235,40207,40178,40147,40116,40086,40056,40025,39994,39962,39933,39903,39871,39843,39813,39780,39752,39721,39689,39660,39629,39598,39568,39538,39507,39478,39447,39416,39386,39353,39325,39294,39262,39233,39202,39171,39141,39113,39080,39051,39021,38989,38960,38929,38898,38868,38835,38807,38776,38748,38716,38686,38656,38625,38595,38562,38533,38503,38471,38442,38411,38383,38352,38321,38289,38260,38230,38198,38168,38135,38107,38077,38044,38016,37986,37953,37925,37894,37862,37833,37802,37771,37741,37711,37680,37652,37621,37589,37560,37529,37498,37468,37435,37407,37376,37343,37315,37287,37256,37225,37195,37162,37134,37103,37071,37042,37011,36980,36950,36922,36889,36860,36830,36798,36769,36738,36707,36677,36644,36616,36585,36556],"891800^MSCP_TOTAL_RET_IDX_GIMI(2/27/2026,1/31/2000,M,USD,\"GROSS\")":[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null,1823.79196040916,2025.47648022248,1984.37629632542,1833.70083776845,1935.61920797923,1801.17970576344,2058.84075589998,2053.60685652741,2202.51243769409,1979.00680388398,1780.17093858682,1817.87744368617,1725.27547688071,1646.186248,1574.405442,1506.727123,1450.899565,1461.1741,1478.951366,1414.606346,1316.145459,1259.029859,1251.414913,1220.140473,1202.633586,1203.703258,1341.080003,1249.767963,1242.815399,1245.748207,1120.517789,1054.302443,974.31116,1043.57934,955.655337,948.047849,884.978101,855.245014,824.075996,846.466189,905.959014,831.530168,829.583966,790.674438,725.481999,707.245354,669.394941,641.653623,655.879729,657.196759,662.094225,721.173073,710.122404,676.591534,650.560978,609.446671,601.971941,556.621867,554.622905,518.798265,489.48153,462.445164,432.978922,398.056298,410.825442,422.73543,425.679327,441.07198,413.254746,388.492197,434.881541,426.727797,464.989522,503.264404,514.093563,511.122255,481.402778,473.336266,460.400325,421.87205,379.006285,357.532251,425.389542,432.087235,462.258105,470.690759,466.16815,444.963977,493.898864,538.228042,471.121938,462.944741,507.106892,549.89962,611.029261,603.209487,636.779839,611.490069,643.775367,723.63003,720.783076,720.961165],"891800^JULIAN(MSCP_TOTAL_RET_IDX_GIMI(2/27/2026,1/31/2000,M,USD,\"GROSS\").DATES)":[46080,46052,46022,45989,45961,45930,45898,45869,45838,45807,45777,45747,45716,45688,45657,45625,45596,45565,45534,45504,45471,45443,45412,45379,45351,45322,45289,45260,45230,45198,45169,45138,45107,45077,45044,45016,44985,44957,44925,44895,44865,44834,44804,44771,44742,44712,44680,44651,44620,44592,44561,44530,44498,44469,44439,44407,44377,44344,44316,44286,44253,44225,44196,44165,44134,44104,44074,44043,44012,43980,43951,43921,43889,43861,43830,43798,43769,43738,43707,43677,43644,43616,43585,43553,43524,43496,43465,43434,43404,43371,43343,43312,43280,43251,43220,43188,43159,43131,43098,43069,43039,43007,42978,42947,42916,42886,42853,42825,42794,42766,42734,42704,42674,42643,42613,42580,42551,42521,42489,42460,42429,42398,42369,42338,42307,42277,42247,42216,42185,42153,42124,42094,42062,42034,42004,41971,41943,41912,41880,41851,41820,41789,41759,41729,41698,41670,41639,41607,41578,41547,41516,41486,41453,41425,41394,41361,41333,41305,41274,41243,41213,41180,41152,41121,41089,41060,41029,40998,40968,40939,40907,40877,40847,40816,40786,40753,40724,40694,40662,40633,40602,40574,40543,40512,40480,40451,40421,40389,40359,40326,40298,40268,40235,40207,40178,40147,40116,40086,40056,40025,39994,39962,39933,39903,39871,39843,39813,39780,39752,39721,39689,39660,39629,39598,39568,39538,39507,39478,39447,39416,39386,39353,39325,39294,39262,39233,39202,39171,39141,39113,39080,39051,39021,38989,38960,38929,38898,38868,38835,38807,38776,38748,38716,38686,38656,38625,38595,38562,38533,38503,38471,38442,38411,38383,38352,38321,38289,38260,38230,38198,38168,38135,38107,38077,38044,38016,37986,37953,37925,37894,37862,37833,37802,37771,37741,37711,37680,37652,37621,37589,37560,37529,37498,37468,37435,37407,37376,37343,37315,37287,37256,37225,37195,37162,37134,37103,37071,37042,37011,36980,36950,36922,36889,36860,36830,36798,36769,36738,36707,36677,36644,36616,36585,36556],"990100^MSCI_TOTAL_RET_IDX(2/27/2026,1/31/2000,M,USD,\"GROSS\")":[21740.407476,21576.661758,21100.067425,20924.65906,20859.465156,20445.915187,19801.961522,19293.050929,19044.007434,18250.358313,17219.319838,17059.748793,17844.251038,17968.349835,17352.115351,17810.63517,17023.445476,17364.011736,17045.470265,16601.012475,16309.886618,15979.455491,15286.59151,15864.367263,15366.381971,14735.888914,14557.826422,13871.961001,12676.970282,13052.604114,13636.081474,13963.885805,13506.744492,12731.907782,12850.378508,12622.659609,12235.685754,12532.085435,11700.992418,12215.105868,11415.734483,10648.162536,11734.160889,12241.139674,11337.723549,12408.089771,12389.188861,13505.741311,13137.03442,13473.4354,14223.136794,13636.233449,13936.992021,13186.526695,13751.460508,13413.449833,13174.25099,12992.178031,12784.973299,12211.116272,11811.310416,11512.425105,11625.198749,11148.599773,9881.075667,10191.07874,10550.971824,9886.493432,9432.107145,9185.249174,8756.464871,7890.18073,9086.788157,9921.108777,9979.03366,9685.175388,9418.381319,9182.16764,8986.643663,9169.81569,9122.090094,8554.772217,9069.951224,8754.488883,8635.203361,8379.028953,7771.710261,8407.844611,8309.110332,8965.287627,8911.933486,8798.941068,8530.353984,8531.326869,8470.212767,8363.544193,8549.698834,8915.277691,8466.344501,8350.801848,8169.600974,8016.091279,7837.107664,7822.146969,7637.015307,7604.861196,7440.259608,7328.13507,7245.762912,7046.796149,6879.162363,6716.016518,6617.258395,6746.076641,6707.420309,6698.465937,6425.279863,6494.942746,6452.776567,6348.294514,5940.800331,5981.67427,6360.574954,6471.71718,6500.909759,6021.954302,6249.64635,6689.575637,6569.46635,6723.059942,6694.313819,6537.618526,6637.222188,6266.933709,6381.054489,6482.900453,6352.598337,6310.268156,6483.570232,6341.234415,6442.500674,6326.600987,6198.797954,6132.591574,6120.253606,5825.526876,6048.181012,5920.682817,5814.648991,5594.335573,5325.887115,5439.34652,5165.877084,5294.214565,5287.524128,5122.933394,5002.798508,4992.061167,4748.698511,4658.581487,4597.231193,4627.184251,4501.500939,4388.035805,4331.155403,4119.206386,4503.679588,4552.201557,4491.978708,4280.520734,4074.833677,4075.560085,4175.102956,3782.757039,4138.562322,4450.249251,4531.207531,4602.240757,4694.883908,4500.825242,4543.546134,4387.969544,4290.045368,3994.994271,4081.18627,3933.681227,3596.902173,3734.815772,3453.891084,3576.612956,3949.717839,3946.960009,3714.830292,3661.751978,3818.859038,3750.306086,3601.322067,3665.755558,3524.075058,3383.009336,3117.982151,3130.78568,2867.371642,2575.816373,2393.873995,2664.847172,2919.782614,2827.607531,3021.073597,3726.687618,4227.712255,4285.968828,4392.17244,4770.993435,4693.576591,4455.803971,4496.694314,4520.671514,4893.541845,4956.048081,5164.82375,5010.068141,4781.07441,4782.623573,4889.921215,4926.190342,4787.317288,4582.511654,4498.257682,4519.914584,4466.298194,4376.153465,4269.390748,4117.42896,4067.753546,3962.860777,3937.43287,3936.963505,4072.426018,3950.381312,3863.679046,3867.81377,3701.794585,3620.657193,3502.062889,3588.40956,3496.581253,3468.822784,3351.01918,3320.818075,3260.390162,3330.63462,3395.133482,3289.438908,3364.558345,3239.895069,3076.904211,3002.6955,2946.022205,2931.964193,3030.093073,2965.619836,2939.075723,2998.82999,3017.675344,2966.931861,2919.44177,2746.463629,2704.633537,2552.643003,2536.553097,2482.327782,2432.4746,2390.220118,2259.956329,2074.666,2080.382,2116.624,2182.57,2293.254,2175.475,2025.606,2275.335,2270.613,2479.285,2638.855,2632.752,2729.497,2608.413,2630.77,2712.658,2695.385,2544.471,2496.401,2737.233,2874.656,2913.016,3006.796,3044.611,2834.397,3033.04,3312.626,3249.51293945312,3197.337890625,3403.5380859375,3461.09497070312,3655.01196289062,3539.43310546875,3641.498046875,3522.40405273438,3613.44091796875,3772.52197265625,3528.21704101562,3518.2900390625],"990100^JULIAN(MSCI_TOTAL_RET_IDX(2/27/2026,1/31/2000,M,USD,\"GROSS\").DATES)":[46080,46052,46022,45989,45961,45930,45898,45869,45838,45807,45777,45747,45716,45688,45657,45625,45596,45565,45534,45504,45471,45443,45412,45379,45351,45322,45289,45260,45230,45198,45169,45138,45107,45077,45044,45016,44985,44957,44925,44895,44865,44834,44804,44771,44742,44712,44680,44651,44620,44592,44561,44530,44498,44469,44439,44407,44377,44344,44316,44286,44253,44225,44196,44165,44134,44104,44074,44043,44012,43980,43951,43921,43889,43861,43830,43798,43769,43738,43707,43677,43644,43616,43585,43553,43524,43496,43465,43434,43404,43371,43343,43312,43280,43251,43220,43188,43159,43131,43098,43069,43039,43007,42978,42947,42916,42886,42853,42825,42794,42766,42734,42704,42674,42643,42613,42580,42551,42521,42489,42460,42429,42398,42369,42338,42307,42277,42247,42216,42185,42153,42124,42094,42062,42034,42004,41971,41943,41912,41880,41851,41820,41789,41759,41729,41698,41670,41639,41607,41578,41547,41516,41486,41453,41425,41394,41361,41333,41305,41274,41243,41213,41180,41152,41121,41089,41060,41029,40998,40968,40939,40907,40877,40847,40816,40786,40753,40724,40694,40662,40633,40602,40574,40543,40512,40480,40451,40421,40389,40359,40326,40298,40268,40235,40207,40178,40147,40116,40086,40056,40025,39994,39962,39933,39903,39871,39843,39813,39780,39752,39721,39689,39660,39629,39598,39568,39538,39507,39478,39447,39416,39386,39353,39325,39294,39262,39233,39202,39171,39141,39113,39080,39051,39021,38989,38960,38929,38898,38868,38835,38807,38776,38748,38716,38686,38656,38625,38595,38562,38533,38503,38471,38442,38411,38383,38352,38321,38289,38260,38230,38198,38168,38135,38107,38077,38044,38016,37986,37953,37925,37894,37862,37833,37802,37771,37741,37711,37680,37652,37621,37589,37560,37529,37498,37468,37435,37407,37376,37343,37315,37287,37256,37225,37195,37162,37134,37103,37071,37042,37011,36980,36950,36922,36889,36860,36830,36798,36769,36738,36707,36677,36644,36616,36585,36556],"991000^MSCI_TOTAL_RET_IDX(2/27/2026,1/31/2000,M,USD,\"GROSS\")":[16701.067371,15933.089904,15213.283574,14767.227199,14611.543301,14453.291464,14146.105671,13547.520598,13711.209525,13393.555204,12774.843287,12206.171319,12263.381894,12049.969684,11477.42666,11790.820522,11760.301464,12389.856063,12248.585142,11851.326351,11488.944057,11679.265209,11236.003441,11518.702213,11141.5199,10952.679796,10904.028068,10336.634218,9446.76428,9861.518339,10200.610242,10609.188693,10274.879216,9805.188355,10239.246505,9946.892292,9718.879413,9949.604002,9194.272363,9235.913222,8345.263654,7908.089838,8710.033971,9135.128206,8701.04062,9601.866968,9510.299386,10169.893855,10042.166185,10199.549232,10669.128965,10151.676661,10648.115622,10337.593878,10635.435002,10466.110788,10395.54735,10536.753819,10137.524475,9820.60194,9567.557968,9328.261614,9427.511852,9015.513738,7815.142688,8133.561627,8365.182446,7953.456244,7745.158589,7485.751128,7176.053846,6703.052493,7796.355182,8554.317576,8721.8545,8450.48566,8344.76157,8082.253872,7857.562762,8054.136686,8151.245778,7691.233423,8061.693849,7832.377215,7784.376562,7588.234763,7081.511044,7465.352073,7470.70975,8114.5423,8047.970475,8201.721465,8004.185798,8090.161282,8235.786279,8030.014774,8176.352908,8582.593216,8199.753511,8053.082266,7971.114825,7862.673163,7660.757236,7661.199122,7439.067851,7429.640265,7180.957703,7026.518114,6845.08339,6765.853386,6569.658834,6360.410566,6463.01722,6590.369166,6508.001151,6501.001846,6195.441581,6386.667596,6452.012168,6244.529508,5842.783689,5923.429972,6360.371545,6475.021313,6578.748183,6117.715934,6440.359004,6945.379166,6836.302186,7034.040827,7087.92328,6788.596137,6897.702901,6508.011661,6530.231319,6752.684473,6669.705248,6776.815,7064.398259,7057.954394,7185.311171,7082.098853,6965.824224,6852.105498,6878.017625,6520.383295,6793.677755,6691.518495,6649.45101,6433.148772,6006.955727,6084.446303,5776.40024,5999.376688,6130.2915,5857.626769,5807.385013,5864.243818,5588.159002,5423.092406,5310.643013,5273.008792,5115.64702,4972.992345,4911.015849,4607.110879,5192.899448,5276.714699,5312.689518,5034.338746,4775.427448,4827.122369,5059.509812,4610.632253,5123.287259,5595.553784,5688.234246,5768.683575,5936.565687,5624.955849,5737.196624,5530.804574,5413.299545,5009.170368,5229.201063,5048.828501,4605.777257,4746.884121,4344.670626,4410.871454,4946.649014,5017.442952,4711.157293,4715.322807,4946.694782,4868.203492,4749.385496,4826.44516,4634.182896,4421.472467,4041.317219,4082.273037,3618.426093,3200.811555,3001.416418,3338.199955,3680.935658,3496.035977,3694.615133,4664.494188,5449.331451,5666.898413,5875.32304,6369.062597,6262.853882,5926.246909,6009.069161,5900.264581,6484.102582,6607.651391,6874.642384,6587.429264,6231.998382,6321.879825,6409.730417,6401.133812,6254.256003,5977.125225,5825.079168,5777.933146,5742.361798,5581.778448,5418.78571,5212.274468,5215.354358,5069.785607,5022.084783,5026.328694,5218.604313,4977.125082,4821.851514,4837.255776,4549.174115,4347.199384,4233.869131,4374.90558,4183.099709,4069.531303,3941.948575,3876.976552,3866.028394,3962.824227,4053.245221,3879.731127,3957.318927,3796.596472,3558.888006,3435.178167,3337.352555,3322.73847,3426.734045,3342.351553,3329.345298,3415.986301,3397.635726,3320.668446,3274.785355,3041.350975,2973.481936,2798.045615,2715.991085,2647.222096,2587.463736,2524.65735,2375.199176,2165.057,2205.937,2250.036,2338.944,2416.817,2310.137,2194.654,2454.313,2457.531,2728.544,2843.113,2803.924,2798.021,2643.953,2627.768,2768.343,2750.586,2646.364,2583.163,2872.38,2950.507,3002.99,3129.42,3233.347,3021.272,3239.462,3517.78,3511.13891601562,3391.59912109375,3533.19702148438,3631.43896484375,3829.05200195312,3778.92407226562,3928.31689453125,3764.72192382812,3857.42309570312,4067.66796875,3906.56591796875,3798.15991210938],"991000^JULIAN(MSCI_TOTAL_RET_IDX(2/27/2026,1/31/2000,M,USD,\"GROSS\").DATES)":[46080,46052,46022,45989,45961,45930,45898,45869,45838,45807,45777,45747,45716,45688,45657,45625,45596,45565,45534,45504,45471,45443,45412,45379,45351,45322,45289,45260,45230,45198,45169,45138,45107,45077,45044,45016,44985,44957,44925,44895,44865,44834,44804,44771,44742,44712,44680,44651,44620,44592,44561,44530,44498,44469,44439,44407,44377,44344,44316,44286,44253,44225,44196,44165,44134,44104,44074,44043,44012,43980,43951,43921,43889,43861,43830,43798,43769,43738,43707,43677,43644,43616,43585,43553,43524,43496,43465,43434,43404,43371,43343,43312,43280,43251,43220,43188,43159,43131,43098,43069,43039,43007,42978,42947,42916,42886,42853,42825,42794,42766,42734,42704,42674,42643,42613,42580,42551,42521,42489,42460,42429,42398,42369,42338,42307,42277,42247,42216,42185,42153,42124,42094,42062,42034,42004,41971,41943,41912,41880,41851,41820,41789,41759,41729,41698,41670,41639,41607,41578,41547,41516,41486,41453,41425,41394,41361,41333,41305,41274,41243,41213,41180,41152,41121,41089,41060,41029,40998,40968,40939,40907,40877,40847,40816,40786,40753,40724,40694,40662,40633,40602,40574,40543,40512,40480,40451,40421,40389,40359,40326,40298,40268,40235,40207,40178,40147,40116,40086,40056,40025,39994,39962,39933,39903,39871,39843,39813,39780,39752,39721,39689,39660,39629,39598,39568,39538,39507,39478,39447,39416,39386,39353,39325,39294,39262,39233,39202,39171,39141,39113,39080,39051,39021,38989,38960,38929,38898,38868,38835,38807,38776,38748,38716,38686,38656,38625,38595,38562,38533,38503,38471,38442,38411,38383,38352,38321,38289,38260,38230,38198,38168,38135,38107,38077,38044,38016,37986,37953,37925,37894,37862,37833,37802,37771,37741,37711,37680,37652,37621,37589,37560,37529,37498,37468,37435,37407,37376,37343,37315,37287,37256,37225,37195,37162,37134,37103,37071,37042,37011,36980,36950,36922,36889,36860,36830,36798,36769,36738,36707,36677,36644,36616,36585,36556],"892400^MSCI_TOTAL_RET_IDX(2/27/2026,1/31/2000,M,USD,\"GROSS\")":[2503.404409,2471.011252,2399.413257,2373.919656,2373.519839,2321.164571,2239.193498,2184.265977,2154.502262,2061.073367,1947.837353,1928.980371,2007.191047,2018.786618,1952.803514,1999.474831,1926.776187,1970.352877,1924.907114,1876.606339,1846.320461,1805.457166,1733.93893,1791.359283,1736.815265,1664.763092,1654.705023,1578.338665,1444.344327,1488.773934,1552.416902,1596.391861,1539.573475,1454.481784,1469.169928,1447.674908,1403.429303,1444.315908,1347.399869,1402.013192,1300.54199,1226.229237,1355.412966,1406.650278,1314.397654,1434.750855,1432.057256,1556.022004,1522.155124,1562.030228,1642.384553,1578.72871,1617.179623,1538.267293,1603.834282,1564.196162,1553.044934,1531.634491,1508.067951,1444.322426,1406.021371,1373.790231,1379.732449,1318.050532,1173.026221,1201.950947,1241.521957,1169.501079,1110.334005,1075.500939,1030.078391,929.983402,1074.377032,1168.287333,1181.036004,1140.402276,1112.762265,1082.84661,1060.054657,1085.305264,1081.7634,1014.837828,1077.879022,1042.139121,1028.56391,1001.3268,927.78355,997.649071,982.809455,1062.173768,1057.14049,1048.433185,1017.420483,1022.55021,1020.396107,1009.444865,1031.644552,1076.435694,1018.749548,1002.254231,982.779618,962.570152,943.979578,939.918546,914.041769,909.528992,889.108708,875.066692,863.922279,839.984393,817.457401,799.860653,793.441867,806.945033,801.683699,798.60894,765.3926,769.646682,768.028054,756.415914,703.775409,708.252953,753.521185,767.031395,773.070817,716.635503,743.233158,797.584901,790.432664,809.122769,809.550411,786.348463,798.239834,755.816684,767.647049,782.418798,769.222984,763.672282,788.951765,771.590574,780.82468,766.06868,749.477716,742.021997,738.345692,703.986012,733.148743,720.471217,710.114354,682.528573,648.768367,662.288177,631.8379,650.589228,651.829109,633.179974,621.647553,621.463332,593.931466,580.500878,572.898171,576.592906,558.760415,546.601423,539.043968,513.430921,563.443525,569.589426,565.55591,538.205943,508.496648,509.350524,524.798877,473.898218,523.09423,564.067435,573.215016,582.161874,594.382715,570.705247,571.037657,554.659347,545.96707,508.57359,519.927648,501.694253,457.742383,474.127677,438.323072,451.648618,498.957126,497.859783,467.551022,461.50082,482.248319,472.327854,453.475235,460.498021,440.163302,424.792662,390.298801,392.341019,356.405703,318.515072,294.125563,325.826601,356.145767,343.526261,367.432458,458.09127345,523.28296831,534.5713157,548.64648986,597.51116856,587.65884044,556.22205771,564.24944109,562.39476752,612.41342724,619.10309647,647.46530799,623.03274273,591.11434396,592.50224904,601.54893719,603.10617581,585.1645947,559.99548618,548.758187,551.446455,545.896922,533.849009,518.923445,500.068955,494.175443,481.450206,478.069163,478.080975,497.265186,481.011461,470.903026,471.403944,449.191746,438.304159,422.694633,434.311976,421.511812,418.142214,403.128063,398.919371,391.318985,399.871872,408.714016,394.851423,403.319699,388.188705,367.976153,359.114254,351.703896,349.435229,360.882868,353.582833,350.774982,359.015685,360.937722,354.397809,348.427479,327.651441,322.706741,304.249702,302.319,295.308805,288.898025,283.454365,267.865763,245.906,246.839,251.242,258.795,271.751,257.657,239.985,269.55,268.855,293.466,312.539,312.098,322.896,308.38,310.662,319.414,316.448,298.114,291.911,321.256,336.731,342.123,352.936,356.915,332.683,356.694,389.463,379.859008789062,373.618011474609,398.292999267578,406.240997314453,429.850006103516,416.890014648438,429.505004882812,415.424011230469,426.492004394531,446.52099609375,418.977996826172,417.559997558594],"892400^JULIAN(MSCI_TOTAL_RET_IDX(2/27/2026,1/31/2000,M,USD,\"GROSS\").DATES)":[46080,46052,46022,45989,45961,45930,45898,45869,45838,45807,45777,45747,45716,45688,45657,45625,45596,45565,45534,45504,45471,45443,45412,45379,45351,45322,45289,45260,45230,45198,45169,45138,45107,45077,45044,45016,44985,44957,44925,44895,44865,44834,44804,44771,44742,44712,44680,44651,44620,44592,44561,44530,44498,44469,44439,44407,44377,44344,44316,44286,44253,44225,44196,44165,44134,44104,44074,44043,44012,43980,43951,43921,43889,43861,43830,43798,43769,43738,43707,43677,43644,43616,43585,43553,43524,43496,43465,43434,43404,43371,43343,43312,43280,43251,43220,43188,43159,43131,43098,43069,43039,43007,42978,42947,42916,42886,42853,42825,42794,42766,42734,42704,42674,42643,42613,42580,42551,42521,42489,42460,42429,42398,42369,42338,42307,42277,42247,42216,42185,42153,42124,42094,42062,42034,42004,41971,41943,41912,41880,41851,41820,41789,41759,41729,41698,41670,41639,41607,41578,41547,41516,41486,41453,41425,41394,41361,41333,41305,41274,41243,41213,41180,41152,41121,41089,41060,41029,40998,40968,40939,40907,40877,40847,40816,40786,40753,40724,40694,40662,40633,40602,40574,40543,40512,40480,40451,40421,40389,40359,40326,40298,40268,40235,40207,40178,40147,40116,40086,40056,40025,39994,39962,39933,39903,39871,39843,39813,39780,39752,39721,39689,39660,39629,39598,39568,39538,39507,39478,39447,39416,39386,39353,39325,39294,39262,39233,39202,39171,39141,39113,39080,39051,39021,38989,38960,38929,38898,38868,38835,38807,38776,38748,38716,38686,38656,38625,38595,38562,38533,38503,38471,38442,38411,38383,38352,38321,38289,38260,38230,38198,38168,38135,38107,38077,38044,38016,37986,37953,37925,37894,37862,37833,37802,37771,37741,37711,37680,37652,37621,37589,37560,37529,37498,37468,37435,37407,37376,37343,37315,37287,37256,37225,37195,37162,37134,37103,37071,37042,37011,36980,36950,36922,36889,36860,36830,36798,36769,36738,36707,36677,36644,36616,36585,36556],"891800^MSCI_TOTAL_RET_IDX(2/27/2026,1/31/2000,M,USD,\"GROSS\")":[4403.390871,4173.334052,3833.616019,3721.081742,3811.817559,3658.578414,3413.408401,3364.072146,3297.604815,3106.883601,2978.610459,2939.100944,2919.510135,2904.902117,2853.329621,2855.948904,2962.104162,3095.951629,2901.013872,2853.979774,2843.533213,2733.960707,2717.813606,2697.755988,2638.610103,2518.362014,2640.735955,2540.486922,2351.871962,2446.667019,2511.332593,2675.364039,2516.963261,2422.675646,2463.338835,2491.096294,2416.855931,2584.230189,2394.897987,2427.707446,2113.858828,2181.297222,2469.58438,2458.39894,2462.3854,2635.333399,2623.12744,2777.192225,2840.359279,2927.510881,2983.765859,2927.417438,3051.526133,3021.283043,3145.168986,3064.004118,3283.022669,3238.543286,3201.289502,3123.109961,3170.207511,3145.973044,3051.617144,2841.391158,2600.700419,2547.814726,2588.733391,2532.134898,2322.513063,2162.43582,2145.501397,1965.162454,2322.259145,2451.389332,2571.141785,2391.172754,2394.310034,2297.198972,2253.438797,2368.229232,2395.536856,2253.090057,2428.541883,2378.030563,2357.783624,2352.279785,2162.749493,2220.225841,2132.204514,2335.379244,2347.057404,2411.555544,2357.686132,2458.183913,2547.855372,2555.197365,2606.494966,2732.109285,2521.742733,2433.136419,2428.129316,2345.74858,2354.57717,2302.362026,2171.194692,2148.112242,2086.005266,2040.90234,1990.164757,1930.907642,1830.637982,1825.344907,1913.299392,1908.580635,1883.797541,1837.521471,1748.523839,1679.737801,1744.465748,1734.691989,1531.633918,1533.975243,1640.2962,1676.723449,1744.660185,1628.390481,1678.279694,1844.464028,1980.535343,2031.754678,2116.085529,1964.494225,1992.427821,1932.36318,1920.693196,2012.492498,2033.883094,2009.950709,2170.374853,2121.713296,2079.790335,2025.070115,1956.339416,1949.082627,1890.623627,1829.630668,1956.224461,1984.758175,2014.050844,1920.464264,1802.66354,1833.431924,1813.503142,1935.820427,1985.83337,1965.853584,2004.298177,2029.504225,2001.59647,1908.070884,1884.012904,1895.315507,1787.124029,1792.303954,1756.769753,1690.721557,1903.163916,1925.642377,1991.910844,1879.011172,1687.30045,1707.718718,1829.55261,1615.418988,1890.763322,2075.475075,2083.309754,2114.95551,2171.037801,2105.274552,1988.074247,2006.489432,2062.04187,1924.485165,1976.582589,1920.646909,1728.34345,1761.969008,1625.457252,1620.270177,1794.24236,1772.372637,1639.853032,1633.759545,1729.96349,1664.042967,1595.430438,1593.312467,1460.502703,1465.354569,1316.388649,1334.094828,1138.840721,976.235645,853.468074,904.332103,966.344096,896.199168,969.080111,1333.962432,1616.719135,1756.441086,1823.791962,2025.588879,1988.127824,1838.620204,1941.170458,1807.125289,2064.108565,2056.723593,2213.536996,1991.309831,1793.133178,1831.454642,1738.808884,1660.277443,1582.966861,1511.062244,1452.863471,1461.328252,1476.238933,1412.502305,1314.596578,1254.924722,1244.464058,1212.953211,1195.37414,1197.914276,1337.80029,1248.689933,1237.595652,1238.782493,1113.707493,1051.423183,971.025186,1038.902474,950.29084,941.812783,879.575792,850.227405,821.310155,843.799926,903.311057,830.394737,827.775091,789.754635,722.804987,705.894224,667.349908,640.536639,652.066625,653.364597,662.142991,721.097949,711.950446,680.555579,657.215016,612.790476,605.351267,557.877431,553.816963,518.982933,488.395847,462.061468,431.11933,395.859,407.411,418.712,420.543,434.996,406.982,382.183,428.404,421.903,456.633,493.669,501.662,498.475,470.147,462.548,447.387,414.487,375.304,353.374,418.085,422.25,450.732,460.178,454.75,433.338,480.536,521.359,458.256988525391,447.454010009766,490.325012207031,528.653991699219,579.22998046875,576.39599609375,607.64697265625,586.971008300781,612.283996582031,676.401977539062,673.117004394531,664.343017578125],"891800^JULIAN(MSCI_TOTAL_RET_IDX(2/27/2026,1/31/2000,M,USD,\"GROSS\").DATES)":[46080,46052,46022,45989,45961,45930,45898,45869,45838,45807,45777,45747,45716,45688,45657,45625,45596,45565,45534,45504,45471,45443,45412,45379,45351,45322,45289,45260,45230,45198,45169,45138,45107,45077,45044,45016,44985,44957,44925,44895,44865,44834,44804,44771,44742,44712,44680,44651,44620,44592,44561,44530,44498,44469,44439,44407,44377,44344,44316,44286,44253,44225,44196,44165,44134,44104,44074,44043,44012,43980,43951,43921,43889,43861,43830,43798,43769,43738,43707,43677,43644,43616,43585,43553,43524,43496,43465,43434,43404,43371,43343,43312,43280,43251,43220,43188,43159,43131,43098,43069,43039,43007,42978,42947,42916,42886,42853,42825,42794,42766,42734,42704,42674,42643,42613,42580,42551,42521,42489,42460,42429,42398,42369,42338,42307,42277,42247,42216,42185,42153,42124,42094,42062,42034,42004,41971,41943,41912,41880,41851,41820,41789,41759,41729,41698,41670,41639,41607,41578,41547,41516,41486,41453,41425,41394,41361,41333,41305,41274,41243,41213,41180,41152,41121,41089,41060,41029,40998,40968,40939,40907,40877,40847,40816,40786,40753,40724,40694,40662,40633,40602,40574,40543,40512,40480,40451,40421,40389,40359,40326,40298,40268,40235,40207,40178,40147,40116,40086,40056,40025,39994,39962,39933,39903,39871,39843,39813,39780,39752,39721,39689,39660,39629,39598,39568,39538,39507,39478,39447,39416,39386,39353,39325,39294,39262,39233,39202,39171,39141,39113,39080,39051,39021,38989,38960,38929,38898,38868,38835,38807,38776,38748,38716,38686,38656,38625,38595,38562,38533,38503,38471,38442,38411,38383,38352,38321,38289,38260,38230,38198,38168,38135,38107,38077,38044,38016,37986,37953,37925,37894,37862,37833,37802,37771,37741,37711,37680,37652,37621,37589,37560,37529,37498,37468,37435,37407,37376,37343,37315,37287,37256,37225,37195,37162,37134,37103,37071,37042,37011,36980,36950,36922,36889,36860,36830,36798,36769,36738,36707,36677,36644,36616,36585,36556],"899901^FG_PRICE(0)":573.885528,"899901^JULIAN(FG_PRICE(0).DATES)":46104,"899901^FG_COMPANY_NAME()":"MSCI AC World ex USA","899901^FG_PRICE(3/17/2026)":597.410452,"899901^JULIAN(FG_PRICE(3/17/2026).DATES)":46098,"899901^FG_PRICE(3/17/2026,,,USD)":434.941131,"899901^JULIAN(FG_PRICE(3/17/2026,,,USD).DATES)":46098,"899901^FG_PRICE(2/27/2026,,,USD)":467.945476,"899901^JULIAN(FG_PRICE(2/27/2026,,,USD).DATES)":46080,"899901^FG_PRICE(2/27/2026,1/31/2000,,USD)":[467.945476,467.451041,465.894969,461.130447,460.817255,460.074515,458.183955,459.093175,454.981389,456.076308,459.487463,459.224868,458.036927,454.730172,445.734932,442.674577,448.041122,448.584947,441.642911,446.042458,449.15707,449.570756,448.734563,443.989259,440.156639,438.481539,434.206342,435.280172,437.986889,437.647799,437.366798,435.109102,433.822413,431.091694,429.521749,431.651006,433.371265,429.705951,425.042466,421.039538,421.796668,421.320237,421.076042,420.566204,420.073514,418.01582,414.792143,413.243225,412.118292,412.25756,416.233721,416.033292,415.107802,412.618219,411.516218,412.590527,413.065798,413.526573,410.247187,408.915812,408.683472,409.338812,407.8661,402.318615,399.002742,396.904551,401.274362,399.69688,400.961297,408.657482,410.548744,415.579363,416.083663,413.375224,410.027779,405.632881,407.433627,405.626393,407.118396,410.675433,409.977099,411.379165,414.371562,413.331892,413.589602,410.083735,408.561167,408.124442,408.578041,409.723225,404.076142,408.400489,404.833938,399.491302,401.578001,402.660969,407.083458,408.126237,408.027428,409.465451,408.950544,405.956631,404.155845,402.147557,399.816363,397.672648,397.966592,400.923373,402.053901,401.260591,400.663411,401.254264,401.826451,401.651136,400.617648,398.971396,397.670721,396.104582,394.495995,393.369592,391.480462,387.517293,386.814059,386.421122,389.078209,389.857597,388.708783,389.96239,393.268095,392.921247,389.008638,390.04955,390.821103,390.234709,391.063869,389.020179,390.357618,385.656288,383.102223,383.959956,383.241018,380.233637,378.401876,376.303816,373.967141,376.596599,379.69729,380.589671,382.690399,385.084019,388.085102,386.233155,380.553128,380.742801,379.607887,377.881603,375.618658,376.946629,377.897211,378.14587,379.987354,379.312574,377.782577,377.848363,380.060201,378.904541,378.727943,378.145076,378.36136,375.945095,372.69423,373.586837,366.219735,367.433914,370.36756,371.173439,373.955302,371.189452,375.115752,374.483281,373.275638,372.300302,370.720628,371.407439,370.481702,367.138434,367.575539,366.407286,367.389328,365.408941,367.36438,365.459072,364.317875,367.632752,365.780781,364.132247,362.633359,362.403541,362.150588,359.659041,358.097155,357.148428,355.423674,357.3259,357.425034,357.564694,357.309934,350.041793,351.942569,350.176055,349.074638,346.644525,345.518653,344.308503,340.319585,339.514758,337.025287,335.868857,336.611748,332.837402,326.04064,323.313456,309.164203,312.821553,306.870541,327.378146,341.993139,344.273353,344.101948,340.832605,347.112373,350.059595,350.788635,351.954517,350.978072,351.209751,353.571932,354.403985,354.622205,352.280527,347.999709,344.320266,346.066607,344.456401,347.239108,351.715502,353.041958,350.313609,343.026339,346.497181,343.013978,346.786957,350.057022,347.503015,348.49164,349.412767,348.117573,348.36943,350.68915,348.260791,346.185853,342.099505,341.301951,341.315392,340.82574,341.426168,339.522687,336.620641,332.511931,338.759068,339.696581,337.246507,335.717576,336.519714,336.937663,334.102719,333.501942,332.45735,328.095811,327.062964,324.377169,321.354639,319.203122,322.628477,326.625857,328.852316,328.121394,325.293593,325.37466,325.878751,325.845987,327.789056,326.011221,325.530992,324.780301,323.145167,324.878415,331.194619,332.371576,333.988406,334.702976,337.160462,336.938568,336.887942,339.735728,338.345541,338.572116,337.13986,336.986227,333.535383,332.661852,331.357831,329.753363,331.643537,329.540835,329.065872,328.715622,330.522463,329.330623,328.659068,329.906186,329.904621,332.177708,337.517705,338.807163,340.975513,336.822619,339.95721,338.263634,336.853883,336.16176,339.111444,340.680128,341.58822,340.571454,340.551484,340.547607,342.629378,344.850299,347.196783,344.433836,344.552863,346.441613,348.398846,348.14362,346.924244,346.302846,346.373648,351.125673,349.44855,349.347762,352.060496,352.583227,353.621616,357.364718,354.103381,348.380561,348.26812,344.629181,343.301569,344.512596,339.865224,340.958021,340.756674,339.885591,337.140205,332.580446,333.212038,334.623989,335.991501,337.224688,338.258768,342.275119,345.280036,344.184759,344.22075,344.355307,344.358254,343.883882,341.247603,341.013174,340.663681,339.794886,336.798504,332.606896,331.695933,328.574584,325.252542,325.019689,321.557391,322.180281,317.966149,313.517485,325.114134,332.6346,336.439028,331.218736,331.57573,330.990482,329.85704,333.79592,335.078341,334.996779,334.64759,338.183914,340.373988,340.10696,341.339956,343.008605,341.589692,337.012323,335.042702,335.795121,335.813473,333.555155,329.682195,329.888038,329.378559,328.996475,329.765098,330.755606,330.311015,328.394561,331.066105,328.978117,326.463827,327.425392,329.930533,333.264863,329.527401,332.046494,333.215298,335.05576,332.391232,331.447512,333.652107,330.380113,329.408777,329.396181,334.685832,333.634391,334.683268,335.135455,336.650117,338.001552,337.387287,337.101041,335.43982,333.249996,332.583726,331.500269,329.521998,329.008334,330.503433,328.402188,326.850807,323.552275,321.580483,322.504028,323.873996,322.036392,319.925582,321.959121,320.542449,317.142389,314.981301,317.096457,315.55038,315.779201,321.347178,323.144757,325.312674,327.144636,329.200163,328.60068,326.697211,329.526165,327.512676,327.337349,327.473754,328.946292,329.258743,328.891032,328.433038,328.996941,330.438862,326.329668,326.096442,327.115098,326.167238,328.237628,329.405166,328.860835,327.12199,329.327471,327.556935,325.096081,322.92687,323.617277,322.96262,320.791697,320.085792,322.086842,321.346965,321.802654,320.962213,318.199133,318.970707,317.723768,315.209433,311.947993,311.292631,313.247742,312.791083,312.617694,313.350795,312.743395,310.105194,312.014512,312.255516,313.313639,312.353147,312.6112,311.744342,310.820509,310.836006,306.968135,307.509369,306.274026,304.444161,303.363573,308.320297,313.041729,310.687515,310.834375,310.639477,311.768218,311.909961,311.489899,310.058137,313.802702,316.619062,316.964792,315.425198,312.0759,311.351652,311.024772,310.844485,310.599079,308.469892,309.844383,309.687502,303.18224,302.582162,302.002468,302.043206,301.508194,301.989182,300.277036,301.399661,302.186376,301.825241,301.125879,300.909598,299.694895,300.761029,298.938247,300.244165,300.095452,298.366994,296.734361,297.74996,293.612869,288.668567,287.037911,289.997413,288.35304,288.744641,291.637392,289.170341,284.980254,279.533246,277.364589,278.371064,277.409196,276.653072,279.541093,279.489119,279.068829,279.957624,282.304688,285.70033,288.485097,287.280787,287.386321,291.008256,290.98079,289.206697,284.063545,284.088683,282.38152,280.156091,282.31671,286.009936,289.485185,288.202349,287.886522,289.102654,291.29776,293.851216,293.682209,298.751608,298.04944,298.268347,300.450368,299.360676,296.54927,296.833675,297.350313,295.547461,295.814923,297.006972,298.120668,299.909496,299.708149,301.168476,299.321204,296.324986,293.091249,295.983249,295.678711,293.998923,292.417067,293.036624,294.961725,296.88079,299.072884,300.524423,303.346701,306.483772,304.606595,303.40633,305.891546,306.239754,304.202767,305.894734,312.019698,314.691007,313.842895,312.757045,311.595576,311.81959,309.790134,309.652114,310.363525,311.048543,311.226826,310.345025,311.688624,310.771338,306.232601,300.718602,297.974889,297.589018,296.849939,302.768256,304.804032,302.897832,300.730615,301.05046,300.439051,299.308706,299.209787,302.943097,304.361019,305.239761,309.777781,308.347372,307.153295,304.994823,301.863064,301.519115,300.466727,299.817179,299.917775,299.10071,298.736291,293.770265,290.653958,294.968223,295.802023,293.852926,296.166891,300.331445,302.426494,301.557306,300.197626,299.89223,301.259359,302.016991,300.757925,301.630104,302.8923,303.543348,305.039941,303.495862,301.135285,301.45393,300.361421,302.492439,302.931122,301.343405,300.987757,301.454158,303.898911,303.545793,304.524838,304.389818,305.755517,304.38862,305.294751,304.855723,302.540939,301.178262,298.016363,299.131101,299.510792,301.078555,300.077091,298.679133,297.373383,294.621036,291.877769,290.017743,289.147586,292.963772,290.304137,288.213385,285.306399,284.496763,283.951083,282.532191,287.938217,289.157503,291.314858,293.775354,294.327996,295.67434,298.903648,296.896941,294.252384,294.81565,292.933107,293.633967,291.846824,295.7041,295.969595,298.898181,299.513149,301.511796,300.55652,302.530767,302.012503,300.933021,304.226256,302.448841,301.336746,300.674048,306.23974,308.266105,305.939696,303.952523,305.495806,306.368832,305.912462,305.064952,304.638124,303.88148,302.045935,300.100228,303.620687,302.081238,301.381172,298.551361,295.353357,293.760667,294.856134,289.389374,285.293461,286.519332,283.249764,281.305147,282.562895,281.415026,282.419574,281.221163,281.976282,282.395326,280.368863,279.736717,280.514385,283.36546,289.71241,288.761914,284.27914,286.857511,284.606926,283.336495,285.616177,288.234047,287.725766,289.417171,283.8213,282.184319,280.82278,283.226375,280.82511,277.885253,275.659634,279.142141,277.123409,280.143382,281.575815,278.153634,278.48998,270.077152,264.084159,265.793231,262.844695,259.378736,253.159224,257.475161,257.192029,254.272565,254.053635,256.401366,256.18823,252.869737,249.235398,248.337449,249.830693,249.234283,251.785978,249.181333,246.560481,244.347905,244.584372,245.395159,248.903633,252.060995,255.786375,256.758339,257.396553,249.056026,247.046851,246.329308,246.687453,247.768253,247.918779,252.264067,258.643411,261.988353,264.806463,265.554851,266.256389,269.399267,270.992388,274.423701,278.506094,273.929995,268.711289,266.526942,268.34314,271.971129,268.911474,275.398612,276.211803,276.828984,281.169667,282.869063,280.269504,280.791742,281.399543,284.517272,288.019592,288.637502,289.887394,290.243817,290.329454,290.577153,288.878346,285.254893,286.561411,284.607788,285.653739,283.21357,284.060831,287.378553,285.383435,283.309083,279.746732,279.187855,279.920425,280.538939,279.068075,278.423313,277.246141,274.469721,269.697416,266.691646,271.35611,271.53317,273.012434,276.747163,275.484562,271.26716,271.61683,274.453885,276.435728,280.301785,283.597651,283.774307,280.082279,274.875819,276.368607,279.294049,274.360919,277.1707,279.951243,278.717903,281.696211,290.817357,297.942773,302.138268,301.521882,303.209356,301.198389,301.842688,300.945861,303.250545,300.052303,295.690694,293.848182,293.418869,295.721021,292.378707,289.735536,292.485912,293.492039,287.850871,287.054305,282.048102,286.959506,284.720817,285.151957,292.833386,297.137271,299.186049,300.341996,299.328236,302.423388,298.95108,296.743757,298.810416,300.872634,307.519763,313.638616,314.802671,311.580483,313.413753,315.326713,314.997382,314.132964,315.604266,318.215539,316.857405,319.735348,324.492289,325.588407,322.958095,323.590808,326.654204,325.306826,319.319845,320.286006,321.411682,322.049133,321.743106,319.190861,319.376234,318.475525,310.768969,300.711404,303.569647,305.16062,307.450071,306.663624,299.186148,302.155964,309.006087,318.054218,319.504956,320.961226,324.458285,324.252585,315.63435,328.789337,329.339151,334.439271,337.552916,338.846108,336.268029,333.45574,340.036461,342.757335,341.541661,336.211284,336.157613,335.015228,335.411241,337.405618,334.929369,331.492603,327.597293,327.775902,332.454537,330.191854,331.740363,340.007877,344.879707,341.968976,343.35125,346.540826,349.518671,349.291601,343.557841,341.334441,342.999819,341.537548,346.008615,346.511897,343.635717,344.326797,343.231547,343.207743,343.428042,341.685668,340.97325,338.134607,335.21943,331.22129,336.764836,339.521108,335.229732,335.572112,337.874027,339.952534,341.367652,341.994695,340.802782,334.068682,333.256156,335.003183,336.100762,331.101043,334.482691,335.73522,342.516801,343.953175,346.052268,348.49565,349.48368,350.754923,352.080947,352.750743,351.985406,350.489243,350.21694,351.492917,351.912868,351.021102,351.122639,349.839631,349.302354,349.945778,347.122108,350.149941,349.224226,350.892136,349.965931,350.00159,349.22324,350.584429,349.11139,346.613216,347.546497,343.779719,340.639372,338.730051,340.592229,339.40565,338.592198,333.463302,336.528375,336.144245,337.231734,339.297395,339.149372,341.375419,346.332902,346.272642,348.125185,345.484839,344.161754,342.974361,348.047072,349.751416,351.485871,353.539971,353.488782,353.953736,352.631997,354.173078,357.131601,355.732913,354.86401,353.997073,351.517853,349.971037,348.110883,346.438078,347.950427,347.814166,343.982809,339.218057,340.283238,346.681133,346.201883,349.29184,351.690893,350.96334,351.659509,350.332097,349.401139,349.224068,351.181396,350.650742,349.550062,349.604807,345.716169,349.201756,344.056803,342.90961,345.358425,346.809564,347.101659,344.734721,341.158816,341.982884,348.429608,350.302942,351.558569,351.987141,351.177832,348.214512,346.170707,350.458157,350.608141,351.577199,351.904807,352.025526,354.243663,354.974695,356.260479,354.053782,352.688134,352.019284,350.528017,350.983719,355.489967,359.488478,359.8182,359.485244,358.729077,358.40971,357.882226,358.584533,358.771636,357.994948,356.67039,358.145261,358.020676,354.595255,352.465421,352.502995,352.115294,349.872719,349.277338,348.536875,346.260329,349.792572,345.694385,345.085944,339.980224,343.217885,346.400655,352.293718,351.341031,347.71379,345.572694,343.106079,346.049098,345.205141,348.97756,348.981911,348.250998,348.969766,347.064043,346.128876,343.899539,344.957978,348.677047,348.155369,346.10492,344.413804,342.355542,341.652456,342.948278,343.927434,342.455086,342.408636,340.97327,338.909186,336.073854,336.959863,336.488354,336.308349,332.372242,333.408339,337.286576,340.002793,340.13361,342.553951,340.609492,341.593735,339.544336,339.871789,340.575042,335.998107,334.617485,331.533695,332.213687,335.43331,340.0152,338.12757,338.067656,333.105639,343.2274,341.388758,344.398209,344.349277,346.752294,345.040926,347.791867,350.01183,346.109878,345.382771,344.441649,342.817637,341.133084,338.593971,336.195223,336.760263,334.611757,331.171908,326.968143,332.348041,334.759731,338.984136,340.063387,339.898611,342.14183,340.821962,338.361176,335.79181,339.338876,337.551841,336.259618,335.382138,338.604403,333.943789,331.835344,330.537393,328.98823,326.457293,327.714742,325.702288,322.136251,320.765686,320.62306,317.748339,318.582065,323.224368,324.724222,322.152894,319.131946,318.581686,318.448535,319.329018,319.362457,318.501751,318.400035,318.877409,317.245806,314.774171,313.650234,310.09846,314.836113,312.34862,312.202082,308.268385,308.303388,306.611592,308.477987,307.490683,306.965119,302.539537,302.341714,302.941686,301.36205,300.082392,294.241542,292.711722,286.007659,282.231557,277.118604,273.574972,275.831884,277.37706,283.303268,284.104907,287.204821,286.235605,287.563793,287.455206,287.374715,286.189553,284.776188,289.698431,289.767034,291.063508,289.000586,287.156859,285.047315,284.800639,283.750256,279.897328,280.561482,279.802999,280.040317,280.019684,275.603743,275.325613,279.160366,279.558747,280.516254,287.581649,287.401688,289.649229,288.503114,287.397018,284.968094,284.469601,284.223023,282.720473,283.078105,286.823063,289.325856,288.405657,287.541552,289.272806,288.090552,289.759104,287.997939,287.486905,283.645746,283.44704,287.738569,287.54683,286.858319,285.577903,287.157385,286.987058,284.394804,281.140146,280.822386,282.976259,283.987632,280.691187,277.943725,276.211289,279.039727,282.063982,281.629075,281.202671,278.436137,281.284563,281.236034,282.478711,279.019804,277.20686,276.492762,279.179056,275.108488,276.707681,274.008862,273.967064,274.391908,273.769254,275.889339,269.909321,265.817048,264.999512,264.205837,264.741378,265.624154,266.819696,271.667304,267.494406,267.745005,267.074062,267.955489,266.772311,259.745436,262.9241,265.309193,273.416823,273.647898,273.82155,272.602272,268.564525,267.907636,262.318437,258.18731,254.145935,255.715451,252.261942,251.611861,243.602739,246.973689,248.989206,246.519677,244.001579,238.415528,237.612499,241.708152,244.64478,244.825196,244.940078,240.603047,240.195012,240.536796,238.018162,243.568098,246.691658,247.471972,243.294348,240.709883,235.962831,238.118657,236.209325,233.765067,240.676753,240.891945,235.105433,236.19342,241.339263,237.597263,238.234292,234.351182,234.006917,228.436577,220.984042,223.542862,223.507403,229.684862,228.015626,227.579318,230.223474,224.514373,214.544764,200.32865,208.314831,204.604625,205.107875,215.303408,214.428524,225.654318,224.833386,248.459101,253.375726,253.46037,270.435822,277.151666,277.585854,275.384604,272.950304,269.784446,277.878119,283.254727,285.408202,289.279625,296.541318,297.558861,299.586624,298.449706,300.704283,301.126881,302.204788,300.519399,298.345884,299.460697,301.112271,298.514954,296.537026,292.565269,293.434659,294.956324,298.422294,298.205257,298.002902,303.118477,302.582064,304.897579,304.406683,306.54243,305.132209,304.627827,304.823056,304.214506,303.522011,302.72828,300.656777,301.743097,301.04324,302.890445,303.882419,301.673185,301.762088,302.504292,300.827888,300.419862,300.301641,300.11437,299.562009,299.590732,299.809554,299.005599,297.158729,293.390982,291.798379,290.808552,291.263767,290.881097,289.1963,288.455506,287.579786,288.827351,289.566516,291.59697,290.769439,290.934321,289.157203,288.769607,289.866333,291.55865,291.331489,290.551781,288.451596,289.658916,291.249078,290.668113,291.554145,292.630288,291.984451,291.827059,291.404898,289.165078,287.398265,287.216466,287.295574,286.615996,285.885444,285.695395,284.241629,284.441164,283.986843,282.477076,283.070046,282.094261,281.195176,279.093211,279.230359,274.610392,273.338395,273.096898,274.650608,273.82103,272.625051,272.662379,276.655461,277.992963,278.703778,279.308088,278.45227,280.446797,280.621401,281.99046,281.718384,281.147068,281.197332,281.242762,282.85196,281.145364,279.876618,277.973514,277.962376,277.712002,276.458589,273.787104,270.434249,271.798865,269.577071,268.152519,268.427306,267.102619,268.963754,269.610653,270.895104,269.490105,269.806039,267.366527,265.232655,266.935619,269.406,270.537793,271.307871,272.127559,269.403201,268.491047,269.921645,275.163111,279.850946,281.199469,281.915387,283.504205,283.85463,284.709314,285.589124,285.289706,284.52023,285.017753,283.35021,284.750352,285.565967,285.704672,284.879717,285.002886,284.27337,283.459392,284.595723,286.569957,287.960003,287.214874,286.631092,285.111181,284.102226,282.959229,283.718813,284.593237,283.840094,284.66422,281.218314,278.56641,275.873369,276.574865,277.973112,279.034377,280.13699,278.150245,276.602522,273.997644,274.025808,272.151417,271.056977,269.603358,270.323702,269.901457,272.857421,272.660995,271.063718,274.078229,274.657569,273.929988,274.803581,276.195686,275.539978,274.452215,274.263129,277.247697,276.354865,280.155728,280.990282,283.578315,286.32102,285.197451,286.872866,286.389571,286.144002,285.727728,285.085479,286.295072,287.348277,287.090225,287.358762,288.379319,287.832888,286.946997,286.49752,285.610408,286.330274,286.221454,286.264961,285.619271,285.097063,285.717474,282.984232,282.908065,279.785154,277.912237,278.783624,279.860823,278.059634,280.570436,283.234,282.783236,284.136588,283.289075,281.348349,279.121211,278.796708,277.994308,276.003188,274.012508,276.924995,279.56296,279.574506,279.816221,279.813993,279.298846,280.693037,280.863641,280.823244,279.362753,278.613336,278.872748,276.568713,274.187217,273.404699,274.087817,273.069524,270.736267,270.756336,273.067959,275.792299,276.387604,274.142518,274.365325,274.461193,271.813387,270.779351,270.025987,271.148106,268.239639,267.383517,267.620185,269.280166,266.230119,266.315413,266.036388,264.484873,265.70477,265.630787,265.038782,261.117592,260.165751,257.479494,253.336891,253.669989,255.406978,254.35248,251.104009,250.436133,252.31991,253.116545,254.335379,257.861388,256.836961,258.817283,259.836576,263.049816,262.816724,258.069749,257.285899,262.368624,261.200335,270.075044,272.316555,267.942643,269.211842,266.705653,265.66315,266.051669,264.305892,265.149183,264.046136,267.837929,267.835696,266.768085,266.531889,266.861286,266.97996,269.990705,273.041011,272.860518,270.629957,270.084603,270.975717,268.166785,265.835859,261.678473,261.012029,260.770904,262.122728,263.835742,265.832853,270.689772,270.828985,271.111517,273.580044,273.927198,270.792317,271.615611,269.783705,276.552219,278.557877,279.460142,281.59445,283.867891,287.267848,287.451551,289.382809,289.616088,291.062624,291.832673,291.613133,290.973406,292.217138,289.897926,287.572796,285.701774,284.262278,284.54432,282.914147,281.243743,280.012982,280.517524,280.713268,281.259691,282.491846,285.244143,289.055775,290.876905,292.565965,292.405196,291.714678,288.280909,287.152299,288.451166,286.835299,285.203537,283.431756,282.603154,281.408173,285.651959,285.272711,288.414833,293.397547,293.681173,293.745113,291.676738,292.567222,291.582856,295.26102,295.957031,296.591645,296.701186,295.603411,294.517675,294.309848,291.943902,292.474065,290.335515,291.531591,291.260772,291.256165,291.672244,290.63125,289.670348,292.930372,292.793716,290.146132,288.034202,287.406488,285.886937,289.518796,285.696849,287.226498,288.516899,288.748944,292.886247,290.592558,292.33985,290.760937,294.561811,296.669172,299.258947,300.379889,300.703237,301.002588,299.384993,301.396286,300.873165,298.855473,299.967504,297.031264,295.770198,294.924302,295.457122,299.703457,300.646225,301.214932,304.517016,303.52718,303.443277,304.289428,304.074892,304.321852,307.548891,306.38739,304.132298,302.689655,301.837484,302.080599,301.122772,300.590666,302.172345,302.497102,304.165812,303.561373,302.056992,301.037027,303.717621,303.772577,305.093441,307.645023,307.322686,304.88985,304.023013,304.275016,304.216715,304.545161,304.775919,301.765207,300.459551,301.02017,297.42172,298.775347,299.955567,299.837009,299.112201,301.621014,299.26679,298.552777,303.009566,305.069268,305.014209,304.97017,307.094017,307.730986,307.859789,308.990209,309.260962,306.609104,305.20152,303.77753,304.497895,301.340073,300.97732,303.505313,306.813178,310.233215,311.524125,310.048058,308.05162,309.156907,308.451533,309.955813,308.374079,304.561678,301.016167,299.965341,297.088601,301.564663,304.714103,302.740935,311.792112,317.413799,322.183798,322.571657,322.517227,325.375725,327.236555,326.857095,326.21938,325.019763,322.486393,321.278888,319.749065,319.745457,319.5981,316.857514,314.734049,314.684541,314.600764,314.144535,314.044793,312.146849,308.373456,307.562109,305.669531,304.511387,303.565874,302.406881,302.290923,302.029035,301.191519,301.099685,301.950039,298.051581,299.038801,299.351617,298.52072,298.9127,297.303785,295.809476,295.441054,297.890293,298.640985,297.580622,299.369954,300.304669,300.538273,300.657314,302.149567,300.452097,299.061821,297.128779,296.912722,296.18295,293.927543,295.556623,296.159764,298.039786,298.703627,299.780169,299.193633,298.862363,298.621868,299.166949,298.717258,297.368783,296.933019,295.500795,295.525344,295.836976,296.399205,296.725324,297.138493,297.976317,298.021022,297.341142,298.645455,298.286537,297.061605,296.470395,295.929653,293.572255,293.363342,293.565001,293.887268,293.603713,292.004496,292.074918,290.430431,289.971133,290.090041,292.202144,293.852731,293.328948,294.87945,294.205915,293.256677,292.300988,291.575457,292.111866,292.905024,292.100807,290.249441,289.741448,287.74076,287.567823,288.623147,287.399255,285.98161,286.34134,287.15822,286.845998,285.802271,285.493157,285.121222,284.14157,283.73008,284.995411,284.772371,283.456485,284.237925,282.625848,284.635172,286.728205,288.497228,288.858646,287.757549,288.393582,288.539341,288.571108,286.632626,285.985777,286.812561,285.596229,285.25611,284.782085,285.33744,286.396937,285.143339,283.999395,283.79965,283.338922,281.352541,280.119113,276.920941,276.558602,275.352159,276.45197,276.78005,277.501709,276.831311,278.37799,278.858243,278.05128,278.33683,277.283276,276.702402,276.045609,276.729912,278.697503,277.001407,275.290797,279.016087,277.949525,276.645938,278.067181,278.114427,278.791801,279.004177,279.756519,280.107925,277.523744,276.679514,276.495332,277.103948,277.682078,276.574398,277.052988,277.055097,275.377361,273.194573,276.068815,277.341762,275.554036,274.173565,273.137236,273.380887,272.743783,273.13588,272.427081,271.099083,270.689033,271.149008,269.851285,269.191856,269.478733,270.282453,270.054829,268.361618,262.939909,263.060353,261.764254,262.210907,264.105245,263.127495,263.5239,263.439028,262.976827,263.093245,263.248701,264.092071,263.957814,263.858914,264.157225,265.929925,266.050092,266.917387,265.033255,265.178637,264.66708,263.645397,265.62371,265.571234,265.169427,264.95702,260.543894,259.813439,260.651275,258.926984,257.031364,257.707187,258.677115,259.05903,258.746441,259.193582,259.562765,258.613293,258.807827,259.158651,261.417364,260.578465,260.069192,259.682966,260.657604,259.290372,257.567088,258.781019,257.609624,256.384718,256.376769,255.135968,255.651165,256.763338,255.86174,255.448263,255.023643,255.032388,256.527446,256.448632,256.421919,254.375029,253.428987,252.483023,251.641773,253.475727,253.071525,253.72239,253.066621,250.390309,251.497074,250.326506,251.180356,252.116266,248.930333,246.192359,246.389525,245.30357,244.08383,243.969891,244.046632,244.162583,244.757546,244.422226,244.75532,244.509571,244.141161,248.647799,249.361255,247.177461,247.137502,246.850492,245.744932,243.135857,241.00296,240.178937,240.509262,240.574157,240.405917,240.414549,240.549629,238.657301,239.899182,239.147504,237.468546,239.620654,238.635594,238.793976,238.099869,240.071792,242.598674,241.938114,245.123767,244.004716,241.987958,243.786312,244.477815,246.447,246.639066,246.575352,246.896371,247.781692,248.126366,248.411727,247.938253,248.884137,249.192369,247.949622,245.129314,246.068699,244.551021,246.071346,247.856939,250.396821,249.513127,250.384876,251.011688,251.310273,251.050915,250.420176,251.654003,250.541986,250.385224,250.36038,252.833416,254.461019,250.161536,247.671529,247.6183,245.040788,246.580937,245.738144,246.292595,248.118066,251.275228,255.512748,255.598795,254.981454,251.208958,248.859808,247.984461,248.81625,248.596012,250.540486,250.223785,250.844563,251.962019,250.747521,250.84557,252.204325,250.990594,251.631655,252.376178,251.923466,251.474195,250.212296,249.475034,247.003491,245.226281,244.453777,242.860291,245.200223,246.826393,247.028577,243.754551,243.835409,243.149423,242.600553,242.628634,243.596051,243.190753,241.93497,243.0735,242.672343,243.031619,241.425129,240.270673,237.682907,233.687696,232.686603,231.163285,234.742441,237.360467,235.65999,233.306909,227.066623,223.511547,229.518096,244.305516,241.02742,240.53169,239.671999,232.510358,229.125571,232.015915,230.333781,234.469992,238.674758,243.334117,246.078701,245.187222,242.555703,241.277119,238.719626,239.22575,240.080412,240.351979,240.115092,238.929558,236.051475,234.58208,234.953307,233.059796,236.590509,237.247157,236.313762,235.374316,237.669211,238.655984,238.4694,236.095349,236.705034,237.241384,238.17295,241.104182,244.265487,245.362816,246.049594,245.839366,246.138737,245.657608,246.511683,248.337174,248.013772,247.863995,243.204667,243.811763,243.916451,242.20723,238.08488,236.852512,235.626308,232.958933,232.940325,231.988262,236.29447,235.204635,239.855968,240.585502,235.802212,235.831966,234.478038,237.457484,239.617682,239.400862,240.073958,239.945049,234.072198,234.939175,237.462465,236.575498,232.238888,232.399688,232.372428,233.649916,233.744353,231.177809,228.638044,225.183691,222.663255,222.582636,221.756831,219.387527,222.726641,224.643183,222.256502,224.087594,222.423974,219.541018,213.140255,213.137862,216.176321,216.668435,219.480391,223.125409,225.118185,222.20502,223.34976,227.043679,225.743246,222.46479,222.929471,220.819345,220.807093,220.814127,213.688766,213.421353,219.976906,219.742921,222.946123,226.157539,224.059988,224.861937,227.085464,228.324941,232.758419,235.382824,235.922781,242.347864,243.503078,244.601693,243.257252,243.908152,242.705906,239.628512,238.628295,239.078642,240.913099,240.015106,237.137502,235.477203,238.296893,241.237705,242.392978,241.996995,245.543951,246.053664,247.327404,248.479917,249.480845,247.298959,248.373725,248.456,248.005236,249.07241,250.466798,250.479828,246.678307,246.896368,243.399584,244.195072,246.790781,248.605839,247.239845,248.593762,250.003353,252.425968,253.157456,252.786758,252.280845,252.8925,251.750353,254.538384,253.05721,255.151916,255.162081,252.632529,252.40931,252.310978,252.708456,253.659377,252.655024,249.333028,250.629933,253.207018,252.896288,249.521913,249.150843,246.434408,243.961171,239.082972,237.132497,235.571458,230.613656,233.925022,237.232941,234.710467,236.781929,238.338148,243.447064,245.917029,247.737054,247.052293,242.81168,242.359148,242.851121,243.702304,246.193805,240.984098,238.52971,243.021046,241.029558,241.830823,247.651359,249.015281,246.701412,242.001292,242.670421,239.806609,249.051733,254.551541,257.194087,260.430513,261.457765,262.113417,262.579738,262.326591,265.652641,268.284616,266.332681,267.032828,267.941323,267.844052,267.740108,268.791488,266.034532,266.777017,264.461747,264.224784,266.925221,269.618463,269.560331,272.585475,272.228049,272.434704,273.054602,271.16804,271.404727,269.854655,267.990136,263.268648,259.96607,261.820979,265.622452,271.299185,271.202777,269.881062,270.524631,276.773646,278.567172,279.226966,279.752835,279.794787,274.670033,274.983621,272.056903,272.847946,272.923823,275.87337,276.344852,276.225525,272.051017,272.67993,273.447363,277.843845,279.935605,278.69302,277.404582,278.31936,280.270545,281.113571,280.597699,284.693883,285.892184,284.844053,284.941834,286.201749,286.837644,285.621067,284.737176,282.86434,283.659567,283.719692,279.588365,282.627019,282.029358,283.557831,283.27353,283.873901,286.628058,288.192581,288.270332,286.238295,284.205624,282.962527,282.702302,281.008872,281.237356,283.527324,281.583975,281.953183,280.432121,280.788748,279.743758,279.039304,278.347083,277.773223,274.586717,271.847695,271.006827,272.92053,272.152997,273.159912,276.681463,277.104405,276.764806,274.877514,270.48131,269.446835,267.46833,267.072595,265.017637,266.382848,264.444974,264.510518,269.020014,270.895007,273.206355,272.938556,274.446773,275.639083,276.480446,276.1325,276.451956,275.503156,274.631122,273.930401,273.67191,272.874341,271.4849,271.396082,268.614055,265.127171,266.739915,266.809228,267.768123,269.024027,268.3647,266.94039,264.279567,262.831042,264.635425,266.575047,267.779775,266.005564,265.653798,264.504583,263.710139,261.364018,258.84183,259.053432,257.015597,259.336331,257.97179,258.086647,258.561212,253.304619,253.94173,256.642335,261.847794,263.378952,263.590764,265.467459,264.665162,264.661721,264.063954,264.676589,263.165799,260.882077,256.815951,257.114214,255.323941,260.293421,263.143251,264.982246,267.410779,269.378841,271.185687,271.163556,271.645463,271.636166,271.690753,273.525189,275.617377,274.764252,273.770618,273.389546,270.680402,271.072724,271.580855,269.053227,270.160375,270.100907,270.056968,270.284809,270.110127,268.160718,268.680404,269.934231,269.563046,269.051784,271.969134,269.303314,270.071389,268.330137,265.636971,265.869536,265.370046,265.338304,264.059519,262.071816,260.606293,257.517205,259.153492,262.243482,263.465234,262.682995,268.15856,267.815684,269.693194,270.854166,268.359207,268.996249,272.516802,274.897017,275.391817,277.195894,278.307176,280.342637,280.234367,282.023198,284.462543,285.150067,284.665051,283.707876,284.232163,284.964761,285.884047,286.169173,287.155949,288.954035,290.069285,291.107165,291.652648,289.194455,289.55496,289.205416,290.980587,290.226104,289.264764,287.749426,288.881631,288.101414,288.506841,287.260205,285.641862,285.972459,285.036473,283.792326,283.768404,280.420447,282.125247,283.394263,285.204096,286.423278,286.548012,288.627827,291.386578,292.722076,292.598222,292.635073,293.718431,293.069148,292.423806,290.085913,290.638956,290.793937,292.549605,290.747503,291.611792,289.473221,289.635694,291.759667,291.98293,293.764151,295.191005,294.510644,293.439563,291.95094,290.939571,290.491835,290.131318,291.757633,292.043193,292.457952,293.625404,290.548755,289.976502,290.226996,290.691618,291.393738,291.187338,291.556072,291.135003,290.704546,288.777858,288.063877,288.317224,288.265888,287.766151,288.31478,287.686306,287.509744,286.857354,286.284895,284.681561,284.276101,285.127381,285.368459,285.784697,287.137292,286.233848,285.026539,283.742413,285.297661,283.763745,285.044495,284.265641,284.730216,284.404142,283.627479,283.201476,281.300752,281.492557,282.900416,282.696038,283.108068,281.591016,281.779979,280.299299,277.607847,279.381517,279.967535,282.97374,282.570154,281.934758,281.274599,283.144713,282.153492,282.681718,282.086515,280.820395,278.869425,277.020476,276.49183,274.412118,272.372776,272.650302,271.872881,275.089289,275.699985,273.72255,272.128335,274.892906,275.900143,278.630398,278.460714,280.310245,282.020252,279.716263,279.128994,276.238498,281.063937,279.458021,279.355944,280.69339,280.183751,279.404299,277.297582,279.143442,279.045766,276.332748,274.851117,275.233844,273.787942,270.889228,269.963822,267.297783,263.684277,262.536515,265.58348,268.099271,269.120079,270.918118,270.405896,270.013395,273.707699,278.433469,280.118948,279.337948,279.521784,279.252775,279.321551,278.103514,279.227417,278.270129,275.922737,277.669754,276.795167,276.621853,277.796245,278.092104,281.06337,280.670124,279.795317,277.114638,276.515155,276.456251,274.446462,273.512589,272.026424,269.908946,270.792809,269.315386,269.75486,272.874634,274.61847,274.881478,273.293388,271.803955,272.32368,274.96731,277.149208,278.860671,277.051176,276.64977,277.582769,276.968052,275.939427,277.491472,278.349832,279.655656,276.947763,274.734307,271.927012,273.85075,274.031315,273.009335,274.871641,277.420606,275.964225,277.16195,276.340474,278.880215,281.095006,280.176709,280.153264,279.333123,280.54414,279.700341,281.779979,279.76626,279.263666,277.094675,273.862758,273.606915,272.83421,272.2796,269.933192,266.977877,268.22172,268.750807,270.126722,270.33319,270.10091,270.567407,269.191252,271.82304799999997,271.545,271.836332,271.931926,272.381972,272.628022,274.287604,269.216523,268.06486,268.937499,265.593929,266.215481,266.307461,265.11741,261.970087,259.360158,257.533939,256.904362,255.557503,252.339039,253.521631,253.117588,255.409875,258.483892,258.800943,256.065654,255.84184,258.180593,260.15667,261.694149,260.83995,263.359405,261.990058,261.202153,261.385544,260.555782,258.500313,260.652447,260.482186,261.093055,258.782744,256.495649,257.532868,257.313891,259.057242,259.732585,261.005653,260.639222,259.588013,257.784271,257.846886,256.88551,256.364857,255.511684,254.710592,254.835297,249.602571,248.080553,246.189123,245.565258,245.075954,247.708891,247.962293,245.979946,244.557028,241.95985,239.423596,238.045224,242.237612,244.01555,255.368783,254.876889,255.12565,252.807872,251.027027,253.133604,252.865091,254.34013,253.851473,252.558015,253.78815,257.94975,256.096502,257.753448,260.619615,261.071071,262.201493,262.119527,262.116447,268.466543,268.659837,268.423797,266.470759,267.468096,267.079135,266.82706,266.428677,266.447101,268.014386,269.516393,266.573345,264.388156,264.797544,263.095644,264.374855,265.101374,262.783265,260.991118,261.274778,259.144023,256.666443,254.186716,253.771324,252.513647,253.294601,255.847901,256.492725,259.562995,261.333375,258.83613,255.381421,253.698736,252.995549,253.501274,255.889009,256.613234,255.625017,256.625726,255.847007,256.686449,256.328599,256.833246,257.144801,257.781389,256.989831,257.966939,261.426473,260.077079,258.356774,260.160139,260.419579,259.436499,258.840562,258.608628,257.690689,254.775988,255.524195,257.114964,254.764576,253.350906,256.903055,256.069039,255.048944,259.813543,259.650514,257.521504,258.617611,259.375353,259.186133,257.059088,258.4358,257.124138,258.850038,258.251459,259.196724,261.749695,260.324612,260.951693,260.561763,258.85129,259.600136,258.239963,257.619843,258.244061,257.696949,257.407805,256.365656,257.621213,257.543699,257.426186,256.643425,254.615355,253.635536,254.704357,255.110802,254.756981,254.994121,250.356225,250.363303,250.601467,250.110255,249.602645,249.880202,251.667498,251.958887,249.743333,248.021276,247.692547,247.456466,247.435552,246.379724,245.012331,244.451708,244.422503,243.783756,243.150842,242.904164,242.225985,241.880744,238.848611,239.421626,239.281396,239.576209,235.221109,234.717655,234.655024,229.89695,231.348987,232.319116,233.994774,234.299918,234.93116,235.735869,237.618724,239.286799,238.20717,239.56815,239.521094,238.118992,237.574776,238.619549,237.759889,237.641275,241.482979,241.913565,243.963344,243.371546,240.753306,237.486975,237.213191,237.382193,236.148333,237.579725,239.403692,241.776444,239.805042,238.127752,239.269801,239.22045,237.415695,238.870157,237.243659,242.031178,241.241023,242.734091,241.199675,243.742237,242.559986,244.128592,245.04475299999999,238.728858,238.083218,236.737885,235.576166,235.919778,231.440519,227.725585,228.39128,229.555343,228.286998,230.528958,231.234697,232.028117,231.965337,233.588046,232.44572,234.510978,232.337816,232.568509,232.449219,230.614553,231.28952,230.633829,231.35031,231.655363,230.750917,230.811823,229.320027,226.530314,222.504688,225.481014,225.483637,225.359334,223.671846,219.436501,214.257547,214.776599,215.879159,221.241435,224.371519,221.740362,220.225747,220.218212,219.766223,216.877226,220.349185,220.38015,220.41145,222.203477,224.699562,226.595923,223.78699,222.646468,215.113851,215.546578,213.495362,213.654773,216.465284,219.079306,222.263131,220.893893,217.749989,216.659303,214.27773,214.909738,213.632426,213.642877,211.983104,214.572317,211.719061,207.591575,206.412286,207.564334,210.798871,211.504712,215.466826,212.626041,213.103245,211.84071,217.210672,214.417994,213.300112,216.55084,217.629471,220.784628,223.068972,227.314993,227.996354,227.095608,229.50026,232.274189,234.21457,237.357115,238.067975,238.980831,239.246635,239.47522,238.168237,236.932367,235.634497,233.871791,238.1602,237.311286,237.991766,237.951368,235.017164,235.685135,237.814854,234.829512,234.167398,237.436228,238.713419,239.115686,245.511582,246.475457,244.024771,242.334081,244.786217,247.31437,246.375583,244.545598,243.95321,245.259845,246.338079,248.993431,248.505477,246.90639,245.594272,246.142719,243.210031,244.394768,244.256134,239.523963,239.552559,245.727931,247.655306,248.602896,248.341502,248.071607,246.571516,248.178227,246.172986,245.760022,246.811272,244.801041,242.078989,243.189719,241.302335,243.079706,240.94536,245.011473,244.401757,243.24771,242.099061,242.199551,240.681095,239.444972,235.647618,234.231623,236.498364,237.52574,233.335339,233.094987,234.718069,232.433397,231.525576,228.637,227.148141,223.543657,224.534422,223.831291,224.922661,221.098085,221.083572,222.562298,225.469607,226.401485,220.871363,218.454613,217.492745,220.434508,220.248856,218.814418,217.364,216.766164,212.830294,214.899597,214.045129,213.903965,218.645989,220.318811,223.599268,223.630511,227.12824,226.031206,228.621917,226.682373,225.61394,223.585999,216.675248,214.441351,207.667883,209.185413,213.958971,214.383911,220.396546,222.851412,225.072396,226.179016,228.546763,229.759495,224.38781,227.867965,232.030132,230.956768,231.489827,230.664861,229.027969,227.06755,236.218593,243.489254,241.645436,230.847459,231.074635,231.817928,227.393461,221.865776,226.504594,224.480369,227.315843,227.823477,225.511045,226.619161,222.607537,221.251677,217.15661,213.892587,207.17372,203.367996,208.387253,213.877657,218.083806,216.967195,218.755768,209.001585,209.012189,209.416608,221.549659,224.40379,222.28472,227.98278,226.250531,221.25107,221.168839,219.48015,225.561426,232.584416,231.634852,225.930947,236.677933,241.443134,241.440412,236.656611,235.012977,230.01419,230.058537,231.762232,231.18582,227.90248,228.254772,231.948505,241.404607,240.033294,240.440599,235.744855,232.366488,228.716619,230.922061,230.52525,239.745944,245.655498,254.557715,258.9207,263.471728,264.813416,266.027537,267.55471,270.954807,269.25857,270.718836,268.894225,265.233368,262.370694,259.318626,263.286492,263.782726,265.422702,261.156898,263.755212,269.808897,271.445945,270.035884,271.729196,270.362015,268.815409,264.817267,260.452312,258.049848,258.039427,257.071884,262.675713,261.963097,257.672951,258.721396,257.306743,261.827444,265.447357,262.060488,262.35279,266.263599,265.992424,268.61111,267.612449,268.962702,268.797289,272.122018,273.370433,269.457469,265.997862,263.942655,263.627483,262.21212,268.246783,269.498172,268.905224,266.357773,268.671071,269.801048,270.731262,274.624138,275.126166,272.682814,275.414432,274.95659,278.502733,281.449388,284.511447,283.054551,282.249087,278.92582,278.839768,277.879556,278.719656,275.904712,269.193401,267.777245,273.091498,273.48342,274.344095,272.525697,276.723153,277.32861,274.413983,275.28919,273.625872,274.118581,272.479893,270.765497,270.156482,266.904154,267.422117,268.464188,268.078295,265.541235,265.730608,263.370444,259.430827,257.589288,254.394796,254.040378,262.208213,264.795925,266.108074,271.35106,271.511377,272.365878,273.94751,272.951667,271.312479,272.475577,272.329584,269.74574,266.87667,268.046688,269.577513,273.948762,272.856972,270.971793,269.639093,269.179053,267.739397,267.810837,270.519522,272.409727,270.902535,269.837303,270.040771,271.477041,269.929828,265.754135,265.817369,268.976291,268.572316,266.85512,267.364882,265.557401,264.05846,268.972369,269.042883,267.222445,267.702207,265.282249,260.931996,259.288264,261.436273,262.246515,262.631751,265.071375,264.289328,263.361466,261.968444,261.946537,260.516537,259.794203,260.205287,259.905953,259.656716,256.538993,256.668046,257.384643,258.92119,260.882858,260.013865,256.868474,256.469952,255.647906,257.952803,256.397644,256.671788,253.786396,248.837731,244.454107,245.820159,248.518683,251.557233,250.464065,255.509349,256.403996,256.500553,252.317241,252.158034,256.970171,257.407443,259.739552,260.171437,263.986209,263.297675,264.100841,264.127588,257.551373,257.748374,255.695137,254.724329,254.285361,251.989708,255.5988,257.43383,255.236197,256.344684,255.457978,253.152081,256.889155,257.261949,258.82581,256.395828,252.254206,254.242958,253.730129,253.87546,253.502265,250.819029,246.794781,247.854551,246.520683,247.160351,246.334844,246.148413,245.463305,242.68518,243.571796,242.201083,242.404662,239.803645,240.016686,241.021975,241.178059,239.841815,235.860541,235.776748,233.810312,233.454376,233.788139,231.722999,230.608328,224.795246,225.837749,225.057571,223.827325,221.283449,224.04404,226.720618,226.305617,230.123495,231.235704,231.227528,228.91273,227.859133,227.743045,229.288523,235.546787,239.205531,238.032456,237.702497,237.324037,238.497746,237.573525,231.665097,232.927057,232.344885,231.613126,230.716282,228.609197,227.275458,223.766398,222.598894,222.765259,224.147926,226.928996,227.334865,225.826725,222.712712,222.795099,221.321355,218.236784,217.00626,212.267955,211.15854,212.760274,213.628693,220.549619,219.012689,220.621777,222.33778,225.140423,227.669529,224.018497,223.121333,222.603686,221.310616,219.575509,215.317424,213.927237,210.39258,207.732792,208.058256,212.923422,217.162468,213.439371,214.667512,215.537375,214.109614,208.694278,204.819426,211.658415,212.216934,211.382675,216.095248,221.797697,220.553761,224.261595,230.629918,229.899064,227.681042,230.223344,218.813447,225.241605,230.640964,234.678684,240.734219,242.59322,242.124779,239.656084,244.221629,248.743841,246.293378,245.432212,248.290813,248.661111,246.340547,249.717583,253.617681,252.94562,250.225679,251.802355,250.389044,247.489925,249.0918,249.284793,249.197624,248.589847,245.419384,244.961521,244.537179,242.782532,242.224659,241.493006,243.882829,242.68315,243.245768,244.30899,246.198018,243.716641,241.046069,243.269254,241.64243,241.814922,240.32699,240.823783,238.88398,235.970436,237.404582,234.598052,231.665511,230.541887,227.156596,230.246755,230.789639,232.339852,229.919362,232.212912,231.838241,229.153942,226.124727,226.063906,225.056842,224.375126,223.037283,222.701881,228.115459,234.301981,234.583728,231.58677,230.924455,232.329863,233.339243,235.652275,237.797656,239.106952,241.479095,244.599204,249.489927,249.205181,251.24484,249.611949,250.921099,252.035992,248.894641,247.667931,248.932097,248.530966,247.40912,242.913652,241.523608,243.636768,242.902061,241.400072,239.980702,237.680162,236.797179,235.148977,236.836449,242.156949,240.046961,241.556118,239.561196,239.278801,238.572635,240.332491,243.491921,244.376928,245.950526,245.242228,244.273228,238.128394,236.69729,243.919785,241.087697,243.068685,238.38616,239.94148,244.416781,243.594733,245.70864,241.742735,240.749687,242.710816,241.411807,241.485684,235.968516,234.802785,233.689142,229.126622,231.684745,231.948341,234.416161,231.940983,237.237973,240.329659,242.638348,243.343393,245.502317,244.974063,245.568693,242.104378,244.5463,243.775036,239.183579,239.851162,238.465354,238.350877,234.494146,234.374869,228.66416,227.444128,231.342376,235.010392,233.979171,233.800958,233.134737,234.532922,238.143466,238.296075,234.870763,237.471225,238.816597,236.679526,232.400196,231.927005,233.773035,231.814362,230.458116,229.339599,222.066989,219.991871,219.198764,221.688569,224.004609,225.951683,222.639792,223.779882,225.392064,225.000967,221.770789,218.762606,215.760624,215.266073,213.174104,220.392952,221.363122,217.733515,216.914349,218.827241,219.142407,220.138967,219.94544,221.410815,221.696121,216.521188,214.197307,210.598969,212.0837,212.773632,211.132135,210.741084,207.360806,207.347169,204.927713,201.180847,200.029026,198.346095,192.833435,189.296098,189.215236,190.601947,189.280173,192.440232,193.07248,196.277006,200.313534,197.509677,198.62125,197.541742,194.797413,195.351234,191.355542,192.644411,196.967422,195.084697,194.636199,197.668865,198.696534,204.374454,205.340275,203.250132,200.245219,198.583885,201.424364,201.944189,202.821893,206.65133,205.563307,200.105516,196.723446,197.602002,196.059427,194.777824,193.140286,196.516183,193.459766,188.721112,187.075403,185.046673,186.664669,190.227047,190.793434,190.920562,187.67197,185.787327,183.891105,182.800909,177.519137,177.25139,174.032006,169.661624,172.999658,174.228223,170.405142,169.033727,167.537338,168.398297,173.102061,172.278196,170.397109,171.602124,170.053314,168.344411,163.970284,164.9497,167.058455,167.613853,168.107044,159.066725,156.656902,153.874299,161.087003,164.061828,162.661536,161.804921,160.980399,155.469058,157.391145,150.650619,149.860569,149.383882,145.483782,142.279459,142.180035,140.105074,134.521949,136.383362,137.472549,139.841122,136.208058,138.169198,145.566526,147.278391,145.35798,145.181962,147.082644,147.246007,152.34708,150.976541,152.749829,161.280926,159.557147,162.77765,164.624255,167.731361,165.599229,162.511246,163.104917,160.325226,157.206892,160.966056,164.117108,166.163999,162.24588,159.598441,154.643054,157.386876,157.822999,158.55644,166.053258,162.54475,166.53575,170.839978,175.49106,179.483995,181.836048,183.645227,182.999876,182.377843,181.061272,176.748837,177.414736,175.613979,172.288762,171.476821,172.425934,173.173773,175.839559,180.705925,180.212642,174.701228,173.186722,168.935306,173.152317,170.819544,167.633558,166.584188,155.120499,159.114741,159.953238,159.110988,159.751847,167.409707,162.970268,162.936309,158.695959,148.806092,148.865091,157.3045,162.007295,163.482995,166.945576,165.105482,167.508181,172.688567,181.789375,178.336311,177.668572,190.585559,190.049207,180.733947,178.168232,178.442886,170.667241,158.07236,152.43129,160.812798,170.399818,172.764058,185.543009,186.791385,180.504503,175.911836,188.74725,199.778479,188.494015,175.57129,190.36194,192.219615,204.705746,206.09175,223.747349,223.079282,230.272142,228.713342,231.674507,244.661596,249.318878,247.162535,248.527989,251.618039,250.166496,231.96408,231.992627,235.296024,243.646494,250.439411,243.908701,247.978683,250.036161,255.138535,248.356677,254.401527,260.818569,264.341602,269.888536,267.83893,265.320771,263.455665,265.633196,266.112568,265.281088,264.414799,262.135556,267.827417,267.744219,270.500563,269.351993,274.306353,276.298133,273.938131,277.826267,279.804708,277.294736,276.376401,279.622659,283.826929,283.492831,278.870828,281.535357,282.605002,285.630701,287.870138,285.313377,285.474549,282.495226,282.168683,276.516137,276.960838,281.799329,281.332588,283.406532,285.510302,281.491954,285.461399,285.966938,288.026332,290.094105,294.840429,293.520138,295.447174,297.500079,295.663851,296.392609,298.895082,302.032139,305.486906,307.426864,305.177132,302.211872,301.674598,304.602353,306.356404,313.581413,316.936743,317.222021,316.651817,318.929864,320.802742,321.755638,320.061538,319.302045,319.402215,323.123007,326.254892,326.953004,328.142524,331.010665,329.012022,325.221436,322.277104,321.536821,321.092771,319.127494,322.528557,322.598332,323.536504,322.589492,321.713656,317.123223,318.562962,317.492656,319.8357,318.173372,315.161365,317.96854,318.089318,318.984854,315.555957,314.181994,314.807686,308.047003,306.902456,310.242647,311.421625,311.233291,312.694454,315.802593,313.422639,311.306607,310.026326,304.10474,301.54508,302.683023,303.191645,301.718428,300.295655,289.289808,287.260513,291.936742,294.364278,287.292914,297.125351,299.701452,303.283133,297.60551,294.388165,298.778422,304.283478,304.242693,301.283767,303.791831,309.508552,314.360625,316.414785,311.685953,307.669817,302.87768,304.288628,299.354304,305.206423,299.532501,301.849442,297.407032,297.554901,290.555667,292.522832,292.37491,297.266122,300.304658,309.364455,306.857926,301.340805,299.769232,302.049976,297.829229,301.520664,296.926983,284.11474,286.079286,303.540008,306.012823,306.533334,315.637709,322.622299,320.3076,322.009339,324.023164,325.728003,324.059375,327.562815,332.436021,333.315692,333.921289,334.303929,333.209485,332.078379,329.165796,327.122035,322.414843,322.331107,323.120197,322.943582,330.828787,334.584737,343.314859,344.074767,344.58412,343.213277,340.836148,339.432894,336.463282,338.237685,339.047338,337.048569,333.023128,329.067451,330.393297,328.607383,324.674982,332.120703,328.153878,333.15123,336.686956,341.69239,335.991035,334.225733,341.02653,345.14782,348.984615,348.741111,345.382939,349.25595,352.304748,355.602253,352.356799,353.812919,349.049105,343.504145,339.823654,341.196322,335.569951,342.279366,345.701415,344.710222,343.202388,347.725969,348.208713,350.097618,346.280104,344.477519,342.072793,343.797317,340.395962,341.235459,341.224552,339.502777,337.1522,335.592572,330.890409,329.428049,330.289289,329.113911,328.556499,326.462226,316.262876,314.585254,317.741298,318.251572,316.647421,315.223184,310.83035,313.996078,316.838522,315.028333,318.070794,316.809413,311.488188,308.777779,308.82267,312.565066,310.862185,309.326724,305.481775,301.055039,299.618739,294.871594,292.459809,302.64196,307.878753,311.485583,308.193464,317.526268,322.323822,316.044952,314.344672,316.929268,317.94575,316.025434,322.586068,318.122809,317.295359,322.945212,329.996355,334.005484,336.797742,336.173287,336.869755,333.866556,336.269567,337.067744,337.1628,334.415036,331.389896,332.154861,332.882279,330.935787,329.111445,328.900431,326.531259,323.879894,321.366442,318.041843,320.483441,321.814746,322.729041,323.694128,325.372026,324.634093,324.931264,323.951753,319.743071,315.516185,315.45334,317.147243,315.268319,318.329237,321.532383,325.260282,325.623162,324.423957,321.833081,318.489711,319.956747,318.351752,318.864219,322.03273,319.949912,319.172957,318.992796,317.489125,318.150761,318.444282,317.916621,317.265056,316.78576,319.379206,317.883861,320.937008,318.728836,316.342094,315.49607,313.658911,315.013324,315.259118,316.120844,316.619999,315.288819,316.270321,316.80131,313.853474,316.092879,315.839356,315.538254,311.670324,310.708116,310.634861,310.659214,308.141281,308.518125,307.728044,305.623257,302.771895,302.18139,302.330719,300.83105,301.965492,302.823972,303.516298,302.974557,298.167051,296.658235,294.531897,291.092863,290.785913,286.222103,292.822768,295.238352,293.905646,293.203015,289.767106,288.32331,284.286368,290.906818,292.128635,295.069378,301.311804,306.888344,305.651238,303.994688,302.982126,304.578939,304.189754,304.656979,302.958459,298.769655,296.844127,299.024608,298.261025,299.939569,298.824036,297.043766,297.828596,297.427277,293.620711,293.983611,292.571357,292.171023,295.066191,295.961959,294.470655,293.133625,292.671273,291.523111,291.498309,291.197474,290.086351,286.792061,284.789968,288.331417,288.406058,288.623317,292.520088,295.002169,292.743555,292.58054,291.879056,289.193143,289.536014,290.405618,290.918623,288.827093,289.987965,290.195842,290.163332,288.679835,287.812007,287.042038,287.875688,288.278294,287.467565,286.447746,285.107435,284.0185,284.096328,282.373855,278.480568,279.443084,281.127802,280.550752,277.53289,276.373394,277.674986,279.000495,278.989271,278.223268,277.259898,278.449629,277.764512,277.82215,279.389286,276.65316,274.674081,274.872076,275.64436,274.695129,273.607883,275.448058,275.234714,273.509438,272.066451,271.784782,271.754823,270.866789,269.530688,268.418053,270.127726,268.231253,267.089129,265.837383,266.073558,265.686916,265.491395,267.102137,264.172572,264.355208,265.779245,264.114567,264.459045,264.042512,260.800846,259.780039,260.92061,262.650256,261.350654,261.142791,261.565816,260.459739,261.422732,259.956732,259.08155,257.380088,260.392294,260.741984,264.428372,267.499753,265.560285,264.437696,264.575109,262.701303,261.908166,261.298968,262.232256,262.987426,264.123744,264.165099,263.727364,264.785028,264.014511,261.008091,258.715041,257.527902,257.830175,260.555515,258.310859,257.349868,260.619454,257.261303,258.746088,255.74233,257.860471,257.918125,255.793172,250.875827,250.704714,249.149713,247.348253,248.70324,245.080375,240.567652,242.576161,245.685874,250.130972,253.437354,255.084292,256.683299,256.451995,255.142922,253.4691,256.99248,255.563861,247.219015,242.63355,243.965535,243.985301,243.764058,244.59299,243.404335,242.114714,242.017824,243.215396,241.282324,236.489518,234.896954,242.540696,244.900108,241.018327,249.855965,251.876521,258.899526,260.795691,257.001327,256.450161,257.657842,258.969286,255.135116,253.132768,256.656046,253.062755,258.35241,260.487525,263.780798,268.237382,268.995158,274.244882,278.398376,279.588235,280.509385,279.217837,277.741588,274.647275,273.136509,274.735828,272.065843,270.364559,270.81097,270.203748,268.721764,268.226858,269.428548,267.047157,267.117697,263.92361,262.34441,259.659958,259.39351,261.031964,262.792898,262.752622,264.744658,263.311113,262.223958,260.837619,257.882251,259.521319,255.030897,255.564888,256.16956,256.277359,254.744507,256.549101,256.397197,258.004788,257.036545,255.903147,254.634741,253.491889,251.573963,248.569513,248.380204,246.103812,247.787137,251.711131,251.277201,252.078578,252.296207,251.591161,252.856487,251.531073,251.320491,249.279153,249.082527,247.915686,247.524768,246.454844,246.48012,246.035914,247.330695,248.646225,246.184051,248.844447,250.066409,249.169159,251.292098,252.938081,252.663664,251.169736,251.509932,249.388641,247.403409,245.875212,245.29291,244.211896,244.948432,241.74601,244.83194,248.027779,248.59843,248.282857,246.350407,248.217162,248.312444,245.894228,245.704769,241.339509,236.375877,238.323698,237.929467,237.06654,237.171856,236.802849,236.048104,235.342929,235.828102,235.664022,233.992186,235.858765,234.687768,234.341686,231.754354,231.08496,230.930517,231.256768,230.276645,229.530238,227.577657,225.689411,226.419355,226.84562,226.394585,226.869048,224.724205,225.308721,224.110665,222.96426,220.337532,220.676909,221.804971,222.550257,221.033275,221.272398,221.710134,221.832749,221.525272,223.574902,222.000502,220.167392,218.785734,216.073288,217.063406,217.71082,217.247317,215.37938,214.325994,214.517769,214.071187,216.437238,218.577346,219.127325,217.645567,221.06122,222.168709,221.408051,221.670648,222.302416,224.475075,227.06496,226.258727,227.191312,226.47268,225.340124,223.320122,224.491512,222.069861,222.839756,224.756819,224.970353,223.642635,223.711311,223.06728,223.556582,222.389949,223.646313,224.431807,222.570598,223.372197,223.240956,221.889336,220.624796,216.466408,213.817239,214.26392,215.702413,215.9103,216.361987,216.71502,217.969853,215.380392,214.67081,217.443598,218.503938,219.239201,220.086783,220.2489,218.902521,215.826405,215.049081,213.644715,215.505999,216.084119,214.803617,212.919281,211.65372,210.653121,209.315621,208.300222,209.256629,209.530754,209.497854,206.928044,206.808861,207.314588,207.135576,208.217964,207.167186,207.984052,206.295383,203.289317,201.757391,204.020368,202.953064,203.565551,204.327687,204.584883,204.378586,203.952653,204.80176,205.855584,206.35176,205.87517,205.188191,206.364112,203.927616,203.061774,202.210165,201.726895,202.458355,202.131397,204.263584,203.568409,202.534879,202.514574,202.32068,201.877754,201.05916,202.201624,201.348455,201.282986,201.857392,201.678106,200.277212,201.216488,199.845289,198.184114,198.262819,199.543827,200.893834,201.897178,203.229095,203.853747,204.706708,204.312758,203.542806,201.468532,200.669976,200.814086,200.204167,201.119753,203.022027,203.826712,203.980681,202.557526,202.476199,202.537104,200.303791,203.530661,205.224245,207.673894,206.791639,208.522964,207.903027,208.178814,207.035148,206.199545,204.816201,207.445228,206.854128,205.412976,205.300237,205.956053,206.7771,207.078082,210.873734,210.513022,212.152485,212.637883,213.49591,213.816478,213.618518,215.500819,214.437054,215.775877,216.109735,214.910502,215.470593,212.764755,212.42865,213.334614,213.455244,211.960114,209.818846,209.612706,211.50758,210.373945,209.877763,208.880446,209.812268,209.149956,207.240127,206.13909,204.64205,204.412761,205.372693,205.635115,204.165236,205.317596,204.320421,203.809025,202.201514,203.09831,203.067564,200.764107,201.376712,200.533095,200.131262,202.366143,202.044406,202.187487,202.542652,203.0957,202.318747,201.982786,201.247394,201.698622,202.731225,204.45428,206.702721,207.548799,207.356092,205.881952,206.44201,206.257035,204.188918,202.817196,201.689146,202.178075,199.75664,200.596084,201.509758,199.236831,198.761434,196.485259,196.877759,198.539528,201.390484,201.716197,202.070286,201.149589,200.27155,199.156091,199.968123,199.270406,197.342189,196.293777,195.605615,197.235815,197.011555,197.686481,195.563904,195.983453,195.190561,193.315297,192.561791,192.556757,193.054527,193.190341,191.583024,190.774939,188.854657,187.572629,186.58436,186.986395,185.738313,184.081943,183.614355,184.470649,184.115942,183.299813,184.06243,182.498646,182.759259,182.056088,181.969037,182.531746,185.066102,185.354589,184.166715,184.508403,184.334119,183.672239,182.833916,180.459503,179.289625,178.634299,177.975774,178.922353,179.473552,179.600536,180.683851,178.971239,179.209746,178.729662,178.064834,180.271041,179.742409,178.892135,177.207858,178.001927,177.63801,175.834787,176.908086,176.503575,175.117969,175.117046,175.474547,174.826993,173.772269,173.322664,174.111765,173.769294,174.12978,172.31028,172.221298,171.773277,171.151679,170.815308,171.036907,172.628501,171.519254,172.723634,173.17383,173.089423,174.699155,174.112411,174.20569,173.392069,172.154958,171.769048,172.314898,173.281017,175.194348,176.76694,177.230695,178.081652,178.433939,177.017172,178.503542,178.796467,179.533721,179.348298,178.901877,178.773273,177.946665,179.597498,179.70147,179.635057,179.799965,181.204347,179.797103,180.240937,177.593211,177.064685,178.447974,178.115889,177.488069,176.802216,175.733002,174.812533,177.92338,177.591624,179.591718,179.498362,175.936599,174.968447,176.235002,175.814335,176.080394,176.594894,173.689703,172.148754,171.736771,171.499242,169.441407,171.648217,167.070799,165.780206,167.621116,168.522943,169.495787,168.372397,167.374517,174.051915,177.241172,180.381062,179.174647,176.737226,176.498238,178.1489,179.012934,181.959733,182.3484,181.722426,180.915393,180.588031,182.76636,182.427597,182.668817,180.949687,181.816032,184.662206,185.78429,185.941843,186.223327,185.120568,184.973879,185.102721,185.016856,182.82363,181.382574,180.924721,178.851781,178.474991,176.915362,177.412236,177.775297,180.24814,180.300395,179.410726,178.087887,175.914931,177.229835,178.078602,181.516779,184.484419,184.835916,185.477677,183.017096,181.913619,184.316472,185.146696,182.473337,181.368256,182.075473,182.947033,183.68997,183.324784,185.828233,186.145052,186.447437,184.274905,184.330539,182.535453,182.306289,181.999642,180.5502,178.415464,177.741735,179.329056,178.660607,178.18927,178.339759,182.189497,182.401221,181.73848,183.359479,183.529755,182.4715,181.530136,179.223354,179.629776,181.091674,181.102089,181.141274,181.704826,180.645763,179.065657,180.277197,179.709769,176.944774,175.508924,174.468949,172.870374,171.775377,171.488071,170.825411,170.223812,169.490479,168.880016,167.883401,167.918293,168.882169,167.493374,165.929792,165.802458,167.169809,166.454411,166.86369,166.972615,167.341431,166.514663,165.552387,163.151344,162.511723,160.950867,160.216303,159.937556,159.501705,159.214821,160.625899,159.436202,162.689872,162.214512,160.523229,159.183721,160.754751,161.295261,159.363327,160.46618,161.324766,160.100197,159.924759,161.240528,160.734983,159.758828,158.745556,157.807439,157.373528,160.516313,161.700501,161.355093,160.978055,161.771528,160.951779,160.804244,160.658229,160.020539,158.942451,157.377201,157.782529,156.939224,156.681895,154.535253,153.009447,150.305038,150.906005,151.032657,152.315396,153.641856,153.497088,153.548156,154.677158,154.674288,153.426411,152.322294,151.235361,151.102527,150.232591,150.724762,151.839534,151.654338,150.490943,149.823947,149.574726,148.032205,146.472884,145.837101,145.455653,144.786325,145.830167,146.393028,146.891422,146.761917,146.171147,146.107332,145.585723,145.440711,144.02875,143.210668,142.675949,141.622249,141.23873,140.519766,141.893489,141.566717,142.027729,142.599752,142.718766,144.155342,144.619252,143.498857,143.449117,141.353973,140.258338,139.8299,139.727405,139.46194,141.447437,142.410819,143.603521,141.716033,141.848845,142.899575,143.352212,143.675491,142.599914,141.338715,139.096107,139.079146,139.874211,139.439629,140.843887,139.885927,141.272668,143.514931,143.366183,144.833792,145.231495,143.827921,142.211386,142.763126,142.061012,139.940502,140.18956,140.612683,139.604686,138.204294,137.248564,137.972032,135.702282,136.267804,134.933199,134.059372,133.479535,132.667937,131.399489,132.006386,131.865093,133.990425,133.278495,132.829105,132.595067,132.594526,131.584697,130.470428,132.01293,132.526099,130.268742,128.999161,128.740146,128.133632,126.225893,125.972,124.511,126.146,126.868,125.928,124.915,125.244,124.245,124.448,122.524,121.677,121.98,122.51,122.823,123.963,121.278,120.485,120.227,118.397,117.415,119.744,120.106,121.066,120.764,120.232,122.019,120.31,119.834,119.084,118.582,117.145,114.59,111.965,114.312,114.97,117.018,118.602,119.612,120.078,121.457,120.321,118.998,118.859,119.108,122.138,122.955,122.658,122.629,124.01,121.958,120.951,120.986,121.756,120.522,121.499,122.484,124.511,123.467,124.748,123.075,123.3,122.429,122.278,122.384,125.785,126.523,126.023,127.58,129.682,131.008,131.223,132.071,131.052,130.599,129.863,128.59,130.497,132.052,130.269,129.137,127.644,126.812,125.766,127.674,127.242,126.775,126.473,125.558,125.602,127.927,128.044,126.402,127.008,127.388,126.762,126.484,128.314,128.003,129.24,130.257,131.796,132.003,130.418,128.78,130.605,131.192,130.778,127.771,128.281,128.779,128.406,126.891,125.966,127.003,126.06,127.662,128.51,129.091,129.987,128.743,125.765,126.103,124.502,122.709,125.986,124.402,124.154,122.581,124.324,125.671,125.492,125.482,123.384,124.33,119.091,119.579,115.576,114.479,115.123,116.423,118.78,120.482,121.672,120.074,119.775,122.611,122.247,118.623,118.086,119.779,122.747,123.57,124.166,126.689,126.838,127.953,130.07,132.508,130.978,129.43,130.254,128.755,129.007,129.687,134.224,133.687,135.312,138.995,137.103,137.232,138.419,137.126,135.724,136.949,135.878,135.109,132.946,133.625,132.908,134.64,132.42,129.479,128.51,128.111,131.053,131.096,134.552,134.958,133.623,129.702,131.48,128.522,130.163,133.105,138.546,142.882,141.001,138.642,138.966,142.651,142.189,146.111,150.164,149.899,148.762,143.754,146.264,149.389,149.237,144.859,143.811,144.968,143.586,144.944,145.093,145.855,147.748,147.303,145.499,148.351,149.992,151.971,151.464,151.489,153.181,153.021,154.558,156.325,156.288,156.521,157.249,157.56,157.975,157.493,158.085,158.1,158.633,159.13,157.699,157.369,155.373,155.275,154.857,155.557,155.82,153.714,155.535,156.041,155.411,155.849,155.219,154.88,155.325,156.028,156.296,156.46,156.748,157.082,157.281,157.364,155.926,153.541,152.231,152.47,153.951,152.579,152.782,154.695,154.865,155.46,155.262,155.169,155.236,153.861,153.626,153.691,155.064,155.549,156.28,157.414,156.269,156.528,155.4,154.176,154.767,156.863,156.84,156.804,154.155,153.017,153.428,148.89,147.143,146.985,145.235,144.933,144.242,144.479,143.006,144.223,147.383,147.987,146.632,146.03,145.612,143.928,143.397,142.288,143.202,145.178,145.994,146.279,144.711,146.49,148.31,147.473,148.844,147.847,147.251,148.478,148.26,147.514,149.465,149.643,151.346,151.321,152.581,152.993,154.923,155.763,154.836,153.021,152.918,152.107,151.191,148.525,148.575,149.13,148.998,149.543,150.679,150.685,148.802,149.487,152.001,151.312,151.573,154.236,155.606,154.526,150.825,149.377,151.03,149.336,149.41,151.134,152.032,150.906,150.461,151.303,152.309,151.124,149.991,149.202,148.705,147.386,149.556,150.484,148.822,148.706,148.06,146.207,145.987,144.547,144.293,146.698,148.092,146.612,147.615,146.784,144.382,143.654,145.482,148.159,146.014,144.791,146.778,146.356,144.793,143.512,144.277,144.491,144.283,140.979,140.844,139.623,140.648,137.812,137.002,136.564,134.643,130.505,135.067,139.351,139.794,140.162,147.911,150.215,151.512,153.747,156.125,157.618,157.84,160.566,161.123,162.66,162.414,160.901,161.947,160.972,159.62,160.702,162.296,163.833,162.674,160.406,160.103,159.937,161.573,163.027,163.11,163.833,164.808,163.221,161.95,159.963,159.378,157.944,157.366,157.742,158.168,159.441,159.866,158.429,158.152,159.776,160.246,160.116,158.915,160.287,159.973,159.836,162.364,165.864,166.978,165.759,164.015,164.523,165.014,166.516,166.186,165.33,164.46,165.595,165.819,167.652,168.777,169.363,168.357,170.621,173.049,173.365,172.921,173.754,172.976,172.395,172.707,173.664,175.897,176.723,177.825,178.361,179.325,179.414,178.2,178.313,176.215,175.992,174.147,177.149,178.54,177.035,178.28,179.986,179.462,178.786,180.376,180.171,178.261,177.499,176.989,175.279,174.74,174.982,176.424,176.638,173.944,170.061,170.814,172.407,170.714,169.972,168.839,168.822,168.376,165.76,163.537,165.902,167.325,167.317,170.014,172.239,170.132,164.87,160.601,167.478,168.245,166.533,166.897,170.902,169.164,172.223,175.746,180.679,182.293,182.369,182.522,179.894,179.19,180.206,180.639,181.445,180.509,179.109,180.618,181.694,183.551,185.891,187.881,187.768,189.473,190.377,188.747,189.776,191.721,193.671,194.17,194.54,196.72,196.338,194.753,193.863,193.703,194.0,193.719,195.074,194.769,194.589,194.874,192.885,190.801,191.859,191.054,189.635,190.844,193.54,194.456,194.112,191.453,192.623,193.525,191.839,191.507,189.623,188.277,186.825,188.166,190.912,191.231,190.947,193.161,194.062,195.126,196.018,193.592,192.819,193.408,193.065,190.257,189.908,187.376,188.373,189.386,190.748,187.735,185.93,189.549,189.846,192.866,193.707,196.335,195.621,192.935,196.389,198.14,199.922,201.155,201.402,200.92,199.68,199.295,196.417,194.557,194.642,191.988,193.1,196.487,194.025,193.587,191.607,189.566,192.245,194.483,194.722,194.445,195.989,199.2,199.38,202.416,203.763,203.262,204.289,203.908,203.099,202.315,202.101,202.629,203.343,201.858,200.549,202.396,203.41,203.221,206.498,207.608,206.876,207.222,208.981,211.05,213.665,214.615,217.189,219.524,215.292,215.414,216.888,217.787,217.615,216.212,215.319,215.577,215.164,216.307,216.846,217.51,216.599,215.074,214.123,214.357,213.403,211.754,212.576,211.137,209.769,212.739,213.498,212.915,211.581,215.332,219.0,218.885,218.537,219.298,220.831,219.904,221.381,224.315,223.997,223.077,224.527,224.633,225.303,224.212,222.452,223.046,223.625,221.93,219.945,221.669,220.348,219.291,220.001,221.415,222.779,224.378,222.698,222.066,221.357,224.222,223.377,223.464,222.835,223.203,223.775,225.161,223.64,222.889,216.092,213.179,213.657,208.433,207.588,204.753,206.474,205.354,208.366,212.546,212.665,217.09,214.976,215.225,212.009,212.452,214.351,216.551,217.895,217.527,217.507,222.405,219.942,219.074,217.073,220.421,219.755,219.452,218.909,218.154,217.182,214.133,220.438,225.015,227.098,227.657,230.816,230.181,228.184,226.666,228.557,229.447,232.311,230.189,234.86,235.654,234.637,233.758,230.148,229.392,230.535,229.818,228.519,227.108,223.191,226.05,226.309,231.627,231.134,229.312,231.345,232.038,231.547,231.369,228.618,224.151,223.74,226.632,225.754,226.111,224.027,226.091,227.586,225.368,223.876,227.04,229.359,229.89,230.687,229.301,226.175,227.738,226.617,221.846,219.197,218.488],"899901^JULIAN(FG_PRICE(2/27/2026,1/31/2000,,USD).DATES)":[46080,46079,46078,46077,46076,46073,46072,46071,46070,46066,46065,46064,46063,46062,46059,46058,46057,46056,46055,46052,46051,46050,46049,46048,46045,46044,46043,46042,46038,46037,46036,46035,46034,46031,46030,46029,46028,46027,46024,46022,46021,46020,46017,46015,46014,46013,46010,46009,46008,46007,46006,46003,46002,46001,46000,45999,45996,45995,45994,45993,45992,45989,45987,45986,45985,45982,45981,45980,45979,45978,45975,45974,45973,45972,45971,45968,45967,45966,45965,45964,45961,45960,45959,45958,45957,45954,45953,45952,45951,45950,45947,45946,45945,45944,45943,45940,45939,45938,45937,45936,45933,45932,45931,45930,45929,45926,45925,45924,45923,45922,45919,45918,45917,45916,45915,45912,45911,45910,45909,45908,45905,45904,45903,45902,45898,45897,45896,45895,45894,45891,45890,45889,45888,45887,45884,45883,45882,45881,45880,45877,45876,45875,45874,45873,45870,45869,45868,45867,45866,45863,45862,45861,45860,45859,45856,45855,45854,45853,45852,45849,45848,45847,45846,45845,45841,45840,45839,45838,45835,45834,45833,45832,45831,45828,45826,45825,45824,45821,45820,45819,45818,45817,45814,45813,45812,45811,45810,45807,45806,45805,45804,45800,45799,45798,45797,45796,45793,45792,45791,45790,45789,45786,45785,45784,45783,45782,45779,45778,45777,45776,45775,45772,45771,45770,45769,45768,45764,45763,45762,45761,45758,45757,45756,45755,45754,45751,45750,45749,45748,45747,45744,45743,45742,45741,45740,45737,45736,45735,45734,45733,45730,45729,45728,45727,45726,45723,45722,45721,45720,45719,45716,45715,45714,45713,45712,45709,45708,45707,45706,45702,45701,45700,45699,45698,45695,45694,45693,45692,45691,45688,45687,45686,45685,45684,45681,45680,45679,45678,45674,45673,45672,45671,45670,45667,45665,45664,45663,45660,45659,45657,45656,45653,45652,45650,45649,45646,45645,45644,45643,45642,45639,45638,45637,45636,45635,45632,45631,45630,45629,45628,45625,45623,45622,45621,45618,45617,45616,45615,45614,45611,45610,45609,45608,45607,45604,45603,45602,45601,45600,45597,45596,45595,45594,45593,45590,45589,45588,45587,45586,45583,45582,45581,45580,45579,45576,45575,45574,45573,45572,45569,45568,45567,45566,45565,45562,45561,45560,45559,45558,45555,45554,45553,45552,45551,45548,45547,45546,45545,45544,45541,45540,45539,45538,45534,45533,45532,45531,45530,45527,45526,45525,45524,45523,45520,45519,45518,45517,45516,45513,45512,45511,45510,45509,45506,45505,45504,45503,45502,45499,45498,45497,45496,45495,45492,45491,45490,45489,45488,45485,45484,45483,45482,45481,45478,45476,45475,45474,45471,45470,45469,45468,45467,45464,45463,45461,45460,45457,45456,45455,45454,45453,45450,45449,45448,45447,45446,45443,45442,45441,45440,45436,45435,45434,45433,45432,45429,45428,45427,45426,45425,45422,45421,45420,45419,45418,45415,45414,45413,45412,45411,45408,45407,45406,45405,45404,45401,45400,45399,45398,45397,45394,45393,45392,45391,45390,45387,45386,45385,45384,45383,45379,45378,45377,45376,45373,45372,45371,45370,45369,45366,45365,45364,45363,45362,45359,45358,45357,45356,45355,45352,45351,45350,45349,45348,45345,45344,45343,45342,45338,45337,45336,45335,45334,45331,45330,45329,45328,45327,45324,45323,45322,45321,45320,45317,45316,45315,45314,45313,45310,45309,45308,45307,45303,45302,45301,45300,45299,45296,45295,45294,45293,45289,45288,45287,45286,45282,45281,45280,45279,45278,45275,45274,45273,45272,45271,45268,45267,45266,45265,45264,45261,45260,45259,45258,45257,45254,45252,45251,45250,45247,45246,45245,45244,45243,45240,45239,45238,45237,45236,45233,45232,45231,45230,45229,45226,45225,45224,45223,45222,45219,45218,45217,45216,45215,45212,45211,45210,45209,45208,45205,45204,45203,45202,45201,45198,45197,45196,45195,45194,45191,45190,45189,45188,45187,45184,45183,45182,45181,45180,45177,45176,45175,45174,45170,45169,45168,45167,45166,45163,45162,45161,45160,45159,45156,45155,45154,45153,45152,45149,45148,45147,45146,45145,45142,45141,45140,45139,45138,45135,45134,45133,45132,45131,45128,45127,45126,45125,45124,45121,45120,45119,45118,45117,45114,45113,45112,45110,45107,45106,45105,45104,45103,45100,45099,45098,45097,45093,45092,45091,45090,45089,45086,45085,45084,45083,45082,45079,45078,45077,45076,45072,45071,45070,45069,45068,45065,45064,45063,45062,45061,45058,45057,45056,45055,45054,45051,45050,45049,45048,45047,45044,45043,45042,45041,45040,45037,45036,45035,45034,45033,45030,45029,45028,45027,45026,45022,45021,45020,45019,45016,45015,45014,45013,45012,45009,45008,45007,45006,45005,45002,45001,45000,44999,44998,44995,44994,44993,44992,44991,44988,44987,44986,44985,44984,44981,44980,44979,44978,44974,44973,44972,44971,44970,44967,44966,44965,44964,44963,44960,44959,44958,44957,44956,44953,44952,44951,44950,44949,44946,44945,44944,44943,44939,44938,44937,44936,44935,44932,44931,44930,44929,44925,44924,44923,44922,44918,44917,44916,44915,44914,44911,44910,44909,44908,44907,44904,44903,44902,44901,44900,44897,44896,44895,44894,44893,44890,44888,44887,44886,44883,44882,44881,44880,44879,44876,44875,44874,44873,44872,44869,44868,44867,44866,44865,44862,44861,44860,44859,44858,44855,44854,44853,44852,44851,44848,44847,44846,44845,44844,44841,44840,44839,44838,44837,44834,44833,44832,44831,44830,44827,44826,44825,44824,44823,44820,44819,44818,44817,44816,44813,44812,44811,44810,44806,44805,44804,44803,44802,44799,44798,44797,44796,44795,44792,44791,44790,44789,44788,44785,44784,44783,44782,44781,44778,44777,44776,44775,44774,44771,44770,44769,44768,44767,44764,44763,44762,44761,44760,44757,44756,44755,44754,44753,44750,44749,44748,44747,44743,44742,44741,44740,44739,44736,44735,44734,44733,44729,44728,44727,44726,44725,44722,44721,44720,44719,44718,44715,44714,44713,44712,44708,44707,44706,44705,44704,44701,44700,44699,44698,44697,44694,44693,44692,44691,44690,44687,44686,44685,44684,44683,44680,44679,44678,44677,44676,44673,44672,44671,44670,44669,44665,44664,44663,44662,44659,44658,44657,44656,44655,44652,44651,44650,44649,44648,44645,44644,44643,44642,44641,44638,44637,44636,44635,44634,44631,44630,44629,44628,44627,44624,44623,44622,44621,44620,44617,44616,44615,44614,44610,44609,44608,44607,44606,44603,44602,44601,44600,44599,44596,44595,44594,44593,44592,44589,44588,44587,44586,44585,44582,44581,44580,44579,44575,44574,44573,44572,44571,44568,44567,44566,44565,44564,44561,44560,44559,44558,44557,44553,44552,44551,44550,44547,44546,44545,44544,44543,44540,44539,44538,44537,44536,44533,44532,44531,44530,44529,44526,44524,44523,44522,44519,44518,44517,44516,44515,44512,44511,44510,44509,44508,44505,44504,44503,44502,44501,44498,44497,44496,44495,44494,44491,44490,44489,44488,44487,44484,44483,44482,44481,44480,44477,44476,44475,44474,44473,44470,44469,44468,44467,44466,44463,44462,44461,44460,44459,44456,44455,44454,44453,44452,44449,44448,44447,44446,44442,44441,44440,44439,44438,44435,44434,44433,44432,44431,44428,44427,44426,44425,44424,44421,44420,44419,44418,44417,44414,44413,44412,44411,44410,44407,44406,44405,44404,44403,44400,44399,44398,44397,44396,44393,44392,44391,44390,44389,44386,44385,44384,44383,44379,44378,44377,44376,44375,44372,44371,44370,44369,44368,44365,44364,44363,44362,44361,44358,44357,44356,44355,44354,44351,44350,44349,44348,44344,44343,44342,44341,44340,44337,44336,44335,44334,44333,44330,44329,44328,44327,44326,44323,44322,44321,44320,44319,44316,44315,44314,44313,44312,44309,44308,44307,44306,44305,44302,44301,44300,44299,44298,44295,44294,44293,44292,44291,44287,44286,44285,44284,44281,44280,44279,44278,44277,44274,44273,44272,44271,44270,44267,44266,44265,44264,44263,44260,44259,44258,44257,44256,44253,44252,44251,44250,44249,44246,44245,44244,44243,44239,44238,44237,44236,44235,44232,44231,44230,44229,44228,44225,44224,44223,44222,44221,44218,44217,44216,44215,44211,44210,44209,44208,44207,44204,44203,44202,44201,44200,44196,44195,44194,44193,44189,44188,44187,44186,44183,44182,44181,44180,44179,44176,44175,44174,44173,44172,44169,44168,44167,44166,44165,44162,44160,44159,44158,44155,44154,44153,44152,44151,44148,44147,44146,44145,44144,44141,44140,44139,44138,44137,44134,44133,44132,44131,44130,44127,44126,44125,44124,44123,44120,44119,44118,44117,44116,44113,44112,44111,44110,44109,44106,44105,44104,44103,44102,44099,44098,44097,44096,44095,44092,44091,44090,44089,44088,44085,44084,44083,44082,44078,44077,44076,44075,44074,44071,44070,44069,44068,44067,44064,44063,44062,44061,44060,44057,44056,44055,44054,44053,44050,44049,44048,44047,44046,44043,44042,44041,44040,44039,44036,44035,44034,44033,44032,44029,44028,44027,44026,44025,44022,44021,44020,44019,44018,44014,44013,44012,44011,44008,44007,44006,44005,44004,44001,44000,43999,43998,43997,43994,43993,43992,43991,43990,43987,43986,43985,43984,43983,43980,43979,43978,43977,43973,43972,43971,43970,43969,43966,43965,43964,43963,43962,43959,43958,43957,43956,43955,43952,43951,43950,43949,43948,43945,43944,43943,43942,43941,43938,43937,43936,43935,43934,43930,43929,43928,43927,43924,43923,43922,43921,43920,43917,43916,43915,43914,43913,43910,43909,43908,43907,43906,43903,43902,43901,43900,43899,43896,43895,43894,43893,43892,43889,43888,43887,43886,43885,43882,43881,43880,43879,43875,43874,43873,43872,43871,43868,43867,43866,43865,43864,43861,43860,43859,43858,43857,43854,43853,43852,43851,43847,43846,43845,43844,43843,43840,43839,43838,43837,43836,43833,43832,43830,43829,43826,43825,43823,43822,43819,43818,43817,43816,43815,43812,43811,43810,43809,43808,43805,43804,43803,43802,43801,43798,43796,43795,43794,43791,43790,43789,43788,43787,43784,43783,43782,43781,43780,43777,43776,43775,43774,43773,43770,43769,43768,43767,43766,43763,43762,43761,43760,43759,43756,43755,43754,43753,43752,43749,43748,43747,43746,43745,43742,43741,43740,43739,43738,43735,43734,43733,43732,43731,43728,43727,43726,43725,43724,43721,43720,43719,43718,43717,43714,43713,43712,43711,43707,43706,43705,43704,43703,43700,43699,43698,43697,43696,43693,43692,43691,43690,43689,43686,43685,43684,43683,43682,43679,43678,43677,43676,43675,43672,43671,43670,43669,43668,43665,43664,43663,43662,43661,43658,43657,43656,43655,43654,43651,43649,43648,43647,43644,43643,43642,43641,43640,43637,43636,43635,43634,43633,43630,43629,43628,43627,43626,43623,43622,43621,43620,43619,43616,43615,43614,43613,43609,43608,43607,43606,43605,43602,43601,43600,43599,43598,43595,43594,43593,43592,43591,43588,43587,43586,43585,43584,43581,43580,43579,43578,43577,43573,43572,43571,43570,43567,43566,43565,43564,43563,43560,43559,43558,43557,43556,43553,43552,43551,43550,43549,43546,43545,43544,43543,43542,43539,43538,43537,43536,43535,43532,43531,43530,43529,43528,43525,43524,43523,43522,43521,43518,43517,43516,43515,43511,43510,43509,43508,43507,43504,43503,43502,43501,43500,43497,43496,43495,43494,43493,43490,43489,43488,43487,43483,43482,43481,43480,43479,43476,43475,43474,43473,43472,43469,43468,43467,43465,43462,43461,43460,43458,43455,43454,43453,43452,43451,43448,43447,43446,43445,43444,43441,43440,43438,43437,43434,43433,43432,43431,43430,43427,43425,43424,43423,43420,43419,43418,43417,43416,43413,43412,43411,43410,43409,43406,43405,43404,43403,43402,43399,43398,43397,43396,43395,43392,43391,43390,43389,43388,43385,43384,43383,43382,43381,43378,43377,43376,43375,43374,43371,43370,43369,43368,43367,43364,43363,43362,43361,43360,43357,43356,43355,43354,43353,43350,43349,43348,43347,43343,43342,43341,43340,43339,43336,43335,43334,43333,43332,43329,43328,43327,43326,43325,43322,43321,43320,43319,43318,43315,43314,43313,43312,43311,43308,43307,43306,43305,43304,43301,43300,43299,43298,43297,43294,43293,43292,43291,43290,43287,43286,43284,43283,43280,43279,43278,43277,43276,43273,43272,43271,43270,43269,43266,43265,43264,43263,43262,43259,43258,43257,43256,43255,43252,43251,43250,43249,43245,43244,43243,43242,43241,43238,43237,43236,43235,43234,43231,43230,43229,43228,43227,43224,43223,43222,43221,43220,43217,43216,43215,43214,43213,43210,43209,43208,43207,43206,43203,43202,43201,43200,43199,43196,43195,43194,43193,43192,43188,43187,43186,43185,43182,43181,43180,43179,43178,43175,43174,43173,43172,43171,43168,43167,43166,43165,43164,43161,43160,43159,43158,43157,43154,43153,43152,43151,43147,43146,43145,43144,43143,43140,43139,43138,43137,43136,43133,43132,43131,43130,43129,43126,43125,43124,43123,43122,43119,43118,43117,43116,43112,43111,43110,43109,43108,43105,43104,43103,43102,43098,43097,43096,43095,43091,43090,43089,43088,43087,43084,43083,43082,43081,43080,43077,43076,43075,43074,43073,43070,43069,43068,43067,43066,43063,43061,43060,43059,43056,43055,43054,43053,43052,43049,43048,43047,43046,43045,43042,43041,43040,43039,43038,43035,43034,43033,43032,43031,43028,43027,43026,43025,43024,43021,43020,43019,43018,43017,43014,43013,43012,43011,43010,43007,43006,43005,43004,43003,43000,42999,42998,42997,42996,42993,42992,42991,42990,42989,42986,42985,42984,42983,42979,42978,42977,42976,42975,42972,42971,42970,42969,42968,42965,42964,42963,42962,42961,42958,42957,42956,42955,42954,42951,42950,42949,42948,42947,42944,42943,42942,42941,42940,42937,42936,42935,42934,42933,42930,42929,42928,42927,42926,42923,42922,42921,42919,42916,42915,42914,42913,42912,42909,42908,42907,42906,42905,42902,42901,42900,42899,42898,42895,42894,42893,42892,42891,42888,42887,42886,42885,42881,42880,42879,42878,42877,42874,42873,42872,42871,42870,42867,42866,42865,42864,42863,42860,42859,42858,42857,42856,42853,42852,42851,42850,42849,42846,42845,42844,42843,42842,42838,42837,42836,42835,42832,42831,42830,42829,42828,42825,42824,42823,42822,42821,42818,42817,42816,42815,42814,42811,42810,42809,42808,42807,42804,42803,42802,42801,42800,42797,42796,42795,42794,42793,42790,42789,42788,42787,42783,42782,42781,42780,42779,42776,42775,42774,42773,42772,42769,42768,42767,42766,42765,42762,42761,42760,42759,42758,42755,42754,42753,42752,42748,42747,42746,42745,42744,42741,42740,42739,42738,42734,42733,42732,42731,42727,42726,42725,42724,42723,42720,42719,42718,42717,42716,42713,42712,42711,42710,42709,42706,42705,42704,42703,42702,42699,42697,42696,42695,42692,42691,42690,42689,42688,42685,42684,42683,42682,42681,42678,42677,42676,42675,42674,42671,42670,42669,42668,42667,42664,42663,42662,42661,42660,42657,42656,42655,42654,42653,42650,42649,42648,42647,42646,42643,42642,42641,42640,42639,42636,42635,42634,42633,42632,42629,42628,42627,42626,42625,42622,42621,42620,42619,42615,42614,42613,42612,42611,42608,42607,42606,42605,42604,42601,42600,42599,42598,42597,42594,42593,42592,42591,42590,42587,42586,42585,42584,42583,42580,42579,42578,42577,42576,42573,42572,42571,42570,42569,42566,42565,42564,42563,42562,42559,42558,42557,42556,42552,42551,42550,42549,42548,42545,42544,42543,42542,42541,42538,42537,42536,42535,42534,42531,42530,42529,42528,42527,42524,42523,42522,42521,42517,42516,42515,42514,42513,42510,42509,42508,42507,42506,42503,42502,42501,42500,42499,42496,42495,42494,42493,42492,42489,42488,42487,42486,42485,42482,42481,42480,42479,42478,42475,42474,42473,42472,42471,42468,42467,42466,42465,42464,42461,42460,42459,42458,42457,42453,42452,42451,42450,42447,42446,42445,42444,42443,42440,42439,42438,42437,42436,42433,42432,42431,42430,42429,42426,42425,42424,42423,42422,42419,42418,42417,42416,42412,42411,42410,42409,42408,42405,42404,42403,42402,42401,42398,42397,42396,42395,42394,42391,42390,42389,42388,42384,42383,42382,42381,42380,42377,42376,42375,42374,42373,42369,42368,42367,42366,42362,42361,42360,42359,42356,42355,42354,42353,42352,42349,42348,42347,42346,42345,42342,42341,42340,42339,42338,42335,42333,42332,42331,42328,42327,42326,42325,42324,42321,42320,42319,42318,42317,42314,42313,42312,42311,42310,42307,42306,42305,42304,42303,42300,42299,42298,42297,42296,42293,42292,42291,42290,42289,42286,42285,42284,42283,42282,42279,42278,42277,42276,42275,42272,42271,42270,42269,42268,42265,42264,42263,42262,42261,42258,42257,42256,42255,42251,42250,42249,42248,42247,42244,42243,42242,42241,42240,42237,42236,42235,42234,42233,42230,42229,42228,42227,42226,42223,42222,42221,42220,42219,42216,42215,42214,42213,42212,42209,42208,42207,42206,42205,42202,42201,42200,42199,42198,42195,42194,42193,42192,42191,42187,42186,42185,42184,42181,42180,42179,42178,42177,42174,42173,42172,42171,42170,42167,42166,42165,42164,42163,42160,42159,42158,42157,42156,42153,42152,42151,42150,42146,42145,42144,42143,42142,42139,42138,42137,42136,42135,42132,42131,42130,42129,42128,42125,42124,42123,42122,42121,42118,42117,42116,42115,42114,42111,42110,42109,42108,42107,42104,42103,42102,42101,42100,42096,42095,42094,42093,42090,42089,42088,42087,42086,42083,42082,42081,42080,42079,42076,42075,42074,42073,42072,42069,42068,42067,42066,42065,42062,42061,42060,42059,42058,42055,42054,42053,42052,42048,42047,42046,42045,42044,42041,42040,42039,42038,42037,42034,42033,42032,42031,42030,42027,42026,42025,42024,42020,42019,42018,42017,42016,42013,42012,42011,42010,42009,42006,42004,42003,42002,41999,41997,41996,41995,41992,41991,41990,41989,41988,41985,41984,41983,41982,41981,41978,41977,41976,41975,41974,41971,41969,41968,41967,41964,41963,41962,41961,41960,41957,41956,41955,41954,41953,41950,41949,41948,41947,41946,41943,41942,41941,41940,41939,41936,41935,41934,41933,41932,41929,41928,41927,41926,41925,41922,41921,41920,41919,41918,41915,41914,41913,41912,41911,41908,41907,41906,41905,41904,41901,41900,41899,41898,41897,41894,41893,41892,41891,41890,41887,41886,41885,41884,41880,41879,41878,41877,41876,41873,41872,41871,41870,41869,41866,41865,41864,41863,41862,41859,41858,41857,41856,41855,41852,41851,41850,41849,41848,41845,41844,41843,41842,41841,41838,41837,41836,41835,41834,41831,41830,41829,41828,41827,41823,41822,41821,41820,41817,41816,41815,41814,41813,41810,41809,41808,41807,41806,41803,41802,41801,41800,41799,41796,41795,41794,41793,41792,41789,41788,41787,41786,41782,41781,41780,41779,41778,41775,41774,41773,41772,41771,41768,41767,41766,41765,41764,41761,41760,41759,41758,41757,41754,41753,41752,41751,41750,41746,41745,41744,41743,41740,41739,41738,41737,41736,41733,41732,41731,41730,41729,41726,41725,41724,41723,41722,41719,41718,41717,41716,41715,41712,41711,41710,41709,41708,41705,41704,41703,41702,41701,41698,41697,41696,41695,41694,41691,41690,41689,41688,41684,41683,41682,41681,41680,41677,41676,41675,41674,41673,41670,41669,41668,41667,41666,41663,41662,41661,41660,41656,41655,41654,41653,41652,41649,41648,41647,41646,41645,41642,41641,41639,41638,41635,41634,41632,41631,41628,41627,41626,41625,41624,41621,41620,41619,41618,41617,41614,41613,41612,41611,41610,41607,41605,41604,41603,41600,41599,41598,41597,41596,41593,41592,41591,41590,41589,41586,41585,41584,41583,41582,41579,41578,41577,41576,41575,41572,41571,41570,41569,41568,41565,41564,41563,41562,41561,41558,41557,41556,41555,41554,41551,41550,41549,41548,41547,41544,41543,41542,41541,41540,41537,41536,41535,41534,41533,41530,41529,41528,41527,41526,41523,41522,41521,41520,41516,41515,41514,41513,41512,41509,41508,41507,41506,41505,41502,41501,41500,41499,41498,41495,41494,41493,41492,41491,41488,41487,41486,41485,41484,41481,41480,41479,41478,41477,41474,41473,41472,41471,41470,41467,41466,41465,41464,41463,41460,41458,41457,41456,41453,41452,41451,41450,41449,41446,41445,41444,41443,41442,41439,41438,41437,41436,41435,41432,41431,41430,41429,41428,41425,41424,41423,41422,41418,41417,41416,41415,41414,41411,41410,41409,41408,41407,41404,41403,41402,41401,41400,41397,41396,41395,41394,41393,41390,41389,41388,41387,41386,41383,41382,41381,41380,41379,41376,41375,41374,41373,41372,41369,41368,41367,41366,41365,41361,41360,41359,41358,41355,41354,41353,41352,41351,41348,41347,41346,41345,41344,41341,41340,41339,41338,41337,41334,41333,41332,41331,41330,41327,41326,41325,41324,41320,41319,41318,41317,41316,41313,41312,41311,41310,41309,41306,41305,41304,41303,41302,41299,41298,41297,41296,41292,41291,41290,41289,41288,41285,41284,41283,41282,41281,41278,41277,41276,41274,41271,41270,41269,41267,41264,41263,41262,41261,41260,41257,41256,41255,41254,41253,41250,41249,41248,41247,41246,41243,41242,41241,41240,41239,41236,41234,41233,41232,41229,41228,41227,41226,41225,41222,41221,41220,41219,41218,41215,41214,41213,41208,41207,41206,41205,41204,41201,41200,41199,41198,41197,41194,41193,41192,41191,41190,41187,41186,41185,41184,41183,41180,41179,41178,41177,41176,41173,41172,41171,41170,41169,41166,41165,41164,41163,41162,41159,41158,41157,41156,41152,41151,41150,41149,41148,41145,41144,41143,41142,41141,41138,41137,41136,41135,41134,41131,41130,41129,41128,41127,41124,41123,41122,41121,41120,41117,41116,41115,41114,41113,41110,41109,41108,41107,41106,41103,41102,41101,41100,41099,41096,41095,41093,41092,41089,41088,41087,41086,41085,41082,41081,41080,41079,41078,41075,41074,41073,41072,41071,41068,41067,41066,41065,41064,41061,41060,41059,41058,41054,41053,41052,41051,41050,41047,41046,41045,41044,41043,41040,41039,41038,41037,41036,41033,41032,41031,41030,41029,41026,41025,41024,41023,41022,41019,41018,41017,41016,41015,41012,41011,41010,41009,41008,41004,41003,41002,41001,40998,40997,40996,40995,40994,40991,40990,40989,40988,40987,40984,40983,40982,40981,40980,40977,40976,40975,40974,40973,40970,40969,40968,40967,40966,40963,40962,40961,40960,40956,40955,40954,40953,40952,40949,40948,40947,40946,40945,40942,40941,40940,40939,40938,40935,40934,40933,40932,40931,40928,40927,40926,40925,40921,40920,40919,40918,40917,40914,40913,40912,40911,40907,40906,40905,40904,40900,40899,40898,40897,40896,40893,40892,40891,40890,40889,40886,40885,40884,40883,40882,40879,40878,40877,40876,40875,40872,40870,40869,40868,40865,40864,40863,40862,40861,40858,40857,40856,40855,40854,40851,40850,40849,40848,40847,40844,40843,40842,40841,40840,40837,40836,40835,40834,40833,40830,40829,40828,40827,40826,40823,40822,40821,40820,40819,40816,40815,40814,40813,40812,40809,40808,40807,40806,40805,40802,40801,40800,40799,40798,40795,40794,40793,40792,40788,40787,40786,40785,40784,40781,40780,40779,40778,40777,40774,40773,40772,40771,40770,40767,40766,40765,40764,40763,40760,40759,40758,40757,40756,40753,40752,40751,40750,40749,40746,40745,40744,40743,40742,40739,40738,40737,40736,40735,40732,40731,40730,40729,40725,40724,40723,40722,40721,40718,40717,40716,40715,40714,40711,40710,40709,40708,40707,40704,40703,40702,40701,40700,40697,40696,40695,40694,40690,40689,40688,40687,40686,40683,40682,40681,40680,40679,40676,40675,40674,40673,40672,40669,40668,40667,40666,40665,40662,40661,40660,40659,40658,40654,40653,40652,40651,40648,40647,40646,40645,40644,40641,40640,40639,40638,40637,40634,40633,40632,40631,40630,40627,40626,40625,40624,40623,40620,40619,40618,40617,40616,40613,40612,40611,40610,40609,40606,40605,40604,40603,40602,40599,40598,40597,40596,40592,40591,40590,40589,40588,40585,40584,40583,40582,40581,40578,40577,40576,40575,40574,40571,40570,40569,40568,40567,40564,40563,40562,40561,40557,40556,40555,40554,40553,40550,40549,40548,40547,40546,40543,40542,40541,40540,40539,40535,40534,40533,40532,40529,40528,40527,40526,40525,40522,40521,40520,40519,40518,40515,40514,40513,40512,40511,40508,40506,40505,40504,40501,40500,40499,40498,40497,40494,40493,40492,40491,40490,40487,40486,40485,40484,40483,40480,40479,40478,40477,40476,40473,40472,40471,40470,40469,40466,40465,40464,40463,40462,40459,40458,40457,40456,40455,40452,40451,40450,40449,40448,40445,40444,40443,40442,40441,40438,40437,40436,40435,40434,40431,40430,40429,40428,40424,40423,40422,40421,40420,40417,40416,40415,40414,40413,40410,40409,40408,40407,40406,40403,40402,40401,40400,40399,40396,40395,40394,40393,40392,40389,40388,40387,40386,40385,40382,40381,40380,40379,40378,40375,40374,40373,40372,40371,40368,40367,40366,40365,40361,40360,40359,40358,40357,40354,40353,40352,40351,40350,40347,40346,40345,40344,40343,40340,40339,40338,40337,40336,40333,40332,40331,40330,40326,40325,40324,40323,40322,40319,40318,40317,40316,40315,40312,40311,40310,40309,40308,40305,40304,40303,40302,40301,40298,40297,40296,40295,40294,40291,40290,40289,40288,40287,40284,40283,40282,40281,40280,40277,40276,40275,40274,40273,40269,40268,40267,40266,40263,40262,40261,40260,40259,40256,40255,40254,40253,40252,40249,40248,40247,40246,40245,40242,40241,40240,40239,40238,40235,40234,40233,40232,40231,40228,40227,40226,40225,40221,40220,40219,40218,40217,40214,40213,40212,40211,40210,40207,40206,40205,40204,40203,40200,40199,40198,40197,40193,40192,40191,40190,40189,40186,40185,40184,40183,40182,40178,40177,40176,40175,40171,40170,40169,40168,40165,40164,40163,40162,40161,40158,40157,40156,40155,40154,40151,40150,40149,40148,40147,40144,40142,40141,40140,40137,40136,40135,40134,40133,40130,40129,40128,40127,40126,40123,40122,40121,40120,40119,40116,40115,40114,40113,40112,40109,40108,40107,40106,40105,40102,40101,40100,40099,40098,40095,40094,40093,40092,40091,40088,40087,40086,40085,40084,40081,40080,40079,40078,40077,40074,40073,40072,40071,40070,40067,40066,40065,40064,40060,40059,40058,40057,40056,40053,40052,40051,40050,40049,40046,40045,40044,40043,40042,40039,40038,40037,40036,40035,40032,40031,40030,40029,40028,40025,40024,40023,40022,40021,40018,40017,40016,40015,40014,40011,40010,40009,40008,40007,40004,40003,40002,40001,40000,39996,39995,39994,39993,39990,39989,39988,39987,39986,39983,39982,39981,39980,39979,39976,39975,39974,39973,39972,39969,39968,39967,39966,39965,39962,39961,39960,39959,39955,39954,39953,39952,39951,39948,39947,39946,39945,39944,39941,39940,39939,39938,39937,39934,39933,39932,39931,39930,39927,39926,39925,39924,39923,39920,39919,39918,39917,39916,39912,39911,39910,39909,39906,39905,39904,39903,39902,39899,39898,39897,39896,39895,39892,39891,39890,39889,39888,39885,39884,39883,39882,39881,39878,39877,39876,39875,39874,39871,39870,39869,39868,39867,39864,39863,39862,39861,39857,39856,39855,39854,39853,39850,39849,39848,39847,39846,39843,39842,39841,39840,39839,39836,39835,39834,39833,39829,39828,39827,39826,39825,39822,39821,39820,39819,39818,39815,39813,39812,39811,39808,39806,39805,39804,39801,39800,39799,39798,39797,39794,39793,39792,39791,39790,39787,39786,39785,39784,39783,39780,39778,39777,39776,39773,39772,39771,39770,39769,39766,39765,39764,39763,39762,39759,39758,39757,39756,39755,39752,39751,39750,39749,39748,39745,39744,39743,39742,39741,39738,39737,39736,39735,39734,39731,39730,39729,39728,39727,39724,39723,39722,39721,39720,39717,39716,39715,39714,39713,39710,39709,39708,39707,39706,39703,39702,39701,39700,39699,39696,39695,39694,39693,39689,39688,39687,39686,39685,39682,39681,39680,39679,39678,39675,39674,39673,39672,39671,39668,39667,39666,39665,39664,39661,39660,39659,39658,39657,39654,39653,39652,39651,39650,39647,39646,39645,39644,39643,39640,39639,39638,39637,39636,39632,39631,39630,39629,39626,39625,39624,39623,39622,39619,39618,39617,39616,39615,39612,39611,39610,39609,39608,39605,39604,39603,39602,39601,39598,39597,39596,39595,39591,39590,39589,39588,39587,39584,39583,39582,39581,39580,39577,39576,39575,39574,39573,39570,39569,39568,39567,39566,39563,39562,39561,39560,39559,39556,39555,39554,39553,39552,39549,39548,39547,39546,39545,39542,39541,39540,39539,39538,39535,39534,39533,39532,39531,39527,39526,39525,39524,39521,39520,39519,39518,39517,39514,39513,39512,39511,39510,39507,39506,39505,39504,39503,39500,39499,39498,39497,39493,39492,39491,39490,39489,39486,39485,39484,39483,39482,39479,39478,39477,39476,39475,39472,39471,39470,39469,39465,39464,39463,39462,39461,39458,39457,39456,39455,39454,39451,39450,39449,39447,39444,39443,39442,39440,39437,39436,39435,39434,39433,39430,39429,39428,39427,39426,39423,39422,39421,39420,39419,39416,39415,39414,39413,39412,39409,39407,39406,39405,39402,39401,39400,39399,39398,39395,39394,39393,39392,39391,39388,39387,39386,39385,39384,39381,39380,39379,39378,39377,39374,39373,39372,39371,39370,39367,39366,39365,39364,39363,39360,39359,39358,39357,39356,39353,39352,39351,39350,39349,39346,39345,39344,39343,39342,39339,39338,39337,39336,39335,39332,39331,39330,39329,39325,39324,39323,39322,39321,39318,39317,39316,39315,39314,39311,39310,39309,39308,39307,39304,39303,39302,39301,39300,39297,39296,39295,39294,39293,39290,39289,39288,39287,39286,39283,39282,39281,39280,39279,39276,39275,39274,39273,39272,39269,39268,39266,39265,39262,39261,39260,39259,39258,39255,39254,39253,39252,39251,39248,39247,39246,39245,39244,39241,39240,39239,39238,39237,39234,39233,39232,39231,39227,39226,39225,39224,39223,39220,39219,39218,39217,39216,39213,39212,39211,39210,39209,39206,39205,39204,39203,39202,39199,39198,39197,39196,39195,39192,39191,39190,39189,39188,39185,39184,39183,39182,39181,39177,39176,39175,39174,39171,39170,39169,39168,39167,39164,39163,39162,39161,39160,39157,39156,39155,39154,39153,39150,39149,39148,39147,39146,39143,39142,39141,39140,39139,39136,39135,39134,39133,39129,39128,39127,39126,39125,39122,39121,39120,39119,39118,39115,39114,39113,39112,39111,39108,39107,39106,39105,39104,39101,39100,39099,39098,39094,39093,39092,39091,39090,39087,39086,39085,39080,39079,39078,39077,39073,39072,39071,39070,39069,39066,39065,39064,39063,39062,39059,39058,39057,39056,39055,39052,39051,39050,39049,39048,39045,39043,39042,39041,39038,39037,39036,39035,39034,39031,39030,39029,39028,39027,39024,39023,39022,39021,39020,39017,39016,39015,39014,39013,39010,39009,39008,39007,39006,39003,39002,39001,39000,38999,38996,38995,38994,38993,38992,38989,38988,38987,38986,38985,38982,38981,38980,38979,38978,38975,38974,38973,38972,38971,38968,38967,38966,38965,38961,38960,38959,38958,38957,38954,38953,38952,38951,38950,38947,38946,38945,38944,38943,38940,38939,38938,38937,38936,38933,38932,38931,38930,38929,38926,38925,38924,38923,38922,38919,38918,38917,38916,38915,38912,38911,38910,38909,38908,38905,38904,38903,38901,38898,38897,38896,38895,38894,38891,38890,38889,38888,38887,38884,38883,38882,38881,38880,38877,38876,38875,38874,38873,38870,38869,38868,38867,38863,38862,38861,38860,38859,38856,38855,38854,38853,38852,38849,38848,38847,38846,38845,38842,38841,38840,38839,38838,38835,38834,38833,38832,38831,38828,38827,38826,38825,38824,38820,38819,38818,38817,38814,38813,38812,38811,38810,38807,38806,38805,38804,38803,38800,38799,38798,38797,38796,38793,38792,38791,38790,38789,38786,38785,38784,38783,38782,38779,38778,38777,38776,38775,38772,38771,38770,38769,38765,38764,38763,38762,38761,38758,38757,38756,38755,38754,38751,38750,38749,38748,38747,38744,38743,38742,38741,38740,38737,38736,38735,38734,38730,38729,38728,38727,38726,38723,38722,38721,38720,38716,38715,38714,38713,38709,38708,38707,38706,38705,38702,38701,38700,38699,38698,38695,38694,38693,38692,38691,38688,38687,38686,38685,38684,38681,38679,38678,38677,38674,38673,38672,38671,38670,38667,38666,38665,38664,38663,38660,38659,38658,38657,38656,38653,38652,38651,38650,38649,38646,38645,38644,38643,38642,38639,38638,38637,38636,38635,38632,38631,38630,38629,38628,38625,38624,38623,38622,38621,38618,38617,38616,38615,38614,38611,38610,38609,38608,38607,38604,38603,38602,38601,38597,38596,38595,38594,38593,38590,38589,38588,38587,38586,38583,38582,38581,38580,38579,38576,38575,38574,38573,38572,38569,38568,38567,38566,38565,38562,38561,38560,38559,38558,38555,38554,38553,38552,38551,38548,38547,38546,38545,38544,38541,38540,38539,38538,38534,38533,38532,38531,38530,38527,38526,38525,38524,38523,38520,38519,38518,38517,38516,38513,38512,38511,38510,38509,38506,38505,38504,38503,38499,38498,38497,38496,38495,38492,38491,38490,38489,38488,38485,38484,38483,38482,38481,38478,38477,38476,38475,38474,38471,38470,38469,38468,38467,38464,38463,38462,38461,38460,38457,38456,38455,38454,38453,38450,38449,38448,38447,38446,38443,38442,38441,38440,38439,38435,38434,38433,38432,38429,38428,38427,38426,38425,38422,38421,38420,38419,38418,38415,38414,38413,38412,38411,38408,38407,38406,38405,38401,38400,38399,38398,38397,38394,38393,38392,38391,38390,38387,38386,38385,38384,38383,38380,38379,38378,38377,38376,38373,38372,38371,38370,38366,38365,38364,38363,38362,38359,38358,38357,38356,38355,38352,38351,38350,38349,38348,38344,38343,38342,38341,38338,38337,38336,38335,38334,38331,38330,38329,38328,38327,38324,38323,38322,38321,38320,38317,38315,38314,38313,38310,38309,38308,38307,38306,38303,38302,38301,38300,38299,38296,38295,38294,38293,38292,38289,38288,38287,38286,38285,38282,38281,38280,38279,38278,38275,38274,38273,38272,38271,38268,38267,38266,38265,38264,38261,38260,38259,38258,38257,38254,38253,38252,38251,38250,38247,38246,38245,38244,38243,38240,38239,38238,38237,38233,38232,38231,38230,38229,38226,38225,38224,38223,38222,38219,38218,38217,38216,38215,38212,38211,38210,38209,38208,38205,38204,38203,38202,38201,38198,38197,38196,38195,38194,38191,38190,38189,38188,38187,38184,38183,38182,38181,38180,38177,38176,38175,38174,38170,38169,38168,38167,38166,38163,38162,38161,38160,38159,38156,38155,38154,38153,38152,38148,38147,38146,38145,38142,38141,38140,38139,38135,38134,38133,38132,38131,38128,38127,38126,38125,38124,38121,38120,38119,38118,38117,38114,38113,38112,38111,38110,38107,38106,38105,38104,38103,38100,38099,38098,38097,38096,38093,38092,38091,38090,38089,38085,38084,38083,38082,38079,38078,38077,38076,38075,38072,38071,38070,38069,38068,38065,38064,38063,38062,38061,38058,38057,38056,38055,38054,38051,38050,38049,38048,38047,38044,38043,38042,38041,38040,38037,38036,38035,38034,38030,38029,38028,38027,38026,38023,38022,38021,38020,38019,38016,38015,38014,38013,38012,38009,38008,38007,38006,38002,38001,38000,37999,37998,37995,37994,37993,37992,37991,37988,37986,37985,37984,37981,37979,37978,37977,37974,37973,37972,37971,37970,37967,37966,37965,37964,37963,37960,37959,37958,37957,37956,37953,37951,37950,37949,37946,37945,37944,37943,37942,37939,37938,37937,37936,37935,37932,37931,37930,37929,37928,37925,37924,37923,37922,37921,37918,37917,37916,37915,37914,37911,37910,37909,37908,37907,37904,37903,37902,37901,37900,37897,37896,37895,37894,37893,37890,37889,37888,37887,37886,37883,37882,37881,37880,37879,37876,37875,37874,37873,37872,37869,37868,37867,37866,37862,37861,37860,37859,37858,37855,37854,37853,37852,37851,37848,37847,37846,37845,37844,37841,37840,37839,37838,37837,37834,37833,37832,37831,37830,37827,37826,37825,37824,37823,37820,37819,37818,37817,37816,37813,37812,37811,37810,37809,37805,37804,37803,37802,37799,37798,37797,37796,37795,37792,37791,37790,37789,37788,37785,37784,37783,37782,37781,37778,37777,37776,37775,37774,37771,37770,37769,37768,37764,37763,37762,37761,37760,37757,37756,37755,37754,37753,37750,37749,37748,37747,37746,37743,37742,37741,37740,37739,37736,37735,37734,37733,37732,37728,37727,37726,37725,37722,37721,37720,37719,37718,37715,37714,37713,37712,37711,37708,37707,37706,37705,37704,37701,37700,37699,37698,37697,37694,37693,37692,37691,37690,37687,37686,37685,37684,37683,37680,37679,37678,37677,37676,37673,37672,37671,37670,37666,37665,37664,37663,37662,37659,37658,37657,37656,37655,37652,37651,37650,37649,37648,37645,37644,37643,37642,37638,37637,37636,37635,37634,37631,37630,37629,37628,37627,37624,37623,37621,37620,37617,37616,37614,37613,37610,37609,37608,37607,37606,37603,37602,37601,37600,37599,37596,37595,37594,37593,37592,37589,37587,37586,37585,37582,37581,37580,37579,37578,37575,37574,37573,37572,37571,37568,37567,37566,37565,37564,37561,37560,37559,37558,37557,37554,37553,37552,37551,37550,37547,37546,37545,37544,37543,37540,37539,37538,37537,37536,37533,37532,37531,37530,37529,37526,37525,37524,37523,37522,37519,37518,37517,37516,37515,37512,37511,37510,37509,37508,37505,37504,37503,37502,37498,37497,37496,37495,37494,37491,37490,37489,37488,37487,37484,37483,37482,37481,37480,37477,37476,37475,37474,37473,37470,37469,37468,37467,37466,37463,37462,37461,37460,37459,37456,37455,37454,37453,37452,37449,37448,37447,37446,37445,37442,37440,37439,37438,37435,37434,37433,37432,37431,37428,37427,37426,37425,37424,37421,37420,37419,37418,37417,37414,37413,37412,37411,37410,37407,37406,37405,37404,37400,37399,37398,37397,37396,37393,37392,37391,37390,37389,37386,37385,37384,37383,37382,37379,37378,37377,37376,37375,37372,37371,37370,37369,37368,37365,37364,37363,37362,37361,37358,37357,37356,37355,37354,37351,37350,37349,37348,37347,37343,37342,37341,37340,37337,37336,37335,37334,37333,37330,37329,37328,37327,37326,37323,37322,37321,37320,37319,37316,37315,37314,37313,37312,37309,37308,37307,37306,37302,37301,37300,37299,37298,37295,37294,37293,37292,37291,37288,37287,37286,37285,37284,37281,37280,37279,37278,37274,37273,37272,37271,37270,37267,37266,37265,37264,37263,37260,37259,37258,37256,37253,37252,37251,37249,37246,37245,37244,37243,37242,37239,37238,37237,37236,37235,37232,37231,37230,37229,37228,37225,37224,37223,37222,37221,37218,37216,37215,37214,37211,37210,37209,37208,37207,37204,37203,37202,37201,37200,37197,37196,37195,37194,37193,37190,37189,37188,37187,37186,37183,37182,37181,37180,37179,37176,37175,37174,37173,37172,37169,37168,37167,37166,37165,37162,37161,37160,37159,37158,37155,37154,37153,37152,37151,37144,37141,37140,37139,37138,37134,37133,37132,37131,37130,37127,37126,37125,37124,37123,37120,37119,37118,37117,37116,37113,37112,37111,37110,37109,37106,37105,37104,37103,37102,37099,37098,37097,37096,37095,37092,37091,37090,37089,37088,37085,37084,37083,37082,37081,37078,37077,37075,37074,37071,37070,37069,37068,37067,37064,37063,37062,37061,37060,37057,37056,37055,37054,37053,37050,37049,37048,37047,37046,37043,37042,37041,37040,37036,37035,37034,37033,37032,37029,37028,37027,37026,37025,37022,37021,37020,37019,37018,37015,37014,37013,37012,37011,37008,37007,37006,37005,37004,37001,37000,36999,36998,36997,36993,36992,36991,36990,36987,36986,36985,36984,36983,36980,36979,36978,36977,36976,36973,36972,36971,36970,36969,36966,36965,36964,36963,36962,36959,36958,36957,36956,36955,36952,36951,36950,36949,36948,36945,36944,36943,36942,36938,36937,36936,36935,36934,36931,36930,36929,36928,36927,36924,36923,36922,36921,36920,36917,36916,36915,36914,36913,36910,36909,36908,36907,36903,36902,36901,36900,36899,36896,36895,36894,36893,36889,36888,36887,36886,36882,36881,36880,36879,36878,36875,36874,36873,36872,36871,36868,36867,36866,36865,36864,36861,36860,36859,36858,36857,36854,36852,36851,36850,36847,36846,36845,36844,36843,36840,36839,36838,36837,36836,36833,36832,36831,36830,36829,36826,36825,36824,36823,36822,36819,36818,36817,36816,36815,36812,36811,36810,36809,36808,36805,36804,36803,36802,36801,36798,36797,36796,36795,36794,36791,36790,36789,36788,36787,36784,36783,36782,36781,36780,36777,36776,36775,36774,36770,36769,36768,36767,36766,36763,36762,36761,36760,36759,36756,36755,36754,36753,36752,36749,36748,36747,36746,36745,36742,36741,36740,36739,36738,36735,36734,36733,36732,36731,36728,36727,36726,36725,36724,36721,36720,36719,36718,36717,36714,36713,36712,36710,36707,36706,36705,36704,36703,36700,36699,36698,36697,36696,36693,36692,36691,36690,36689,36686,36685,36684,36683,36682,36679,36678,36677,36676,36672,36671,36670,36669,36668,36665,36664,36663,36662,36661,36658,36657,36656,36655,36654,36651,36650,36649,36648,36647,36644,36643,36642,36641,36640,36636,36635,36634,36633,36630,36629,36628,36627,36626,36623,36622,36621,36620,36619,36616,36615,36614,36613,36612,36609,36608,36607,36606,36605,36602,36601,36600,36599,36598,36595,36594,36593,36592,36591,36588,36587,36586,36585,36584,36581,36580,36579,36578,36574,36573,36572,36571,36570,36567,36566,36565,36564,36563,36560,36559,36558,36557,36556],"899901^FG_PRICE(2/27/2026,1/31/2000,M,USD)":[467.945476,446.042458,421.039538,409.338812,409.977099,402.147557,389.078209,376.596599,378.145076,366.407286,351.942569,340.832605,343.013978,338.759068,325.878751,332.661852,336.16176,353.621616,345.280036,336.439028,329.378559,330.380113,322.504028,328.946292,320.791697,313.313639,316.619062,301.825241,277.364589,289.485185,299.708149,314.691007,302.897832,290.653958,302.931122,298.679133,292.933107,303.952523,281.305147,283.8213,254.272565,247.046851,275.398612,285.383435,276.435728,303.250545,302.423388,323.590808,324.458285,331.492603,344.326797,331.101043,347.122108,339.297395,351.517853,345.716169,352.025526,354.595255,345.205141,336.073854,333.105639,326.968143,326.457293,310.09846,273.574972,279.802999,287.541552,276.211289,264.999512,254.145935,246.691658,229.684862,269.784446,293.434659,301.673185,289.566516,287.398265,277.992963,271.798865,281.199469,285.111181,269.603358,286.389571,279.785154,279.298846,274.461193,255.406978,267.942643,265.835859,289.616088,289.055775,295.957031,289.518796,295.770198,304.165812,299.837009,306.813178,322.571657,305.669531,299.369954,297.368783,292.074918,287.399255,286.632626,276.831311,276.679514,269.191856,264.157225,258.613293,255.023643,246.389525,240.574157,246.639066,250.420176,247.984461,247.028577,235.65999,240.080412,245.362816,239.855968,222.663255,225.743246,242.347864,247.298959,252.8925,235.571458,247.651359,268.791488,269.881062,278.31936,283.873901,271.006827,276.480446,262.831042,263.378952,273.525189,271.969134,274.897017,289.55496,288.627827,291.95094,287.766151,283.627479,280.820395,281.063937,268.099271,281.06337,278.860671,278.880215,269.191252,252.339039,256.495649,245.979946,257.753448,265.101374,256.625726,257.114964,260.324612,250.356225,242.225985,238.118992,237.415695,229.555343,225.483637,222.646468,210.798871,239.246635,244.024771,248.341502,235.647618,220.871363,223.585999,236.218593,213.877657,241.440412,264.813416,268.815409,273.370433,283.054551,270.765497,272.329584,265.754135,263.361466,244.454107,254.724329,246.520683,224.795246,231.665097,212.760274,215.537375,242.59322,245.419384,230.541887,230.924455,242.913652,238.128394,231.948341,235.010392,224.004609,216.521188,197.509677,200.105516,177.25139,156.656902,145.566526,160.966056,176.748837,167.409707,178.168232,228.713342,269.888536,283.826929,294.840429,321.755638,318.562962,301.54508,309.508552,301.340805,333.921289,339.047338,355.602253,337.1522,316.809413,322.586068,323.879894,321.833081,315.013324,302.18139,295.069378,293.620711,292.743555,284.096328,274.695129,264.114567,264.437696,257.860471,255.563861,256.450161,270.364559,257.882251,251.591161,252.663664,236.375877,225.689411,218.785734,227.191312,216.466408,211.65372,204.327687,201.05916,200.814086,206.854128,213.455244,203.809025,207.548799,199.156091,186.58436,180.459503,175.117969,174.20569,179.635057,176.080394,176.498238,182.82363,182.473337,178.18927,175.508924,163.151344,159.924759,150.305038,146.472884,142.599752,139.079146,135.702282,128.133632,117.415,120.321,123.075,127.644,132.003,126.103,119.775,134.224,134.552,149.237,156.288,155.219,155.236,147.143,146.279,152.918,151.03,144.547,140.648,157.618,161.95,165.759,172.707,178.261,167.325,180.639,196.338,193.525,187.376,196.417,203.099,215.292,212.915,221.93,213.179,219.074,232.311,224.151,218.488],"899901^JULIAN(FG_PRICE(2/27/2026,1/31/2000,M,USD).DATES)":[46080,46052,46022,45989,45961,45930,45898,45869,45838,45807,45777,45747,45716,45688,45657,45625,45596,45565,45534,45504,45471,45443,45412,45379,45351,45322,45289,45260,45230,45198,45169,45138,45107,45077,45044,45016,44985,44957,44925,44895,44865,44834,44804,44771,44742,44712,44680,44651,44620,44592,44561,44530,44498,44469,44439,44407,44377,44344,44316,44286,44253,44225,44196,44165,44134,44104,44074,44043,44012,43980,43951,43921,43889,43861,43830,43798,43769,43738,43707,43677,43644,43616,43585,43553,43524,43496,43465,43434,43404,43371,43343,43312,43280,43251,43220,43188,43159,43131,43098,43069,43039,43007,42978,42947,42916,42886,42853,42825,42794,42766,42734,42704,42674,42643,42613,42580,42551,42521,42489,42460,42429,42398,42369,42338,42307,42277,42247,42216,42185,42153,42124,42094,42062,42034,42004,41971,41943,41912,41880,41851,41820,41789,41759,41729,41698,41670,41639,41607,41578,41547,41516,41486,41453,41425,41394,41361,41333,41305,41274,41243,41213,41180,41152,41121,41089,41060,41029,40998,40968,40939,40907,40877,40847,40816,40786,40753,40724,40694,40662,40633,40602,40574,40543,40512,40480,40451,40421,40389,40359,40326,40298,40268,40235,40207,40178,40147,40116,40086,40056,40025,39994,39962,39933,39903,39871,39843,39813,39780,39752,39721,39689,39660,39629,39598,39568,39538,39507,39478,39447,39416,39386,39353,39325,39294,39262,39233,39202,39171,39141,39113,39080,39051,39021,38989,38960,38929,38898,38868,38835,38807,38776,38748,38716,38686,38656,38625,38595,38562,38533,38503,38471,38442,38411,38383,38352,38321,38289,38260,38230,38198,38168,38135,38107,38077,38044,38016,37986,37953,37925,37894,37862,37833,37802,37771,37741,37711,37680,37652,37621,37589,37560,37529,37498,37468,37435,37407,37376,37343,37315,37287,37256,37225,37195,37162,37134,37103,37071,37042,37011,36980,36950,36922,36889,36860,36830,36798,36769,36738,36707,36677,36644,36616,36585,36556],"899901^MSCI_TOTAL_RET_IDX(2/27/2026,1/31/2000,M,LOC,\"GROSS\")":[1678.3234420000001,1591.909616,1521.279225,1488.636033,1486.35736,1434.741393,1384.111589,1354.869504,1328.071893,1304.726246,1249.993428,1250.093733,1272.370336,1262.149225,1216.171288,1211.732647,1210.315337,1231.820863,1212.47088,1205.871563,1192.397789,1183.611797,1160.350959,1161.543371,1120.522888,1082.174779,1074.167069,1042.599753,984.126822,1018.63918,1032.964092,1060.498523,1031.73337,995.70101,1011.91225,995.965526,986.37824,997.400837,936.829744,964.309039,894.629877,868.235024,932.949325,944.515259,911.442267,969.261512,969.71284,992.107491,981.228025,1001.994344,1031.244145,997.208907,1024.166835,1003.631063,1021.673416,999.609278,1015.715387,1003.858535,982.539585,968.141563,937.182689,916.555341,908.282786,877.14553,788.053917,806.321094,816.537755,789.375441,778.130274,749.954041,727.737136,682.114582,782.718399,839.490328,853.162836,832.612958,817.884463,803.032555,780.205523,798.236889,796.356224,763.616005,803.32119,777.928947,767.216035,746.073997,702.993233,739.714668,734.587078,788.348806,783.095588,793.893002,775.713675,781.12364,786.737113,758.469826,774.621253,801.84937,782.888147,770.907516,774.836799,750.862991,734.41636,730.507834,718.559247,719.826112,705.406206,694.256053,678.642166,665.981351,659.154953,637.951986,634.47646,627.835737,625.108771,616.650262,589.583797,603.710871,595.774355,588.760213,564.673083,579.61989,612.897857,627.829416,625.394835,584.436299,609.263506,656.507641,646.139519,671.779802,668.254396,653.38212,647.47656,613.931171,599.136473,608.624688,591.806311,592.023417,598.56084,591.053362,587.028416,581.466484,567.789161,563.421664,562.49583,543.865289,562.438666,557.156944,550.787589,531.802955,509.881851,514.543323,496.784105,517.082832,512.818661,497.797423,493.184076,487.60302,466.493161,451.554357,441.365576,437.702674,427.596696,422.243451,416.046133,399.445692,430.097344,438.786078,439.334877,418.233019,399.123582,398.364473,409.097687,383.147475,404.978928,439.093191,451.960143,458.887654,465.062174,458.452188,463.006505,455.396763,452.38701,432.230402,435.540678,427.084598,404.2208,412.628362,393.141465,401.524655,430.527939,433.54543,405.362571,402.546185,418.589227,398.499112,393.741311,401.982334,389.48666,377.440865,349.849264,351.579646,327.632994,294.000535,278.941451,298.847143,316.169858,311.543866,326.259774,392.377041,447.434451,447.830745,461.117055,504.27674,495.109013,461.167378,478.754273,474.566094,532.11123,535.69259,561.627749,541.34445,523.719561,530.713659,540.01299,537.246009,518.911654,503.920999,493.177482,495.660973,488.323394,469.221269,463.430693,450.369953,445.066337,432.91276,429.252197,425.54666,452.028872,446.492256,431.769789,429.448114,411.700998,393.504993,375.216178,385.223909,362.163733,357.355792,343.084238,331.482206,318.491274,327.566268,330.115138,318.954239,316.537345,306.651428,298.329858,295.546921,290.030942,289.142535,295.496673,288.768266,292.587363,291.433367,291.489442,283.962764,278.913387,268.145594,267.076225,253.151324,258.066893,249.151417,238.546373,230.582254,223.037176,206.501,211.478,215.338,226.203,242.393,231.673,220.068,245.734,245.851,272.173,294.943,299.489,306.501,292.075,290.675,296.531,289.469,275.12,264.453,295.685,311.909,323.658,332.449,337.68,318.367,330.081,353.818,344.384002685547,345.579986572266,362.661010742188,365.260009765625,384.123992919922,373.622985839844,379.511993408203,372.042999267578,380.730010986328,388.200012207031,380.221984863281,363.859008789062],"899901^JULIAN(MSCI_TOTAL_RET_IDX(2/27/2026,1/31/2000,M,LOC,\"GROSS\").DATES)":[46080,46052,46022,45989,45961,45930,45898,45869,45838,45807,45777,45747,45716,45688,45657,45625,45596,45565,45534,45504,45471,45443,45412,45379,45351,45322,45289,45260,45230,45198,45169,45138,45107,45077,45044,45016,44985,44957,44925,44895,44865,44834,44804,44771,44742,44712,44680,44651,44620,44592,44561,44530,44498,44469,44439,44407,44377,44344,44316,44286,44253,44225,44196,44165,44134,44104,44074,44043,44012,43980,43951,43921,43889,43861,43830,43798,43769,43738,43707,43677,43644,43616,43585,43553,43524,43496,43465,43434,43404,43371,43343,43312,43280,43251,43220,43188,43159,43131,43098,43069,43039,43007,42978,42947,42916,42886,42853,42825,42794,42766,42734,42704,42674,42643,42613,42580,42551,42521,42489,42460,42429,42398,42369,42338,42307,42277,42247,42216,42185,42153,42124,42094,42062,42034,42004,41971,41943,41912,41880,41851,41820,41789,41759,41729,41698,41670,41639,41607,41578,41547,41516,41486,41453,41425,41394,41361,41333,41305,41274,41243,41213,41180,41152,41121,41089,41060,41029,40998,40968,40939,40907,40877,40847,40816,40786,40753,40724,40694,40662,40633,40602,40574,40543,40512,40480,40451,40421,40389,40359,40326,40298,40268,40235,40207,40178,40147,40116,40086,40056,40025,39994,39962,39933,39903,39871,39843,39813,39780,39752,39721,39689,39660,39629,39598,39568,39538,39507,39478,39447,39416,39386,39353,39325,39294,39262,39233,39202,39171,39141,39113,39080,39051,39021,38989,38960,38929,38898,38868,38835,38807,38776,38748,38716,38686,38656,38625,38595,38562,38533,38503,38471,38442,38411,38383,38352,38321,38289,38260,38230,38198,38168,38135,38107,38077,38044,38016,37986,37953,37925,37894,37862,37833,37802,37771,37741,37711,37680,37652,37621,37589,37560,37529,37498,37468,37435,37407,37376,37343,37315,37287,37256,37225,37195,37162,37134,37103,37071,37042,37011,36980,36950,36922,36889,36860,36830,36798,36769,36738,36707,36677,36644,36616,36585,36556],"899901^MSCI_TOTAL_RET_IDX(2/27/2026,1/31/2000,M,USD,\"GROSS\")":[1242.342135,1182.760859,1115.89552,1083.165076,1083.247359,1061.630397,1024.304214,989.328814,991.869247,958.816658,915.874435,883.261054,884.482555,872.238384,838.318771,854.649547,862.307941,906.331294,882.180887,857.578171,837.90505,838.383451,813.990088,826.997724,802.376625,782.433906,790.173837,752.182355,689.935687,719.521631,742.641008,777.60263,746.996214,714.55789,740.772298,727.570507,709.506432,735.217068,679.955189,684.803551,612.390509,594.534484,660.177497,681.95034,659.139083,720.837436,714.977713,762.373361,760.485672,775.74257,805.331035,773.172607,809.505512,790.447945,816.076754,800.710066,813.890031,818.029629,793.55688,770.412387,760.250642,745.394835,743.649885,705.320034,621.621219,635.175326,650.91591,624.081541,597.192053,571.129614,552.760483,513.510379,599.900454,651.29147,669.191388,641.206318,635.50759,614.00082,598.314225,617.25396,624.609718,588.859999,621.550652,605.109585,601.02177,589.425281,547.933486,573.696442,568.228774,618.463869,615.401734,628.431901,613.572454,625.053835,639.158734,627.64486,639.379528,670.904292,635.45358,621.371863,616.278946,604.829436,593.587463,590.366665,569.237009,567.243051,548.863936,537.045714,523.300018,515.009936,497.34595,484.780303,496.192788,503.376581,497.029214,493.810932,470.437881,477.472828,485.195422,472.347685,436.529954,441.441798,473.599422,482.544229,492.649675,458.468509,480.567611,520.241542,521.578155,536.318735,544.339847,517.826654,525.938033,499.184694,499.859164,518.372796,514.584973,519.676799,545.939887,542.834839,548.142652,538.871396,528.063365,520.809253,519.154298,494.196812,517.641201,513.027688,512.062703,493.88217,461.674282,468.036913,448.306031,468.468138,479.114266,461.509915,460.545349,465.356285,447.089519,432.032616,423.900455,422.207104,406.864371,398.443721,392.775302,370.743289,417.749999,424.056996,429.751825,406.785308,380.862034,385.099457,405.711553,367.011181,412.806811,451.402379,457.500342,464.083032,477.303803,454.74153,455.606465,443.819658,439.419513,407.453337,423.711514,409.714933,372.56364,383.009022,351.197715,355.044792,397.013754,400.266528,374.590736,374.538427,393.734067,385.526712,374.702902,379.368906,360.761538,347.820195,316.757243,320.188978,281.63836,247.588657,229.094037,252.589464,277.004499,262.025055,277.991741,356.438919,419.292569,439.745449,456.055191,496.773413,488.310991,460.001766,470.139884,456.898925,505.844172,513.26252,537.410853,508.998948,477.385949,484.830115,486.215511,482.110393,469.248278,448.452083,436.163378,433.51397,431.901411,418.848248,404.173577,388.359836,388.108106,377.410959,373.589268,373.962226,392.035829,372.813388,362.289564,363.338729,339.656708,324.065384,313.524187,325.369003,309.408677,301.687958,290.952822,285.578463,283.799812,290.976061,299.089174,285.030229,290.0255,278.084974,260.0363,251.295724,243.467667,241.533566,248.783867,243.286377,242.738295,250.523668,248.991534,242.817912,238.98049,222.029334,217.291036,204.063339,198.504995,192.760585,187.758171,182.700828,171.759372,156.663,159.762,163.066,168.999,174.641,166.628,158.144,176.889,176.878,195.977,204.821,202.614,202.099,190.934,189.569,198.051,195.532,186.98,181.884,203.47,208.652,213.4,221.911,228.213,213.68,229.933,249.702,246.011993408203,237.888000488281,249.061996459961,257.238006591797,272.345001220703,269.018005371094,280.075012207031,268.636993408203,275.688995361328,291.985992431641,281.39599609375,273.994995117188],"899901^JULIAN(MSCI_TOTAL_RET_IDX(2/27/2026,1/31/2000,M,USD,\"GROSS\").DATES)":[46080,46052,46022,45989,45961,45930,45898,45869,45838,45807,45777,45747,45716,45688,45657,45625,45596,45565,45534,45504,45471,45443,45412,45379,45351,45322,45289,45260,45230,45198,45169,45138,45107,45077,45044,45016,44985,44957,44925,44895,44865,44834,44804,44771,44742,44712,44680,44651,44620,44592,44561,44530,44498,44469,44439,44407,44377,44344,44316,44286,44253,44225,44196,44165,44134,44104,44074,44043,44012,43980,43951,43921,43889,43861,43830,43798,43769,43738,43707,43677,43644,43616,43585,43553,43524,43496,43465,43434,43404,43371,43343,43312,43280,43251,43220,43188,43159,43131,43098,43069,43039,43007,42978,42947,42916,42886,42853,42825,42794,42766,42734,42704,42674,42643,42613,42580,42551,42521,42489,42460,42429,42398,42369,42338,42307,42277,42247,42216,42185,42153,42124,42094,42062,42034,42004,41971,41943,41912,41880,41851,41820,41789,41759,41729,41698,41670,41639,41607,41578,41547,41516,41486,41453,41425,41394,41361,41333,41305,41274,41243,41213,41180,41152,41121,41089,41060,41029,40998,40968,40939,40907,40877,40847,40816,40786,40753,40724,40694,40662,40633,40602,40574,40543,40512,40480,40451,40421,40389,40359,40326,40298,40268,40235,40207,40178,40147,40116,40086,40056,40025,39994,39962,39933,39903,39871,39843,39813,39780,39752,39721,39689,39660,39629,39598,39568,39538,39507,39478,39447,39416,39386,39353,39325,39294,39262,39233,39202,39171,39141,39113,39080,39051,39021,38989,38960,38929,38898,38868,38835,38807,38776,38748,38716,38686,38656,38625,38595,38562,38533,38503,38471,38442,38411,38383,38352,38321,38289,38260,38230,38198,38168,38135,38107,38077,38044,38016,37986,37953,37925,37894,37862,37833,37802,37771,37741,37711,37680,37652,37621,37589,37560,37529,37498,37468,37435,37407,37376,37343,37315,37287,37256,37225,37195,37162,37134,37103,37071,37042,37011,36980,36950,36922,36889,36860,36830,36798,36769,36738,36707,36677,36644,36616,36585,36556],"899901^MSCI_TOTAL_RET_IDX(2/27/2026,1/31/2000,M,EUR,\"GROSS\")":[558.274294099912,527.501540878223,504.121219199499,495.19560451143,497.957811814994,479.381726239434,464.305164522976,458.618813560874,448.319682539616,448.11558582306,427.481141162055,433.841302055841,451.2340951665,445.180167703914,429.541434085642,429.326700521487,421.423294048669,430.873025979609,422.858669232519,420.48674374534,414.808178991747,409.74990160246,403.911146863449,406.281024732946,393.402216688762,382.176394967501,379.52811216301,365.767049483419,346.321615809929,360.575672563948,363.040511622162,374.201396581385,363.278447230952,355.619408647417,356.009558100315,355.313194280795,354.970001922709,359.179664273808,338.033789217018,352.876198384958,328.748409727977,321.997190023221,348.339740630343,354.852293251009,334.518233662248,357.019947267403,359.589177364501,363.542460047717,359.236062248732,367.162221267901,375.736666576145,364.450330054934,371.140714872976,361.871658609484,366.800070016649,358.269480905347,364.136014004522,356.298705889918,349.759656362176,347.792735492573,332.319373977029,325.530616242764,322.472572752158,312.844413057936,283.14037790363,287.389702006627,288.773841308972,280.018155480936,282.112445391051,272.420133783043,267.762584263141,248.307375617472,289.764298230009,311.819472193161,316.307860597145,308.55016481528,302.230828889147,298.819388388939,288.263319600524,294.14308587513,291.009568661776,280.373146323307,294.261300872262,285.929046535304,280.04439158037,272.546737328481,254.314195987272,268.835007673656,266.084847625463,282.514734834589,280.632730353396,284.970423050907,278.827980121899,284.106349401472,280.682857918521,270.774542404728,278.143876428286,285.743051069887,280.775457282021,276.499156625005,280.682952882443,271.44881819109,264.902084903354,265.677030893329,264.804143935197,267.642893131405,267.425460943076,266.413450049825,261.292489998119,252.846205101351,250.181416955634,242.469682562699,240.16329775015,237.656644940158,236.777365806493,234.297560523714,224.674485194777,227.563158865747,224.762817598181,219.924899200294,213.162268204581,216.457231017203,231.316902641743,242.413899549327,236.624388653949,217.918466304065,227.556177698447,249.831784099947,248.371764185697,259.549224224428,257.741815947936,255.815060360151,248.784428476739,234.706393227504,219.174656779366,220.619377162542,217.914769572059,218.267965470501,219.907017725621,215.257143445729,212.416653340583,209.527805032398,202.067512786001,200.491821367534,199.435096544179,194.436984771254,199.315638925477,199.918604311194,199.843446367764,193.581104514515,185.767016915962,187.015274405698,182.989988154421,191.787833860909,192.813704783594,190.690112821692,186.907409146413,181.896237587115,179.925735144578,176.245797019877,173.568896540975,174.125238271674,171.258760355811,171.656765942687,164.214464736102,159.089940566532,167.464249435668,168.952188328645,170.453127236951,164.875071924842,155.664222931291,151.783801605373,154.330383984226,145.134237979432,152.12152778089,166.66832614283,167.422700530705,171.27880163182,170.696284676167,170.019059130697,175.016615294181,171.75724860995,173.787474369632,166.071944671295,161.745683471114,159.232420517745,155.53136872716,155.982991048187,152.123758189474,152.761252655237,158.421534817884,156.951457562588,145.635027182863,142.96943494901,145.603813679198,136.244349146249,134.743728752959,137.704922747483,133.382597497307,130.167064464409,119.81831907115,120.021160797014,112.768844788516,98.9411066763385,95.7059517820541,104.578548343786,105.731008186333,109.562365698856,116.316545763259,134.636547896552,151.105960962903,149.538538898178,153.578773932216,169.605271747535,166.410906368676,154.027945728421,164.313288077877,163.730044656372,183.56948710487,185.525605092292,197.087432740479,189.896720291284,185.797611048657,187.922899337091,191.013523674724,190.090475603465,182.429708234286,178.745462474881,175.189790934223,177.006619220802,173.780507397531,167.651164779709,168.013479740601,162.66322458987,160.868779347614,156.912944315703,155.020348854434,154.47440284654,165.128437985725,163.455025767325,161.225774075061,158.756558757367,152.781170712001,145.842217308052,138.883566030936,143.186122271731,133.483118033863,131.781001934889,127.511672822927,122.71351920642,116.640310304367,118.789164463914,119.553202661098,116.013686324615,113.209488686118,111.015135871142,108.461545980749,107.351835967988,106.292787587146,106.442487375744,108.493209483281,105.704814969767,107.43744264744,108.16286820495,106.324704869221,103.70512292153,100.524710803736,98.2756314352997,99.173318047948,92.9721447361621,95.9300453619084,90.8655881956413,86.7502122595155,82.4183280154918,81.658659448292,76.1742309932994,78.6468429174094,80.5948632287543,85.4454758201069,93.1490153924294,89.2744565448943,84.904729084543,95.699710458674,95.7230479500487,105.285853844092,116.320799950058,119.300582400441,122.91204021533,117.115136635677,116.83166016709,118.015205613012,115.870027182622,110.144072621585,105.965613601854,118.848318882819,126.527564546297,133.748135876881,138.910132119158,136.578748507302,128.250098990661,132.662513882856,142.465128646389,139.029223734058,144.99389169578,155.905902970625,154.664675346254,162.532109434747,154.040492013978,155.026308222594,153.689622840127,160.519572927562,161.897938898984,155.07803456484,148.591632069878],"899901^JULIAN(MSCI_TOTAL_RET_IDX(2/27/2026,1/31/2000,M,EUR,\"GROSS\").DATES)":[46080,46052,46022,45989,45961,45930,45898,45869,45838,45807,45777,45747,45716,45688,45657,45625,45596,45565,45534,45504,45471,45443,45412,45379,45351,45322,45289,45260,45230,45198,45169,45138,45107,45077,45044,45016,44985,44957,44925,44895,44865,44834,44804,44771,44742,44712,44680,44651,44620,44592,44561,44530,44498,44469,44439,44407,44377,44344,44316,44286,44253,44225,44196,44165,44134,44104,44074,44043,44012,43980,43951,43921,43889,43861,43830,43798,43769,43738,43707,43677,43644,43616,43585,43553,43524,43496,43465,43434,43404,43371,43343,43312,43280,43251,43220,43188,43159,43131,43098,43069,43039,43007,42978,42947,42916,42886,42853,42825,42794,42766,42734,42704,42674,42643,42613,42580,42551,42521,42489,42460,42429,42398,42369,42338,42307,42277,42247,42216,42185,42153,42124,42094,42062,42034,42004,41971,41943,41912,41880,41851,41820,41789,41759,41729,41698,41670,41639,41607,41578,41547,41516,41486,41453,41425,41394,41361,41333,41305,41274,41243,41213,41180,41152,41121,41089,41060,41029,40998,40968,40939,40907,40877,40847,40816,40786,40753,40724,40694,40662,40633,40602,40574,40543,40512,40480,40451,40421,40389,40359,40326,40298,40268,40235,40207,40178,40147,40116,40086,40056,40025,39994,39962,39933,39903,39871,39843,39813,39780,39752,39721,39689,39660,39629,39598,39568,39538,39507,39478,39447,39416,39386,39353,39325,39294,39262,39233,39202,39171,39141,39113,39080,39051,39021,38989,38960,38929,38898,38868,38835,38807,38776,38748,38716,38686,38656,38625,38595,38562,38533,38503,38471,38442,38411,38383,38352,38321,38289,38260,38230,38198,38168,38135,38107,38077,38044,38016,37986,37953,37925,37894,37862,37833,37802,37771,37741,37711,37680,37652,37621,37589,37560,37529,37498,37468,37435,37407,37376,37343,37315,37287,37256,37225,37195,37162,37134,37103,37071,37042,37011,36980,36950,36922,36889,36860,36830,36798,36769,36738,36707,36677,36644,36616,36585,36556]}]]></FdsFormulaCache>
</file>

<file path=customXml/itemProps1.xml><?xml version="1.0" encoding="utf-8"?>
<ds:datastoreItem xmlns:ds="http://schemas.openxmlformats.org/officeDocument/2006/customXml" ds:itemID="{43C9E487-17F1-41B3-9DDB-12E8D6CA5832}">
  <ds:schemaRefs>
    <ds:schemaRef ds:uri="urn:fdsformulacach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price</vt:lpstr>
      <vt:lpstr>Sheet2</vt:lpstr>
      <vt:lpstr>Total return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Factset</dc:creator>
  <cp:lastModifiedBy>Factset</cp:lastModifiedBy>
  <dcterms:created xsi:type="dcterms:W3CDTF">2026-03-23T05:26:31Z</dcterms:created>
  <dcterms:modified xsi:type="dcterms:W3CDTF">2026-03-24T00:54:15Z</dcterms:modified>
</cp:coreProperties>
</file>